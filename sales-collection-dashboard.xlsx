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Banka Dökümü" sheetId="2" state="visible" r:id="rId2"/>
    <sheet xmlns:r="http://schemas.openxmlformats.org/officeDocument/2006/relationships" name="Satışlar" sheetId="3" state="visible" r:id="rId3"/>
    <sheet xmlns:r="http://schemas.openxmlformats.org/officeDocument/2006/relationships" name="Müşteriler" sheetId="4" state="visible" r:id="rId4"/>
    <sheet xmlns:r="http://schemas.openxmlformats.org/officeDocument/2006/relationships" name="Eşleştirme" sheetId="5" state="visible" r:id="rId5"/>
    <sheet xmlns:r="http://schemas.openxmlformats.org/officeDocument/2006/relationships" name="Nasıl kullanılır" sheetId="6" state="visible" r:id="rId6"/>
  </sheets>
  <definedNames>
    <definedName name="Iller">'Müşteriler'!$F$2:$F$11</definedName>
    <definedName name="Aylar">'Müşteriler'!$H$2:$H$13</definedName>
    <definedName name="Musteriler">'Müşteriler'!$A$2:$A$101</definedName>
    <definedName name="_xlnm.Print_Area" localSheetId="0">'Panel'!$A$1:$L$26</definedName>
    <definedName name="_xlnm._FilterDatabase" localSheetId="4" hidden="1">'Eşleştirme'!$A$4:$D$2004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0 &quot;₺&quot;"/>
    <numFmt numFmtId="167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33247"/>
      <sz val="11"/>
    </font>
    <font>
      <name val="Calibri"/>
      <b val="1"/>
      <color rgb="001F3A5F"/>
      <sz val="20"/>
    </font>
    <font>
      <name val="Calibri"/>
      <color rgb="0064748B"/>
      <sz val="11"/>
    </font>
    <font>
      <name val="Calibri"/>
      <b val="1"/>
      <color rgb="0064748B"/>
      <sz val="10"/>
    </font>
    <font>
      <name val="Calibri"/>
      <b val="1"/>
      <color rgb="001F3A5F"/>
      <sz val="12"/>
    </font>
    <font>
      <name val="Calibri"/>
      <color rgb="0064748B"/>
      <sz val="10"/>
    </font>
    <font>
      <name val="Calibri"/>
      <b val="1"/>
      <color rgb="001F3A5F"/>
      <sz val="11"/>
    </font>
    <font>
      <name val="Calibri"/>
      <b val="1"/>
      <color rgb="001F3A5F"/>
      <sz val="22"/>
    </font>
    <font>
      <name val="Calibri"/>
      <b val="1"/>
      <color rgb="001F3A5F"/>
    </font>
    <font>
      <name val="Calibri"/>
      <b val="1"/>
      <color rgb="001F3A5F"/>
      <sz val="18"/>
    </font>
    <font>
      <name val="Calibri"/>
      <b val="1"/>
      <color rgb="001F3A5F"/>
      <sz val="16"/>
    </font>
    <font>
      <name val="Calibri"/>
      <color rgb="00233247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4F7"/>
      </patternFill>
    </fill>
    <fill>
      <patternFill patternType="solid">
        <fgColor rgb="00E5EB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>
        <color rgb="001F3A5F"/>
      </bottom>
    </border>
    <border>
      <right style="medium">
        <color rgb="00FFFFFF"/>
      </right>
    </border>
    <border>
      <bottom style="hair">
        <color rgb="00DFE5EB"/>
      </bottom>
    </border>
    <border>
      <top style="thin">
        <color rgb="00DFE5EB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0" pivotButton="0" quotePrefix="0" xfId="0"/>
    <xf numFmtId="166" fontId="9" fillId="3" borderId="0" applyAlignment="1" pivotButton="0" quotePrefix="0" xfId="0">
      <alignment horizontal="left" vertical="center"/>
    </xf>
    <xf numFmtId="167" fontId="9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 wrapText="1"/>
    </xf>
    <xf numFmtId="0" fontId="2" fillId="5" borderId="3" applyAlignment="1" pivotButton="0" quotePrefix="0" xfId="0">
      <alignment horizontal="left" vertical="center"/>
    </xf>
    <xf numFmtId="166" fontId="2" fillId="5" borderId="3" applyAlignment="1" pivotButton="0" quotePrefix="0" xfId="0">
      <alignment horizontal="right" vertical="center"/>
    </xf>
    <xf numFmtId="167" fontId="2" fillId="5" borderId="3" applyAlignment="1" pivotButton="0" quotePrefix="0" xfId="0">
      <alignment horizontal="right" vertical="center"/>
    </xf>
    <xf numFmtId="0" fontId="2" fillId="3" borderId="3" applyAlignment="1" pivotButton="0" quotePrefix="0" xfId="0">
      <alignment horizontal="left" vertical="center"/>
    </xf>
    <xf numFmtId="166" fontId="2" fillId="3" borderId="3" applyAlignment="1" pivotButton="0" quotePrefix="0" xfId="0">
      <alignment horizontal="right" vertical="center"/>
    </xf>
    <xf numFmtId="167" fontId="2" fillId="3" borderId="3" applyAlignment="1" pivotButton="0" quotePrefix="0" xfId="0">
      <alignment horizontal="right" vertical="center"/>
    </xf>
    <xf numFmtId="0" fontId="8" fillId="3" borderId="4" pivotButton="0" quotePrefix="0" xfId="0"/>
    <xf numFmtId="166" fontId="8" fillId="3" borderId="4" pivotButton="0" quotePrefix="0" xfId="0"/>
    <xf numFmtId="167" fontId="8" fillId="3" borderId="4" pivotButton="0" quotePrefix="0" xfId="0"/>
    <xf numFmtId="0" fontId="6" fillId="3" borderId="0" applyAlignment="1" pivotButton="0" quotePrefix="0" xfId="0">
      <alignment horizontal="left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49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0" fillId="0" borderId="0" pivotButton="0" quotePrefix="0" xfId="0"/>
    <xf numFmtId="165" fontId="2" fillId="3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b val="1"/>
        <color rgb="001F3A5F"/>
      </font>
      <fill>
        <patternFill patternType="solid">
          <fgColor rgb="00E5EB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plotArea>
      <barChart>
        <barDir val="col"/>
        <grouping val="clustered"/>
        <ser>
          <idx val="0"/>
          <order val="0"/>
          <tx>
            <strRef>
              <f>'Panel'!B11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noFill/>
              <a:prstDash val="solid"/>
            </a:ln>
          </spPr>
          <cat>
            <numRef>
              <f>'Panel'!$A$12:$A$21</f>
            </numRef>
          </cat>
          <val>
            <numRef>
              <f>'Panel'!$B$12:$B$21</f>
            </numRef>
          </val>
        </ser>
        <gapWidth val="6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numFmt formatCode="#,##0,&quot; bin ₺&quot;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User</author>
  </authors>
  <commentList>
    <comment ref="H1" authorId="0" shapeId="0">
      <text>
        <t>Yalnız tek müşteriyle eşleşen pozitif girişler tahsilattır. Sıfır/negatif tutarlar Satış dışı; adsız veya çoklu eşleşen girişler Eşleşmedi olur.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F1" authorId="0" shapeId="0">
      <text>
        <t>Gri sütun formüldür; A:E alanına yapıştırın. 2.000 veri satırı hazırdır.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B1" authorId="0" shapeId="0">
      <text>
        <t>En fazla 100 müşteri. Aranacak ad dolu, benzersiz ve ayırt edici olmalı. SEARCH büyük/küçük harf duyarsızdır. *, ? ve ~ kullanmayın. Birden fazla ad bulunursa ödeme eşleşmez.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10</row>
      <rowOff>0</rowOff>
    </from>
    <ext cx="4212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nkaVerisi" displayName="BankaVerisi" ref="A1:H2001" headerRowCount="1">
  <autoFilter ref="A1:H2001"/>
  <tableColumns count="8">
    <tableColumn id="1" name="Tarih"/>
    <tableColumn id="2" name="Açıklama"/>
    <tableColumn id="3" name="Tutar"/>
    <tableColumn id="4" name="Bakiye"/>
    <tableColumn id="5" name="Ay"/>
    <tableColumn id="6" name="Bulunan müşteri"/>
    <tableColumn id="7" name="İl"/>
    <tableColumn id="8" name="Durum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SatisVerisi" displayName="SatisVerisi" ref="A1:F2001" headerRowCount="1">
  <autoFilter ref="A1:F2001"/>
  <tableColumns count="6">
    <tableColumn id="1" name="Tarih"/>
    <tableColumn id="2" name="Fatura no"/>
    <tableColumn id="3" name="Müşteri"/>
    <tableColumn id="4" name="İl"/>
    <tableColumn id="5" name="Tutar"/>
    <tableColumn id="6" name="Ay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MusteriAyar" displayName="MusteriAyar" ref="A1:C101" headerRowCount="1">
  <autoFilter ref="A1:C101"/>
  <tableColumns count="3">
    <tableColumn id="1" name="Müşteri"/>
    <tableColumn id="2" name="Aranacak ad"/>
    <tableColumn id="3" name="İl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&#351;le&#351;tirme'!A1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'Panel'!A1" TargetMode="Externa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001F3A5F"/>
    <ns0:outlinePr summaryBelow="1" summaryRight="0"/>
    <ns0:pageSetUpPr fitToPage="1"/>
  </ns0:sheetPr>
  <ns0:dimension ref="A1:N26"/>
  <ns0:sheetViews>
    <ns0:sheetView showGridLines="0" topLeftCell="A1" zoomScale="85" zoomScaleNormal="85" workbookViewId="0">
      <ns0:pane xSplit="1" ySplit="11" topLeftCell="B12" activePane="bottomRight" state="frozen"/>
      <ns0:selection pane="topRight" activeCell="B4" sqref="B4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18" customWidth="1" min="1" max="1"/>
    <ns0:col width="17" customWidth="1" min="2" max="2"/>
    <ns0:col width="17" customWidth="1" min="3" max="3"/>
    <ns0:col width="18" customWidth="1" min="4" max="4"/>
    <ns0:col width="16" customWidth="1" min="5" max="5"/>
    <ns0:col width="19" customWidth="1" min="6" max="6"/>
    <ns0:col width="3" customWidth="1" min="7" max="7"/>
    <ns0:col width="12" customWidth="1" min="8" max="8"/>
    <ns0:col width="12" customWidth="1" min="9" max="9"/>
    <ns0:col width="12" customWidth="1" min="10" max="10"/>
    <ns0:col width="12" customWidth="1" min="11" max="11"/>
    <ns0:col width="12" customWidth="1" min="12" max="12"/>
    <ns0:col hidden="1" width="13" customWidth="1" min="14" max="14"/>
  </ns0:cols>
  <ns0:sheetData>
    <ns0:row r="1" ht="25" customHeight="1">
      <ns0:c r="A1" s="1" t="inlineStr">
        <ns0:is>
          <ns0:t>SATIŞ &amp; TAHSİLAT</ns0:t>
        </ns0:is>
      </ns0:c>
    </ns0:row>
    <ns0:row r="2" ht="17" customHeight="1">
      <ns0:c r="A2" s="2" t="inlineStr">
        <ns0:is>
          <ns0:t>İl bazında aylık görünüm   /   TASLAK · Tamamı kurgusal örnek veridir</ns0:t>
        </ns0:is>
      </ns0:c>
      <ns0:c r="N2" t="str">
        <ns0:f>YEAR(DATE(LEFT(B4,4),RIGHT(B4,2)-1,1))&amp;"-"&amp;RIGHT("0"&amp;MONTH(DATE(LEFT(B4,4),RIGHT(B4,2)-1,1)),2)</ns0:f>
        <ns0:v>2026-09</ns0:v>
      </ns0:c>
    </ns0:row>
    <ns0:row r="3" ht="6" customHeight="1">
      <ns0:c r="N3">
        <ns0:f>SUM(F12:F21)</ns0:f>
        <ns0:v>779926.7000000001</ns0:v>
      </ns0:c>
    </ns0:row>
    <ns0:row r="4" ht="23" customHeight="1">
      <ns0:c r="A4" s="3" t="inlineStr">
        <ns0:is>
          <ns0:t>GÖRÜNTÜLENEN AY</ns0:t>
        </ns0:is>
      </ns0:c>
      <ns0:c r="B4" s="4" t="inlineStr">
        <ns0:is>
          <ns0:t>2026-10</ns0:t>
        </ns0:is>
      </ns0:c>
      <ns0:c r="C4" s="5" t="inlineStr">
        <ns0:is>
          <ns0:t>Ayı listeden seçin · Tüm özetler ve grafik güncellenir</ns0:t>
        </ns0:is>
      </ns0:c>
      <ns0:c r="H4" s="6" t="inlineStr">
        <ns0:is>
          <ns0:t>VERİ KAPSAMI  /  EYLÜL + EKİM 2026</ns0:t>
        </ns0:is>
      </ns0:c>
      <ns0:c r="N4">
        <ns0:f>COUNTIFS('Banka Dökümü'!$E$2:$E$2001,$B$4,'Banka Dökümü'!$H$2:$H$2001,"Eşleşmedi")</ns0:f>
        <ns0:v>3.0</ns0:v>
      </ns0:c>
    </ns0:row>
    <ns0:row r="5" ht="6" customHeight="1"/>
    <ns0:row r="6" ht="16" customHeight="1">
      <ns0:c r="A6" s="7" t="inlineStr">
        <ns0:is>
          <ns0:t>Toplam satış</ns0:t>
        </ns0:is>
      </ns0:c>
      <ns0:c r="B6" s="8" t="n"/>
      <ns0:c r="C6" s="7" t="inlineStr">
        <ns0:is>
          <ns0:t>Gelen ödeme</ns0:t>
        </ns0:is>
      </ns0:c>
      <ns0:c r="D6" s="8" t="n"/>
      <ns0:c r="E6" s="7" t="inlineStr">
        <ns0:is>
          <ns0:t>Kalan alacak</ns0:t>
        </ns0:is>
      </ns0:c>
      <ns0:c r="F6" s="8" t="n"/>
      <ns0:c r="H6" s="7" t="inlineStr">
        <ns0:is>
          <ns0:t>Geçen aya göre satış farkı %</ns0:t>
        </ns0:is>
      </ns0:c>
      <ns0:c r="I6" s="9" t="n"/>
      <ns0:c r="J6" s="9" t="n"/>
      <ns0:c r="K6" s="9" t="n"/>
      <ns0:c r="L6" s="9" t="n"/>
    </ns0:row>
    <ns0:row r="7" ht="30" customHeight="1">
      <ns0:c r="A7" s="10">
        <ns0:f>SUM(B12:B21)</ns0:f>
        <ns0:v>776624.3200000001</ns0:v>
      </ns0:c>
      <ns0:c r="B7" s="8" t="n"/>
      <ns0:c r="C7" s="10">
        <ns0:f>SUM(C12:C21)</ns0:f>
        <ns0:v>568161.01</ns0:v>
      </ns0:c>
      <ns0:c r="D7" s="8" t="n"/>
      <ns0:c r="E7" s="10">
        <ns0:f>A7-C7</ns0:f>
        <ns0:v>208463.31000000006</ns0:v>
      </ns0:c>
      <ns0:c r="F7" s="8" t="n"/>
      <ns0:c r="H7" s="11">
        <ns0:f>IF($N$3=0,"",A7/$N$3-1)</ns0:f>
        <ns0:v>-0.004234218420782421</ns0:v>
      </ns0:c>
      <ns0:c r="I7" s="9" t="n"/>
      <ns0:c r="J7" s="9" t="n"/>
      <ns0:c r="K7" s="9" t="n"/>
      <ns0:c r="L7" s="9" t="n"/>
    </ns0:row>
    <ns0:row r="8" ht="16" customHeight="1">
      <ns0:c r="A8" s="12" t="inlineStr">
        <ns0:is>
          <ns0:t>Seçilen ayın faturaları</ns0:t>
        </ns0:is>
      </ns0:c>
      <ns0:c r="B8" s="8" t="n"/>
      <ns0:c r="C8" s="12" t="inlineStr">
        <ns0:is>
          <ns0:t>Eşleşen pozitif banka girişleri</ns0:t>
        </ns0:is>
      </ns0:c>
      <ns0:c r="D8" s="8" t="n"/>
      <ns0:c r="E8" s="12" t="inlineStr">
        <ns0:is>
          <ns0:t>Seçilen ay: satış − tahsilat</ns0:t>
        </ns0:is>
      </ns0:c>
      <ns0:c r="F8" s="8" t="n"/>
      <ns0:c r="H8" s="12" t="str">
        <ns0:f>IF($N$3=0,"Önceki ay satış yok / oran hesaplanmadı","Önceki ay satışına göre değişim")</ns0:f>
        <ns0:v>Önceki ay satışına göre değişim</ns0:v>
      </ns0:c>
      <ns0:c r="I8" s="9" t="n"/>
      <ns0:c r="J8" s="9" t="n"/>
      <ns0:c r="K8" s="9" t="n"/>
      <ns0:c r="L8" s="9" t="n"/>
    </ns0:row>
    <ns0:row r="9" ht="7" customHeight="1"/>
    <ns0:row r="10" ht="18" customHeight="1">
      <ns0:c r="A10" s="13" t="inlineStr">
        <ns0:is>
          <ns0:t>İLLERE GÖRE AYLIK ÖZET</ns0:t>
        </ns0:is>
      </ns0:c>
      <ns0:c r="H10" s="13" t="inlineStr">
        <ns0:is>
          <ns0:t>İL BAZLI SATIŞ  /  ₺</ns0:t>
        </ns0:is>
      </ns0:c>
    </ns0:row>
    <ns0:row r="11" ht="28" customHeight="1">
      <ns0:c r="A11" s="14" t="inlineStr">
        <ns0:is>
          <ns0:t>İl</ns0:t>
        </ns0:is>
      </ns0:c>
      <ns0:c r="B11" s="14" t="inlineStr">
        <ns0:is>
          <ns0:t>Satış</ns0:t>
        </ns0:is>
      </ns0:c>
      <ns0:c r="C11" s="14" t="inlineStr">
        <ns0:is>
          <ns0:t>Ödeme</ns0:t>
        </ns0:is>
      </ns0:c>
      <ns0:c r="D11" s="14" t="inlineStr">
        <ns0:is>
          <ns0:t>Kalan alacak</ns0:t>
        </ns0:is>
      </ns0:c>
      <ns0:c r="E11" s="14" t="inlineStr">
        <ns0:is>
          <ns0:t>Tahsilat oranı</ns0:t>
        </ns0:is>
      </ns0:c>
      <ns0:c r="F11" s="14" t="inlineStr">
        <ns0:is>
          <ns0:t>Geçen ay satış</ns0:t>
        </ns0:is>
      </ns0:c>
    </ns0:row>
    <ns0:row r="12" ht="18" customHeight="1">
      <ns0:c r="A12" s="15" t="inlineStr">
        <ns0:is>
          <ns0:t>İstanbul</ns0:t>
        </ns0:is>
      </ns0:c>
      <ns0:c r="B12" s="16">
        <ns0:f>SUMIFS('Satışlar'!$E$2:$E$2001,'Satışlar'!$F$2:$F$2001,$B$4,'Satışlar'!$D$2:$D$2001,A12)</ns0:f>
        <ns0:v>66089.95</ns0:v>
      </ns0:c>
      <ns0:c r="C12" s="16">
        <ns0:f>SUMIFS('Banka Dökümü'!$C$2:$C$2001,'Banka Dökümü'!$E$2:$E$2001,$B$4,'Banka Dökümü'!$G$2:$G$2001,A12,'Banka Dökümü'!$H$2:$H$2001,"Eşleşti")</ns0:f>
        <ns0:v>49805.9</ns0:v>
      </ns0:c>
      <ns0:c r="D12" s="16">
        <ns0:f>B12-C12</ns0:f>
        <ns0:v>16284.049999999996</ns0:v>
      </ns0:c>
      <ns0:c r="E12" s="17">
        <ns0:f>IFERROR(C12/B12,0)</ns0:f>
        <ns0:v>0.7536077724374131</ns0:v>
      </ns0:c>
      <ns0:c r="F12" s="16">
        <ns0:f>SUMIFS('Satışlar'!$E$2:$E$2001,'Satışlar'!$F$2:$F$2001,$N$2,'Satışlar'!$D$2:$D$2001,A12)</ns0:f>
        <ns0:v>83683.73</ns0:v>
      </ns0:c>
    </ns0:row>
    <ns0:row r="13" ht="18" customHeight="1">
      <ns0:c r="A13" s="18" t="inlineStr">
        <ns0:is>
          <ns0:t>Ankara</ns0:t>
        </ns0:is>
      </ns0:c>
      <ns0:c r="B13" s="19">
        <ns0:f>SUMIFS('Satışlar'!$E$2:$E$2001,'Satışlar'!$F$2:$F$2001,$B$4,'Satışlar'!$D$2:$D$2001,A13)</ns0:f>
        <ns0:v>68957.68999999999</ns0:v>
      </ns0:c>
      <ns0:c r="C13" s="19">
        <ns0:f>SUMIFS('Banka Dökümü'!$C$2:$C$2001,'Banka Dökümü'!$E$2:$E$2001,$B$4,'Banka Dökümü'!$G$2:$G$2001,A13,'Banka Dökümü'!$H$2:$H$2001,"Eşleşti")</ns0:f>
        <ns0:v>52093.219999999994</ns0:v>
      </ns0:c>
      <ns0:c r="D13" s="19">
        <ns0:f>B13-C13</ns0:f>
        <ns0:v>16864.469999999994</ns0:v>
      </ns0:c>
      <ns0:c r="E13" s="20">
        <ns0:f>IFERROR(C13/B13,0)</ns0:f>
        <ns0:v>0.755437428370933</ns0:v>
      </ns0:c>
      <ns0:c r="F13" s="19">
        <ns0:f>SUMIFS('Satışlar'!$E$2:$E$2001,'Satışlar'!$F$2:$F$2001,$N$2,'Satışlar'!$D$2:$D$2001,A13)</ns0:f>
        <ns0:v>110101.20999999999</ns0:v>
      </ns0:c>
    </ns0:row>
    <ns0:row r="14" ht="18" customHeight="1">
      <ns0:c r="A14" s="15" t="inlineStr">
        <ns0:is>
          <ns0:t>İzmir</ns0:t>
        </ns0:is>
      </ns0:c>
      <ns0:c r="B14" s="16">
        <ns0:f>SUMIFS('Satışlar'!$E$2:$E$2001,'Satışlar'!$F$2:$F$2001,$B$4,'Satışlar'!$D$2:$D$2001,A14)</ns0:f>
        <ns0:v>122859.59</ns0:v>
      </ns0:c>
      <ns0:c r="C14" s="16">
        <ns0:f>SUMIFS('Banka Dökümü'!$C$2:$C$2001,'Banka Dökümü'!$E$2:$E$2001,$B$4,'Banka Dökümü'!$G$2:$G$2001,A14,'Banka Dökümü'!$H$2:$H$2001,"Eşleşti")</ns0:f>
        <ns0:v>88140.1</ns0:v>
      </ns0:c>
      <ns0:c r="D14" s="16">
        <ns0:f>B14-C14</ns0:f>
        <ns0:v>34719.48999999999</ns0:v>
      </ns0:c>
      <ns0:c r="E14" s="17">
        <ns0:f>IFERROR(C14/B14,0)</ns0:f>
        <ns0:v>0.717405128895514</ns0:v>
      </ns0:c>
      <ns0:c r="F14" s="16">
        <ns0:f>SUMIFS('Satışlar'!$E$2:$E$2001,'Satışlar'!$F$2:$F$2001,$N$2,'Satışlar'!$D$2:$D$2001,A14)</ns0:f>
        <ns0:v>93888.59000000001</ns0:v>
      </ns0:c>
    </ns0:row>
    <ns0:row r="15" ht="18" customHeight="1">
      <ns0:c r="A15" s="18" t="inlineStr">
        <ns0:is>
          <ns0:t>Bursa</ns0:t>
        </ns0:is>
      </ns0:c>
      <ns0:c r="B15" s="19">
        <ns0:f>SUMIFS('Satışlar'!$E$2:$E$2001,'Satışlar'!$F$2:$F$2001,$B$4,'Satışlar'!$D$2:$D$2001,A15)</ns0:f>
        <ns0:v>107585.76</ns0:v>
      </ns0:c>
      <ns0:c r="C15" s="19">
        <ns0:f>SUMIFS('Banka Dökümü'!$C$2:$C$2001,'Banka Dökümü'!$E$2:$E$2001,$B$4,'Banka Dökümü'!$G$2:$G$2001,A15,'Banka Dökümü'!$H$2:$H$2001,"Eşleşti")</ns0:f>
        <ns0:v>77589.15000000001</ns0:v>
      </ns0:c>
      <ns0:c r="D15" s="19">
        <ns0:f>B15-C15</ns0:f>
        <ns0:v>29996.609999999986</ns0:v>
      </ns0:c>
      <ns0:c r="E15" s="20">
        <ns0:f>IFERROR(C15/B15,0)</ns0:f>
        <ns0:v>0.7211841976112825</ns0:v>
      </ns0:c>
      <ns0:c r="F15" s="19">
        <ns0:f>SUMIFS('Satışlar'!$E$2:$E$2001,'Satışlar'!$F$2:$F$2001,$N$2,'Satışlar'!$D$2:$D$2001,A15)</ns0:f>
        <ns0:v>96063.97</ns0:v>
      </ns0:c>
    </ns0:row>
    <ns0:row r="16" ht="18" customHeight="1">
      <ns0:c r="A16" s="15" t="inlineStr">
        <ns0:is>
          <ns0:t>Antalya</ns0:t>
        </ns0:is>
      </ns0:c>
      <ns0:c r="B16" s="16">
        <ns0:f>SUMIFS('Satışlar'!$E$2:$E$2001,'Satışlar'!$F$2:$F$2001,$B$4,'Satışlar'!$D$2:$D$2001,A16)</ns0:f>
        <ns0:v>59467.28999999999</ns0:v>
      </ns0:c>
      <ns0:c r="C16" s="16">
        <ns0:f>SUMIFS('Banka Dökümü'!$C$2:$C$2001,'Banka Dökümü'!$E$2:$E$2001,$B$4,'Banka Dökümü'!$G$2:$G$2001,A16,'Banka Dökümü'!$H$2:$H$2001,"Eşleşti")</ns0:f>
        <ns0:v>39252.630000000005</ns0:v>
      </ns0:c>
      <ns0:c r="D16" s="16">
        <ns0:f>B16-C16</ns0:f>
        <ns0:v>20214.65999999999</ns0:v>
      </ns0:c>
      <ns0:c r="E16" s="17">
        <ns0:f>IFERROR(C16/B16,0)</ns0:f>
        <ns0:v>0.6600709398393639</ns0:v>
      </ns0:c>
      <ns0:c r="F16" s="16">
        <ns0:f>SUMIFS('Satışlar'!$E$2:$E$2001,'Satışlar'!$F$2:$F$2001,$N$2,'Satışlar'!$D$2:$D$2001,A16)</ns0:f>
        <ns0:v>93690.90999999999</ns0:v>
      </ns0:c>
    </ns0:row>
    <ns0:row r="17" ht="18" customHeight="1">
      <ns0:c r="A17" s="18" t="inlineStr">
        <ns0:is>
          <ns0:t>Konya</ns0:t>
        </ns0:is>
      </ns0:c>
      <ns0:c r="B17" s="19">
        <ns0:f>SUMIFS('Satışlar'!$E$2:$E$2001,'Satışlar'!$F$2:$F$2001,$B$4,'Satışlar'!$D$2:$D$2001,A17)</ns0:f>
        <ns0:v>88673.36000000002</ns0:v>
      </ns0:c>
      <ns0:c r="C17" s="19">
        <ns0:f>SUMIFS('Banka Dökümü'!$C$2:$C$2001,'Banka Dökümü'!$E$2:$E$2001,$B$4,'Banka Dökümü'!$G$2:$G$2001,A17,'Banka Dökümü'!$H$2:$H$2001,"Eşleşti")</ns0:f>
        <ns0:v>62929.81</ns0:v>
      </ns0:c>
      <ns0:c r="D17" s="19">
        <ns0:f>B17-C17</ns0:f>
        <ns0:v>25743.550000000017</ns0:v>
      </ns0:c>
      <ns0:c r="E17" s="20">
        <ns0:f>IFERROR(C17/B17,0)</ns0:f>
        <ns0:v>0.709681126327005</ns0:v>
      </ns0:c>
      <ns0:c r="F17" s="19">
        <ns0:f>SUMIFS('Satışlar'!$E$2:$E$2001,'Satışlar'!$F$2:$F$2001,$N$2,'Satışlar'!$D$2:$D$2001,A17)</ns0:f>
        <ns0:v>47163.94</ns0:v>
      </ns0:c>
    </ns0:row>
    <ns0:row r="18" ht="18" customHeight="1">
      <ns0:c r="A18" s="15" t="inlineStr">
        <ns0:is>
          <ns0:t>Kocaeli</ns0:t>
        </ns0:is>
      </ns0:c>
      <ns0:c r="B18" s="16">
        <ns0:f>SUMIFS('Satışlar'!$E$2:$E$2001,'Satışlar'!$F$2:$F$2001,$B$4,'Satışlar'!$D$2:$D$2001,A18)</ns0:f>
        <ns0:v>67355.70999999999</ns0:v>
      </ns0:c>
      <ns0:c r="C18" s="16">
        <ns0:f>SUMIFS('Banka Dökümü'!$C$2:$C$2001,'Banka Dökümü'!$E$2:$E$2001,$B$4,'Banka Dökümü'!$G$2:$G$2001,A18,'Banka Dökümü'!$H$2:$H$2001,"Eşleşti")</ns0:f>
        <ns0:v>48677.399999999994</ns0:v>
      </ns0:c>
      <ns0:c r="D18" s="16">
        <ns0:f>B18-C18</ns0:f>
        <ns0:v>18678.309999999998</ns0:v>
      </ns0:c>
      <ns0:c r="E18" s="17">
        <ns0:f>IFERROR(C18/B18,0)</ns0:f>
        <ns0:v>0.7226915134589184</ns0:v>
      </ns0:c>
      <ns0:c r="F18" s="16">
        <ns0:f>SUMIFS('Satışlar'!$E$2:$E$2001,'Satışlar'!$F$2:$F$2001,$N$2,'Satışlar'!$D$2:$D$2001,A18)</ns0:f>
        <ns0:v>42899.299999999996</ns0:v>
      </ns0:c>
    </ns0:row>
    <ns0:row r="19" ht="18" customHeight="1">
      <ns0:c r="A19" s="18" t="inlineStr">
        <ns0:is>
          <ns0:t>Sakarya</ns0:t>
        </ns0:is>
      </ns0:c>
      <ns0:c r="B19" s="19">
        <ns0:f>SUMIFS('Satışlar'!$E$2:$E$2001,'Satışlar'!$F$2:$F$2001,$B$4,'Satışlar'!$D$2:$D$2001,A19)</ns0:f>
        <ns0:v>64793.939999999995</ns0:v>
      </ns0:c>
      <ns0:c r="C19" s="19">
        <ns0:f>SUMIFS('Banka Dökümü'!$C$2:$C$2001,'Banka Dökümü'!$E$2:$E$2001,$B$4,'Banka Dökümü'!$G$2:$G$2001,A19,'Banka Dökümü'!$H$2:$H$2001,"Eşleşti")</ns0:f>
        <ns0:v>47941.469999999994</ns0:v>
      </ns0:c>
      <ns0:c r="D19" s="19">
        <ns0:f>B19-C19</ns0:f>
        <ns0:v>16852.47</ns0:v>
      </ns0:c>
      <ns0:c r="E19" s="20">
        <ns0:f>IFERROR(C19/B19,0)</ns0:f>
        <ns0:v>0.7399066949779562</ns0:v>
      </ns0:c>
      <ns0:c r="F19" s="19">
        <ns0:f>SUMIFS('Satışlar'!$E$2:$E$2001,'Satışlar'!$F$2:$F$2001,$N$2,'Satışlar'!$D$2:$D$2001,A19)</ns0:f>
        <ns0:v>77568.15000000001</ns0:v>
      </ns0:c>
    </ns0:row>
    <ns0:row r="20" ht="18" customHeight="1">
      <ns0:c r="A20" s="15" t="inlineStr">
        <ns0:is>
          <ns0:t>Kayseri</ns0:t>
        </ns0:is>
      </ns0:c>
      <ns0:c r="B20" s="16">
        <ns0:f>SUMIFS('Satışlar'!$E$2:$E$2001,'Satışlar'!$F$2:$F$2001,$B$4,'Satışlar'!$D$2:$D$2001,A20)</ns0:f>
        <ns0:v>58973.24</ns0:v>
      </ns0:c>
      <ns0:c r="C20" s="16">
        <ns0:f>SUMIFS('Banka Dökümü'!$C$2:$C$2001,'Banka Dökümü'!$E$2:$E$2001,$B$4,'Banka Dökümü'!$G$2:$G$2001,A20,'Banka Dökümü'!$H$2:$H$2001,"Eşleşti")</ns0:f>
        <ns0:v>44972.17</ns0:v>
      </ns0:c>
      <ns0:c r="D20" s="16">
        <ns0:f>B20-C20</ns0:f>
        <ns0:v>14001.07</ns0:v>
      </ns0:c>
      <ns0:c r="E20" s="17">
        <ns0:f>IFERROR(C20/B20,0)</ns0:f>
        <ns0:v>0.762586047502223</ns0:v>
      </ns0:c>
      <ns0:c r="F20" s="16">
        <ns0:f>SUMIFS('Satışlar'!$E$2:$E$2001,'Satışlar'!$F$2:$F$2001,$N$2,'Satışlar'!$D$2:$D$2001,A20)</ns0:f>
        <ns0:v>58765.880000000005</ns0:v>
      </ns0:c>
    </ns0:row>
    <ns0:row r="21" ht="18" customHeight="1">
      <ns0:c r="A21" s="18" t="inlineStr">
        <ns0:is>
          <ns0:t>Gaziantep</ns0:t>
        </ns0:is>
      </ns0:c>
      <ns0:c r="B21" s="19">
        <ns0:f>SUMIFS('Satışlar'!$E$2:$E$2001,'Satışlar'!$F$2:$F$2001,$B$4,'Satışlar'!$D$2:$D$2001,A21)</ns0:f>
        <ns0:v>71867.79</ns0:v>
      </ns0:c>
      <ns0:c r="C21" s="19">
        <ns0:f>SUMIFS('Banka Dökümü'!$C$2:$C$2001,'Banka Dökümü'!$E$2:$E$2001,$B$4,'Banka Dökümü'!$G$2:$G$2001,A21,'Banka Dökümü'!$H$2:$H$2001,"Eşleşti")</ns0:f>
        <ns0:v>56759.15999999999</ns0:v>
      </ns0:c>
      <ns0:c r="D21" s="19">
        <ns0:f>B21-C21</ns0:f>
        <ns0:v>15108.630000000005</ns0:v>
      </ns0:c>
      <ns0:c r="E21" s="20">
        <ns0:f>IFERROR(C21/B21,0)</ns0:f>
        <ns0:v>0.7897718852910323</ns0:v>
      </ns0:c>
      <ns0:c r="F21" s="19">
        <ns0:f>SUMIFS('Satışlar'!$E$2:$E$2001,'Satışlar'!$F$2:$F$2001,$N$2,'Satışlar'!$D$2:$D$2001,A21)</ns0:f>
        <ns0:v>76101.01999999999</ns0:v>
      </ns0:c>
    </ns0:row>
    <ns0:row r="22" ht="22" customHeight="1">
      <ns0:c r="A22" s="21" t="inlineStr">
        <ns0:is>
          <ns0:t>TOPLAM</ns0:t>
        </ns0:is>
      </ns0:c>
      <ns0:c r="B22" s="22">
        <ns0:f>SUM(B12:B21)</ns0:f>
        <ns0:v>776624.3200000001</ns0:v>
      </ns0:c>
      <ns0:c r="C22" s="22">
        <ns0:f>SUM(C12:C21)</ns0:f>
        <ns0:v>568161.01</ns0:v>
      </ns0:c>
      <ns0:c r="D22" s="22">
        <ns0:f>SUM(D12:D21)</ns0:f>
        <ns0:v>208463.31</ns0:v>
      </ns0:c>
      <ns0:c r="E22" s="23">
        <ns0:f>IFERROR(C22/B22,0)</ns0:f>
        <ns0:v>0.7315776693678611</ns0:v>
      </ns0:c>
      <ns0:c r="F22" s="22">
        <ns0:f>SUM(F12:F21)</ns0:f>
        <ns0:v>779926.7000000001</ns0:v>
      </ns0:c>
    </ns0:row>
    <ns0:row r="23" ht="6" customHeight="1"/>
    <ns0:row r="24" ht="25" customHeight="1">
      <ns0:c r="A24" s="24" t="str">
        <ns0:f>IF($N$4=0,"Eşleşmeyen ödeme yok → Eşleştirme sayfası","Eşleşmeyen "&amp;$N$4&amp;" ödeme var → Eşleştirme sayfası")</ns0:f>
        <ns0:v>Eşleşmeyen 3 ödeme var → Eşleştirme sayfası</ns0:v>
      </ns0:c>
      <ns0:c r="B24" s="9" t="n"/>
      <ns0:c r="C24" s="9" t="n"/>
      <ns0:c r="D24" s="9" t="n"/>
      <ns0:c r="E24" s="9" t="n"/>
      <ns0:c r="F24" s="9" t="n"/>
      <ns0:c r="G24" s="9" t="n"/>
      <ns0:c r="H24" s="9" t="n"/>
      <ns0:c r="I24" s="9" t="n"/>
      <ns0:c r="J24" s="9" t="n"/>
      <ns0:c r="K24" s="9" t="n"/>
      <ns0:c r="L24" s="9" t="n"/>
    </ns0:row>
    <ns0:row r="25" ht="16" customHeight="1">
      <ns0:c r="A25" s="5" t="inlineStr">
        <ns0:is>
          <ns0:t>Sabit il sırası · Satış çubukları büyüklüğü gösterir · Eşleşmeyen girişler tahsilata dahil değildir.</ns0:t>
        </ns0:is>
      </ns0:c>
    </ns0:row>
    <ns0:row r="26" ht="16" customHeight="1">
      <ns0:c r="A26" s="5" t="inlineStr">
        <ns0:is>
          <ns0:t>Alacak yalnız seçilen ayın farkıdır; önceki dönem devri, vade ve fatura bazlı kapama bu taslakta yoktur.</ns0:t>
        </ns0:is>
      </ns0:c>
    </ns0:row>
  </ns0:sheetData>
  <ns0:mergeCells count="21">
    <ns0:mergeCell ref="C6:D6"/>
    <ns0:mergeCell ref="A25:L25"/>
    <ns0:mergeCell ref="H10:L10"/>
    <ns0:mergeCell ref="H4:L4"/>
    <ns0:mergeCell ref="E8:F8"/>
    <ns0:mergeCell ref="A6:B6"/>
    <ns0:mergeCell ref="A26:L26"/>
    <ns0:mergeCell ref="A2:L2"/>
    <ns0:mergeCell ref="A7:B7"/>
    <ns0:mergeCell ref="H6:L6"/>
    <ns0:mergeCell ref="E6:F6"/>
    <ns0:mergeCell ref="A10:F10"/>
    <ns0:mergeCell ref="H7:L7"/>
    <ns0:mergeCell ref="C4:F4"/>
    <ns0:mergeCell ref="A8:B8"/>
    <ns0:mergeCell ref="C8:D8"/>
    <ns0:mergeCell ref="A24:L24"/>
    <ns0:mergeCell ref="C7:D7"/>
    <ns0:mergeCell ref="E7:F7"/>
    <ns0:mergeCell ref="A1:L1"/>
    <ns0:mergeCell ref="H8:L8"/>
  </ns0:mergeCells>
  <ns0:conditionalFormatting sqref="B12:B21">
    <ns0:cfRule type="dataBar" priority="1">
      <ns0:dataBar showValue="1">
        <ns0:cfvo type="num" val="0"/>
        <ns0:cfvo type="max"/>
        <ns0:color rgb="001F3A5F"/>
      </ns0:dataBar>
    </ns0:cfRule>
  </ns0:conditionalFormatting>
  <ns0:dataValidations count="1">
    <ns0:dataValidation sqref="B4" showDropDown="0" showInputMessage="0" showErrorMessage="1" allowBlank="1" errorTitle="Listeden seçim yapın" error="Tanımlı değerlerden birini seçin; yeni kayıt için ayarlar sayfasını güncelleyin." type="list" errorStyle="stop">
      <ns0:formula1>=Aylar</ns0:formula1>
    </ns0:dataValidation>
  </ns0:dataValidations>
  <ns0:hyperlinks>
    <ns0:hyperlink ref="A24" ns1:id="rId1"/>
  </ns0:hyperlinks>
  <ns0:printOptions horizontalCentered="1"/>
  <ns0:pageMargins left="0.75" right="0.75" top="1" bottom="1" header="0.5" footer="0.5"/>
  <ns0:pageSetup orientation="landscape" paperSize="9" fitToHeight="1" fitToWidth="1"/>
  <ns0:drawing ns1:id="rId2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0"/>
    <ns0:pageSetUpPr fitToPage="1"/>
  </ns0:sheetPr>
  <ns0:dimension ref="A1:I2001"/>
  <ns0:sheetViews>
    <ns0:sheetView showGridLines="0" zoomScale="9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4" customWidth="1" min="1" max="1"/>
    <ns0:col width="64" customWidth="1" min="2" max="2"/>
    <ns0:col width="20" customWidth="1" min="3" max="3"/>
    <ns0:col width="20" customWidth="1" min="4" max="4"/>
    <ns0:col width="14" customWidth="1" min="5" max="5"/>
    <ns0:col width="38" customWidth="1" min="6" max="6"/>
    <ns0:col width="18" customWidth="1" min="7" max="7"/>
    <ns0:col width="18" customWidth="1" min="8" max="8"/>
    <ns0:col hidden="1" width="15" customWidth="1" min="9" max="9"/>
  </ns0:cols>
  <ns0:sheetData>
    <ns0:row r="1" ht="30" customHeight="1">
      <ns0:c r="A1" s="14" t="inlineStr">
        <ns0:is>
          <ns0:t>Tarih</ns0:t>
        </ns0:is>
      </ns0:c>
      <ns0:c r="B1" s="14" t="inlineStr">
        <ns0:is>
          <ns0:t>Açıklama</ns0:t>
        </ns0:is>
      </ns0:c>
      <ns0:c r="C1" s="14" t="inlineStr">
        <ns0:is>
          <ns0:t>Tutar</ns0:t>
        </ns0:is>
      </ns0:c>
      <ns0:c r="D1" s="14" t="inlineStr">
        <ns0:is>
          <ns0:t>Bakiye</ns0:t>
        </ns0:is>
      </ns0:c>
      <ns0:c r="E1" s="14" t="inlineStr">
        <ns0:is>
          <ns0:t>Ay</ns0:t>
        </ns0:is>
      </ns0:c>
      <ns0:c r="F1" s="14" t="inlineStr">
        <ns0:is>
          <ns0:t>Bulunan müşteri</ns0:t>
        </ns0:is>
      </ns0:c>
      <ns0:c r="G1" s="14" t="inlineStr">
        <ns0:is>
          <ns0:t>İl</ns0:t>
        </ns0:is>
      </ns0:c>
      <ns0:c r="H1" s="14" t="inlineStr">
        <ns0:is>
          <ns0:t>Durum</ns0:t>
        </ns0:is>
      </ns0:c>
      <ns0:c r="I1" s="14" t="inlineStr">
        <ns0:is>
          <ns0:t>İnceleme sırası</ns0:t>
        </ns0:is>
      </ns0:c>
    </ns0:row>
    <ns0:row r="2" ht="21" customHeight="1">
      <ns0:c r="A2" s="25" t="n">
        <ns0:v>46267</ns0:v>
      </ns0:c>
      <ns0:c r="B2" s="26" t="inlineStr">
        <ns0:is>
          <ns0:t>HAVALE KURGUSAL KORALIN MARKET / MAL BEDELI</ns0:t>
        </ns0:is>
      </ns0:c>
      <ns0:c r="C2" s="27" t="n">
        <ns0:v>16855.08</ns0:v>
      </ns0:c>
      <ns0:c r="D2" s="27" t="n">
        <ns0:v>261855.08</ns0:v>
      </ns0:c>
      <ns0:c r="E2" s="28" t="str">
        <ns0:f>IF(A2="","",YEAR(A2)&amp;"-"&amp;RIGHT("0"&amp;MONTH(A2),2))</ns0:f>
        <ns0:v>2026-09</ns0:v>
      </ns0:c>
      <ns0:c r="F2" s="28" t="str">
        <ns0:f>IF(OR(A2="",B2="",C2&lt;=0),"",IF(SUMPRODUCT(('Müşteriler'!$B$2:$B$101&lt;&gt;"")*ISNUMBER(SEARCH('Müşteriler'!$B$2:$B$101,B2)))=1,IFERROR(INDEX('Müşteriler'!$A$2:$A$101,SUMPRODUCT(('Müşteriler'!$B$2:$B$101&lt;&gt;"")*ISNUMBER(SEARCH('Müşteriler'!$B$2:$B$101,B2)),ROW('Müşteriler'!$B$2:$B$101)-ROW('Müşteriler'!$B$2)+1)),""),""))</ns0:f>
        <ns0:v>Koralin Market Örnek İşletme</ns0:v>
      </ns0:c>
      <ns0:c r="G2" s="28" t="str">
        <ns0:f>IF(F2="","",IFERROR(INDEX('Müşteriler'!$C$2:$C$101,MATCH(F2,'Müşteriler'!$A$2:$A$101,0)),""))</ns0:f>
        <ns0:v>Kocaeli</ns0:v>
      </ns0:c>
      <ns0:c r="H2" s="28" t="str">
        <ns0:f>IF(A2="","",IF(C2&lt;=0,"Satış dışı",IF(OR(F2="",G2=""),"Eşleşmedi","Eşleşti")))</ns0:f>
        <ns0:v>Eşleşti</ns0:v>
      </ns0:c>
      <ns0:c r="I2" s="28">
        <ns0:f>0+IF(AND(H2="Eşleşmedi",E2='Panel'!$B$4),1,0)</ns0:f>
        <ns0:v>0.0</ns0:v>
      </ns0:c>
    </ns0:row>
    <ns0:row r="3" ht="21" customHeight="1">
      <ns0:c r="A3" s="25" t="n">
        <ns0:v>46268</ns0:v>
      </ns0:c>
      <ns0:c r="B3" s="26" t="inlineStr">
        <ns0:is>
          <ns0:t>EFT - GONDEREN: KURGUSAL MAVIDAL GIDA - CARI HESAP</ns0:t>
        </ns0:is>
      </ns0:c>
      <ns0:c r="C3" s="27" t="n">
        <ns0:v>4923.37</ns0:v>
      </ns0:c>
      <ns0:c r="D3" s="27" t="n">
        <ns0:v>266778.45</ns0:v>
      </ns0:c>
      <ns0:c r="E3" s="28" t="str">
        <ns0:f>IF(A3="","",YEAR(A3)&amp;"-"&amp;RIGHT("0"&amp;MONTH(A3),2))</ns0:f>
        <ns0:v>2026-09</ns0:v>
      </ns0:c>
      <ns0:c r="F3" s="28" t="str">
        <ns0:f>IF(OR(A3="",B3="",C3&lt;=0),"",IF(SUMPRODUCT(('Müşteriler'!$B$2:$B$101&lt;&gt;"")*ISNUMBER(SEARCH('Müşteriler'!$B$2:$B$101,B3)))=1,IFERROR(INDEX('Müşteriler'!$A$2:$A$101,SUMPRODUCT(('Müşteriler'!$B$2:$B$101&lt;&gt;"")*ISNUMBER(SEARCH('Müşteriler'!$B$2:$B$101,B3)),ROW('Müşteriler'!$B$2:$B$101)-ROW('Müşteriler'!$B$2)+1)),""),""))</ns0:f>
        <ns0:v>Mavidal Gıda Örnek İşletme</ns0:v>
      </ns0:c>
      <ns0:c r="G3" s="28" t="str">
        <ns0:f>IF(F3="","",IFERROR(INDEX('Müşteriler'!$C$2:$C$101,MATCH(F3,'Müşteriler'!$A$2:$A$101,0)),""))</ns0:f>
        <ns0:v>İstanbul</ns0:v>
      </ns0:c>
      <ns0:c r="H3" s="28" t="str">
        <ns0:f>IF(A3="","",IF(C3&lt;=0,"Satış dışı",IF(OR(F3="",G3=""),"Eşleşmedi","Eşleşti")))</ns0:f>
        <ns0:v>Eşleşti</ns0:v>
      </ns0:c>
      <ns0:c r="I3" s="28">
        <ns0:f>I2+IF(AND(H3="Eşleşmedi",E3='Panel'!$B$4),1,0)</ns0:f>
        <ns0:v>0.0</ns0:v>
      </ns0:c>
    </ns0:row>
    <ns0:row r="4" ht="21" customHeight="1">
      <ns0:c r="A4" s="25" t="n">
        <ns0:v>46268</ns0:v>
      </ns0:c>
      <ns0:c r="B4" s="26" t="inlineStr">
        <ns0:is>
          <ns0:t>EFT - GONDEREN: KURGUSAL ZEROVA TEDARIK - CARI HESAP</ns0:t>
        </ns0:is>
      </ns0:c>
      <ns0:c r="C4" s="27" t="n">
        <ns0:v>7088.7</ns0:v>
      </ns0:c>
      <ns0:c r="D4" s="27" t="n">
        <ns0:v>273867.15</ns0:v>
      </ns0:c>
      <ns0:c r="E4" s="28" t="str">
        <ns0:f>IF(A4="","",YEAR(A4)&amp;"-"&amp;RIGHT("0"&amp;MONTH(A4),2))</ns0:f>
        <ns0:v>2026-09</ns0:v>
      </ns0:c>
      <ns0:c r="F4" s="28" t="str">
        <ns0:f>IF(OR(A4="",B4="",C4&lt;=0),"",IF(SUMPRODUCT(('Müşteriler'!$B$2:$B$101&lt;&gt;"")*ISNUMBER(SEARCH('Müşteriler'!$B$2:$B$101,B4)))=1,IFERROR(INDEX('Müşteriler'!$A$2:$A$101,SUMPRODUCT(('Müşteriler'!$B$2:$B$101&lt;&gt;"")*ISNUMBER(SEARCH('Müşteriler'!$B$2:$B$101,B4)),ROW('Müşteriler'!$B$2:$B$101)-ROW('Müşteriler'!$B$2)+1)),""),""))</ns0:f>
        <ns0:v>Zerova Tedarik Örnek İşletme</ns0:v>
      </ns0:c>
      <ns0:c r="G4" s="28" t="str">
        <ns0:f>IF(F4="","",IFERROR(INDEX('Müşteriler'!$C$2:$C$101,MATCH(F4,'Müşteriler'!$A$2:$A$101,0)),""))</ns0:f>
        <ns0:v>Sakarya</ns0:v>
      </ns0:c>
      <ns0:c r="H4" s="28" t="str">
        <ns0:f>IF(A4="","",IF(C4&lt;=0,"Satış dışı",IF(OR(F4="",G4=""),"Eşleşmedi","Eşleşti")))</ns0:f>
        <ns0:v>Eşleşti</ns0:v>
      </ns0:c>
      <ns0:c r="I4" s="28">
        <ns0:f>I3+IF(AND(H4="Eşleşmedi",E4='Panel'!$B$4),1,0)</ns0:f>
        <ns0:v>0.0</ns0:v>
      </ns0:c>
    </ns0:row>
    <ns0:row r="5" ht="21" customHeight="1">
      <ns0:c r="A5" s="25" t="n">
        <ns0:v>46269</ns0:v>
      </ns0:c>
      <ns0:c r="B5" s="26" t="inlineStr">
        <ns0:is>
          <ns0:t>FAST GELEN - KURGUSAL GOLVERA DAGITIM / FATURA ODEMESI</ns0:t>
        </ns0:is>
      </ns0:c>
      <ns0:c r="C5" s="27" t="n">
        <ns0:v>28142.08</ns0:v>
      </ns0:c>
      <ns0:c r="D5" s="27" t="n">
        <ns0:v>302009.23</ns0:v>
      </ns0:c>
      <ns0:c r="E5" s="28" t="str">
        <ns0:f>IF(A5="","",YEAR(A5)&amp;"-"&amp;RIGHT("0"&amp;MONTH(A5),2))</ns0:f>
        <ns0:v>2026-09</ns0:v>
      </ns0:c>
      <ns0:c r="F5" s="28" t="str">
        <ns0:f>IF(OR(A5="",B5="",C5&lt;=0),"",IF(SUMPRODUCT(('Müşteriler'!$B$2:$B$101&lt;&gt;"")*ISNUMBER(SEARCH('Müşteriler'!$B$2:$B$101,B5)))=1,IFERROR(INDEX('Müşteriler'!$A$2:$A$101,SUMPRODUCT(('Müşteriler'!$B$2:$B$101&lt;&gt;"")*ISNUMBER(SEARCH('Müşteriler'!$B$2:$B$101,B5)),ROW('Müşteriler'!$B$2:$B$101)-ROW('Müşteriler'!$B$2)+1)),""),""))</ns0:f>
        <ns0:v>Gölvera Dağıtım Örnek İşletme</ns0:v>
      </ns0:c>
      <ns0:c r="G5" s="28" t="str">
        <ns0:f>IF(F5="","",IFERROR(INDEX('Müşteriler'!$C$2:$C$101,MATCH(F5,'Müşteriler'!$A$2:$A$101,0)),""))</ns0:f>
        <ns0:v>Kayseri</ns0:v>
      </ns0:c>
      <ns0:c r="H5" s="28" t="str">
        <ns0:f>IF(A5="","",IF(C5&lt;=0,"Satış dışı",IF(OR(F5="",G5=""),"Eşleşmedi","Eşleşti")))</ns0:f>
        <ns0:v>Eşleşti</ns0:v>
      </ns0:c>
      <ns0:c r="I5" s="28">
        <ns0:f>I4+IF(AND(H5="Eşleşmedi",E5='Panel'!$B$4),1,0)</ns0:f>
        <ns0:v>0.0</ns0:v>
      </ns0:c>
    </ns0:row>
    <ns0:row r="6" ht="21" customHeight="1">
      <ns0:c r="A6" s="25" t="n">
        <ns0:v>46269</ns0:v>
      </ns0:c>
      <ns0:c r="B6" s="26" t="inlineStr">
        <ns0:is>
          <ns0:t>FAST GELEN - KURGUSAL MORCATI TEDARIK / FATURA ODEMESI</ns0:t>
        </ns0:is>
      </ns0:c>
      <ns0:c r="C6" s="27" t="n">
        <ns0:v>9673.91</ns0:v>
      </ns0:c>
      <ns0:c r="D6" s="27" t="n">
        <ns0:v>311683.14</ns0:v>
      </ns0:c>
      <ns0:c r="E6" s="28" t="str">
        <ns0:f>IF(A6="","",YEAR(A6)&amp;"-"&amp;RIGHT("0"&amp;MONTH(A6),2))</ns0:f>
        <ns0:v>2026-09</ns0:v>
      </ns0:c>
      <ns0:c r="F6" s="28" t="str">
        <ns0:f>IF(OR(A6="",B6="",C6&lt;=0),"",IF(SUMPRODUCT(('Müşteriler'!$B$2:$B$101&lt;&gt;"")*ISNUMBER(SEARCH('Müşteriler'!$B$2:$B$101,B6)))=1,IFERROR(INDEX('Müşteriler'!$A$2:$A$101,SUMPRODUCT(('Müşteriler'!$B$2:$B$101&lt;&gt;"")*ISNUMBER(SEARCH('Müşteriler'!$B$2:$B$101,B6)),ROW('Müşteriler'!$B$2:$B$101)-ROW('Müşteriler'!$B$2)+1)),""),""))</ns0:f>
        <ns0:v>Morçatı Tedarik Örnek İşletme</ns0:v>
      </ns0:c>
      <ns0:c r="G6" s="28" t="str">
        <ns0:f>IF(F6="","",IFERROR(INDEX('Müşteriler'!$C$2:$C$101,MATCH(F6,'Müşteriler'!$A$2:$A$101,0)),""))</ns0:f>
        <ns0:v>Sakarya</ns0:v>
      </ns0:c>
      <ns0:c r="H6" s="28" t="str">
        <ns0:f>IF(A6="","",IF(C6&lt;=0,"Satış dışı",IF(OR(F6="",G6=""),"Eşleşmedi","Eşleşti")))</ns0:f>
        <ns0:v>Eşleşti</ns0:v>
      </ns0:c>
      <ns0:c r="I6" s="28">
        <ns0:f>I5+IF(AND(H6="Eşleşmedi",E6='Panel'!$B$4),1,0)</ns0:f>
        <ns0:v>0.0</ns0:v>
      </ns0:c>
    </ns0:row>
    <ns0:row r="7" ht="21" customHeight="1">
      <ns0:c r="A7" s="25" t="n">
        <ns0:v>46269</ns0:v>
      </ns0:c>
      <ns0:c r="B7" s="26" t="inlineStr">
        <ns0:is>
          <ns0:t>FAST GELEN - KURGUSAL YAPRIVA TICARET / FATURA ODEMESI</ns0:t>
        </ns0:is>
      </ns0:c>
      <ns0:c r="C7" s="27" t="n">
        <ns0:v>37130.68</ns0:v>
      </ns0:c>
      <ns0:c r="D7" s="27" t="n">
        <ns0:v>348813.82</ns0:v>
      </ns0:c>
      <ns0:c r="E7" s="28" t="str">
        <ns0:f>IF(A7="","",YEAR(A7)&amp;"-"&amp;RIGHT("0"&amp;MONTH(A7),2))</ns0:f>
        <ns0:v>2026-09</ns0:v>
      </ns0:c>
      <ns0:c r="F7" s="28" t="str">
        <ns0:f>IF(OR(A7="",B7="",C7&lt;=0),"",IF(SUMPRODUCT(('Müşteriler'!$B$2:$B$101&lt;&gt;"")*ISNUMBER(SEARCH('Müşteriler'!$B$2:$B$101,B7)))=1,IFERROR(INDEX('Müşteriler'!$A$2:$A$101,SUMPRODUCT(('Müşteriler'!$B$2:$B$101&lt;&gt;"")*ISNUMBER(SEARCH('Müşteriler'!$B$2:$B$101,B7)),ROW('Müşteriler'!$B$2:$B$101)-ROW('Müşteriler'!$B$2)+1)),""),""))</ns0:f>
        <ns0:v>Yapriva Ticaret Örnek İşletme</ns0:v>
      </ns0:c>
      <ns0:c r="G7" s="28" t="str">
        <ns0:f>IF(F7="","",IFERROR(INDEX('Müşteriler'!$C$2:$C$101,MATCH(F7,'Müşteriler'!$A$2:$A$101,0)),""))</ns0:f>
        <ns0:v>Antalya</ns0:v>
      </ns0:c>
      <ns0:c r="H7" s="28" t="str">
        <ns0:f>IF(A7="","",IF(C7&lt;=0,"Satış dışı",IF(OR(F7="",G7=""),"Eşleşmedi","Eşleşti")))</ns0:f>
        <ns0:v>Eşleşti</ns0:v>
      </ns0:c>
      <ns0:c r="I7" s="28">
        <ns0:f>I6+IF(AND(H7="Eşleşmedi",E7='Panel'!$B$4),1,0)</ns0:f>
        <ns0:v>0.0</ns0:v>
      </ns0:c>
    </ns0:row>
    <ns0:row r="8" ht="21" customHeight="1">
      <ns0:c r="A8" s="25" t="n">
        <ns0:v>46269</ns0:v>
      </ns0:c>
      <ns0:c r="B8" s="26" t="inlineStr">
        <ns0:is>
          <ns0:t>HAVALE KURGUSAL DUSOVA MARKET / MAL BEDELI</ns0:t>
        </ns0:is>
      </ns0:c>
      <ns0:c r="C8" s="27" t="n">
        <ns0:v>14423.37</ns0:v>
      </ns0:c>
      <ns0:c r="D8" s="27" t="n">
        <ns0:v>363237.19</ns0:v>
      </ns0:c>
      <ns0:c r="E8" s="28" t="str">
        <ns0:f>IF(A8="","",YEAR(A8)&amp;"-"&amp;RIGHT("0"&amp;MONTH(A8),2))</ns0:f>
        <ns0:v>2026-09</ns0:v>
      </ns0:c>
      <ns0:c r="F8" s="28" t="str">
        <ns0:f>IF(OR(A8="",B8="",C8&lt;=0),"",IF(SUMPRODUCT(('Müşteriler'!$B$2:$B$101&lt;&gt;"")*ISNUMBER(SEARCH('Müşteriler'!$B$2:$B$101,B8)))=1,IFERROR(INDEX('Müşteriler'!$A$2:$A$101,SUMPRODUCT(('Müşteriler'!$B$2:$B$101&lt;&gt;"")*ISNUMBER(SEARCH('Müşteriler'!$B$2:$B$101,B8)),ROW('Müşteriler'!$B$2:$B$101)-ROW('Müşteriler'!$B$2)+1)),""),""))</ns0:f>
        <ns0:v>Düşova Market Örnek İşletme</ns0:v>
      </ns0:c>
      <ns0:c r="G8" s="28" t="str">
        <ns0:f>IF(F8="","",IFERROR(INDEX('Müşteriler'!$C$2:$C$101,MATCH(F8,'Müşteriler'!$A$2:$A$101,0)),""))</ns0:f>
        <ns0:v>Ankara</ns0:v>
      </ns0:c>
      <ns0:c r="H8" s="28" t="str">
        <ns0:f>IF(A8="","",IF(C8&lt;=0,"Satış dışı",IF(OR(F8="",G8=""),"Eşleşmedi","Eşleşti")))</ns0:f>
        <ns0:v>Eşleşti</ns0:v>
      </ns0:c>
      <ns0:c r="I8" s="28">
        <ns0:f>I7+IF(AND(H8="Eşleşmedi",E8='Panel'!$B$4),1,0)</ns0:f>
        <ns0:v>0.0</ns0:v>
      </ns0:c>
    </ns0:row>
    <ns0:row r="9" ht="21" customHeight="1">
      <ns0:c r="A9" s="25" t="n">
        <ns0:v>46270</ns0:v>
      </ns0:c>
      <ns0:c r="B9" s="26" t="inlineStr">
        <ns0:is>
          <ns0:t>EFT ISLEM UCRETI / BANKA MASRAFI</ns0:t>
        </ns0:is>
      </ns0:c>
      <ns0:c r="C9" s="27" t="n">
        <ns0:v>-28.5</ns0:v>
      </ns0:c>
      <ns0:c r="D9" s="27" t="n">
        <ns0:v>363208.69</ns0:v>
      </ns0:c>
      <ns0:c r="E9" s="28" t="str">
        <ns0:f>IF(A9="","",YEAR(A9)&amp;"-"&amp;RIGHT("0"&amp;MONTH(A9),2))</ns0:f>
        <ns0:v>2026-09</ns0:v>
      </ns0:c>
      <ns0:c r="F9" s="28" t="str">
        <ns0:f>IF(OR(A9="",B9="",C9&lt;=0),"",IF(SUMPRODUCT(('Müşteriler'!$B$2:$B$101&lt;&gt;"")*ISNUMBER(SEARCH('Müşteriler'!$B$2:$B$101,B9)))=1,IFERROR(INDEX('Müşteriler'!$A$2:$A$101,SUMPRODUCT(('Müşteriler'!$B$2:$B$101&lt;&gt;"")*ISNUMBER(SEARCH('Müşteriler'!$B$2:$B$101,B9)),ROW('Müşteriler'!$B$2:$B$101)-ROW('Müşteriler'!$B$2)+1)),""),""))</ns0:f>
        <ns0:v/>
      </ns0:c>
      <ns0:c r="G9" s="28" t="str">
        <ns0:f>IF(F9="","",IFERROR(INDEX('Müşteriler'!$C$2:$C$101,MATCH(F9,'Müşteriler'!$A$2:$A$101,0)),""))</ns0:f>
        <ns0:v/>
      </ns0:c>
      <ns0:c r="H9" s="28" t="str">
        <ns0:f>IF(A9="","",IF(C9&lt;=0,"Satış dışı",IF(OR(F9="",G9=""),"Eşleşmedi","Eşleşti")))</ns0:f>
        <ns0:v>Satış dışı</ns0:v>
      </ns0:c>
      <ns0:c r="I9" s="28">
        <ns0:f>I8+IF(AND(H9="Eşleşmedi",E9='Panel'!$B$4),1,0)</ns0:f>
        <ns0:v>0.0</ns0:v>
      </ns0:c>
    </ns0:row>
    <ns0:row r="10" ht="21" customHeight="1">
      <ns0:c r="A10" s="25" t="n">
        <ns0:v>46270</ns0:v>
      </ns0:c>
      <ns0:c r="B10" s="26" t="inlineStr">
        <ns0:is>
          <ns0:t>FAST GELEN - KURGUSAL AYVENK TICARET / FATURA ODEMESI</ns0:t>
        </ns0:is>
      </ns0:c>
      <ns0:c r="C10" s="27" t="n">
        <ns0:v>8550.74</ns0:v>
      </ns0:c>
      <ns0:c r="D10" s="27" t="n">
        <ns0:v>371759.43</ns0:v>
      </ns0:c>
      <ns0:c r="E10" s="28" t="str">
        <ns0:f>IF(A10="","",YEAR(A10)&amp;"-"&amp;RIGHT("0"&amp;MONTH(A10),2))</ns0:f>
        <ns0:v>2026-09</ns0:v>
      </ns0:c>
      <ns0:c r="F10" s="28" t="str">
        <ns0:f>IF(OR(A10="",B10="",C10&lt;=0),"",IF(SUMPRODUCT(('Müşteriler'!$B$2:$B$101&lt;&gt;"")*ISNUMBER(SEARCH('Müşteriler'!$B$2:$B$101,B10)))=1,IFERROR(INDEX('Müşteriler'!$A$2:$A$101,SUMPRODUCT(('Müşteriler'!$B$2:$B$101&lt;&gt;"")*ISNUMBER(SEARCH('Müşteriler'!$B$2:$B$101,B10)),ROW('Müşteriler'!$B$2:$B$101)-ROW('Müşteriler'!$B$2)+1)),""),""))</ns0:f>
        <ns0:v>Ayvenk Ticaret Örnek İşletme</ns0:v>
      </ns0:c>
      <ns0:c r="G10" s="28" t="str">
        <ns0:f>IF(F10="","",IFERROR(INDEX('Müşteriler'!$C$2:$C$101,MATCH(F10,'Müşteriler'!$A$2:$A$101,0)),""))</ns0:f>
        <ns0:v>Antalya</ns0:v>
      </ns0:c>
      <ns0:c r="H10" s="28" t="str">
        <ns0:f>IF(A10="","",IF(C10&lt;=0,"Satış dışı",IF(OR(F10="",G10=""),"Eşleşmedi","Eşleşti")))</ns0:f>
        <ns0:v>Eşleşti</ns0:v>
      </ns0:c>
      <ns0:c r="I10" s="28">
        <ns0:f>I9+IF(AND(H10="Eşleşmedi",E10='Panel'!$B$4),1,0)</ns0:f>
        <ns0:v>0.0</ns0:v>
      </ns0:c>
    </ns0:row>
    <ns0:row r="11" ht="21" customHeight="1">
      <ns0:c r="A11" s="25" t="n">
        <ns0:v>46270</ns0:v>
      </ns0:c>
      <ns0:c r="B11" s="26" t="inlineStr">
        <ns0:is>
          <ns0:t>HAVALE KURGUSAL MAVIDAL GIDA / MAL BEDELI</ns0:t>
        </ns0:is>
      </ns0:c>
      <ns0:c r="C11" s="27" t="n">
        <ns0:v>4923.37</ns0:v>
      </ns0:c>
      <ns0:c r="D11" s="27" t="n">
        <ns0:v>376682.8</ns0:v>
      </ns0:c>
      <ns0:c r="E11" s="28" t="str">
        <ns0:f>IF(A11="","",YEAR(A11)&amp;"-"&amp;RIGHT("0"&amp;MONTH(A11),2))</ns0:f>
        <ns0:v>2026-09</ns0:v>
      </ns0:c>
      <ns0:c r="F11" s="28" t="str">
        <ns0:f>IF(OR(A11="",B11="",C11&lt;=0),"",IF(SUMPRODUCT(('Müşteriler'!$B$2:$B$101&lt;&gt;"")*ISNUMBER(SEARCH('Müşteriler'!$B$2:$B$101,B11)))=1,IFERROR(INDEX('Müşteriler'!$A$2:$A$101,SUMPRODUCT(('Müşteriler'!$B$2:$B$101&lt;&gt;"")*ISNUMBER(SEARCH('Müşteriler'!$B$2:$B$101,B11)),ROW('Müşteriler'!$B$2:$B$101)-ROW('Müşteriler'!$B$2)+1)),""),""))</ns0:f>
        <ns0:v>Mavidal Gıda Örnek İşletme</ns0:v>
      </ns0:c>
      <ns0:c r="G11" s="28" t="str">
        <ns0:f>IF(F11="","",IFERROR(INDEX('Müşteriler'!$C$2:$C$101,MATCH(F11,'Müşteriler'!$A$2:$A$101,0)),""))</ns0:f>
        <ns0:v>İstanbul</ns0:v>
      </ns0:c>
      <ns0:c r="H11" s="28" t="str">
        <ns0:f>IF(A11="","",IF(C11&lt;=0,"Satış dışı",IF(OR(F11="",G11=""),"Eşleşmedi","Eşleşti")))</ns0:f>
        <ns0:v>Eşleşti</ns0:v>
      </ns0:c>
      <ns0:c r="I11" s="28">
        <ns0:f>I10+IF(AND(H11="Eşleşmedi",E11='Panel'!$B$4),1,0)</ns0:f>
        <ns0:v>0.0</ns0:v>
      </ns0:c>
    </ns0:row>
    <ns0:row r="12" ht="21" customHeight="1">
      <ns0:c r="A12" s="25" t="n">
        <ns0:v>46271</ns0:v>
      </ns0:c>
      <ns0:c r="B12" s="26" t="inlineStr">
        <ns0:is>
          <ns0:t>EFT - GONDEREN: KURGUSAL TANYUVA GIDA - CARI HESAP</ns0:t>
        </ns0:is>
      </ns0:c>
      <ns0:c r="C12" s="27" t="n">
        <ns0:v>6748.46</ns0:v>
      </ns0:c>
      <ns0:c r="D12" s="27" t="n">
        <ns0:v>383431.26</ns0:v>
      </ns0:c>
      <ns0:c r="E12" s="28" t="str">
        <ns0:f>IF(A12="","",YEAR(A12)&amp;"-"&amp;RIGHT("0"&amp;MONTH(A12),2))</ns0:f>
        <ns0:v>2026-09</ns0:v>
      </ns0:c>
      <ns0:c r="F12" s="28" t="str">
        <ns0:f>IF(OR(A12="",B12="",C12&lt;=0),"",IF(SUMPRODUCT(('Müşteriler'!$B$2:$B$101&lt;&gt;"")*ISNUMBER(SEARCH('Müşteriler'!$B$2:$B$101,B12)))=1,IFERROR(INDEX('Müşteriler'!$A$2:$A$101,SUMPRODUCT(('Müşteriler'!$B$2:$B$101&lt;&gt;"")*ISNUMBER(SEARCH('Müşteriler'!$B$2:$B$101,B12)),ROW('Müşteriler'!$B$2:$B$101)-ROW('Müşteriler'!$B$2)+1)),""),""))</ns0:f>
        <ns0:v>Tanyuva Gıda Örnek İşletme</ns0:v>
      </ns0:c>
      <ns0:c r="G12" s="28" t="str">
        <ns0:f>IF(F12="","",IFERROR(INDEX('Müşteriler'!$C$2:$C$101,MATCH(F12,'Müşteriler'!$A$2:$A$101,0)),""))</ns0:f>
        <ns0:v>İstanbul</ns0:v>
      </ns0:c>
      <ns0:c r="H12" s="28" t="str">
        <ns0:f>IF(A12="","",IF(C12&lt;=0,"Satış dışı",IF(OR(F12="",G12=""),"Eşleşmedi","Eşleşti")))</ns0:f>
        <ns0:v>Eşleşti</ns0:v>
      </ns0:c>
      <ns0:c r="I12" s="28">
        <ns0:f>I11+IF(AND(H12="Eşleşmedi",E12='Panel'!$B$4),1,0)</ns0:f>
        <ns0:v>0.0</ns0:v>
      </ns0:c>
    </ns0:row>
    <ns0:row r="13" ht="21" customHeight="1">
      <ns0:c r="A13" s="25" t="n">
        <ns0:v>46272</ns0:v>
      </ns0:c>
      <ns0:c r="B13" s="26" t="inlineStr">
        <ns0:is>
          <ns0:t>EFT - GONDEREN: KURGUSAL CISENTA TICARET - CARI HESAP</ns0:t>
        </ns0:is>
      </ns0:c>
      <ns0:c r="C13" s="27" t="n">
        <ns0:v>8060.99</ns0:v>
      </ns0:c>
      <ns0:c r="D13" s="27" t="n">
        <ns0:v>391492.25</ns0:v>
      </ns0:c>
      <ns0:c r="E13" s="28" t="str">
        <ns0:f>IF(A13="","",YEAR(A13)&amp;"-"&amp;RIGHT("0"&amp;MONTH(A13),2))</ns0:f>
        <ns0:v>2026-09</ns0:v>
      </ns0:c>
      <ns0:c r="F13" s="28" t="str">
        <ns0:f>IF(OR(A13="",B13="",C13&lt;=0),"",IF(SUMPRODUCT(('Müşteriler'!$B$2:$B$101&lt;&gt;"")*ISNUMBER(SEARCH('Müşteriler'!$B$2:$B$101,B13)))=1,IFERROR(INDEX('Müşteriler'!$A$2:$A$101,SUMPRODUCT(('Müşteriler'!$B$2:$B$101&lt;&gt;"")*ISNUMBER(SEARCH('Müşteriler'!$B$2:$B$101,B13)),ROW('Müşteriler'!$B$2:$B$101)-ROW('Müşteriler'!$B$2)+1)),""),""))</ns0:f>
        <ns0:v>Çisenta Ticaret Örnek İşletme</ns0:v>
      </ns0:c>
      <ns0:c r="G13" s="28" t="str">
        <ns0:f>IF(F13="","",IFERROR(INDEX('Müşteriler'!$C$2:$C$101,MATCH(F13,'Müşteriler'!$A$2:$A$101,0)),""))</ns0:f>
        <ns0:v>Antalya</ns0:v>
      </ns0:c>
      <ns0:c r="H13" s="28" t="str">
        <ns0:f>IF(A13="","",IF(C13&lt;=0,"Satış dışı",IF(OR(F13="",G13=""),"Eşleşmedi","Eşleşti")))</ns0:f>
        <ns0:v>Eşleşti</ns0:v>
      </ns0:c>
      <ns0:c r="I13" s="28">
        <ns0:f>I12+IF(AND(H13="Eşleşmedi",E13='Panel'!$B$4),1,0)</ns0:f>
        <ns0:v>0.0</ns0:v>
      </ns0:c>
    </ns0:row>
    <ns0:row r="14" ht="21" customHeight="1">
      <ns0:c r="A14" s="25" t="n">
        <ns0:v>46273</ns0:v>
      </ns0:c>
      <ns0:c r="B14" s="26" t="inlineStr">
        <ns0:is>
          <ns0:t>EFT - GONDEREN: KURGUSAL BULUTIZ MARKET - CARI HESAP</ns0:t>
        </ns0:is>
      </ns0:c>
      <ns0:c r="C14" s="27" t="n">
        <ns0:v>9448.98</ns0:v>
      </ns0:c>
      <ns0:c r="D14" s="27" t="n">
        <ns0:v>400941.23</ns0:v>
      </ns0:c>
      <ns0:c r="E14" s="28" t="str">
        <ns0:f>IF(A14="","",YEAR(A14)&amp;"-"&amp;RIGHT("0"&amp;MONTH(A14),2))</ns0:f>
        <ns0:v>2026-09</ns0:v>
      </ns0:c>
      <ns0:c r="F14" s="28" t="str">
        <ns0:f>IF(OR(A14="",B14="",C14&lt;=0),"",IF(SUMPRODUCT(('Müşteriler'!$B$2:$B$101&lt;&gt;"")*ISNUMBER(SEARCH('Müşteriler'!$B$2:$B$101,B14)))=1,IFERROR(INDEX('Müşteriler'!$A$2:$A$101,SUMPRODUCT(('Müşteriler'!$B$2:$B$101&lt;&gt;"")*ISNUMBER(SEARCH('Müşteriler'!$B$2:$B$101,B14)),ROW('Müşteriler'!$B$2:$B$101)-ROW('Müşteriler'!$B$2)+1)),""),""))</ns0:f>
        <ns0:v>Bulutiz Market Örnek İşletme</ns0:v>
      </ns0:c>
      <ns0:c r="G14" s="28" t="str">
        <ns0:f>IF(F14="","",IFERROR(INDEX('Müşteriler'!$C$2:$C$101,MATCH(F14,'Müşteriler'!$A$2:$A$101,0)),""))</ns0:f>
        <ns0:v>Ankara</ns0:v>
      </ns0:c>
      <ns0:c r="H14" s="28" t="str">
        <ns0:f>IF(A14="","",IF(C14&lt;=0,"Satış dışı",IF(OR(F14="",G14=""),"Eşleşmedi","Eşleşti")))</ns0:f>
        <ns0:v>Eşleşti</ns0:v>
      </ns0:c>
      <ns0:c r="I14" s="28">
        <ns0:f>I13+IF(AND(H14="Eşleşmedi",E14='Panel'!$B$4),1,0)</ns0:f>
        <ns0:v>0.0</ns0:v>
      </ns0:c>
    </ns0:row>
    <ns0:row r="15" ht="21" customHeight="1">
      <ns0:c r="A15" s="25" t="n">
        <ns0:v>46273</ns0:v>
      </ns0:c>
      <ns0:c r="B15" s="26" t="inlineStr">
        <ns0:is>
          <ns0:t>EFT - GONDEREN: KURGUSAL DENIZOVA GIDA - CARI HESAP</ns0:t>
        </ns0:is>
      </ns0:c>
      <ns0:c r="C15" s="27" t="n">
        <ns0:v>7081.56</ns0:v>
      </ns0:c>
      <ns0:c r="D15" s="27" t="n">
        <ns0:v>408022.79</ns0:v>
      </ns0:c>
      <ns0:c r="E15" s="28" t="str">
        <ns0:f>IF(A15="","",YEAR(A15)&amp;"-"&amp;RIGHT("0"&amp;MONTH(A15),2))</ns0:f>
        <ns0:v>2026-09</ns0:v>
      </ns0:c>
      <ns0:c r="F15" s="28" t="str">
        <ns0:f>IF(OR(A15="",B15="",C15&lt;=0),"",IF(SUMPRODUCT(('Müşteriler'!$B$2:$B$101&lt;&gt;"")*ISNUMBER(SEARCH('Müşteriler'!$B$2:$B$101,B15)))=1,IFERROR(INDEX('Müşteriler'!$A$2:$A$101,SUMPRODUCT(('Müşteriler'!$B$2:$B$101&lt;&gt;"")*ISNUMBER(SEARCH('Müşteriler'!$B$2:$B$101,B15)),ROW('Müşteriler'!$B$2:$B$101)-ROW('Müşteriler'!$B$2)+1)),""),""))</ns0:f>
        <ns0:v>Denizova Gıda Örnek İşletme</ns0:v>
      </ns0:c>
      <ns0:c r="G15" s="28" t="str">
        <ns0:f>IF(F15="","",IFERROR(INDEX('Müşteriler'!$C$2:$C$101,MATCH(F15,'Müşteriler'!$A$2:$A$101,0)),""))</ns0:f>
        <ns0:v>Konya</ns0:v>
      </ns0:c>
      <ns0:c r="H15" s="28" t="str">
        <ns0:f>IF(A15="","",IF(C15&lt;=0,"Satış dışı",IF(OR(F15="",G15=""),"Eşleşmedi","Eşleşti")))</ns0:f>
        <ns0:v>Eşleşti</ns0:v>
      </ns0:c>
      <ns0:c r="I15" s="28">
        <ns0:f>I14+IF(AND(H15="Eşleşmedi",E15='Panel'!$B$4),1,0)</ns0:f>
        <ns0:v>0.0</ns0:v>
      </ns0:c>
    </ns0:row>
    <ns0:row r="16" ht="21" customHeight="1">
      <ns0:c r="A16" s="25" t="n">
        <ns0:v>46273</ns0:v>
      </ns0:c>
      <ns0:c r="B16" s="26" t="inlineStr">
        <ns0:is>
          <ns0:t>FAST GELEN - BELIRSIZ GONDEREN 710</ns0:t>
        </ns0:is>
      </ns0:c>
      <ns0:c r="C16" s="27" t="n">
        <ns0:v>5340</ns0:v>
      </ns0:c>
      <ns0:c r="D16" s="27" t="n">
        <ns0:v>413362.79</ns0:v>
      </ns0:c>
      <ns0:c r="E16" s="28" t="str">
        <ns0:f>IF(A16="","",YEAR(A16)&amp;"-"&amp;RIGHT("0"&amp;MONTH(A16),2))</ns0:f>
        <ns0:v>2026-09</ns0:v>
      </ns0:c>
      <ns0:c r="F16" s="28" t="str">
        <ns0:f>IF(OR(A16="",B16="",C16&lt;=0),"",IF(SUMPRODUCT(('Müşteriler'!$B$2:$B$101&lt;&gt;"")*ISNUMBER(SEARCH('Müşteriler'!$B$2:$B$101,B16)))=1,IFERROR(INDEX('Müşteriler'!$A$2:$A$101,SUMPRODUCT(('Müşteriler'!$B$2:$B$101&lt;&gt;"")*ISNUMBER(SEARCH('Müşteriler'!$B$2:$B$101,B16)),ROW('Müşteriler'!$B$2:$B$101)-ROW('Müşteriler'!$B$2)+1)),""),""))</ns0:f>
        <ns0:v/>
      </ns0:c>
      <ns0:c r="G16" s="28" t="str">
        <ns0:f>IF(F16="","",IFERROR(INDEX('Müşteriler'!$C$2:$C$101,MATCH(F16,'Müşteriler'!$A$2:$A$101,0)),""))</ns0:f>
        <ns0:v/>
      </ns0:c>
      <ns0:c r="H16" s="28" t="str">
        <ns0:f>IF(A16="","",IF(C16&lt;=0,"Satış dışı",IF(OR(F16="",G16=""),"Eşleşmedi","Eşleşti")))</ns0:f>
        <ns0:v>Eşleşmedi</ns0:v>
      </ns0:c>
      <ns0:c r="I16" s="28">
        <ns0:f>I15+IF(AND(H16="Eşleşmedi",E16='Panel'!$B$4),1,0)</ns0:f>
        <ns0:v>0.0</ns0:v>
      </ns0:c>
    </ns0:row>
    <ns0:row r="17" ht="21" customHeight="1">
      <ns0:c r="A17" s="25" t="n">
        <ns0:v>46274</ns0:v>
      </ns0:c>
      <ns0:c r="B17" s="26" t="inlineStr">
        <ns0:is>
          <ns0:t>HAVALE KURGUSAL GUNSERA TICARET / MAL BEDELI</ns0:t>
        </ns0:is>
      </ns0:c>
      <ns0:c r="C17" s="27" t="n">
        <ns0:v>12850.9</ns0:v>
      </ns0:c>
      <ns0:c r="D17" s="27" t="n">
        <ns0:v>426213.69</ns0:v>
      </ns0:c>
      <ns0:c r="E17" s="28" t="str">
        <ns0:f>IF(A17="","",YEAR(A17)&amp;"-"&amp;RIGHT("0"&amp;MONTH(A17),2))</ns0:f>
        <ns0:v>2026-09</ns0:v>
      </ns0:c>
      <ns0:c r="F17" s="28" t="str">
        <ns0:f>IF(OR(A17="",B17="",C17&lt;=0),"",IF(SUMPRODUCT(('Müşteriler'!$B$2:$B$101&lt;&gt;"")*ISNUMBER(SEARCH('Müşteriler'!$B$2:$B$101,B17)))=1,IFERROR(INDEX('Müşteriler'!$A$2:$A$101,SUMPRODUCT(('Müşteriler'!$B$2:$B$101&lt;&gt;"")*ISNUMBER(SEARCH('Müşteriler'!$B$2:$B$101,B17)),ROW('Müşteriler'!$B$2:$B$101)-ROW('Müşteriler'!$B$2)+1)),""),""))</ns0:f>
        <ns0:v>Günsera Ticaret Örnek İşletme</ns0:v>
      </ns0:c>
      <ns0:c r="G17" s="28" t="str">
        <ns0:f>IF(F17="","",IFERROR(INDEX('Müşteriler'!$C$2:$C$101,MATCH(F17,'Müşteriler'!$A$2:$A$101,0)),""))</ns0:f>
        <ns0:v>Gaziantep</ns0:v>
      </ns0:c>
      <ns0:c r="H17" s="28" t="str">
        <ns0:f>IF(A17="","",IF(C17&lt;=0,"Satış dışı",IF(OR(F17="",G17=""),"Eşleşmedi","Eşleşti")))</ns0:f>
        <ns0:v>Eşleşti</ns0:v>
      </ns0:c>
      <ns0:c r="I17" s="28">
        <ns0:f>I16+IF(AND(H17="Eşleşmedi",E17='Panel'!$B$4),1,0)</ns0:f>
        <ns0:v>0.0</ns0:v>
      </ns0:c>
    </ns0:row>
    <ns0:row r="18" ht="21" customHeight="1">
      <ns0:c r="A18" s="25" t="n">
        <ns0:v>46274</ns0:v>
      </ns0:c>
      <ns0:c r="B18" s="26" t="inlineStr">
        <ns0:is>
          <ns0:t>HAVALE KURGUSAL MORCATI TEDARIK / MAL BEDELI</ns0:t>
        </ns0:is>
      </ns0:c>
      <ns0:c r="C18" s="27" t="n">
        <ns0:v>9673.91</ns0:v>
      </ns0:c>
      <ns0:c r="D18" s="27" t="n">
        <ns0:v>435887.6</ns0:v>
      </ns0:c>
      <ns0:c r="E18" s="28" t="str">
        <ns0:f>IF(A18="","",YEAR(A18)&amp;"-"&amp;RIGHT("0"&amp;MONTH(A18),2))</ns0:f>
        <ns0:v>2026-09</ns0:v>
      </ns0:c>
      <ns0:c r="F18" s="28" t="str">
        <ns0:f>IF(OR(A18="",B18="",C18&lt;=0),"",IF(SUMPRODUCT(('Müşteriler'!$B$2:$B$101&lt;&gt;"")*ISNUMBER(SEARCH('Müşteriler'!$B$2:$B$101,B18)))=1,IFERROR(INDEX('Müşteriler'!$A$2:$A$101,SUMPRODUCT(('Müşteriler'!$B$2:$B$101&lt;&gt;"")*ISNUMBER(SEARCH('Müşteriler'!$B$2:$B$101,B18)),ROW('Müşteriler'!$B$2:$B$101)-ROW('Müşteriler'!$B$2)+1)),""),""))</ns0:f>
        <ns0:v>Morçatı Tedarik Örnek İşletme</ns0:v>
      </ns0:c>
      <ns0:c r="G18" s="28" t="str">
        <ns0:f>IF(F18="","",IFERROR(INDEX('Müşteriler'!$C$2:$C$101,MATCH(F18,'Müşteriler'!$A$2:$A$101,0)),""))</ns0:f>
        <ns0:v>Sakarya</ns0:v>
      </ns0:c>
      <ns0:c r="H18" s="28" t="str">
        <ns0:f>IF(A18="","",IF(C18&lt;=0,"Satış dışı",IF(OR(F18="",G18=""),"Eşleşmedi","Eşleşti")))</ns0:f>
        <ns0:v>Eşleşti</ns0:v>
      </ns0:c>
      <ns0:c r="I18" s="28">
        <ns0:f>I17+IF(AND(H18="Eşleşmedi",E18='Panel'!$B$4),1,0)</ns0:f>
        <ns0:v>0.0</ns0:v>
      </ns0:c>
    </ns0:row>
    <ns0:row r="19" ht="21" customHeight="1">
      <ns0:c r="A19" s="25" t="n">
        <ns0:v>46275</ns0:v>
      </ns0:c>
      <ns0:c r="B19" s="26" t="inlineStr">
        <ns0:is>
          <ns0:t>FAST GELEN - KURGUSAL BULUTIZ MARKET / FATURA ODEMESI</ns0:t>
        </ns0:is>
      </ns0:c>
      <ns0:c r="C19" s="27" t="n">
        <ns0:v>9448.98</ns0:v>
      </ns0:c>
      <ns0:c r="D19" s="27" t="n">
        <ns0:v>445336.58</ns0:v>
      </ns0:c>
      <ns0:c r="E19" s="28" t="str">
        <ns0:f>IF(A19="","",YEAR(A19)&amp;"-"&amp;RIGHT("0"&amp;MONTH(A19),2))</ns0:f>
        <ns0:v>2026-09</ns0:v>
      </ns0:c>
      <ns0:c r="F19" s="28" t="str">
        <ns0:f>IF(OR(A19="",B19="",C19&lt;=0),"",IF(SUMPRODUCT(('Müşteriler'!$B$2:$B$101&lt;&gt;"")*ISNUMBER(SEARCH('Müşteriler'!$B$2:$B$101,B19)))=1,IFERROR(INDEX('Müşteriler'!$A$2:$A$101,SUMPRODUCT(('Müşteriler'!$B$2:$B$101&lt;&gt;"")*ISNUMBER(SEARCH('Müşteriler'!$B$2:$B$101,B19)),ROW('Müşteriler'!$B$2:$B$101)-ROW('Müşteriler'!$B$2)+1)),""),""))</ns0:f>
        <ns0:v>Bulutiz Market Örnek İşletme</ns0:v>
      </ns0:c>
      <ns0:c r="G19" s="28" t="str">
        <ns0:f>IF(F19="","",IFERROR(INDEX('Müşteriler'!$C$2:$C$101,MATCH(F19,'Müşteriler'!$A$2:$A$101,0)),""))</ns0:f>
        <ns0:v>Ankara</ns0:v>
      </ns0:c>
      <ns0:c r="H19" s="28" t="str">
        <ns0:f>IF(A19="","",IF(C19&lt;=0,"Satış dışı",IF(OR(F19="",G19=""),"Eşleşmedi","Eşleşti")))</ns0:f>
        <ns0:v>Eşleşti</ns0:v>
      </ns0:c>
      <ns0:c r="I19" s="28">
        <ns0:f>I18+IF(AND(H19="Eşleşmedi",E19='Panel'!$B$4),1,0)</ns0:f>
        <ns0:v>0.0</ns0:v>
      </ns0:c>
    </ns0:row>
    <ns0:row r="20" ht="21" customHeight="1">
      <ns0:c r="A20" s="25" t="n">
        <ns0:v>46276</ns0:v>
      </ns0:c>
      <ns0:c r="B20" s="26" t="inlineStr">
        <ns0:is>
          <ns0:t>EFT - GONDEREN: KURGUSAL YELMINO MARKET - CARI HESAP</ns0:t>
        </ns0:is>
      </ns0:c>
      <ns0:c r="C20" s="27" t="n">
        <ns0:v>6963.63</ns0:v>
      </ns0:c>
      <ns0:c r="D20" s="27" t="n">
        <ns0:v>452300.21</ns0:v>
      </ns0:c>
      <ns0:c r="E20" s="28" t="str">
        <ns0:f>IF(A20="","",YEAR(A20)&amp;"-"&amp;RIGHT("0"&amp;MONTH(A20),2))</ns0:f>
        <ns0:v>2026-09</ns0:v>
      </ns0:c>
      <ns0:c r="F20" s="28" t="str">
        <ns0:f>IF(OR(A20="",B20="",C20&lt;=0),"",IF(SUMPRODUCT(('Müşteriler'!$B$2:$B$101&lt;&gt;"")*ISNUMBER(SEARCH('Müşteriler'!$B$2:$B$101,B20)))=1,IFERROR(INDEX('Müşteriler'!$A$2:$A$101,SUMPRODUCT(('Müşteriler'!$B$2:$B$101&lt;&gt;"")*ISNUMBER(SEARCH('Müşteriler'!$B$2:$B$101,B20)),ROW('Müşteriler'!$B$2:$B$101)-ROW('Müşteriler'!$B$2)+1)),""),""))</ns0:f>
        <ns0:v>Yelmino Market Örnek İşletme</ns0:v>
      </ns0:c>
      <ns0:c r="G20" s="28" t="str">
        <ns0:f>IF(F20="","",IFERROR(INDEX('Müşteriler'!$C$2:$C$101,MATCH(F20,'Müşteriler'!$A$2:$A$101,0)),""))</ns0:f>
        <ns0:v>Kocaeli</ns0:v>
      </ns0:c>
      <ns0:c r="H20" s="28" t="str">
        <ns0:f>IF(A20="","",IF(C20&lt;=0,"Satış dışı",IF(OR(F20="",G20=""),"Eşleşmedi","Eşleşti")))</ns0:f>
        <ns0:v>Eşleşti</ns0:v>
      </ns0:c>
      <ns0:c r="I20" s="28">
        <ns0:f>I19+IF(AND(H20="Eşleşmedi",E20='Panel'!$B$4),1,0)</ns0:f>
        <ns0:v>0.0</ns0:v>
      </ns0:c>
    </ns0:row>
    <ns0:row r="21" ht="21" customHeight="1">
      <ns0:c r="A21" s="25" t="n">
        <ns0:v>46276</ns0:v>
      </ns0:c>
      <ns0:c r="B21" s="26" t="inlineStr">
        <ns0:is>
          <ns0:t>HAVALE KURGUSAL TANYUVA GIDA / MAL BEDELI</ns0:t>
        </ns0:is>
      </ns0:c>
      <ns0:c r="C21" s="27" t="n">
        <ns0:v>6748.46</ns0:v>
      </ns0:c>
      <ns0:c r="D21" s="27" t="n">
        <ns0:v>459048.67</ns0:v>
      </ns0:c>
      <ns0:c r="E21" s="28" t="str">
        <ns0:f>IF(A21="","",YEAR(A21)&amp;"-"&amp;RIGHT("0"&amp;MONTH(A21),2))</ns0:f>
        <ns0:v>2026-09</ns0:v>
      </ns0:c>
      <ns0:c r="F21" s="28" t="str">
        <ns0:f>IF(OR(A21="",B21="",C21&lt;=0),"",IF(SUMPRODUCT(('Müşteriler'!$B$2:$B$101&lt;&gt;"")*ISNUMBER(SEARCH('Müşteriler'!$B$2:$B$101,B21)))=1,IFERROR(INDEX('Müşteriler'!$A$2:$A$101,SUMPRODUCT(('Müşteriler'!$B$2:$B$101&lt;&gt;"")*ISNUMBER(SEARCH('Müşteriler'!$B$2:$B$101,B21)),ROW('Müşteriler'!$B$2:$B$101)-ROW('Müşteriler'!$B$2)+1)),""),""))</ns0:f>
        <ns0:v>Tanyuva Gıda Örnek İşletme</ns0:v>
      </ns0:c>
      <ns0:c r="G21" s="28" t="str">
        <ns0:f>IF(F21="","",IFERROR(INDEX('Müşteriler'!$C$2:$C$101,MATCH(F21,'Müşteriler'!$A$2:$A$101,0)),""))</ns0:f>
        <ns0:v>İstanbul</ns0:v>
      </ns0:c>
      <ns0:c r="H21" s="28" t="str">
        <ns0:f>IF(A21="","",IF(C21&lt;=0,"Satış dışı",IF(OR(F21="",G21=""),"Eşleşmedi","Eşleşti")))</ns0:f>
        <ns0:v>Eşleşti</ns0:v>
      </ns0:c>
      <ns0:c r="I21" s="28">
        <ns0:f>I20+IF(AND(H21="Eşleşmedi",E21='Panel'!$B$4),1,0)</ns0:f>
        <ns0:v>0.0</ns0:v>
      </ns0:c>
    </ns0:row>
    <ns0:row r="22" ht="21" customHeight="1">
      <ns0:c r="A22" s="25" t="n">
        <ns0:v>46277</ns0:v>
      </ns0:c>
      <ns0:c r="B22" s="26" t="inlineStr">
        <ns0:is>
          <ns0:t>FAST GELEN - KURGUSAL PUSUYEL TEDARIK / FATURA ODEMESI</ns0:t>
        </ns0:is>
      </ns0:c>
      <ns0:c r="C22" s="27" t="n">
        <ns0:v>10198.79</ns0:v>
      </ns0:c>
      <ns0:c r="D22" s="27" t="n">
        <ns0:v>469247.46</ns0:v>
      </ns0:c>
      <ns0:c r="E22" s="28" t="str">
        <ns0:f>IF(A22="","",YEAR(A22)&amp;"-"&amp;RIGHT("0"&amp;MONTH(A22),2))</ns0:f>
        <ns0:v>2026-09</ns0:v>
      </ns0:c>
      <ns0:c r="F22" s="28" t="str">
        <ns0:f>IF(OR(A22="",B22="",C22&lt;=0),"",IF(SUMPRODUCT(('Müşteriler'!$B$2:$B$101&lt;&gt;"")*ISNUMBER(SEARCH('Müşteriler'!$B$2:$B$101,B22)))=1,IFERROR(INDEX('Müşteriler'!$A$2:$A$101,SUMPRODUCT(('Müşteriler'!$B$2:$B$101&lt;&gt;"")*ISNUMBER(SEARCH('Müşteriler'!$B$2:$B$101,B22)),ROW('Müşteriler'!$B$2:$B$101)-ROW('Müşteriler'!$B$2)+1)),""),""))</ns0:f>
        <ns0:v>Pusuyel Tedarik Örnek İşletme</ns0:v>
      </ns0:c>
      <ns0:c r="G22" s="28" t="str">
        <ns0:f>IF(F22="","",IFERROR(INDEX('Müşteriler'!$C$2:$C$101,MATCH(F22,'Müşteriler'!$A$2:$A$101,0)),""))</ns0:f>
        <ns0:v>İzmir</ns0:v>
      </ns0:c>
      <ns0:c r="H22" s="28" t="str">
        <ns0:f>IF(A22="","",IF(C22&lt;=0,"Satış dışı",IF(OR(F22="",G22=""),"Eşleşmedi","Eşleşti")))</ns0:f>
        <ns0:v>Eşleşti</ns0:v>
      </ns0:c>
      <ns0:c r="I22" s="28">
        <ns0:f>I21+IF(AND(H22="Eşleşmedi",E22='Panel'!$B$4),1,0)</ns0:f>
        <ns0:v>0.0</ns0:v>
      </ns0:c>
    </ns0:row>
    <ns0:row r="23" ht="21" customHeight="1">
      <ns0:c r="A23" s="25" t="n">
        <ns0:v>46278</ns0:v>
      </ns0:c>
      <ns0:c r="B23" s="26" t="inlineStr">
        <ns0:is>
          <ns0:t>FAST GELEN - KURGUSAL ZEROVA TEDARIK / FATURA ODEMESI</ns0:t>
        </ns0:is>
      </ns0:c>
      <ns0:c r="C23" s="27" t="n">
        <ns0:v>7088.7</ns0:v>
      </ns0:c>
      <ns0:c r="D23" s="27" t="n">
        <ns0:v>476336.16</ns0:v>
      </ns0:c>
      <ns0:c r="E23" s="28" t="str">
        <ns0:f>IF(A23="","",YEAR(A23)&amp;"-"&amp;RIGHT("0"&amp;MONTH(A23),2))</ns0:f>
        <ns0:v>2026-09</ns0:v>
      </ns0:c>
      <ns0:c r="F23" s="28" t="str">
        <ns0:f>IF(OR(A23="",B23="",C23&lt;=0),"",IF(SUMPRODUCT(('Müşteriler'!$B$2:$B$101&lt;&gt;"")*ISNUMBER(SEARCH('Müşteriler'!$B$2:$B$101,B23)))=1,IFERROR(INDEX('Müşteriler'!$A$2:$A$101,SUMPRODUCT(('Müşteriler'!$B$2:$B$101&lt;&gt;"")*ISNUMBER(SEARCH('Müşteriler'!$B$2:$B$101,B23)),ROW('Müşteriler'!$B$2:$B$101)-ROW('Müşteriler'!$B$2)+1)),""),""))</ns0:f>
        <ns0:v>Zerova Tedarik Örnek İşletme</ns0:v>
      </ns0:c>
      <ns0:c r="G23" s="28" t="str">
        <ns0:f>IF(F23="","",IFERROR(INDEX('Müşteriler'!$C$2:$C$101,MATCH(F23,'Müşteriler'!$A$2:$A$101,0)),""))</ns0:f>
        <ns0:v>Sakarya</ns0:v>
      </ns0:c>
      <ns0:c r="H23" s="28" t="str">
        <ns0:f>IF(A23="","",IF(C23&lt;=0,"Satış dışı",IF(OR(F23="",G23=""),"Eşleşmedi","Eşleşti")))</ns0:f>
        <ns0:v>Eşleşti</ns0:v>
      </ns0:c>
      <ns0:c r="I23" s="28">
        <ns0:f>I22+IF(AND(H23="Eşleşmedi",E23='Panel'!$B$4),1,0)</ns0:f>
        <ns0:v>0.0</ns0:v>
      </ns0:c>
    </ns0:row>
    <ns0:row r="24" ht="21" customHeight="1">
      <ns0:c r="A24" s="25" t="n">
        <ns0:v>46279</ns0:v>
      </ns0:c>
      <ns0:c r="B24" s="26" t="inlineStr">
        <ns0:is>
          <ns0:t>FAST GELEN - TANIMSIZ ISLETME 820</ns0:t>
        </ns0:is>
      </ns0:c>
      <ns0:c r="C24" s="27" t="n">
        <ns0:v>7070.5</ns0:v>
      </ns0:c>
      <ns0:c r="D24" s="27" t="n">
        <ns0:v>483406.66</ns0:v>
      </ns0:c>
      <ns0:c r="E24" s="28" t="str">
        <ns0:f>IF(A24="","",YEAR(A24)&amp;"-"&amp;RIGHT("0"&amp;MONTH(A24),2))</ns0:f>
        <ns0:v>2026-09</ns0:v>
      </ns0:c>
      <ns0:c r="F24" s="28" t="str">
        <ns0:f>IF(OR(A24="",B24="",C24&lt;=0),"",IF(SUMPRODUCT(('Müşteriler'!$B$2:$B$101&lt;&gt;"")*ISNUMBER(SEARCH('Müşteriler'!$B$2:$B$101,B24)))=1,IFERROR(INDEX('Müşteriler'!$A$2:$A$101,SUMPRODUCT(('Müşteriler'!$B$2:$B$101&lt;&gt;"")*ISNUMBER(SEARCH('Müşteriler'!$B$2:$B$101,B24)),ROW('Müşteriler'!$B$2:$B$101)-ROW('Müşteriler'!$B$2)+1)),""),""))</ns0:f>
        <ns0:v/>
      </ns0:c>
      <ns0:c r="G24" s="28" t="str">
        <ns0:f>IF(F24="","",IFERROR(INDEX('Müşteriler'!$C$2:$C$101,MATCH(F24,'Müşteriler'!$A$2:$A$101,0)),""))</ns0:f>
        <ns0:v/>
      </ns0:c>
      <ns0:c r="H24" s="28" t="str">
        <ns0:f>IF(A24="","",IF(C24&lt;=0,"Satış dışı",IF(OR(F24="",G24=""),"Eşleşmedi","Eşleşti")))</ns0:f>
        <ns0:v>Eşleşmedi</ns0:v>
      </ns0:c>
      <ns0:c r="I24" s="28">
        <ns0:f>I23+IF(AND(H24="Eşleşmedi",E24='Panel'!$B$4),1,0)</ns0:f>
        <ns0:v>0.0</ns0:v>
      </ns0:c>
    </ns0:row>
    <ns0:row r="25" ht="21" customHeight="1">
      <ns0:c r="A25" s="25" t="n">
        <ns0:v>46280</ns0:v>
      </ns0:c>
      <ns0:c r="B25" s="26" t="inlineStr">
        <ns0:is>
          <ns0:t>HAVALE KURGUSAL TANYUVA GIDA / MAL BEDELI</ns0:t>
        </ns0:is>
      </ns0:c>
      <ns0:c r="C25" s="27" t="n">
        <ns0:v>6748.46</ns0:v>
      </ns0:c>
      <ns0:c r="D25" s="27" t="n">
        <ns0:v>490155.12</ns0:v>
      </ns0:c>
      <ns0:c r="E25" s="28" t="str">
        <ns0:f>IF(A25="","",YEAR(A25)&amp;"-"&amp;RIGHT("0"&amp;MONTH(A25),2))</ns0:f>
        <ns0:v>2026-09</ns0:v>
      </ns0:c>
      <ns0:c r="F25" s="28" t="str">
        <ns0:f>IF(OR(A25="",B25="",C25&lt;=0),"",IF(SUMPRODUCT(('Müşteriler'!$B$2:$B$101&lt;&gt;"")*ISNUMBER(SEARCH('Müşteriler'!$B$2:$B$101,B25)))=1,IFERROR(INDEX('Müşteriler'!$A$2:$A$101,SUMPRODUCT(('Müşteriler'!$B$2:$B$101&lt;&gt;"")*ISNUMBER(SEARCH('Müşteriler'!$B$2:$B$101,B25)),ROW('Müşteriler'!$B$2:$B$101)-ROW('Müşteriler'!$B$2)+1)),""),""))</ns0:f>
        <ns0:v>Tanyuva Gıda Örnek İşletme</ns0:v>
      </ns0:c>
      <ns0:c r="G25" s="28" t="str">
        <ns0:f>IF(F25="","",IFERROR(INDEX('Müşteriler'!$C$2:$C$101,MATCH(F25,'Müşteriler'!$A$2:$A$101,0)),""))</ns0:f>
        <ns0:v>İstanbul</ns0:v>
      </ns0:c>
      <ns0:c r="H25" s="28" t="str">
        <ns0:f>IF(A25="","",IF(C25&lt;=0,"Satış dışı",IF(OR(F25="",G25=""),"Eşleşmedi","Eşleşti")))</ns0:f>
        <ns0:v>Eşleşti</ns0:v>
      </ns0:c>
      <ns0:c r="I25" s="28">
        <ns0:f>I24+IF(AND(H25="Eşleşmedi",E25='Panel'!$B$4),1,0)</ns0:f>
        <ns0:v>0.0</ns0:v>
      </ns0:c>
    </ns0:row>
    <ns0:row r="26" ht="21" customHeight="1">
      <ns0:c r="A26" s="25" t="n">
        <ns0:v>46280</ns0:v>
      </ns0:c>
      <ns0:c r="B26" s="26" t="inlineStr">
        <ns0:is>
          <ns0:t>MAAS ODEMESI - PERSONEL TOPLU</ns0:t>
        </ns0:is>
      </ns0:c>
      <ns0:c r="C26" s="27" t="n">
        <ns0:v>-32750</ns0:v>
      </ns0:c>
      <ns0:c r="D26" s="27" t="n">
        <ns0:v>457405.12</ns0:v>
      </ns0:c>
      <ns0:c r="E26" s="28" t="str">
        <ns0:f>IF(A26="","",YEAR(A26)&amp;"-"&amp;RIGHT("0"&amp;MONTH(A26),2))</ns0:f>
        <ns0:v>2026-09</ns0:v>
      </ns0:c>
      <ns0:c r="F26" s="28" t="str">
        <ns0:f>IF(OR(A26="",B26="",C26&lt;=0),"",IF(SUMPRODUCT(('Müşteriler'!$B$2:$B$101&lt;&gt;"")*ISNUMBER(SEARCH('Müşteriler'!$B$2:$B$101,B26)))=1,IFERROR(INDEX('Müşteriler'!$A$2:$A$101,SUMPRODUCT(('Müşteriler'!$B$2:$B$101&lt;&gt;"")*ISNUMBER(SEARCH('Müşteriler'!$B$2:$B$101,B26)),ROW('Müşteriler'!$B$2:$B$101)-ROW('Müşteriler'!$B$2)+1)),""),""))</ns0:f>
        <ns0:v/>
      </ns0:c>
      <ns0:c r="G26" s="28" t="str">
        <ns0:f>IF(F26="","",IFERROR(INDEX('Müşteriler'!$C$2:$C$101,MATCH(F26,'Müşteriler'!$A$2:$A$101,0)),""))</ns0:f>
        <ns0:v/>
      </ns0:c>
      <ns0:c r="H26" s="28" t="str">
        <ns0:f>IF(A26="","",IF(C26&lt;=0,"Satış dışı",IF(OR(F26="",G26=""),"Eşleşmedi","Eşleşti")))</ns0:f>
        <ns0:v>Satış dışı</ns0:v>
      </ns0:c>
      <ns0:c r="I26" s="28">
        <ns0:f>I25+IF(AND(H26="Eşleşmedi",E26='Panel'!$B$4),1,0)</ns0:f>
        <ns0:v>0.0</ns0:v>
      </ns0:c>
    </ns0:row>
    <ns0:row r="27" ht="21" customHeight="1">
      <ns0:c r="A27" s="25" t="n">
        <ns0:v>46281</ns0:v>
      </ns0:c>
      <ns0:c r="B27" s="26" t="inlineStr">
        <ns0:is>
          <ns0:t>EFT - GONDEREN: KURGUSAL ARDILYEL DAGITIM - CARI HESAP</ns0:t>
        </ns0:is>
      </ns0:c>
      <ns0:c r="C27" s="27" t="n">
        <ns0:v>8393.93</ns0:v>
      </ns0:c>
      <ns0:c r="D27" s="27" t="n">
        <ns0:v>465799.05</ns0:v>
      </ns0:c>
      <ns0:c r="E27" s="28" t="str">
        <ns0:f>IF(A27="","",YEAR(A27)&amp;"-"&amp;RIGHT("0"&amp;MONTH(A27),2))</ns0:f>
        <ns0:v>2026-09</ns0:v>
      </ns0:c>
      <ns0:c r="F27" s="28" t="str">
        <ns0:f>IF(OR(A27="",B27="",C27&lt;=0),"",IF(SUMPRODUCT(('Müşteriler'!$B$2:$B$101&lt;&gt;"")*ISNUMBER(SEARCH('Müşteriler'!$B$2:$B$101,B27)))=1,IFERROR(INDEX('Müşteriler'!$A$2:$A$101,SUMPRODUCT(('Müşteriler'!$B$2:$B$101&lt;&gt;"")*ISNUMBER(SEARCH('Müşteriler'!$B$2:$B$101,B27)),ROW('Müşteriler'!$B$2:$B$101)-ROW('Müşteriler'!$B$2)+1)),""),""))</ns0:f>
        <ns0:v>Ardılyel Dağıtım Örnek İşletme</ns0:v>
      </ns0:c>
      <ns0:c r="G27" s="28" t="str">
        <ns0:f>IF(F27="","",IFERROR(INDEX('Müşteriler'!$C$2:$C$101,MATCH(F27,'Müşteriler'!$A$2:$A$101,0)),""))</ns0:f>
        <ns0:v>Kayseri</ns0:v>
      </ns0:c>
      <ns0:c r="H27" s="28" t="str">
        <ns0:f>IF(A27="","",IF(C27&lt;=0,"Satış dışı",IF(OR(F27="",G27=""),"Eşleşmedi","Eşleşti")))</ns0:f>
        <ns0:v>Eşleşti</ns0:v>
      </ns0:c>
      <ns0:c r="I27" s="28">
        <ns0:f>I26+IF(AND(H27="Eşleşmedi",E27='Panel'!$B$4),1,0)</ns0:f>
        <ns0:v>0.0</ns0:v>
      </ns0:c>
    </ns0:row>
    <ns0:row r="28" ht="21" customHeight="1">
      <ns0:c r="A28" s="25" t="n">
        <ns0:v>46281</ns0:v>
      </ns0:c>
      <ns0:c r="B28" s="26" t="inlineStr">
        <ns0:is>
          <ns0:t>EFT - GONDEREN: KURGUSAL KERVOLA TEDARIK - CARI HESAP</ns0:t>
        </ns0:is>
      </ns0:c>
      <ns0:c r="C28" s="27" t="n">
        <ns0:v>5701.89</ns0:v>
      </ns0:c>
      <ns0:c r="D28" s="27" t="n">
        <ns0:v>471500.94</ns0:v>
      </ns0:c>
      <ns0:c r="E28" s="28" t="str">
        <ns0:f>IF(A28="","",YEAR(A28)&amp;"-"&amp;RIGHT("0"&amp;MONTH(A28),2))</ns0:f>
        <ns0:v>2026-09</ns0:v>
      </ns0:c>
      <ns0:c r="F28" s="28" t="str">
        <ns0:f>IF(OR(A28="",B28="",C28&lt;=0),"",IF(SUMPRODUCT(('Müşteriler'!$B$2:$B$101&lt;&gt;"")*ISNUMBER(SEARCH('Müşteriler'!$B$2:$B$101,B28)))=1,IFERROR(INDEX('Müşteriler'!$A$2:$A$101,SUMPRODUCT(('Müşteriler'!$B$2:$B$101&lt;&gt;"")*ISNUMBER(SEARCH('Müşteriler'!$B$2:$B$101,B28)),ROW('Müşteriler'!$B$2:$B$101)-ROW('Müşteriler'!$B$2)+1)),""),""))</ns0:f>
        <ns0:v>Kervola Tedarik Örnek İşletme</ns0:v>
      </ns0:c>
      <ns0:c r="G28" s="28" t="str">
        <ns0:f>IF(F28="","",IFERROR(INDEX('Müşteriler'!$C$2:$C$101,MATCH(F28,'Müşteriler'!$A$2:$A$101,0)),""))</ns0:f>
        <ns0:v>İzmir</ns0:v>
      </ns0:c>
      <ns0:c r="H28" s="28" t="str">
        <ns0:f>IF(A28="","",IF(C28&lt;=0,"Satış dışı",IF(OR(F28="",G28=""),"Eşleşmedi","Eşleşti")))</ns0:f>
        <ns0:v>Eşleşti</ns0:v>
      </ns0:c>
      <ns0:c r="I28" s="28">
        <ns0:f>I27+IF(AND(H28="Eşleşmedi",E28='Panel'!$B$4),1,0)</ns0:f>
        <ns0:v>0.0</ns0:v>
      </ns0:c>
    </ns0:row>
    <ns0:row r="29" ht="21" customHeight="1">
      <ns0:c r="A29" s="25" t="n">
        <ns0:v>46281</ns0:v>
      </ns0:c>
      <ns0:c r="B29" s="26" t="inlineStr">
        <ns0:is>
          <ns0:t>FAST GELEN - KURGUSAL MORCATI TEDARIK / FATURA ODEMESI</ns0:t>
        </ns0:is>
      </ns0:c>
      <ns0:c r="C29" s="27" t="n">
        <ns0:v>9673.91</ns0:v>
      </ns0:c>
      <ns0:c r="D29" s="27" t="n">
        <ns0:v>481174.85</ns0:v>
      </ns0:c>
      <ns0:c r="E29" s="28" t="str">
        <ns0:f>IF(A29="","",YEAR(A29)&amp;"-"&amp;RIGHT("0"&amp;MONTH(A29),2))</ns0:f>
        <ns0:v>2026-09</ns0:v>
      </ns0:c>
      <ns0:c r="F29" s="28" t="str">
        <ns0:f>IF(OR(A29="",B29="",C29&lt;=0),"",IF(SUMPRODUCT(('Müşteriler'!$B$2:$B$101&lt;&gt;"")*ISNUMBER(SEARCH('Müşteriler'!$B$2:$B$101,B29)))=1,IFERROR(INDEX('Müşteriler'!$A$2:$A$101,SUMPRODUCT(('Müşteriler'!$B$2:$B$101&lt;&gt;"")*ISNUMBER(SEARCH('Müşteriler'!$B$2:$B$101,B29)),ROW('Müşteriler'!$B$2:$B$101)-ROW('Müşteriler'!$B$2)+1)),""),""))</ns0:f>
        <ns0:v>Morçatı Tedarik Örnek İşletme</ns0:v>
      </ns0:c>
      <ns0:c r="G29" s="28" t="str">
        <ns0:f>IF(F29="","",IFERROR(INDEX('Müşteriler'!$C$2:$C$101,MATCH(F29,'Müşteriler'!$A$2:$A$101,0)),""))</ns0:f>
        <ns0:v>Sakarya</ns0:v>
      </ns0:c>
      <ns0:c r="H29" s="28" t="str">
        <ns0:f>IF(A29="","",IF(C29&lt;=0,"Satış dışı",IF(OR(F29="",G29=""),"Eşleşmedi","Eşleşti")))</ns0:f>
        <ns0:v>Eşleşti</ns0:v>
      </ns0:c>
      <ns0:c r="I29" s="28">
        <ns0:f>I28+IF(AND(H29="Eşleşmedi",E29='Panel'!$B$4),1,0)</ns0:f>
        <ns0:v>0.0</ns0:v>
      </ns0:c>
    </ns0:row>
    <ns0:row r="30" ht="21" customHeight="1">
      <ns0:c r="A30" s="25" t="n">
        <ns0:v>46281</ns0:v>
      </ns0:c>
      <ns0:c r="B30" s="26" t="inlineStr">
        <ns0:is>
          <ns0:t>HAVALE KURGUSAL PUSUYEL TEDARIK / MAL BEDELI</ns0:t>
        </ns0:is>
      </ns0:c>
      <ns0:c r="C30" s="27" t="n">
        <ns0:v>10198.79</ns0:v>
      </ns0:c>
      <ns0:c r="D30" s="27" t="n">
        <ns0:v>491373.64</ns0:v>
      </ns0:c>
      <ns0:c r="E30" s="28" t="str">
        <ns0:f>IF(A30="","",YEAR(A30)&amp;"-"&amp;RIGHT("0"&amp;MONTH(A30),2))</ns0:f>
        <ns0:v>2026-09</ns0:v>
      </ns0:c>
      <ns0:c r="F30" s="28" t="str">
        <ns0:f>IF(OR(A30="",B30="",C30&lt;=0),"",IF(SUMPRODUCT(('Müşteriler'!$B$2:$B$101&lt;&gt;"")*ISNUMBER(SEARCH('Müşteriler'!$B$2:$B$101,B30)))=1,IFERROR(INDEX('Müşteriler'!$A$2:$A$101,SUMPRODUCT(('Müşteriler'!$B$2:$B$101&lt;&gt;"")*ISNUMBER(SEARCH('Müşteriler'!$B$2:$B$101,B30)),ROW('Müşteriler'!$B$2:$B$101)-ROW('Müşteriler'!$B$2)+1)),""),""))</ns0:f>
        <ns0:v>Pusuyel Tedarik Örnek İşletme</ns0:v>
      </ns0:c>
      <ns0:c r="G30" s="28" t="str">
        <ns0:f>IF(F30="","",IFERROR(INDEX('Müşteriler'!$C$2:$C$101,MATCH(F30,'Müşteriler'!$A$2:$A$101,0)),""))</ns0:f>
        <ns0:v>İzmir</ns0:v>
      </ns0:c>
      <ns0:c r="H30" s="28" t="str">
        <ns0:f>IF(A30="","",IF(C30&lt;=0,"Satış dışı",IF(OR(F30="",G30=""),"Eşleşmedi","Eşleşti")))</ns0:f>
        <ns0:v>Eşleşti</ns0:v>
      </ns0:c>
      <ns0:c r="I30" s="28">
        <ns0:f>I29+IF(AND(H30="Eşleşmedi",E30='Panel'!$B$4),1,0)</ns0:f>
        <ns0:v>0.0</ns0:v>
      </ns0:c>
    </ns0:row>
    <ns0:row r="31" ht="21" customHeight="1">
      <ns0:c r="A31" s="25" t="n">
        <ns0:v>46282</ns0:v>
      </ns0:c>
      <ns0:c r="B31" s="26" t="inlineStr">
        <ns0:is>
          <ns0:t>EFT - GONDEREN: KURGUSAL ZEROVA TEDARIK - CARI HESAP</ns0:t>
        </ns0:is>
      </ns0:c>
      <ns0:c r="C31" s="27" t="n">
        <ns0:v>7088.7</ns0:v>
      </ns0:c>
      <ns0:c r="D31" s="27" t="n">
        <ns0:v>498462.34</ns0:v>
      </ns0:c>
      <ns0:c r="E31" s="28" t="str">
        <ns0:f>IF(A31="","",YEAR(A31)&amp;"-"&amp;RIGHT("0"&amp;MONTH(A31),2))</ns0:f>
        <ns0:v>2026-09</ns0:v>
      </ns0:c>
      <ns0:c r="F31" s="28" t="str">
        <ns0:f>IF(OR(A31="",B31="",C31&lt;=0),"",IF(SUMPRODUCT(('Müşteriler'!$B$2:$B$101&lt;&gt;"")*ISNUMBER(SEARCH('Müşteriler'!$B$2:$B$101,B31)))=1,IFERROR(INDEX('Müşteriler'!$A$2:$A$101,SUMPRODUCT(('Müşteriler'!$B$2:$B$101&lt;&gt;"")*ISNUMBER(SEARCH('Müşteriler'!$B$2:$B$101,B31)),ROW('Müşteriler'!$B$2:$B$101)-ROW('Müşteriler'!$B$2)+1)),""),""))</ns0:f>
        <ns0:v>Zerova Tedarik Örnek İşletme</ns0:v>
      </ns0:c>
      <ns0:c r="G31" s="28" t="str">
        <ns0:f>IF(F31="","",IFERROR(INDEX('Müşteriler'!$C$2:$C$101,MATCH(F31,'Müşteriler'!$A$2:$A$101,0)),""))</ns0:f>
        <ns0:v>Sakarya</ns0:v>
      </ns0:c>
      <ns0:c r="H31" s="28" t="str">
        <ns0:f>IF(A31="","",IF(C31&lt;=0,"Satış dışı",IF(OR(F31="",G31=""),"Eşleşmedi","Eşleşti")))</ns0:f>
        <ns0:v>Eşleşti</ns0:v>
      </ns0:c>
      <ns0:c r="I31" s="28">
        <ns0:f>I30+IF(AND(H31="Eşleşmedi",E31='Panel'!$B$4),1,0)</ns0:f>
        <ns0:v>0.0</ns0:v>
      </ns0:c>
    </ns0:row>
    <ns0:row r="32" ht="21" customHeight="1">
      <ns0:c r="A32" s="25" t="n">
        <ns0:v>46284</ns0:v>
      </ns0:c>
      <ns0:c r="B32" s="26" t="inlineStr">
        <ns0:is>
          <ns0:t>EFT - GONDEREN: KURGUSAL NARVADI TICARET - CARI HESAP</ns0:t>
        </ns0:is>
      </ns0:c>
      <ns0:c r="C32" s="27" t="n">
        <ns0:v>8456.57</ns0:v>
      </ns0:c>
      <ns0:c r="D32" s="27" t="n">
        <ns0:v>506918.91</ns0:v>
      </ns0:c>
      <ns0:c r="E32" s="28" t="str">
        <ns0:f>IF(A32="","",YEAR(A32)&amp;"-"&amp;RIGHT("0"&amp;MONTH(A32),2))</ns0:f>
        <ns0:v>2026-09</ns0:v>
      </ns0:c>
      <ns0:c r="F32" s="28" t="str">
        <ns0:f>IF(OR(A32="",B32="",C32&lt;=0),"",IF(SUMPRODUCT(('Müşteriler'!$B$2:$B$101&lt;&gt;"")*ISNUMBER(SEARCH('Müşteriler'!$B$2:$B$101,B32)))=1,IFERROR(INDEX('Müşteriler'!$A$2:$A$101,SUMPRODUCT(('Müşteriler'!$B$2:$B$101&lt;&gt;"")*ISNUMBER(SEARCH('Müşteriler'!$B$2:$B$101,B32)),ROW('Müşteriler'!$B$2:$B$101)-ROW('Müşteriler'!$B$2)+1)),""),""))</ns0:f>
        <ns0:v>Narvadi Ticaret Örnek İşletme</ns0:v>
      </ns0:c>
      <ns0:c r="G32" s="28" t="str">
        <ns0:f>IF(F32="","",IFERROR(INDEX('Müşteriler'!$C$2:$C$101,MATCH(F32,'Müşteriler'!$A$2:$A$101,0)),""))</ns0:f>
        <ns0:v>Gaziantep</ns0:v>
      </ns0:c>
      <ns0:c r="H32" s="28" t="str">
        <ns0:f>IF(A32="","",IF(C32&lt;=0,"Satış dışı",IF(OR(F32="",G32=""),"Eşleşmedi","Eşleşti")))</ns0:f>
        <ns0:v>Eşleşti</ns0:v>
      </ns0:c>
      <ns0:c r="I32" s="28">
        <ns0:f>I31+IF(AND(H32="Eşleşmedi",E32='Panel'!$B$4),1,0)</ns0:f>
        <ns0:v>0.0</ns0:v>
      </ns0:c>
    </ns0:row>
    <ns0:row r="33" ht="21" customHeight="1">
      <ns0:c r="A33" s="25" t="n">
        <ns0:v>46284</ns0:v>
      </ns0:c>
      <ns0:c r="B33" s="26" t="inlineStr">
        <ns0:is>
          <ns0:t>FAST GELEN - KURGUSAL GUNSERA TICARET / FATURA ODEMESI</ns0:t>
        </ns0:is>
      </ns0:c>
      <ns0:c r="C33" s="27" t="n">
        <ns0:v>12850.9</ns0:v>
      </ns0:c>
      <ns0:c r="D33" s="27" t="n">
        <ns0:v>519769.81</ns0:v>
      </ns0:c>
      <ns0:c r="E33" s="28" t="str">
        <ns0:f>IF(A33="","",YEAR(A33)&amp;"-"&amp;RIGHT("0"&amp;MONTH(A33),2))</ns0:f>
        <ns0:v>2026-09</ns0:v>
      </ns0:c>
      <ns0:c r="F33" s="28" t="str">
        <ns0:f>IF(OR(A33="",B33="",C33&lt;=0),"",IF(SUMPRODUCT(('Müşteriler'!$B$2:$B$101&lt;&gt;"")*ISNUMBER(SEARCH('Müşteriler'!$B$2:$B$101,B33)))=1,IFERROR(INDEX('Müşteriler'!$A$2:$A$101,SUMPRODUCT(('Müşteriler'!$B$2:$B$101&lt;&gt;"")*ISNUMBER(SEARCH('Müşteriler'!$B$2:$B$101,B33)),ROW('Müşteriler'!$B$2:$B$101)-ROW('Müşteriler'!$B$2)+1)),""),""))</ns0:f>
        <ns0:v>Günsera Ticaret Örnek İşletme</ns0:v>
      </ns0:c>
      <ns0:c r="G33" s="28" t="str">
        <ns0:f>IF(F33="","",IFERROR(INDEX('Müşteriler'!$C$2:$C$101,MATCH(F33,'Müşteriler'!$A$2:$A$101,0)),""))</ns0:f>
        <ns0:v>Gaziantep</ns0:v>
      </ns0:c>
      <ns0:c r="H33" s="28" t="str">
        <ns0:f>IF(A33="","",IF(C33&lt;=0,"Satış dışı",IF(OR(F33="",G33=""),"Eşleşmedi","Eşleşti")))</ns0:f>
        <ns0:v>Eşleşti</ns0:v>
      </ns0:c>
      <ns0:c r="I33" s="28">
        <ns0:f>I32+IF(AND(H33="Eşleşmedi",E33='Panel'!$B$4),1,0)</ns0:f>
        <ns0:v>0.0</ns0:v>
      </ns0:c>
    </ns0:row>
    <ns0:row r="34" ht="21" customHeight="1">
      <ns0:c r="A34" s="25" t="n">
        <ns0:v>46284</ns0:v>
      </ns0:c>
      <ns0:c r="B34" s="26" t="inlineStr">
        <ns0:is>
          <ns0:t>HAVALE KURGUSAL CINARIZ DAGITIM / MAL BEDELI</ns0:t>
        </ns0:is>
      </ns0:c>
      <ns0:c r="C34" s="27" t="n">
        <ns0:v>6286.57</ns0:v>
      </ns0:c>
      <ns0:c r="D34" s="27" t="n">
        <ns0:v>526056.38</ns0:v>
      </ns0:c>
      <ns0:c r="E34" s="28" t="str">
        <ns0:f>IF(A34="","",YEAR(A34)&amp;"-"&amp;RIGHT("0"&amp;MONTH(A34),2))</ns0:f>
        <ns0:v>2026-09</ns0:v>
      </ns0:c>
      <ns0:c r="F34" s="28" t="str">
        <ns0:f>IF(OR(A34="",B34="",C34&lt;=0),"",IF(SUMPRODUCT(('Müşteriler'!$B$2:$B$101&lt;&gt;"")*ISNUMBER(SEARCH('Müşteriler'!$B$2:$B$101,B34)))=1,IFERROR(INDEX('Müşteriler'!$A$2:$A$101,SUMPRODUCT(('Müşteriler'!$B$2:$B$101&lt;&gt;"")*ISNUMBER(SEARCH('Müşteriler'!$B$2:$B$101,B34)),ROW('Müşteriler'!$B$2:$B$101)-ROW('Müşteriler'!$B$2)+1)),""),""))</ns0:f>
        <ns0:v>Çınariz Dağıtım Örnek İşletme</ns0:v>
      </ns0:c>
      <ns0:c r="G34" s="28" t="str">
        <ns0:f>IF(F34="","",IFERROR(INDEX('Müşteriler'!$C$2:$C$101,MATCH(F34,'Müşteriler'!$A$2:$A$101,0)),""))</ns0:f>
        <ns0:v>Bursa</ns0:v>
      </ns0:c>
      <ns0:c r="H34" s="28" t="str">
        <ns0:f>IF(A34="","",IF(C34&lt;=0,"Satış dışı",IF(OR(F34="",G34=""),"Eşleşmedi","Eşleşti")))</ns0:f>
        <ns0:v>Eşleşti</ns0:v>
      </ns0:c>
      <ns0:c r="I34" s="28">
        <ns0:f>I33+IF(AND(H34="Eşleşmedi",E34='Panel'!$B$4),1,0)</ns0:f>
        <ns0:v>0.0</ns0:v>
      </ns0:c>
    </ns0:row>
    <ns0:row r="35" ht="21" customHeight="1">
      <ns0:c r="A35" s="25" t="n">
        <ns0:v>46285</ns0:v>
      </ns0:c>
      <ns0:c r="B35" s="26" t="inlineStr">
        <ns0:is>
          <ns0:t>FAST GELEN - ACIKLAMASIZ TRANSFER 930</ns0:t>
        </ns0:is>
      </ns0:c>
      <ns0:c r="C35" s="27" t="n">
        <ns0:v>8801</ns0:v>
      </ns0:c>
      <ns0:c r="D35" s="27" t="n">
        <ns0:v>534857.38</ns0:v>
      </ns0:c>
      <ns0:c r="E35" s="28" t="str">
        <ns0:f>IF(A35="","",YEAR(A35)&amp;"-"&amp;RIGHT("0"&amp;MONTH(A35),2))</ns0:f>
        <ns0:v>2026-09</ns0:v>
      </ns0:c>
      <ns0:c r="F35" s="28" t="str">
        <ns0:f>IF(OR(A35="",B35="",C35&lt;=0),"",IF(SUMPRODUCT(('Müşteriler'!$B$2:$B$101&lt;&gt;"")*ISNUMBER(SEARCH('Müşteriler'!$B$2:$B$101,B35)))=1,IFERROR(INDEX('Müşteriler'!$A$2:$A$101,SUMPRODUCT(('Müşteriler'!$B$2:$B$101&lt;&gt;"")*ISNUMBER(SEARCH('Müşteriler'!$B$2:$B$101,B35)),ROW('Müşteriler'!$B$2:$B$101)-ROW('Müşteriler'!$B$2)+1)),""),""))</ns0:f>
        <ns0:v/>
      </ns0:c>
      <ns0:c r="G35" s="28" t="str">
        <ns0:f>IF(F35="","",IFERROR(INDEX('Müşteriler'!$C$2:$C$101,MATCH(F35,'Müşteriler'!$A$2:$A$101,0)),""))</ns0:f>
        <ns0:v/>
      </ns0:c>
      <ns0:c r="H35" s="28" t="str">
        <ns0:f>IF(A35="","",IF(C35&lt;=0,"Satış dışı",IF(OR(F35="",G35=""),"Eşleşmedi","Eşleşti")))</ns0:f>
        <ns0:v>Eşleşmedi</ns0:v>
      </ns0:c>
      <ns0:c r="I35" s="28">
        <ns0:f>I34+IF(AND(H35="Eşleşmedi",E35='Panel'!$B$4),1,0)</ns0:f>
        <ns0:v>0.0</ns0:v>
      </ns0:c>
    </ns0:row>
    <ns0:row r="36" ht="21" customHeight="1">
      <ns0:c r="A36" s="25" t="n">
        <ns0:v>46285</ns0:v>
      </ns0:c>
      <ns0:c r="B36" s="26" t="inlineStr">
        <ns0:is>
          <ns0:t>FAST GELEN - KURGUSAL ARDILYEL DAGITIM / FATURA ODEMESI</ns0:t>
        </ns0:is>
      </ns0:c>
      <ns0:c r="C36" s="27" t="n">
        <ns0:v>8393.93</ns0:v>
      </ns0:c>
      <ns0:c r="D36" s="27" t="n">
        <ns0:v>543251.3100000001</ns0:v>
      </ns0:c>
      <ns0:c r="E36" s="28" t="str">
        <ns0:f>IF(A36="","",YEAR(A36)&amp;"-"&amp;RIGHT("0"&amp;MONTH(A36),2))</ns0:f>
        <ns0:v>2026-09</ns0:v>
      </ns0:c>
      <ns0:c r="F36" s="28" t="str">
        <ns0:f>IF(OR(A36="",B36="",C36&lt;=0),"",IF(SUMPRODUCT(('Müşteriler'!$B$2:$B$101&lt;&gt;"")*ISNUMBER(SEARCH('Müşteriler'!$B$2:$B$101,B36)))=1,IFERROR(INDEX('Müşteriler'!$A$2:$A$101,SUMPRODUCT(('Müşteriler'!$B$2:$B$101&lt;&gt;"")*ISNUMBER(SEARCH('Müşteriler'!$B$2:$B$101,B36)),ROW('Müşteriler'!$B$2:$B$101)-ROW('Müşteriler'!$B$2)+1)),""),""))</ns0:f>
        <ns0:v>Ardılyel Dağıtım Örnek İşletme</ns0:v>
      </ns0:c>
      <ns0:c r="G36" s="28" t="str">
        <ns0:f>IF(F36="","",IFERROR(INDEX('Müşteriler'!$C$2:$C$101,MATCH(F36,'Müşteriler'!$A$2:$A$101,0)),""))</ns0:f>
        <ns0:v>Kayseri</ns0:v>
      </ns0:c>
      <ns0:c r="H36" s="28" t="str">
        <ns0:f>IF(A36="","",IF(C36&lt;=0,"Satış dışı",IF(OR(F36="",G36=""),"Eşleşmedi","Eşleşti")))</ns0:f>
        <ns0:v>Eşleşti</ns0:v>
      </ns0:c>
      <ns0:c r="I36" s="28">
        <ns0:f>I35+IF(AND(H36="Eşleşmedi",E36='Panel'!$B$4),1,0)</ns0:f>
        <ns0:v>0.0</ns0:v>
      </ns0:c>
    </ns0:row>
    <ns0:row r="37" ht="21" customHeight="1">
      <ns0:c r="A37" s="25" t="n">
        <ns0:v>46285</ns0:v>
      </ns0:c>
      <ns0:c r="B37" s="26" t="inlineStr">
        <ns0:is>
          <ns0:t>FAST GELEN - KURGUSAL TANYUVA GIDA / FATURA ODEMESI</ns0:t>
        </ns0:is>
      </ns0:c>
      <ns0:c r="C37" s="27" t="n">
        <ns0:v>6748.46</ns0:v>
      </ns0:c>
      <ns0:c r="D37" s="27" t="n">
        <ns0:v>549999.77</ns0:v>
      </ns0:c>
      <ns0:c r="E37" s="28" t="str">
        <ns0:f>IF(A37="","",YEAR(A37)&amp;"-"&amp;RIGHT("0"&amp;MONTH(A37),2))</ns0:f>
        <ns0:v>2026-09</ns0:v>
      </ns0:c>
      <ns0:c r="F37" s="28" t="str">
        <ns0:f>IF(OR(A37="",B37="",C37&lt;=0),"",IF(SUMPRODUCT(('Müşteriler'!$B$2:$B$101&lt;&gt;"")*ISNUMBER(SEARCH('Müşteriler'!$B$2:$B$101,B37)))=1,IFERROR(INDEX('Müşteriler'!$A$2:$A$101,SUMPRODUCT(('Müşteriler'!$B$2:$B$101&lt;&gt;"")*ISNUMBER(SEARCH('Müşteriler'!$B$2:$B$101,B37)),ROW('Müşteriler'!$B$2:$B$101)-ROW('Müşteriler'!$B$2)+1)),""),""))</ns0:f>
        <ns0:v>Tanyuva Gıda Örnek İşletme</ns0:v>
      </ns0:c>
      <ns0:c r="G37" s="28" t="str">
        <ns0:f>IF(F37="","",IFERROR(INDEX('Müşteriler'!$C$2:$C$101,MATCH(F37,'Müşteriler'!$A$2:$A$101,0)),""))</ns0:f>
        <ns0:v>İstanbul</ns0:v>
      </ns0:c>
      <ns0:c r="H37" s="28" t="str">
        <ns0:f>IF(A37="","",IF(C37&lt;=0,"Satış dışı",IF(OR(F37="",G37=""),"Eşleşmedi","Eşleşti")))</ns0:f>
        <ns0:v>Eşleşti</ns0:v>
      </ns0:c>
      <ns0:c r="I37" s="28">
        <ns0:f>I36+IF(AND(H37="Eşleşmedi",E37='Panel'!$B$4),1,0)</ns0:f>
        <ns0:v>0.0</ns0:v>
      </ns0:c>
    </ns0:row>
    <ns0:row r="38" ht="21" customHeight="1">
      <ns0:c r="A38" s="25" t="n">
        <ns0:v>46285</ns0:v>
      </ns0:c>
      <ns0:c r="B38" s="26" t="inlineStr">
        <ns0:is>
          <ns0:t>FAST GELEN - KURGUSAL ZEROVA TEDARIK / FATURA ODEMESI</ns0:t>
        </ns0:is>
      </ns0:c>
      <ns0:c r="C38" s="27" t="n">
        <ns0:v>7088.7</ns0:v>
      </ns0:c>
      <ns0:c r="D38" s="27" t="n">
        <ns0:v>557088.47</ns0:v>
      </ns0:c>
      <ns0:c r="E38" s="28" t="str">
        <ns0:f>IF(A38="","",YEAR(A38)&amp;"-"&amp;RIGHT("0"&amp;MONTH(A38),2))</ns0:f>
        <ns0:v>2026-09</ns0:v>
      </ns0:c>
      <ns0:c r="F38" s="28" t="str">
        <ns0:f>IF(OR(A38="",B38="",C38&lt;=0),"",IF(SUMPRODUCT(('Müşteriler'!$B$2:$B$101&lt;&gt;"")*ISNUMBER(SEARCH('Müşteriler'!$B$2:$B$101,B38)))=1,IFERROR(INDEX('Müşteriler'!$A$2:$A$101,SUMPRODUCT(('Müşteriler'!$B$2:$B$101&lt;&gt;"")*ISNUMBER(SEARCH('Müşteriler'!$B$2:$B$101,B38)),ROW('Müşteriler'!$B$2:$B$101)-ROW('Müşteriler'!$B$2)+1)),""),""))</ns0:f>
        <ns0:v>Zerova Tedarik Örnek İşletme</ns0:v>
      </ns0:c>
      <ns0:c r="G38" s="28" t="str">
        <ns0:f>IF(F38="","",IFERROR(INDEX('Müşteriler'!$C$2:$C$101,MATCH(F38,'Müşteriler'!$A$2:$A$101,0)),""))</ns0:f>
        <ns0:v>Sakarya</ns0:v>
      </ns0:c>
      <ns0:c r="H38" s="28" t="str">
        <ns0:f>IF(A38="","",IF(C38&lt;=0,"Satış dışı",IF(OR(F38="",G38=""),"Eşleşmedi","Eşleşti")))</ns0:f>
        <ns0:v>Eşleşti</ns0:v>
      </ns0:c>
      <ns0:c r="I38" s="28">
        <ns0:f>I37+IF(AND(H38="Eşleşmedi",E38='Panel'!$B$4),1,0)</ns0:f>
        <ns0:v>0.0</ns0:v>
      </ns0:c>
    </ns0:row>
    <ns0:row r="39" ht="21" customHeight="1">
      <ns0:c r="A39" s="25" t="n">
        <ns0:v>46285</ns0:v>
      </ns0:c>
      <ns0:c r="B39" s="26" t="inlineStr">
        <ns0:is>
          <ns0:t>HAVALE - ISYERI KIRA ODEMESI</ns0:t>
        </ns0:is>
      </ns0:c>
      <ns0:c r="C39" s="27" t="n">
        <ns0:v>-18500</ns0:v>
      </ns0:c>
      <ns0:c r="D39" s="27" t="n">
        <ns0:v>538588.47</ns0:v>
      </ns0:c>
      <ns0:c r="E39" s="28" t="str">
        <ns0:f>IF(A39="","",YEAR(A39)&amp;"-"&amp;RIGHT("0"&amp;MONTH(A39),2))</ns0:f>
        <ns0:v>2026-09</ns0:v>
      </ns0:c>
      <ns0:c r="F39" s="28" t="str">
        <ns0:f>IF(OR(A39="",B39="",C39&lt;=0),"",IF(SUMPRODUCT(('Müşteriler'!$B$2:$B$101&lt;&gt;"")*ISNUMBER(SEARCH('Müşteriler'!$B$2:$B$101,B39)))=1,IFERROR(INDEX('Müşteriler'!$A$2:$A$101,SUMPRODUCT(('Müşteriler'!$B$2:$B$101&lt;&gt;"")*ISNUMBER(SEARCH('Müşteriler'!$B$2:$B$101,B39)),ROW('Müşteriler'!$B$2:$B$101)-ROW('Müşteriler'!$B$2)+1)),""),""))</ns0:f>
        <ns0:v/>
      </ns0:c>
      <ns0:c r="G39" s="28" t="str">
        <ns0:f>IF(F39="","",IFERROR(INDEX('Müşteriler'!$C$2:$C$101,MATCH(F39,'Müşteriler'!$A$2:$A$101,0)),""))</ns0:f>
        <ns0:v/>
      </ns0:c>
      <ns0:c r="H39" s="28" t="str">
        <ns0:f>IF(A39="","",IF(C39&lt;=0,"Satış dışı",IF(OR(F39="",G39=""),"Eşleşmedi","Eşleşti")))</ns0:f>
        <ns0:v>Satış dışı</ns0:v>
      </ns0:c>
      <ns0:c r="I39" s="28">
        <ns0:f>I38+IF(AND(H39="Eşleşmedi",E39='Panel'!$B$4),1,0)</ns0:f>
        <ns0:v>0.0</ns0:v>
      </ns0:c>
    </ns0:row>
    <ns0:row r="40" ht="21" customHeight="1">
      <ns0:c r="A40" s="25" t="n">
        <ns0:v>46285</ns0:v>
      </ns0:c>
      <ns0:c r="B40" s="26" t="inlineStr">
        <ns0:is>
          <ns0:t>HAVALE KURGUSAL KUMVADI TEDARIK / MAL BEDELI</ns0:t>
        </ns0:is>
      </ns0:c>
      <ns0:c r="C40" s="27" t="n">
        <ns0:v>18281.9</ns0:v>
      </ns0:c>
      <ns0:c r="D40" s="27" t="n">
        <ns0:v>556870.37</ns0:v>
      </ns0:c>
      <ns0:c r="E40" s="28" t="str">
        <ns0:f>IF(A40="","",YEAR(A40)&amp;"-"&amp;RIGHT("0"&amp;MONTH(A40),2))</ns0:f>
        <ns0:v>2026-09</ns0:v>
      </ns0:c>
      <ns0:c r="F40" s="28" t="str">
        <ns0:f>IF(OR(A40="",B40="",C40&lt;=0),"",IF(SUMPRODUCT(('Müşteriler'!$B$2:$B$101&lt;&gt;"")*ISNUMBER(SEARCH('Müşteriler'!$B$2:$B$101,B40)))=1,IFERROR(INDEX('Müşteriler'!$A$2:$A$101,SUMPRODUCT(('Müşteriler'!$B$2:$B$101&lt;&gt;"")*ISNUMBER(SEARCH('Müşteriler'!$B$2:$B$101,B40)),ROW('Müşteriler'!$B$2:$B$101)-ROW('Müşteriler'!$B$2)+1)),""),""))</ns0:f>
        <ns0:v>Kumvadi Tedarik Örnek İşletme</ns0:v>
      </ns0:c>
      <ns0:c r="G40" s="28" t="str">
        <ns0:f>IF(F40="","",IFERROR(INDEX('Müşteriler'!$C$2:$C$101,MATCH(F40,'Müşteriler'!$A$2:$A$101,0)),""))</ns0:f>
        <ns0:v>İzmir</ns0:v>
      </ns0:c>
      <ns0:c r="H40" s="28" t="str">
        <ns0:f>IF(A40="","",IF(C40&lt;=0,"Satış dışı",IF(OR(F40="",G40=""),"Eşleşmedi","Eşleşti")))</ns0:f>
        <ns0:v>Eşleşti</ns0:v>
      </ns0:c>
      <ns0:c r="I40" s="28">
        <ns0:f>I39+IF(AND(H40="Eşleşmedi",E40='Panel'!$B$4),1,0)</ns0:f>
        <ns0:v>0.0</ns0:v>
      </ns0:c>
    </ns0:row>
    <ns0:row r="41" ht="21" customHeight="1">
      <ns0:c r="A41" s="25" t="n">
        <ns0:v>46286</ns0:v>
      </ns0:c>
      <ns0:c r="B41" s="26" t="inlineStr">
        <ns0:is>
          <ns0:t>EFT - GONDEREN: KURGUSAL MAVIDAL GIDA - CARI HESAP</ns0:t>
        </ns0:is>
      </ns0:c>
      <ns0:c r="C41" s="27" t="n">
        <ns0:v>4923.37</ns0:v>
      </ns0:c>
      <ns0:c r="D41" s="27" t="n">
        <ns0:v>561793.74</ns0:v>
      </ns0:c>
      <ns0:c r="E41" s="28" t="str">
        <ns0:f>IF(A41="","",YEAR(A41)&amp;"-"&amp;RIGHT("0"&amp;MONTH(A41),2))</ns0:f>
        <ns0:v>2026-09</ns0:v>
      </ns0:c>
      <ns0:c r="F41" s="28" t="str">
        <ns0:f>IF(OR(A41="",B41="",C41&lt;=0),"",IF(SUMPRODUCT(('Müşteriler'!$B$2:$B$101&lt;&gt;"")*ISNUMBER(SEARCH('Müşteriler'!$B$2:$B$101,B41)))=1,IFERROR(INDEX('Müşteriler'!$A$2:$A$101,SUMPRODUCT(('Müşteriler'!$B$2:$B$101&lt;&gt;"")*ISNUMBER(SEARCH('Müşteriler'!$B$2:$B$101,B41)),ROW('Müşteriler'!$B$2:$B$101)-ROW('Müşteriler'!$B$2)+1)),""),""))</ns0:f>
        <ns0:v>Mavidal Gıda Örnek İşletme</ns0:v>
      </ns0:c>
      <ns0:c r="G41" s="28" t="str">
        <ns0:f>IF(F41="","",IFERROR(INDEX('Müşteriler'!$C$2:$C$101,MATCH(F41,'Müşteriler'!$A$2:$A$101,0)),""))</ns0:f>
        <ns0:v>İstanbul</ns0:v>
      </ns0:c>
      <ns0:c r="H41" s="28" t="str">
        <ns0:f>IF(A41="","",IF(C41&lt;=0,"Satış dışı",IF(OR(F41="",G41=""),"Eşleşmedi","Eşleşti")))</ns0:f>
        <ns0:v>Eşleşti</ns0:v>
      </ns0:c>
      <ns0:c r="I41" s="28">
        <ns0:f>I40+IF(AND(H41="Eşleşmedi",E41='Panel'!$B$4),1,0)</ns0:f>
        <ns0:v>0.0</ns0:v>
      </ns0:c>
    </ns0:row>
    <ns0:row r="42" ht="21" customHeight="1">
      <ns0:c r="A42" s="25" t="n">
        <ns0:v>46286</ns0:v>
      </ns0:c>
      <ns0:c r="B42" s="26" t="inlineStr">
        <ns0:is>
          <ns0:t>EFT - GONDEREN: KURGUSAL NARVADI TICARET - CARI HESAP</ns0:t>
        </ns0:is>
      </ns0:c>
      <ns0:c r="C42" s="27" t="n">
        <ns0:v>8456.57</ns0:v>
      </ns0:c>
      <ns0:c r="D42" s="27" t="n">
        <ns0:v>570250.3100000001</ns0:v>
      </ns0:c>
      <ns0:c r="E42" s="28" t="str">
        <ns0:f>IF(A42="","",YEAR(A42)&amp;"-"&amp;RIGHT("0"&amp;MONTH(A42),2))</ns0:f>
        <ns0:v>2026-09</ns0:v>
      </ns0:c>
      <ns0:c r="F42" s="28" t="str">
        <ns0:f>IF(OR(A42="",B42="",C42&lt;=0),"",IF(SUMPRODUCT(('Müşteriler'!$B$2:$B$101&lt;&gt;"")*ISNUMBER(SEARCH('Müşteriler'!$B$2:$B$101,B42)))=1,IFERROR(INDEX('Müşteriler'!$A$2:$A$101,SUMPRODUCT(('Müşteriler'!$B$2:$B$101&lt;&gt;"")*ISNUMBER(SEARCH('Müşteriler'!$B$2:$B$101,B42)),ROW('Müşteriler'!$B$2:$B$101)-ROW('Müşteriler'!$B$2)+1)),""),""))</ns0:f>
        <ns0:v>Narvadi Ticaret Örnek İşletme</ns0:v>
      </ns0:c>
      <ns0:c r="G42" s="28" t="str">
        <ns0:f>IF(F42="","",IFERROR(INDEX('Müşteriler'!$C$2:$C$101,MATCH(F42,'Müşteriler'!$A$2:$A$101,0)),""))</ns0:f>
        <ns0:v>Gaziantep</ns0:v>
      </ns0:c>
      <ns0:c r="H42" s="28" t="str">
        <ns0:f>IF(A42="","",IF(C42&lt;=0,"Satış dışı",IF(OR(F42="",G42=""),"Eşleşmedi","Eşleşti")))</ns0:f>
        <ns0:v>Eşleşti</ns0:v>
      </ns0:c>
      <ns0:c r="I42" s="28">
        <ns0:f>I41+IF(AND(H42="Eşleşmedi",E42='Panel'!$B$4),1,0)</ns0:f>
        <ns0:v>0.0</ns0:v>
      </ns0:c>
    </ns0:row>
    <ns0:row r="43" ht="21" customHeight="1">
      <ns0:c r="A43" s="25" t="n">
        <ns0:v>46286</ns0:v>
      </ns0:c>
      <ns0:c r="B43" s="26" t="inlineStr">
        <ns0:is>
          <ns0:t>HAVALE KURGUSAL CIYROTA GIDA / MAL BEDELI</ns0:t>
        </ns0:is>
      </ns0:c>
      <ns0:c r="C43" s="27" t="n">
        <ns0:v>20707.85</ns0:v>
      </ns0:c>
      <ns0:c r="D43" s="27" t="n">
        <ns0:v>590958.16</ns0:v>
      </ns0:c>
      <ns0:c r="E43" s="28" t="str">
        <ns0:f>IF(A43="","",YEAR(A43)&amp;"-"&amp;RIGHT("0"&amp;MONTH(A43),2))</ns0:f>
        <ns0:v>2026-09</ns0:v>
      </ns0:c>
      <ns0:c r="F43" s="28" t="str">
        <ns0:f>IF(OR(A43="",B43="",C43&lt;=0),"",IF(SUMPRODUCT(('Müşteriler'!$B$2:$B$101&lt;&gt;"")*ISNUMBER(SEARCH('Müşteriler'!$B$2:$B$101,B43)))=1,IFERROR(INDEX('Müşteriler'!$A$2:$A$101,SUMPRODUCT(('Müşteriler'!$B$2:$B$101&lt;&gt;"")*ISNUMBER(SEARCH('Müşteriler'!$B$2:$B$101,B43)),ROW('Müşteriler'!$B$2:$B$101)-ROW('Müşteriler'!$B$2)+1)),""),""))</ns0:f>
        <ns0:v>Çiyrota Gıda Örnek İşletme</ns0:v>
      </ns0:c>
      <ns0:c r="G43" s="28" t="str">
        <ns0:f>IF(F43="","",IFERROR(INDEX('Müşteriler'!$C$2:$C$101,MATCH(F43,'Müşteriler'!$A$2:$A$101,0)),""))</ns0:f>
        <ns0:v>İstanbul</ns0:v>
      </ns0:c>
      <ns0:c r="H43" s="28" t="str">
        <ns0:f>IF(A43="","",IF(C43&lt;=0,"Satış dışı",IF(OR(F43="",G43=""),"Eşleşmedi","Eşleşti")))</ns0:f>
        <ns0:v>Eşleşti</ns0:v>
      </ns0:c>
      <ns0:c r="I43" s="28">
        <ns0:f>I42+IF(AND(H43="Eşleşmedi",E43='Panel'!$B$4),1,0)</ns0:f>
        <ns0:v>0.0</ns0:v>
      </ns0:c>
    </ns0:row>
    <ns0:row r="44" ht="21" customHeight="1">
      <ns0:c r="A44" s="25" t="n">
        <ns0:v>46287</ns0:v>
      </ns0:c>
      <ns0:c r="B44" s="26" t="inlineStr">
        <ns0:is>
          <ns0:t>FAST GELEN - KURGUSAL ERGUVEN MARKET / FATURA ODEMESI</ns0:t>
        </ns0:is>
      </ns0:c>
      <ns0:c r="C44" s="27" t="n">
        <ns0:v>26026.86</ns0:v>
      </ns0:c>
      <ns0:c r="D44" s="27" t="n">
        <ns0:v>616985.02</ns0:v>
      </ns0:c>
      <ns0:c r="E44" s="28" t="str">
        <ns0:f>IF(A44="","",YEAR(A44)&amp;"-"&amp;RIGHT("0"&amp;MONTH(A44),2))</ns0:f>
        <ns0:v>2026-09</ns0:v>
      </ns0:c>
      <ns0:c r="F44" s="28" t="str">
        <ns0:f>IF(OR(A44="",B44="",C44&lt;=0),"",IF(SUMPRODUCT(('Müşteriler'!$B$2:$B$101&lt;&gt;"")*ISNUMBER(SEARCH('Müşteriler'!$B$2:$B$101,B44)))=1,IFERROR(INDEX('Müşteriler'!$A$2:$A$101,SUMPRODUCT(('Müşteriler'!$B$2:$B$101&lt;&gt;"")*ISNUMBER(SEARCH('Müşteriler'!$B$2:$B$101,B44)),ROW('Müşteriler'!$B$2:$B$101)-ROW('Müşteriler'!$B$2)+1)),""),""))</ns0:f>
        <ns0:v>Erguven Market Örnek İşletme</ns0:v>
      </ns0:c>
      <ns0:c r="G44" s="28" t="str">
        <ns0:f>IF(F44="","",IFERROR(INDEX('Müşteriler'!$C$2:$C$101,MATCH(F44,'Müşteriler'!$A$2:$A$101,0)),""))</ns0:f>
        <ns0:v>Ankara</ns0:v>
      </ns0:c>
      <ns0:c r="H44" s="28" t="str">
        <ns0:f>IF(A44="","",IF(C44&lt;=0,"Satış dışı",IF(OR(F44="",G44=""),"Eşleşmedi","Eşleşti")))</ns0:f>
        <ns0:v>Eşleşti</ns0:v>
      </ns0:c>
      <ns0:c r="I44" s="28">
        <ns0:f>I43+IF(AND(H44="Eşleşmedi",E44='Panel'!$B$4),1,0)</ns0:f>
        <ns0:v>0.0</ns0:v>
      </ns0:c>
    </ns0:row>
    <ns0:row r="45" ht="21" customHeight="1">
      <ns0:c r="A45" s="25" t="n">
        <ns0:v>46288</ns0:v>
      </ns0:c>
      <ns0:c r="B45" s="26" t="inlineStr">
        <ns0:is>
          <ns0:t>EFT - GONDEREN: KURGUSAL ERGUVEN MARKET - CARI HESAP</ns0:t>
        </ns0:is>
      </ns0:c>
      <ns0:c r="C45" s="27" t="n">
        <ns0:v>26026.86</ns0:v>
      </ns0:c>
      <ns0:c r="D45" s="27" t="n">
        <ns0:v>643011.88</ns0:v>
      </ns0:c>
      <ns0:c r="E45" s="28" t="str">
        <ns0:f>IF(A45="","",YEAR(A45)&amp;"-"&amp;RIGHT("0"&amp;MONTH(A45),2))</ns0:f>
        <ns0:v>2026-09</ns0:v>
      </ns0:c>
      <ns0:c r="F45" s="28" t="str">
        <ns0:f>IF(OR(A45="",B45="",C45&lt;=0),"",IF(SUMPRODUCT(('Müşteriler'!$B$2:$B$101&lt;&gt;"")*ISNUMBER(SEARCH('Müşteriler'!$B$2:$B$101,B45)))=1,IFERROR(INDEX('Müşteriler'!$A$2:$A$101,SUMPRODUCT(('Müşteriler'!$B$2:$B$101&lt;&gt;"")*ISNUMBER(SEARCH('Müşteriler'!$B$2:$B$101,B45)),ROW('Müşteriler'!$B$2:$B$101)-ROW('Müşteriler'!$B$2)+1)),""),""))</ns0:f>
        <ns0:v>Erguven Market Örnek İşletme</ns0:v>
      </ns0:c>
      <ns0:c r="G45" s="28" t="str">
        <ns0:f>IF(F45="","",IFERROR(INDEX('Müşteriler'!$C$2:$C$101,MATCH(F45,'Müşteriler'!$A$2:$A$101,0)),""))</ns0:f>
        <ns0:v>Ankara</ns0:v>
      </ns0:c>
      <ns0:c r="H45" s="28" t="str">
        <ns0:f>IF(A45="","",IF(C45&lt;=0,"Satış dışı",IF(OR(F45="",G45=""),"Eşleşmedi","Eşleşti")))</ns0:f>
        <ns0:v>Eşleşti</ns0:v>
      </ns0:c>
      <ns0:c r="I45" s="28">
        <ns0:f>I44+IF(AND(H45="Eşleşmedi",E45='Panel'!$B$4),1,0)</ns0:f>
        <ns0:v>0.0</ns0:v>
      </ns0:c>
    </ns0:row>
    <ns0:row r="46" ht="21" customHeight="1">
      <ns0:c r="A46" s="25" t="n">
        <ns0:v>46288</ns0:v>
      </ns0:c>
      <ns0:c r="B46" s="26" t="inlineStr">
        <ns0:is>
          <ns0:t>FAST GELEN - KURGUSAL LALROTA DAGITIM / FATURA ODEMESI</ns0:t>
        </ns0:is>
      </ns0:c>
      <ns0:c r="C46" s="27" t="n">
        <ns0:v>31297.01</ns0:v>
      </ns0:c>
      <ns0:c r="D46" s="27" t="n">
        <ns0:v>674308.89</ns0:v>
      </ns0:c>
      <ns0:c r="E46" s="28" t="str">
        <ns0:f>IF(A46="","",YEAR(A46)&amp;"-"&amp;RIGHT("0"&amp;MONTH(A46),2))</ns0:f>
        <ns0:v>2026-09</ns0:v>
      </ns0:c>
      <ns0:c r="F46" s="28" t="str">
        <ns0:f>IF(OR(A46="",B46="",C46&lt;=0),"",IF(SUMPRODUCT(('Müşteriler'!$B$2:$B$101&lt;&gt;"")*ISNUMBER(SEARCH('Müşteriler'!$B$2:$B$101,B46)))=1,IFERROR(INDEX('Müşteriler'!$A$2:$A$101,SUMPRODUCT(('Müşteriler'!$B$2:$B$101&lt;&gt;"")*ISNUMBER(SEARCH('Müşteriler'!$B$2:$B$101,B46)),ROW('Müşteriler'!$B$2:$B$101)-ROW('Müşteriler'!$B$2)+1)),""),""))</ns0:f>
        <ns0:v>Lalrota Dağıtım Örnek İşletme</ns0:v>
      </ns0:c>
      <ns0:c r="G46" s="28" t="str">
        <ns0:f>IF(F46="","",IFERROR(INDEX('Müşteriler'!$C$2:$C$101,MATCH(F46,'Müşteriler'!$A$2:$A$101,0)),""))</ns0:f>
        <ns0:v>Bursa</ns0:v>
      </ns0:c>
      <ns0:c r="H46" s="28" t="str">
        <ns0:f>IF(A46="","",IF(C46&lt;=0,"Satış dışı",IF(OR(F46="",G46=""),"Eşleşmedi","Eşleşti")))</ns0:f>
        <ns0:v>Eşleşti</ns0:v>
      </ns0:c>
      <ns0:c r="I46" s="28">
        <ns0:f>I45+IF(AND(H46="Eşleşmedi",E46='Panel'!$B$4),1,0)</ns0:f>
        <ns0:v>0.0</ns0:v>
      </ns0:c>
    </ns0:row>
    <ns0:row r="47" ht="21" customHeight="1">
      <ns0:c r="A47" s="25" t="n">
        <ns0:v>46289</ns0:v>
      </ns0:c>
      <ns0:c r="B47" s="26" t="inlineStr">
        <ns0:is>
          <ns0:t>EFT - GONDEREN: KURGUSAL NARVADI TICARET - CARI HESAP</ns0:t>
        </ns0:is>
      </ns0:c>
      <ns0:c r="C47" s="27" t="n">
        <ns0:v>8456.57</ns0:v>
      </ns0:c>
      <ns0:c r="D47" s="27" t="n">
        <ns0:v>682765.46</ns0:v>
      </ns0:c>
      <ns0:c r="E47" s="28" t="str">
        <ns0:f>IF(A47="","",YEAR(A47)&amp;"-"&amp;RIGHT("0"&amp;MONTH(A47),2))</ns0:f>
        <ns0:v>2026-09</ns0:v>
      </ns0:c>
      <ns0:c r="F47" s="28" t="str">
        <ns0:f>IF(OR(A47="",B47="",C47&lt;=0),"",IF(SUMPRODUCT(('Müşteriler'!$B$2:$B$101&lt;&gt;"")*ISNUMBER(SEARCH('Müşteriler'!$B$2:$B$101,B47)))=1,IFERROR(INDEX('Müşteriler'!$A$2:$A$101,SUMPRODUCT(('Müşteriler'!$B$2:$B$101&lt;&gt;"")*ISNUMBER(SEARCH('Müşteriler'!$B$2:$B$101,B47)),ROW('Müşteriler'!$B$2:$B$101)-ROW('Müşteriler'!$B$2)+1)),""),""))</ns0:f>
        <ns0:v>Narvadi Ticaret Örnek İşletme</ns0:v>
      </ns0:c>
      <ns0:c r="G47" s="28" t="str">
        <ns0:f>IF(F47="","",IFERROR(INDEX('Müşteriler'!$C$2:$C$101,MATCH(F47,'Müşteriler'!$A$2:$A$101,0)),""))</ns0:f>
        <ns0:v>Gaziantep</ns0:v>
      </ns0:c>
      <ns0:c r="H47" s="28" t="str">
        <ns0:f>IF(A47="","",IF(C47&lt;=0,"Satış dışı",IF(OR(F47="",G47=""),"Eşleşmedi","Eşleşti")))</ns0:f>
        <ns0:v>Eşleşti</ns0:v>
      </ns0:c>
      <ns0:c r="I47" s="28">
        <ns0:f>I46+IF(AND(H47="Eşleşmedi",E47='Panel'!$B$4),1,0)</ns0:f>
        <ns0:v>0.0</ns0:v>
      </ns0:c>
    </ns0:row>
    <ns0:row r="48" ht="21" customHeight="1">
      <ns0:c r="A48" s="25" t="n">
        <ns0:v>46289</ns0:v>
      </ns0:c>
      <ns0:c r="B48" s="26" t="inlineStr">
        <ns0:is>
          <ns0:t>FAST GELEN - KURGUSAL KUMSERA GIDA / FATURA ODEMESI</ns0:t>
        </ns0:is>
      </ns0:c>
      <ns0:c r="C48" s="27" t="n">
        <ns0:v>18961.79</ns0:v>
      </ns0:c>
      <ns0:c r="D48" s="27" t="n">
        <ns0:v>701727.25</ns0:v>
      </ns0:c>
      <ns0:c r="E48" s="28" t="str">
        <ns0:f>IF(A48="","",YEAR(A48)&amp;"-"&amp;RIGHT("0"&amp;MONTH(A48),2))</ns0:f>
        <ns0:v>2026-09</ns0:v>
      </ns0:c>
      <ns0:c r="F48" s="28" t="str">
        <ns0:f>IF(OR(A48="",B48="",C48&lt;=0),"",IF(SUMPRODUCT(('Müşteriler'!$B$2:$B$101&lt;&gt;"")*ISNUMBER(SEARCH('Müşteriler'!$B$2:$B$101,B48)))=1,IFERROR(INDEX('Müşteriler'!$A$2:$A$101,SUMPRODUCT(('Müşteriler'!$B$2:$B$101&lt;&gt;"")*ISNUMBER(SEARCH('Müşteriler'!$B$2:$B$101,B48)),ROW('Müşteriler'!$B$2:$B$101)-ROW('Müşteriler'!$B$2)+1)),""),""))</ns0:f>
        <ns0:v>Kumsera Gıda Örnek İşletme</ns0:v>
      </ns0:c>
      <ns0:c r="G48" s="28" t="str">
        <ns0:f>IF(F48="","",IFERROR(INDEX('Müşteriler'!$C$2:$C$101,MATCH(F48,'Müşteriler'!$A$2:$A$101,0)),""))</ns0:f>
        <ns0:v>Konya</ns0:v>
      </ns0:c>
      <ns0:c r="H48" s="28" t="str">
        <ns0:f>IF(A48="","",IF(C48&lt;=0,"Satış dışı",IF(OR(F48="",G48=""),"Eşleşmedi","Eşleşti")))</ns0:f>
        <ns0:v>Eşleşti</ns0:v>
      </ns0:c>
      <ns0:c r="I48" s="28">
        <ns0:f>I47+IF(AND(H48="Eşleşmedi",E48='Panel'!$B$4),1,0)</ns0:f>
        <ns0:v>0.0</ns0:v>
      </ns0:c>
    </ns0:row>
    <ns0:row r="49" ht="21" customHeight="1">
      <ns0:c r="A49" s="25" t="n">
        <ns0:v>46290</ns0:v>
      </ns0:c>
      <ns0:c r="B49" s="26" t="inlineStr">
        <ns0:is>
          <ns0:t>EFT - GONDEREN: KURGUSAL KERVOLA TEDARIK - CARI HESAP</ns0:t>
        </ns0:is>
      </ns0:c>
      <ns0:c r="C49" s="27" t="n">
        <ns0:v>5701.89</ns0:v>
      </ns0:c>
      <ns0:c r="D49" s="27" t="n">
        <ns0:v>707429.14</ns0:v>
      </ns0:c>
      <ns0:c r="E49" s="28" t="str">
        <ns0:f>IF(A49="","",YEAR(A49)&amp;"-"&amp;RIGHT("0"&amp;MONTH(A49),2))</ns0:f>
        <ns0:v>2026-09</ns0:v>
      </ns0:c>
      <ns0:c r="F49" s="28" t="str">
        <ns0:f>IF(OR(A49="",B49="",C49&lt;=0),"",IF(SUMPRODUCT(('Müşteriler'!$B$2:$B$101&lt;&gt;"")*ISNUMBER(SEARCH('Müşteriler'!$B$2:$B$101,B49)))=1,IFERROR(INDEX('Müşteriler'!$A$2:$A$101,SUMPRODUCT(('Müşteriler'!$B$2:$B$101&lt;&gt;"")*ISNUMBER(SEARCH('Müşteriler'!$B$2:$B$101,B49)),ROW('Müşteriler'!$B$2:$B$101)-ROW('Müşteriler'!$B$2)+1)),""),""))</ns0:f>
        <ns0:v>Kervola Tedarik Örnek İşletme</ns0:v>
      </ns0:c>
      <ns0:c r="G49" s="28" t="str">
        <ns0:f>IF(F49="","",IFERROR(INDEX('Müşteriler'!$C$2:$C$101,MATCH(F49,'Müşteriler'!$A$2:$A$101,0)),""))</ns0:f>
        <ns0:v>İzmir</ns0:v>
      </ns0:c>
      <ns0:c r="H49" s="28" t="str">
        <ns0:f>IF(A49="","",IF(C49&lt;=0,"Satış dışı",IF(OR(F49="",G49=""),"Eşleşmedi","Eşleşti")))</ns0:f>
        <ns0:v>Eşleşti</ns0:v>
      </ns0:c>
      <ns0:c r="I49" s="28">
        <ns0:f>I48+IF(AND(H49="Eşleşmedi",E49='Panel'!$B$4),1,0)</ns0:f>
        <ns0:v>0.0</ns0:v>
      </ns0:c>
    </ns0:row>
    <ns0:row r="50" ht="21" customHeight="1">
      <ns0:c r="A50" s="25" t="n">
        <ns0:v>46290</ns0:v>
      </ns0:c>
      <ns0:c r="B50" s="26" t="inlineStr">
        <ns0:is>
          <ns0:t>HAVALE KURGUSAL DENIZOVA GIDA / MAL BEDELI</ns0:t>
        </ns0:is>
      </ns0:c>
      <ns0:c r="C50" s="27" t="n">
        <ns0:v>7081.56</ns0:v>
      </ns0:c>
      <ns0:c r="D50" s="27" t="n">
        <ns0:v>714510.7</ns0:v>
      </ns0:c>
      <ns0:c r="E50" s="28" t="str">
        <ns0:f>IF(A50="","",YEAR(A50)&amp;"-"&amp;RIGHT("0"&amp;MONTH(A50),2))</ns0:f>
        <ns0:v>2026-09</ns0:v>
      </ns0:c>
      <ns0:c r="F50" s="28" t="str">
        <ns0:f>IF(OR(A50="",B50="",C50&lt;=0),"",IF(SUMPRODUCT(('Müşteriler'!$B$2:$B$101&lt;&gt;"")*ISNUMBER(SEARCH('Müşteriler'!$B$2:$B$101,B50)))=1,IFERROR(INDEX('Müşteriler'!$A$2:$A$101,SUMPRODUCT(('Müşteriler'!$B$2:$B$101&lt;&gt;"")*ISNUMBER(SEARCH('Müşteriler'!$B$2:$B$101,B50)),ROW('Müşteriler'!$B$2:$B$101)-ROW('Müşteriler'!$B$2)+1)),""),""))</ns0:f>
        <ns0:v>Denizova Gıda Örnek İşletme</ns0:v>
      </ns0:c>
      <ns0:c r="G50" s="28" t="str">
        <ns0:f>IF(F50="","",IFERROR(INDEX('Müşteriler'!$C$2:$C$101,MATCH(F50,'Müşteriler'!$A$2:$A$101,0)),""))</ns0:f>
        <ns0:v>Konya</ns0:v>
      </ns0:c>
      <ns0:c r="H50" s="28" t="str">
        <ns0:f>IF(A50="","",IF(C50&lt;=0,"Satış dışı",IF(OR(F50="",G50=""),"Eşleşmedi","Eşleşti")))</ns0:f>
        <ns0:v>Eşleşti</ns0:v>
      </ns0:c>
      <ns0:c r="I50" s="28">
        <ns0:f>I49+IF(AND(H50="Eşleşmedi",E50='Panel'!$B$4),1,0)</ns0:f>
        <ns0:v>0.0</ns0:v>
      </ns0:c>
    </ns0:row>
    <ns0:row r="51" ht="21" customHeight="1">
      <ns0:c r="A51" s="25" t="n">
        <ns0:v>46291</ns0:v>
      </ns0:c>
      <ns0:c r="B51" s="26" t="inlineStr">
        <ns0:is>
          <ns0:t>EFT - GONDEREN: KURGUSAL CINARIZ DAGITIM - CARI HESAP</ns0:t>
        </ns0:is>
      </ns0:c>
      <ns0:c r="C51" s="27" t="n">
        <ns0:v>6286.57</ns0:v>
      </ns0:c>
      <ns0:c r="D51" s="27" t="n">
        <ns0:v>720797.27</ns0:v>
      </ns0:c>
      <ns0:c r="E51" s="28" t="str">
        <ns0:f>IF(A51="","",YEAR(A51)&amp;"-"&amp;RIGHT("0"&amp;MONTH(A51),2))</ns0:f>
        <ns0:v>2026-09</ns0:v>
      </ns0:c>
      <ns0:c r="F51" s="28" t="str">
        <ns0:f>IF(OR(A51="",B51="",C51&lt;=0),"",IF(SUMPRODUCT(('Müşteriler'!$B$2:$B$101&lt;&gt;"")*ISNUMBER(SEARCH('Müşteriler'!$B$2:$B$101,B51)))=1,IFERROR(INDEX('Müşteriler'!$A$2:$A$101,SUMPRODUCT(('Müşteriler'!$B$2:$B$101&lt;&gt;"")*ISNUMBER(SEARCH('Müşteriler'!$B$2:$B$101,B51)),ROW('Müşteriler'!$B$2:$B$101)-ROW('Müşteriler'!$B$2)+1)),""),""))</ns0:f>
        <ns0:v>Çınariz Dağıtım Örnek İşletme</ns0:v>
      </ns0:c>
      <ns0:c r="G51" s="28" t="str">
        <ns0:f>IF(F51="","",IFERROR(INDEX('Müşteriler'!$C$2:$C$101,MATCH(F51,'Müşteriler'!$A$2:$A$101,0)),""))</ns0:f>
        <ns0:v>Bursa</ns0:v>
      </ns0:c>
      <ns0:c r="H51" s="28" t="str">
        <ns0:f>IF(A51="","",IF(C51&lt;=0,"Satış dışı",IF(OR(F51="",G51=""),"Eşleşmedi","Eşleşti")))</ns0:f>
        <ns0:v>Eşleşti</ns0:v>
      </ns0:c>
      <ns0:c r="I51" s="28">
        <ns0:f>I50+IF(AND(H51="Eşleşmedi",E51='Panel'!$B$4),1,0)</ns0:f>
        <ns0:v>0.0</ns0:v>
      </ns0:c>
    </ns0:row>
    <ns0:row r="52" ht="21" customHeight="1">
      <ns0:c r="A52" s="25" t="n">
        <ns0:v>46291</ns0:v>
      </ns0:c>
      <ns0:c r="B52" s="26" t="inlineStr">
        <ns0:is>
          <ns0:t>FAST GELEN - KURGUSAL KUMVADI TEDARIK / FATURA ODEMESI</ns0:t>
        </ns0:is>
      </ns0:c>
      <ns0:c r="C52" s="27" t="n">
        <ns0:v>18281.9</ns0:v>
      </ns0:c>
      <ns0:c r="D52" s="27" t="n">
        <ns0:v>739079.17</ns0:v>
      </ns0:c>
      <ns0:c r="E52" s="28" t="str">
        <ns0:f>IF(A52="","",YEAR(A52)&amp;"-"&amp;RIGHT("0"&amp;MONTH(A52),2))</ns0:f>
        <ns0:v>2026-09</ns0:v>
      </ns0:c>
      <ns0:c r="F52" s="28" t="str">
        <ns0:f>IF(OR(A52="",B52="",C52&lt;=0),"",IF(SUMPRODUCT(('Müşteriler'!$B$2:$B$101&lt;&gt;"")*ISNUMBER(SEARCH('Müşteriler'!$B$2:$B$101,B52)))=1,IFERROR(INDEX('Müşteriler'!$A$2:$A$101,SUMPRODUCT(('Müşteriler'!$B$2:$B$101&lt;&gt;"")*ISNUMBER(SEARCH('Müşteriler'!$B$2:$B$101,B52)),ROW('Müşteriler'!$B$2:$B$101)-ROW('Müşteriler'!$B$2)+1)),""),""))</ns0:f>
        <ns0:v>Kumvadi Tedarik Örnek İşletme</ns0:v>
      </ns0:c>
      <ns0:c r="G52" s="28" t="str">
        <ns0:f>IF(F52="","",IFERROR(INDEX('Müşteriler'!$C$2:$C$101,MATCH(F52,'Müşteriler'!$A$2:$A$101,0)),""))</ns0:f>
        <ns0:v>İzmir</ns0:v>
      </ns0:c>
      <ns0:c r="H52" s="28" t="str">
        <ns0:f>IF(A52="","",IF(C52&lt;=0,"Satış dışı",IF(OR(F52="",G52=""),"Eşleşmedi","Eşleşti")))</ns0:f>
        <ns0:v>Eşleşti</ns0:v>
      </ns0:c>
      <ns0:c r="I52" s="28">
        <ns0:f>I51+IF(AND(H52="Eşleşmedi",E52='Panel'!$B$4),1,0)</ns0:f>
        <ns0:v>0.0</ns0:v>
      </ns0:c>
    </ns0:row>
    <ns0:row r="53" ht="21" customHeight="1">
      <ns0:c r="A53" s="25" t="n">
        <ns0:v>46291</ns0:v>
      </ns0:c>
      <ns0:c r="B53" s="26" t="inlineStr">
        <ns0:is>
          <ns0:t>HAVALE KURGUSAL AYSERIN DAGITIM / MAL BEDELI</ns0:t>
        </ns0:is>
      </ns0:c>
      <ns0:c r="C53" s="27" t="n">
        <ns0:v>25802.05</ns0:v>
      </ns0:c>
      <ns0:c r="D53" s="27" t="n">
        <ns0:v>764881.22</ns0:v>
      </ns0:c>
      <ns0:c r="E53" s="28" t="str">
        <ns0:f>IF(A53="","",YEAR(A53)&amp;"-"&amp;RIGHT("0"&amp;MONTH(A53),2))</ns0:f>
        <ns0:v>2026-09</ns0:v>
      </ns0:c>
      <ns0:c r="F53" s="28" t="str">
        <ns0:f>IF(OR(A53="",B53="",C53&lt;=0),"",IF(SUMPRODUCT(('Müşteriler'!$B$2:$B$101&lt;&gt;"")*ISNUMBER(SEARCH('Müşteriler'!$B$2:$B$101,B53)))=1,IFERROR(INDEX('Müşteriler'!$A$2:$A$101,SUMPRODUCT(('Müşteriler'!$B$2:$B$101&lt;&gt;"")*ISNUMBER(SEARCH('Müşteriler'!$B$2:$B$101,B53)),ROW('Müşteriler'!$B$2:$B$101)-ROW('Müşteriler'!$B$2)+1)),""),""))</ns0:f>
        <ns0:v>Ayserin Dağıtım Örnek İşletme</ns0:v>
      </ns0:c>
      <ns0:c r="G53" s="28" t="str">
        <ns0:f>IF(F53="","",IFERROR(INDEX('Müşteriler'!$C$2:$C$101,MATCH(F53,'Müşteriler'!$A$2:$A$101,0)),""))</ns0:f>
        <ns0:v>Bursa</ns0:v>
      </ns0:c>
      <ns0:c r="H53" s="28" t="str">
        <ns0:f>IF(A53="","",IF(C53&lt;=0,"Satış dışı",IF(OR(F53="",G53=""),"Eşleşmedi","Eşleşti")))</ns0:f>
        <ns0:v>Eşleşti</ns0:v>
      </ns0:c>
      <ns0:c r="I53" s="28">
        <ns0:f>I52+IF(AND(H53="Eşleşmedi",E53='Panel'!$B$4),1,0)</ns0:f>
        <ns0:v>0.0</ns0:v>
      </ns0:c>
    </ns0:row>
    <ns0:row r="54" ht="21" customHeight="1">
      <ns0:c r="A54" s="25" t="n">
        <ns0:v>46292</ns0:v>
      </ns0:c>
      <ns0:c r="B54" s="26" t="inlineStr">
        <ns0:is>
          <ns0:t>HAVALE KURGUSAL NARVADI TICARET / MAL BEDELI</ns0:t>
        </ns0:is>
      </ns0:c>
      <ns0:c r="C54" s="27" t="n">
        <ns0:v>8456.57</ns0:v>
      </ns0:c>
      <ns0:c r="D54" s="27" t="n">
        <ns0:v>773337.79</ns0:v>
      </ns0:c>
      <ns0:c r="E54" s="28" t="str">
        <ns0:f>IF(A54="","",YEAR(A54)&amp;"-"&amp;RIGHT("0"&amp;MONTH(A54),2))</ns0:f>
        <ns0:v>2026-09</ns0:v>
      </ns0:c>
      <ns0:c r="F54" s="28" t="str">
        <ns0:f>IF(OR(A54="",B54="",C54&lt;=0),"",IF(SUMPRODUCT(('Müşteriler'!$B$2:$B$101&lt;&gt;"")*ISNUMBER(SEARCH('Müşteriler'!$B$2:$B$101,B54)))=1,IFERROR(INDEX('Müşteriler'!$A$2:$A$101,SUMPRODUCT(('Müşteriler'!$B$2:$B$101&lt;&gt;"")*ISNUMBER(SEARCH('Müşteriler'!$B$2:$B$101,B54)),ROW('Müşteriler'!$B$2:$B$101)-ROW('Müşteriler'!$B$2)+1)),""),""))</ns0:f>
        <ns0:v>Narvadi Ticaret Örnek İşletme</ns0:v>
      </ns0:c>
      <ns0:c r="G54" s="28" t="str">
        <ns0:f>IF(F54="","",IFERROR(INDEX('Müşteriler'!$C$2:$C$101,MATCH(F54,'Müşteriler'!$A$2:$A$101,0)),""))</ns0:f>
        <ns0:v>Gaziantep</ns0:v>
      </ns0:c>
      <ns0:c r="H54" s="28" t="str">
        <ns0:f>IF(A54="","",IF(C54&lt;=0,"Satış dışı",IF(OR(F54="",G54=""),"Eşleşmedi","Eşleşti")))</ns0:f>
        <ns0:v>Eşleşti</ns0:v>
      </ns0:c>
      <ns0:c r="I54" s="28">
        <ns0:f>I53+IF(AND(H54="Eşleşmedi",E54='Panel'!$B$4),1,0)</ns0:f>
        <ns0:v>0.0</ns0:v>
      </ns0:c>
    </ns0:row>
    <ns0:row r="55" ht="21" customHeight="1">
      <ns0:c r="A55" s="25" t="n">
        <ns0:v>46292</ns0:v>
      </ns0:c>
      <ns0:c r="B55" s="26" t="inlineStr">
        <ns0:is>
          <ns0:t>HAVALE KURGUSAL YELMINO MARKET / MAL BEDELI</ns0:t>
        </ns0:is>
      </ns0:c>
      <ns0:c r="C55" s="27" t="n">
        <ns0:v>6963.63</ns0:v>
      </ns0:c>
      <ns0:c r="D55" s="27" t="n">
        <ns0:v>780301.42</ns0:v>
      </ns0:c>
      <ns0:c r="E55" s="28" t="str">
        <ns0:f>IF(A55="","",YEAR(A55)&amp;"-"&amp;RIGHT("0"&amp;MONTH(A55),2))</ns0:f>
        <ns0:v>2026-09</ns0:v>
      </ns0:c>
      <ns0:c r="F55" s="28" t="str">
        <ns0:f>IF(OR(A55="",B55="",C55&lt;=0),"",IF(SUMPRODUCT(('Müşteriler'!$B$2:$B$101&lt;&gt;"")*ISNUMBER(SEARCH('Müşteriler'!$B$2:$B$101,B55)))=1,IFERROR(INDEX('Müşteriler'!$A$2:$A$101,SUMPRODUCT(('Müşteriler'!$B$2:$B$101&lt;&gt;"")*ISNUMBER(SEARCH('Müşteriler'!$B$2:$B$101,B55)),ROW('Müşteriler'!$B$2:$B$101)-ROW('Müşteriler'!$B$2)+1)),""),""))</ns0:f>
        <ns0:v>Yelmino Market Örnek İşletme</ns0:v>
      </ns0:c>
      <ns0:c r="G55" s="28" t="str">
        <ns0:f>IF(F55="","",IFERROR(INDEX('Müşteriler'!$C$2:$C$101,MATCH(F55,'Müşteriler'!$A$2:$A$101,0)),""))</ns0:f>
        <ns0:v>Kocaeli</ns0:v>
      </ns0:c>
      <ns0:c r="H55" s="28" t="str">
        <ns0:f>IF(A55="","",IF(C55&lt;=0,"Satış dışı",IF(OR(F55="",G55=""),"Eşleşmedi","Eşleşti")))</ns0:f>
        <ns0:v>Eşleşti</ns0:v>
      </ns0:c>
      <ns0:c r="I55" s="28">
        <ns0:f>I54+IF(AND(H55="Eşleşmedi",E55='Panel'!$B$4),1,0)</ns0:f>
        <ns0:v>0.0</ns0:v>
      </ns0:c>
    </ns0:row>
    <ns0:row r="56" ht="21" customHeight="1">
      <ns0:c r="A56" s="25" t="n">
        <ns0:v>46293</ns0:v>
      </ns0:c>
      <ns0:c r="B56" s="26" t="inlineStr">
        <ns0:is>
          <ns0:t>HAVALE KURGUSAL AYVENK TICARET / MAL BEDELI</ns0:t>
        </ns0:is>
      </ns0:c>
      <ns0:c r="C56" s="27" t="n">
        <ns0:v>8550.74</ns0:v>
      </ns0:c>
      <ns0:c r="D56" s="27" t="n">
        <ns0:v>788852.16</ns0:v>
      </ns0:c>
      <ns0:c r="E56" s="28" t="str">
        <ns0:f>IF(A56="","",YEAR(A56)&amp;"-"&amp;RIGHT("0"&amp;MONTH(A56),2))</ns0:f>
        <ns0:v>2026-09</ns0:v>
      </ns0:c>
      <ns0:c r="F56" s="28" t="str">
        <ns0:f>IF(OR(A56="",B56="",C56&lt;=0),"",IF(SUMPRODUCT(('Müşteriler'!$B$2:$B$101&lt;&gt;"")*ISNUMBER(SEARCH('Müşteriler'!$B$2:$B$101,B56)))=1,IFERROR(INDEX('Müşteriler'!$A$2:$A$101,SUMPRODUCT(('Müşteriler'!$B$2:$B$101&lt;&gt;"")*ISNUMBER(SEARCH('Müşteriler'!$B$2:$B$101,B56)),ROW('Müşteriler'!$B$2:$B$101)-ROW('Müşteriler'!$B$2)+1)),""),""))</ns0:f>
        <ns0:v>Ayvenk Ticaret Örnek İşletme</ns0:v>
      </ns0:c>
      <ns0:c r="G56" s="28" t="str">
        <ns0:f>IF(F56="","",IFERROR(INDEX('Müşteriler'!$C$2:$C$101,MATCH(F56,'Müşteriler'!$A$2:$A$101,0)),""))</ns0:f>
        <ns0:v>Antalya</ns0:v>
      </ns0:c>
      <ns0:c r="H56" s="28" t="str">
        <ns0:f>IF(A56="","",IF(C56&lt;=0,"Satış dışı",IF(OR(F56="",G56=""),"Eşleşmedi","Eşleşti")))</ns0:f>
        <ns0:v>Eşleşti</ns0:v>
      </ns0:c>
      <ns0:c r="I56" s="28">
        <ns0:f>I55+IF(AND(H56="Eşleşmedi",E56='Panel'!$B$4),1,0)</ns0:f>
        <ns0:v>0.0</ns0:v>
      </ns0:c>
    </ns0:row>
    <ns0:row r="57" ht="21" customHeight="1">
      <ns0:c r="A57" s="25" t="n">
        <ns0:v>46299</ns0:v>
      </ns0:c>
      <ns0:c r="B57" s="26" t="inlineStr">
        <ns0:is>
          <ns0:t>EFT - GONDEREN: KURGUSAL DENIZOVA GIDA - CARI HESAP</ns0:t>
        </ns0:is>
      </ns0:c>
      <ns0:c r="C57" s="27" t="n">
        <ns0:v>5185.12</ns0:v>
      </ns0:c>
      <ns0:c r="D57" s="27" t="n">
        <ns0:v>794037.28</ns0:v>
      </ns0:c>
      <ns0:c r="E57" s="28" t="str">
        <ns0:f>IF(A57="","",YEAR(A57)&amp;"-"&amp;RIGHT("0"&amp;MONTH(A57),2))</ns0:f>
        <ns0:v>2026-10</ns0:v>
      </ns0:c>
      <ns0:c r="F57" s="28" t="str">
        <ns0:f>IF(OR(A57="",B57="",C57&lt;=0),"",IF(SUMPRODUCT(('Müşteriler'!$B$2:$B$101&lt;&gt;"")*ISNUMBER(SEARCH('Müşteriler'!$B$2:$B$101,B57)))=1,IFERROR(INDEX('Müşteriler'!$A$2:$A$101,SUMPRODUCT(('Müşteriler'!$B$2:$B$101&lt;&gt;"")*ISNUMBER(SEARCH('Müşteriler'!$B$2:$B$101,B57)),ROW('Müşteriler'!$B$2:$B$101)-ROW('Müşteriler'!$B$2)+1)),""),""))</ns0:f>
        <ns0:v>Denizova Gıda Örnek İşletme</ns0:v>
      </ns0:c>
      <ns0:c r="G57" s="28" t="str">
        <ns0:f>IF(F57="","",IFERROR(INDEX('Müşteriler'!$C$2:$C$101,MATCH(F57,'Müşteriler'!$A$2:$A$101,0)),""))</ns0:f>
        <ns0:v>Konya</ns0:v>
      </ns0:c>
      <ns0:c r="H57" s="28" t="str">
        <ns0:f>IF(A57="","",IF(C57&lt;=0,"Satış dışı",IF(OR(F57="",G57=""),"Eşleşmedi","Eşleşti")))</ns0:f>
        <ns0:v>Eşleşti</ns0:v>
      </ns0:c>
      <ns0:c r="I57" s="28">
        <ns0:f>I56+IF(AND(H57="Eşleşmedi",E57='Panel'!$B$4),1,0)</ns0:f>
        <ns0:v>0.0</ns0:v>
      </ns0:c>
    </ns0:row>
    <ns0:row r="58" ht="21" customHeight="1">
      <ns0:c r="A58" s="25" t="n">
        <ns0:v>46299</ns0:v>
      </ns0:c>
      <ns0:c r="B58" s="26" t="inlineStr">
        <ns0:is>
          <ns0:t>EFT - GONDEREN: KURGUSAL DENIZOVA GIDA - CARI HESAP</ns0:t>
        </ns0:is>
      </ns0:c>
      <ns0:c r="C58" s="27" t="n">
        <ns0:v>5185.12</ns0:v>
      </ns0:c>
      <ns0:c r="D58" s="27" t="n">
        <ns0:v>799222.4</ns0:v>
      </ns0:c>
      <ns0:c r="E58" s="28" t="str">
        <ns0:f>IF(A58="","",YEAR(A58)&amp;"-"&amp;RIGHT("0"&amp;MONTH(A58),2))</ns0:f>
        <ns0:v>2026-10</ns0:v>
      </ns0:c>
      <ns0:c r="F58" s="28" t="str">
        <ns0:f>IF(OR(A58="",B58="",C58&lt;=0),"",IF(SUMPRODUCT(('Müşteriler'!$B$2:$B$101&lt;&gt;"")*ISNUMBER(SEARCH('Müşteriler'!$B$2:$B$101,B58)))=1,IFERROR(INDEX('Müşteriler'!$A$2:$A$101,SUMPRODUCT(('Müşteriler'!$B$2:$B$101&lt;&gt;"")*ISNUMBER(SEARCH('Müşteriler'!$B$2:$B$101,B58)),ROW('Müşteriler'!$B$2:$B$101)-ROW('Müşteriler'!$B$2)+1)),""),""))</ns0:f>
        <ns0:v>Denizova Gıda Örnek İşletme</ns0:v>
      </ns0:c>
      <ns0:c r="G58" s="28" t="str">
        <ns0:f>IF(F58="","",IFERROR(INDEX('Müşteriler'!$C$2:$C$101,MATCH(F58,'Müşteriler'!$A$2:$A$101,0)),""))</ns0:f>
        <ns0:v>Konya</ns0:v>
      </ns0:c>
      <ns0:c r="H58" s="28" t="str">
        <ns0:f>IF(A58="","",IF(C58&lt;=0,"Satış dışı",IF(OR(F58="",G58=""),"Eşleşmedi","Eşleşti")))</ns0:f>
        <ns0:v>Eşleşti</ns0:v>
      </ns0:c>
      <ns0:c r="I58" s="28">
        <ns0:f>I57+IF(AND(H58="Eşleşmedi",E58='Panel'!$B$4),1,0)</ns0:f>
        <ns0:v>0.0</ns0:v>
      </ns0:c>
    </ns0:row>
    <ns0:row r="59" ht="21" customHeight="1">
      <ns0:c r="A59" s="25" t="n">
        <ns0:v>46299</ns0:v>
      </ns0:c>
      <ns0:c r="B59" s="26" t="inlineStr">
        <ns0:is>
          <ns0:t>HAVALE KURGUSAL KUMVADI TEDARIK / MAL BEDELI</ns0:t>
        </ns0:is>
      </ns0:c>
      <ns0:c r="C59" s="27" t="n">
        <ns0:v>21837.08</ns0:v>
      </ns0:c>
      <ns0:c r="D59" s="27" t="n">
        <ns0:v>821059.48</ns0:v>
      </ns0:c>
      <ns0:c r="E59" s="28" t="str">
        <ns0:f>IF(A59="","",YEAR(A59)&amp;"-"&amp;RIGHT("0"&amp;MONTH(A59),2))</ns0:f>
        <ns0:v>2026-10</ns0:v>
      </ns0:c>
      <ns0:c r="F59" s="28" t="str">
        <ns0:f>IF(OR(A59="",B59="",C59&lt;=0),"",IF(SUMPRODUCT(('Müşteriler'!$B$2:$B$101&lt;&gt;"")*ISNUMBER(SEARCH('Müşteriler'!$B$2:$B$101,B59)))=1,IFERROR(INDEX('Müşteriler'!$A$2:$A$101,SUMPRODUCT(('Müşteriler'!$B$2:$B$101&lt;&gt;"")*ISNUMBER(SEARCH('Müşteriler'!$B$2:$B$101,B59)),ROW('Müşteriler'!$B$2:$B$101)-ROW('Müşteriler'!$B$2)+1)),""),""))</ns0:f>
        <ns0:v>Kumvadi Tedarik Örnek İşletme</ns0:v>
      </ns0:c>
      <ns0:c r="G59" s="28" t="str">
        <ns0:f>IF(F59="","",IFERROR(INDEX('Müşteriler'!$C$2:$C$101,MATCH(F59,'Müşteriler'!$A$2:$A$101,0)),""))</ns0:f>
        <ns0:v>İzmir</ns0:v>
      </ns0:c>
      <ns0:c r="H59" s="28" t="str">
        <ns0:f>IF(A59="","",IF(C59&lt;=0,"Satış dışı",IF(OR(F59="",G59=""),"Eşleşmedi","Eşleşti")))</ns0:f>
        <ns0:v>Eşleşti</ns0:v>
      </ns0:c>
      <ns0:c r="I59" s="28">
        <ns0:f>I58+IF(AND(H59="Eşleşmedi",E59='Panel'!$B$4),1,0)</ns0:f>
        <ns0:v>0.0</ns0:v>
      </ns0:c>
    </ns0:row>
    <ns0:row r="60" ht="21" customHeight="1">
      <ns0:c r="A60" s="25" t="n">
        <ns0:v>46300</ns0:v>
      </ns0:c>
      <ns0:c r="B60" s="26" t="inlineStr">
        <ns0:is>
          <ns0:t>EFT ISLEM UCRETI / BANKA MASRAFI</ns0:t>
        </ns0:is>
      </ns0:c>
      <ns0:c r="C60" s="27" t="n">
        <ns0:v>-28.5</ns0:v>
      </ns0:c>
      <ns0:c r="D60" s="27" t="n">
        <ns0:v>821030.98</ns0:v>
      </ns0:c>
      <ns0:c r="E60" s="28" t="str">
        <ns0:f>IF(A60="","",YEAR(A60)&amp;"-"&amp;RIGHT("0"&amp;MONTH(A60),2))</ns0:f>
        <ns0:v>2026-10</ns0:v>
      </ns0:c>
      <ns0:c r="F60" s="28" t="str">
        <ns0:f>IF(OR(A60="",B60="",C60&lt;=0),"",IF(SUMPRODUCT(('Müşteriler'!$B$2:$B$101&lt;&gt;"")*ISNUMBER(SEARCH('Müşteriler'!$B$2:$B$101,B60)))=1,IFERROR(INDEX('Müşteriler'!$A$2:$A$101,SUMPRODUCT(('Müşteriler'!$B$2:$B$101&lt;&gt;"")*ISNUMBER(SEARCH('Müşteriler'!$B$2:$B$101,B60)),ROW('Müşteriler'!$B$2:$B$101)-ROW('Müşteriler'!$B$2)+1)),""),""))</ns0:f>
        <ns0:v/>
      </ns0:c>
      <ns0:c r="G60" s="28" t="str">
        <ns0:f>IF(F60="","",IFERROR(INDEX('Müşteriler'!$C$2:$C$101,MATCH(F60,'Müşteriler'!$A$2:$A$101,0)),""))</ns0:f>
        <ns0:v/>
      </ns0:c>
      <ns0:c r="H60" s="28" t="str">
        <ns0:f>IF(A60="","",IF(C60&lt;=0,"Satış dışı",IF(OR(F60="",G60=""),"Eşleşmedi","Eşleşti")))</ns0:f>
        <ns0:v>Satış dışı</ns0:v>
      </ns0:c>
      <ns0:c r="I60" s="28">
        <ns0:f>I59+IF(AND(H60="Eşleşmedi",E60='Panel'!$B$4),1,0)</ns0:f>
        <ns0:v>0.0</ns0:v>
      </ns0:c>
    </ns0:row>
    <ns0:row r="61" ht="21" customHeight="1">
      <ns0:c r="A61" s="25" t="n">
        <ns0:v>46300</ns0:v>
      </ns0:c>
      <ns0:c r="B61" s="26" t="inlineStr">
        <ns0:is>
          <ns0:t>FAST GELEN - KURGUSAL PUSUYEL TEDARIK / FATURA ODEMESI</ns0:t>
        </ns0:is>
      </ns0:c>
      <ns0:c r="C61" s="27" t="n">
        <ns0:v>10848.21</ns0:v>
      </ns0:c>
      <ns0:c r="D61" s="27" t="n">
        <ns0:v>831879.1899999999</ns0:v>
      </ns0:c>
      <ns0:c r="E61" s="28" t="str">
        <ns0:f>IF(A61="","",YEAR(A61)&amp;"-"&amp;RIGHT("0"&amp;MONTH(A61),2))</ns0:f>
        <ns0:v>2026-10</ns0:v>
      </ns0:c>
      <ns0:c r="F61" s="28" t="str">
        <ns0:f>IF(OR(A61="",B61="",C61&lt;=0),"",IF(SUMPRODUCT(('Müşteriler'!$B$2:$B$101&lt;&gt;"")*ISNUMBER(SEARCH('Müşteriler'!$B$2:$B$101,B61)))=1,IFERROR(INDEX('Müşteriler'!$A$2:$A$101,SUMPRODUCT(('Müşteriler'!$B$2:$B$101&lt;&gt;"")*ISNUMBER(SEARCH('Müşteriler'!$B$2:$B$101,B61)),ROW('Müşteriler'!$B$2:$B$101)-ROW('Müşteriler'!$B$2)+1)),""),""))</ns0:f>
        <ns0:v>Pusuyel Tedarik Örnek İşletme</ns0:v>
      </ns0:c>
      <ns0:c r="G61" s="28" t="str">
        <ns0:f>IF(F61="","",IFERROR(INDEX('Müşteriler'!$C$2:$C$101,MATCH(F61,'Müşteriler'!$A$2:$A$101,0)),""))</ns0:f>
        <ns0:v>İzmir</ns0:v>
      </ns0:c>
      <ns0:c r="H61" s="28" t="str">
        <ns0:f>IF(A61="","",IF(C61&lt;=0,"Satış dışı",IF(OR(F61="",G61=""),"Eşleşmedi","Eşleşti")))</ns0:f>
        <ns0:v>Eşleşti</ns0:v>
      </ns0:c>
      <ns0:c r="I61" s="28">
        <ns0:f>I60+IF(AND(H61="Eşleşmedi",E61='Panel'!$B$4),1,0)</ns0:f>
        <ns0:v>0.0</ns0:v>
      </ns0:c>
    </ns0:row>
    <ns0:row r="62" ht="21" customHeight="1">
      <ns0:c r="A62" s="25" t="n">
        <ns0:v>46301</ns0:v>
      </ns0:c>
      <ns0:c r="B62" s="26" t="inlineStr">
        <ns0:is>
          <ns0:t>FAST GELEN - KURGUSAL GOLVERA DAGITIM / FATURA ODEMESI</ns0:t>
        </ns0:is>
      </ns0:c>
      <ns0:c r="C62" s="27" t="n">
        <ns0:v>25973.51</ns0:v>
      </ns0:c>
      <ns0:c r="D62" s="27" t="n">
        <ns0:v>857852.7</ns0:v>
      </ns0:c>
      <ns0:c r="E62" s="28" t="str">
        <ns0:f>IF(A62="","",YEAR(A62)&amp;"-"&amp;RIGHT("0"&amp;MONTH(A62),2))</ns0:f>
        <ns0:v>2026-10</ns0:v>
      </ns0:c>
      <ns0:c r="F62" s="28" t="str">
        <ns0:f>IF(OR(A62="",B62="",C62&lt;=0),"",IF(SUMPRODUCT(('Müşteriler'!$B$2:$B$101&lt;&gt;"")*ISNUMBER(SEARCH('Müşteriler'!$B$2:$B$101,B62)))=1,IFERROR(INDEX('Müşteriler'!$A$2:$A$101,SUMPRODUCT(('Müşteriler'!$B$2:$B$101&lt;&gt;"")*ISNUMBER(SEARCH('Müşteriler'!$B$2:$B$101,B62)),ROW('Müşteriler'!$B$2:$B$101)-ROW('Müşteriler'!$B$2)+1)),""),""))</ns0:f>
        <ns0:v>Gölvera Dağıtım Örnek İşletme</ns0:v>
      </ns0:c>
      <ns0:c r="G62" s="28" t="str">
        <ns0:f>IF(F62="","",IFERROR(INDEX('Müşteriler'!$C$2:$C$101,MATCH(F62,'Müşteriler'!$A$2:$A$101,0)),""))</ns0:f>
        <ns0:v>Kayseri</ns0:v>
      </ns0:c>
      <ns0:c r="H62" s="28" t="str">
        <ns0:f>IF(A62="","",IF(C62&lt;=0,"Satış dışı",IF(OR(F62="",G62=""),"Eşleşmedi","Eşleşti")))</ns0:f>
        <ns0:v>Eşleşti</ns0:v>
      </ns0:c>
      <ns0:c r="I62" s="28">
        <ns0:f>I61+IF(AND(H62="Eşleşmedi",E62='Panel'!$B$4),1,0)</ns0:f>
        <ns0:v>0.0</ns0:v>
      </ns0:c>
    </ns0:row>
    <ns0:row r="63" ht="21" customHeight="1">
      <ns0:c r="A63" s="25" t="n">
        <ns0:v>46301</ns0:v>
      </ns0:c>
      <ns0:c r="B63" s="26" t="inlineStr">
        <ns0:is>
          <ns0:t>HAVALE KURGUSAL GUNSERA TICARET / MAL BEDELI</ns0:t>
        </ns0:is>
      </ns0:c>
      <ns0:c r="C63" s="27" t="n">
        <ns0:v>4655.45</ns0:v>
      </ns0:c>
      <ns0:c r="D63" s="27" t="n">
        <ns0:v>862508.15</ns0:v>
      </ns0:c>
      <ns0:c r="E63" s="28" t="str">
        <ns0:f>IF(A63="","",YEAR(A63)&amp;"-"&amp;RIGHT("0"&amp;MONTH(A63),2))</ns0:f>
        <ns0:v>2026-10</ns0:v>
      </ns0:c>
      <ns0:c r="F63" s="28" t="str">
        <ns0:f>IF(OR(A63="",B63="",C63&lt;=0),"",IF(SUMPRODUCT(('Müşteriler'!$B$2:$B$101&lt;&gt;"")*ISNUMBER(SEARCH('Müşteriler'!$B$2:$B$101,B63)))=1,IFERROR(INDEX('Müşteriler'!$A$2:$A$101,SUMPRODUCT(('Müşteriler'!$B$2:$B$101&lt;&gt;"")*ISNUMBER(SEARCH('Müşteriler'!$B$2:$B$101,B63)),ROW('Müşteriler'!$B$2:$B$101)-ROW('Müşteriler'!$B$2)+1)),""),""))</ns0:f>
        <ns0:v>Günsera Ticaret Örnek İşletme</ns0:v>
      </ns0:c>
      <ns0:c r="G63" s="28" t="str">
        <ns0:f>IF(F63="","",IFERROR(INDEX('Müşteriler'!$C$2:$C$101,MATCH(F63,'Müşteriler'!$A$2:$A$101,0)),""))</ns0:f>
        <ns0:v>Gaziantep</ns0:v>
      </ns0:c>
      <ns0:c r="H63" s="28" t="str">
        <ns0:f>IF(A63="","",IF(C63&lt;=0,"Satış dışı",IF(OR(F63="",G63=""),"Eşleşmedi","Eşleşti")))</ns0:f>
        <ns0:v>Eşleşti</ns0:v>
      </ns0:c>
      <ns0:c r="I63" s="28">
        <ns0:f>I62+IF(AND(H63="Eşleşmedi",E63='Panel'!$B$4),1,0)</ns0:f>
        <ns0:v>0.0</ns0:v>
      </ns0:c>
    </ns0:row>
    <ns0:row r="64" ht="21" customHeight="1">
      <ns0:c r="A64" s="25" t="n">
        <ns0:v>46302</ns0:v>
      </ns0:c>
      <ns0:c r="B64" s="26" t="inlineStr">
        <ns0:is>
          <ns0:t>EFT - GONDEREN: KURGUSAL CISENTA TICARET - CARI HESAP</ns0:t>
        </ns0:is>
      </ns0:c>
      <ns0:c r="C64" s="27" t="n">
        <ns0:v>5145.8</ns0:v>
      </ns0:c>
      <ns0:c r="D64" s="27" t="n">
        <ns0:v>867653.95</ns0:v>
      </ns0:c>
      <ns0:c r="E64" s="28" t="str">
        <ns0:f>IF(A64="","",YEAR(A64)&amp;"-"&amp;RIGHT("0"&amp;MONTH(A64),2))</ns0:f>
        <ns0:v>2026-10</ns0:v>
      </ns0:c>
      <ns0:c r="F64" s="28" t="str">
        <ns0:f>IF(OR(A64="",B64="",C64&lt;=0),"",IF(SUMPRODUCT(('Müşteriler'!$B$2:$B$101&lt;&gt;"")*ISNUMBER(SEARCH('Müşteriler'!$B$2:$B$101,B64)))=1,IFERROR(INDEX('Müşteriler'!$A$2:$A$101,SUMPRODUCT(('Müşteriler'!$B$2:$B$101&lt;&gt;"")*ISNUMBER(SEARCH('Müşteriler'!$B$2:$B$101,B64)),ROW('Müşteriler'!$B$2:$B$101)-ROW('Müşteriler'!$B$2)+1)),""),""))</ns0:f>
        <ns0:v>Çisenta Ticaret Örnek İşletme</ns0:v>
      </ns0:c>
      <ns0:c r="G64" s="28" t="str">
        <ns0:f>IF(F64="","",IFERROR(INDEX('Müşteriler'!$C$2:$C$101,MATCH(F64,'Müşteriler'!$A$2:$A$101,0)),""))</ns0:f>
        <ns0:v>Antalya</ns0:v>
      </ns0:c>
      <ns0:c r="H64" s="28" t="str">
        <ns0:f>IF(A64="","",IF(C64&lt;=0,"Satış dışı",IF(OR(F64="",G64=""),"Eşleşmedi","Eşleşti")))</ns0:f>
        <ns0:v>Eşleşti</ns0:v>
      </ns0:c>
      <ns0:c r="I64" s="28">
        <ns0:f>I63+IF(AND(H64="Eşleşmedi",E64='Panel'!$B$4),1,0)</ns0:f>
        <ns0:v>0.0</ns0:v>
      </ns0:c>
    </ns0:row>
    <ns0:row r="65" ht="21" customHeight="1">
      <ns0:c r="A65" s="25" t="n">
        <ns0:v>46302</ns0:v>
      </ns0:c>
      <ns0:c r="B65" s="26" t="inlineStr">
        <ns0:is>
          <ns0:t>EFT - GONDEREN: KURGUSAL NARVADI TICARET - CARI HESAP</ns0:t>
        </ns0:is>
      </ns0:c>
      <ns0:c r="C65" s="27" t="n">
        <ns0:v>42792.81</ns0:v>
      </ns0:c>
      <ns0:c r="D65" s="27" t="n">
        <ns0:v>910446.76</ns0:v>
      </ns0:c>
      <ns0:c r="E65" s="28" t="str">
        <ns0:f>IF(A65="","",YEAR(A65)&amp;"-"&amp;RIGHT("0"&amp;MONTH(A65),2))</ns0:f>
        <ns0:v>2026-10</ns0:v>
      </ns0:c>
      <ns0:c r="F65" s="28" t="str">
        <ns0:f>IF(OR(A65="",B65="",C65&lt;=0),"",IF(SUMPRODUCT(('Müşteriler'!$B$2:$B$101&lt;&gt;"")*ISNUMBER(SEARCH('Müşteriler'!$B$2:$B$101,B65)))=1,IFERROR(INDEX('Müşteriler'!$A$2:$A$101,SUMPRODUCT(('Müşteriler'!$B$2:$B$101&lt;&gt;"")*ISNUMBER(SEARCH('Müşteriler'!$B$2:$B$101,B65)),ROW('Müşteriler'!$B$2:$B$101)-ROW('Müşteriler'!$B$2)+1)),""),""))</ns0:f>
        <ns0:v>Narvadi Ticaret Örnek İşletme</ns0:v>
      </ns0:c>
      <ns0:c r="G65" s="28" t="str">
        <ns0:f>IF(F65="","",IFERROR(INDEX('Müşteriler'!$C$2:$C$101,MATCH(F65,'Müşteriler'!$A$2:$A$101,0)),""))</ns0:f>
        <ns0:v>Gaziantep</ns0:v>
      </ns0:c>
      <ns0:c r="H65" s="28" t="str">
        <ns0:f>IF(A65="","",IF(C65&lt;=0,"Satış dışı",IF(OR(F65="",G65=""),"Eşleşmedi","Eşleşti")))</ns0:f>
        <ns0:v>Eşleşti</ns0:v>
      </ns0:c>
      <ns0:c r="I65" s="28">
        <ns0:f>I64+IF(AND(H65="Eşleşmedi",E65='Panel'!$B$4),1,0)</ns0:f>
        <ns0:v>0.0</ns0:v>
      </ns0:c>
    </ns0:row>
    <ns0:row r="66" ht="21" customHeight="1">
      <ns0:c r="A66" s="25" t="n">
        <ns0:v>46302</ns0:v>
      </ns0:c>
      <ns0:c r="B66" s="26" t="inlineStr">
        <ns0:is>
          <ns0:t>EFT - GONDEREN: KURGUSAL YELMINO MARKET - CARI HESAP</ns0:t>
        </ns0:is>
      </ns0:c>
      <ns0:c r="C66" s="27" t="n">
        <ns0:v>14137.63</ns0:v>
      </ns0:c>
      <ns0:c r="D66" s="27" t="n">
        <ns0:v>924584.39</ns0:v>
      </ns0:c>
      <ns0:c r="E66" s="28" t="str">
        <ns0:f>IF(A66="","",YEAR(A66)&amp;"-"&amp;RIGHT("0"&amp;MONTH(A66),2))</ns0:f>
        <ns0:v>2026-10</ns0:v>
      </ns0:c>
      <ns0:c r="F66" s="28" t="str">
        <ns0:f>IF(OR(A66="",B66="",C66&lt;=0),"",IF(SUMPRODUCT(('Müşteriler'!$B$2:$B$101&lt;&gt;"")*ISNUMBER(SEARCH('Müşteriler'!$B$2:$B$101,B66)))=1,IFERROR(INDEX('Müşteriler'!$A$2:$A$101,SUMPRODUCT(('Müşteriler'!$B$2:$B$101&lt;&gt;"")*ISNUMBER(SEARCH('Müşteriler'!$B$2:$B$101,B66)),ROW('Müşteriler'!$B$2:$B$101)-ROW('Müşteriler'!$B$2)+1)),""),""))</ns0:f>
        <ns0:v>Yelmino Market Örnek İşletme</ns0:v>
      </ns0:c>
      <ns0:c r="G66" s="28" t="str">
        <ns0:f>IF(F66="","",IFERROR(INDEX('Müşteriler'!$C$2:$C$101,MATCH(F66,'Müşteriler'!$A$2:$A$101,0)),""))</ns0:f>
        <ns0:v>Kocaeli</ns0:v>
      </ns0:c>
      <ns0:c r="H66" s="28" t="str">
        <ns0:f>IF(A66="","",IF(C66&lt;=0,"Satış dışı",IF(OR(F66="",G66=""),"Eşleşmedi","Eşleşti")))</ns0:f>
        <ns0:v>Eşleşti</ns0:v>
      </ns0:c>
      <ns0:c r="I66" s="28">
        <ns0:f>I65+IF(AND(H66="Eşleşmedi",E66='Panel'!$B$4),1,0)</ns0:f>
        <ns0:v>0.0</ns0:v>
      </ns0:c>
    </ns0:row>
    <ns0:row r="67" ht="21" customHeight="1">
      <ns0:c r="A67" s="25" t="n">
        <ns0:v>46302</ns0:v>
      </ns0:c>
      <ns0:c r="B67" s="26" t="inlineStr">
        <ns0:is>
          <ns0:t>FAST GELEN - KURGUSAL YAPRIVA TICARET / FATURA ODEMESI</ns0:t>
        </ns0:is>
      </ns0:c>
      <ns0:c r="C67" s="27" t="n">
        <ns0:v>6312.3</ns0:v>
      </ns0:c>
      <ns0:c r="D67" s="27" t="n">
        <ns0:v>930896.6899999999</ns0:v>
      </ns0:c>
      <ns0:c r="E67" s="28" t="str">
        <ns0:f>IF(A67="","",YEAR(A67)&amp;"-"&amp;RIGHT("0"&amp;MONTH(A67),2))</ns0:f>
        <ns0:v>2026-10</ns0:v>
      </ns0:c>
      <ns0:c r="F67" s="28" t="str">
        <ns0:f>IF(OR(A67="",B67="",C67&lt;=0),"",IF(SUMPRODUCT(('Müşteriler'!$B$2:$B$101&lt;&gt;"")*ISNUMBER(SEARCH('Müşteriler'!$B$2:$B$101,B67)))=1,IFERROR(INDEX('Müşteriler'!$A$2:$A$101,SUMPRODUCT(('Müşteriler'!$B$2:$B$101&lt;&gt;"")*ISNUMBER(SEARCH('Müşteriler'!$B$2:$B$101,B67)),ROW('Müşteriler'!$B$2:$B$101)-ROW('Müşteriler'!$B$2)+1)),""),""))</ns0:f>
        <ns0:v>Yapriva Ticaret Örnek İşletme</ns0:v>
      </ns0:c>
      <ns0:c r="G67" s="28" t="str">
        <ns0:f>IF(F67="","",IFERROR(INDEX('Müşteriler'!$C$2:$C$101,MATCH(F67,'Müşteriler'!$A$2:$A$101,0)),""))</ns0:f>
        <ns0:v>Antalya</ns0:v>
      </ns0:c>
      <ns0:c r="H67" s="28" t="str">
        <ns0:f>IF(A67="","",IF(C67&lt;=0,"Satış dışı",IF(OR(F67="",G67=""),"Eşleşmedi","Eşleşti")))</ns0:f>
        <ns0:v>Eşleşti</ns0:v>
      </ns0:c>
      <ns0:c r="I67" s="28">
        <ns0:f>I66+IF(AND(H67="Eşleşmedi",E67='Panel'!$B$4),1,0)</ns0:f>
        <ns0:v>0.0</ns0:v>
      </ns0:c>
    </ns0:row>
    <ns0:row r="68" ht="21" customHeight="1">
      <ns0:c r="A68" s="25" t="n">
        <ns0:v>46303</ns0:v>
      </ns0:c>
      <ns0:c r="B68" s="26" t="inlineStr">
        <ns0:is>
          <ns0:t>FAST GELEN - BELIRSIZ GONDEREN 710</ns0:t>
        </ns0:is>
      </ns0:c>
      <ns0:c r="C68" s="27" t="n">
        <ns0:v>5350</ns0:v>
      </ns0:c>
      <ns0:c r="D68" s="27" t="n">
        <ns0:v>936246.6899999999</ns0:v>
      </ns0:c>
      <ns0:c r="E68" s="28" t="str">
        <ns0:f>IF(A68="","",YEAR(A68)&amp;"-"&amp;RIGHT("0"&amp;MONTH(A68),2))</ns0:f>
        <ns0:v>2026-10</ns0:v>
      </ns0:c>
      <ns0:c r="F68" s="28" t="str">
        <ns0:f>IF(OR(A68="",B68="",C68&lt;=0),"",IF(SUMPRODUCT(('Müşteriler'!$B$2:$B$101&lt;&gt;"")*ISNUMBER(SEARCH('Müşteriler'!$B$2:$B$101,B68)))=1,IFERROR(INDEX('Müşteriler'!$A$2:$A$101,SUMPRODUCT(('Müşteriler'!$B$2:$B$101&lt;&gt;"")*ISNUMBER(SEARCH('Müşteriler'!$B$2:$B$101,B68)),ROW('Müşteriler'!$B$2:$B$101)-ROW('Müşteriler'!$B$2)+1)),""),""))</ns0:f>
        <ns0:v/>
      </ns0:c>
      <ns0:c r="G68" s="28" t="str">
        <ns0:f>IF(F68="","",IFERROR(INDEX('Müşteriler'!$C$2:$C$101,MATCH(F68,'Müşteriler'!$A$2:$A$101,0)),""))</ns0:f>
        <ns0:v/>
      </ns0:c>
      <ns0:c r="H68" s="28" t="str">
        <ns0:f>IF(A68="","",IF(C68&lt;=0,"Satış dışı",IF(OR(F68="",G68=""),"Eşleşmedi","Eşleşti")))</ns0:f>
        <ns0:v>Eşleşmedi</ns0:v>
      </ns0:c>
      <ns0:c r="I68" s="28">
        <ns0:f>I67+IF(AND(H68="Eşleşmedi",E68='Panel'!$B$4),1,0)</ns0:f>
        <ns0:v>1.0</ns0:v>
      </ns0:c>
    </ns0:row>
    <ns0:row r="69" ht="21" customHeight="1">
      <ns0:c r="A69" s="25" t="n">
        <ns0:v>46304</ns0:v>
      </ns0:c>
      <ns0:c r="B69" s="26" t="inlineStr">
        <ns0:is>
          <ns0:t>EFT - GONDEREN: KURGUSAL KORALIN MARKET - CARI HESAP</ns0:t>
        </ns0:is>
      </ns0:c>
      <ns0:c r="C69" s="27" t="n">
        <ns0:v>10201.07</ns0:v>
      </ns0:c>
      <ns0:c r="D69" s="27" t="n">
        <ns0:v>946447.76</ns0:v>
      </ns0:c>
      <ns0:c r="E69" s="28" t="str">
        <ns0:f>IF(A69="","",YEAR(A69)&amp;"-"&amp;RIGHT("0"&amp;MONTH(A69),2))</ns0:f>
        <ns0:v>2026-10</ns0:v>
      </ns0:c>
      <ns0:c r="F69" s="28" t="str">
        <ns0:f>IF(OR(A69="",B69="",C69&lt;=0),"",IF(SUMPRODUCT(('Müşteriler'!$B$2:$B$101&lt;&gt;"")*ISNUMBER(SEARCH('Müşteriler'!$B$2:$B$101,B69)))=1,IFERROR(INDEX('Müşteriler'!$A$2:$A$101,SUMPRODUCT(('Müşteriler'!$B$2:$B$101&lt;&gt;"")*ISNUMBER(SEARCH('Müşteriler'!$B$2:$B$101,B69)),ROW('Müşteriler'!$B$2:$B$101)-ROW('Müşteriler'!$B$2)+1)),""),""))</ns0:f>
        <ns0:v>Koralin Market Örnek İşletme</ns0:v>
      </ns0:c>
      <ns0:c r="G69" s="28" t="str">
        <ns0:f>IF(F69="","",IFERROR(INDEX('Müşteriler'!$C$2:$C$101,MATCH(F69,'Müşteriler'!$A$2:$A$101,0)),""))</ns0:f>
        <ns0:v>Kocaeli</ns0:v>
      </ns0:c>
      <ns0:c r="H69" s="28" t="str">
        <ns0:f>IF(A69="","",IF(C69&lt;=0,"Satış dışı",IF(OR(F69="",G69=""),"Eşleşmedi","Eşleşti")))</ns0:f>
        <ns0:v>Eşleşti</ns0:v>
      </ns0:c>
      <ns0:c r="I69" s="28">
        <ns0:f>I68+IF(AND(H69="Eşleşmedi",E69='Panel'!$B$4),1,0)</ns0:f>
        <ns0:v>1.0</ns0:v>
      </ns0:c>
    </ns0:row>
    <ns0:row r="70" ht="21" customHeight="1">
      <ns0:c r="A70" s="25" t="n">
        <ns0:v>46304</ns0:v>
      </ns0:c>
      <ns0:c r="B70" s="26" t="inlineStr">
        <ns0:is>
          <ns0:t>EFT - GONDEREN: KURGUSAL KUMVADI TEDARIK - CARI HESAP</ns0:t>
        </ns0:is>
      </ns0:c>
      <ns0:c r="C70" s="27" t="n">
        <ns0:v>21837.08</ns0:v>
      </ns0:c>
      <ns0:c r="D70" s="27" t="n">
        <ns0:v>968284.84</ns0:v>
      </ns0:c>
      <ns0:c r="E70" s="28" t="str">
        <ns0:f>IF(A70="","",YEAR(A70)&amp;"-"&amp;RIGHT("0"&amp;MONTH(A70),2))</ns0:f>
        <ns0:v>2026-10</ns0:v>
      </ns0:c>
      <ns0:c r="F70" s="28" t="str">
        <ns0:f>IF(OR(A70="",B70="",C70&lt;=0),"",IF(SUMPRODUCT(('Müşteriler'!$B$2:$B$101&lt;&gt;"")*ISNUMBER(SEARCH('Müşteriler'!$B$2:$B$101,B70)))=1,IFERROR(INDEX('Müşteriler'!$A$2:$A$101,SUMPRODUCT(('Müşteriler'!$B$2:$B$101&lt;&gt;"")*ISNUMBER(SEARCH('Müşteriler'!$B$2:$B$101,B70)),ROW('Müşteriler'!$B$2:$B$101)-ROW('Müşteriler'!$B$2)+1)),""),""))</ns0:f>
        <ns0:v>Kumvadi Tedarik Örnek İşletme</ns0:v>
      </ns0:c>
      <ns0:c r="G70" s="28" t="str">
        <ns0:f>IF(F70="","",IFERROR(INDEX('Müşteriler'!$C$2:$C$101,MATCH(F70,'Müşteriler'!$A$2:$A$101,0)),""))</ns0:f>
        <ns0:v>İzmir</ns0:v>
      </ns0:c>
      <ns0:c r="H70" s="28" t="str">
        <ns0:f>IF(A70="","",IF(C70&lt;=0,"Satış dışı",IF(OR(F70="",G70=""),"Eşleşmedi","Eşleşti")))</ns0:f>
        <ns0:v>Eşleşti</ns0:v>
      </ns0:c>
      <ns0:c r="I70" s="28">
        <ns0:f>I69+IF(AND(H70="Eşleşmedi",E70='Panel'!$B$4),1,0)</ns0:f>
        <ns0:v>1.0</ns0:v>
      </ns0:c>
    </ns0:row>
    <ns0:row r="71" ht="21" customHeight="1">
      <ns0:c r="A71" s="25" t="n">
        <ns0:v>46304</ns0:v>
      </ns0:c>
      <ns0:c r="B71" s="26" t="inlineStr">
        <ns0:is>
          <ns0:t>FAST GELEN - KURGUSAL CISENTA TICARET / FATURA ODEMESI</ns0:t>
        </ns0:is>
      </ns0:c>
      <ns0:c r="C71" s="27" t="n">
        <ns0:v>5145.8</ns0:v>
      </ns0:c>
      <ns0:c r="D71" s="27" t="n">
        <ns0:v>973430.64</ns0:v>
      </ns0:c>
      <ns0:c r="E71" s="28" t="str">
        <ns0:f>IF(A71="","",YEAR(A71)&amp;"-"&amp;RIGHT("0"&amp;MONTH(A71),2))</ns0:f>
        <ns0:v>2026-10</ns0:v>
      </ns0:c>
      <ns0:c r="F71" s="28" t="str">
        <ns0:f>IF(OR(A71="",B71="",C71&lt;=0),"",IF(SUMPRODUCT(('Müşteriler'!$B$2:$B$101&lt;&gt;"")*ISNUMBER(SEARCH('Müşteriler'!$B$2:$B$101,B71)))=1,IFERROR(INDEX('Müşteriler'!$A$2:$A$101,SUMPRODUCT(('Müşteriler'!$B$2:$B$101&lt;&gt;"")*ISNUMBER(SEARCH('Müşteriler'!$B$2:$B$101,B71)),ROW('Müşteriler'!$B$2:$B$101)-ROW('Müşteriler'!$B$2)+1)),""),""))</ns0:f>
        <ns0:v>Çisenta Ticaret Örnek İşletme</ns0:v>
      </ns0:c>
      <ns0:c r="G71" s="28" t="str">
        <ns0:f>IF(F71="","",IFERROR(INDEX('Müşteriler'!$C$2:$C$101,MATCH(F71,'Müşteriler'!$A$2:$A$101,0)),""))</ns0:f>
        <ns0:v>Antalya</ns0:v>
      </ns0:c>
      <ns0:c r="H71" s="28" t="str">
        <ns0:f>IF(A71="","",IF(C71&lt;=0,"Satış dışı",IF(OR(F71="",G71=""),"Eşleşmedi","Eşleşti")))</ns0:f>
        <ns0:v>Eşleşti</ns0:v>
      </ns0:c>
      <ns0:c r="I71" s="28">
        <ns0:f>I70+IF(AND(H71="Eşleşmedi",E71='Panel'!$B$4),1,0)</ns0:f>
        <ns0:v>1.0</ns0:v>
      </ns0:c>
    </ns0:row>
    <ns0:row r="72" ht="21" customHeight="1">
      <ns0:c r="A72" s="25" t="n">
        <ns0:v>46304</ns0:v>
      </ns0:c>
      <ns0:c r="B72" s="26" t="inlineStr">
        <ns0:is>
          <ns0:t>HAVALE KURGUSAL GUNSERA TICARET / MAL BEDELI</ns0:t>
        </ns0:is>
      </ns0:c>
      <ns0:c r="C72" s="27" t="n">
        <ns0:v>4655.45</ns0:v>
      </ns0:c>
      <ns0:c r="D72" s="27" t="n">
        <ns0:v>978086.09</ns0:v>
      </ns0:c>
      <ns0:c r="E72" s="28" t="str">
        <ns0:f>IF(A72="","",YEAR(A72)&amp;"-"&amp;RIGHT("0"&amp;MONTH(A72),2))</ns0:f>
        <ns0:v>2026-10</ns0:v>
      </ns0:c>
      <ns0:c r="F72" s="28" t="str">
        <ns0:f>IF(OR(A72="",B72="",C72&lt;=0),"",IF(SUMPRODUCT(('Müşteriler'!$B$2:$B$101&lt;&gt;"")*ISNUMBER(SEARCH('Müşteriler'!$B$2:$B$101,B72)))=1,IFERROR(INDEX('Müşteriler'!$A$2:$A$101,SUMPRODUCT(('Müşteriler'!$B$2:$B$101&lt;&gt;"")*ISNUMBER(SEARCH('Müşteriler'!$B$2:$B$101,B72)),ROW('Müşteriler'!$B$2:$B$101)-ROW('Müşteriler'!$B$2)+1)),""),""))</ns0:f>
        <ns0:v>Günsera Ticaret Örnek İşletme</ns0:v>
      </ns0:c>
      <ns0:c r="G72" s="28" t="str">
        <ns0:f>IF(F72="","",IFERROR(INDEX('Müşteriler'!$C$2:$C$101,MATCH(F72,'Müşteriler'!$A$2:$A$101,0)),""))</ns0:f>
        <ns0:v>Gaziantep</ns0:v>
      </ns0:c>
      <ns0:c r="H72" s="28" t="str">
        <ns0:f>IF(A72="","",IF(C72&lt;=0,"Satış dışı",IF(OR(F72="",G72=""),"Eşleşmedi","Eşleşti")))</ns0:f>
        <ns0:v>Eşleşti</ns0:v>
      </ns0:c>
      <ns0:c r="I72" s="28">
        <ns0:f>I71+IF(AND(H72="Eşleşmedi",E72='Panel'!$B$4),1,0)</ns0:f>
        <ns0:v>1.0</ns0:v>
      </ns0:c>
    </ns0:row>
    <ns0:row r="73" ht="21" customHeight="1">
      <ns0:c r="A73" s="25" t="n">
        <ns0:v>46307</ns0:v>
      </ns0:c>
      <ns0:c r="B73" s="26" t="inlineStr">
        <ns0:is>
          <ns0:t>EFT - GONDEREN: KURGUSAL AYSERIN DAGITIM - CARI HESAP</ns0:t>
        </ns0:is>
      </ns0:c>
      <ns0:c r="C73" s="27" t="n">
        <ns0:v>11521.93</ns0:v>
      </ns0:c>
      <ns0:c r="D73" s="27" t="n">
        <ns0:v>989608.02</ns0:v>
      </ns0:c>
      <ns0:c r="E73" s="28" t="str">
        <ns0:f>IF(A73="","",YEAR(A73)&amp;"-"&amp;RIGHT("0"&amp;MONTH(A73),2))</ns0:f>
        <ns0:v>2026-10</ns0:v>
      </ns0:c>
      <ns0:c r="F73" s="28" t="str">
        <ns0:f>IF(OR(A73="",B73="",C73&lt;=0),"",IF(SUMPRODUCT(('Müşteriler'!$B$2:$B$101&lt;&gt;"")*ISNUMBER(SEARCH('Müşteriler'!$B$2:$B$101,B73)))=1,IFERROR(INDEX('Müşteriler'!$A$2:$A$101,SUMPRODUCT(('Müşteriler'!$B$2:$B$101&lt;&gt;"")*ISNUMBER(SEARCH('Müşteriler'!$B$2:$B$101,B73)),ROW('Müşteriler'!$B$2:$B$101)-ROW('Müşteriler'!$B$2)+1)),""),""))</ns0:f>
        <ns0:v>Ayserin Dağıtım Örnek İşletme</ns0:v>
      </ns0:c>
      <ns0:c r="G73" s="28" t="str">
        <ns0:f>IF(F73="","",IFERROR(INDEX('Müşteriler'!$C$2:$C$101,MATCH(F73,'Müşteriler'!$A$2:$A$101,0)),""))</ns0:f>
        <ns0:v>Bursa</ns0:v>
      </ns0:c>
      <ns0:c r="H73" s="28" t="str">
        <ns0:f>IF(A73="","",IF(C73&lt;=0,"Satış dışı",IF(OR(F73="",G73=""),"Eşleşmedi","Eşleşti")))</ns0:f>
        <ns0:v>Eşleşti</ns0:v>
      </ns0:c>
      <ns0:c r="I73" s="28">
        <ns0:f>I72+IF(AND(H73="Eşleşmedi",E73='Panel'!$B$4),1,0)</ns0:f>
        <ns0:v>1.0</ns0:v>
      </ns0:c>
    </ns0:row>
    <ns0:row r="74" ht="21" customHeight="1">
      <ns0:c r="A74" s="25" t="n">
        <ns0:v>46307</ns0:v>
      </ns0:c>
      <ns0:c r="B74" s="26" t="inlineStr">
        <ns0:is>
          <ns0:t>HAVALE KURGUSAL AYVENK TICARET / MAL BEDELI</ns0:t>
        </ns0:is>
      </ns0:c>
      <ns0:c r="C74" s="27" t="n">
        <ns0:v>17502.93</ns0:v>
      </ns0:c>
      <ns0:c r="D74" s="27" t="n">
        <ns0:v>1007110.95</ns0:v>
      </ns0:c>
      <ns0:c r="E74" s="28" t="str">
        <ns0:f>IF(A74="","",YEAR(A74)&amp;"-"&amp;RIGHT("0"&amp;MONTH(A74),2))</ns0:f>
        <ns0:v>2026-10</ns0:v>
      </ns0:c>
      <ns0:c r="F74" s="28" t="str">
        <ns0:f>IF(OR(A74="",B74="",C74&lt;=0),"",IF(SUMPRODUCT(('Müşteriler'!$B$2:$B$101&lt;&gt;"")*ISNUMBER(SEARCH('Müşteriler'!$B$2:$B$101,B74)))=1,IFERROR(INDEX('Müşteriler'!$A$2:$A$101,SUMPRODUCT(('Müşteriler'!$B$2:$B$101&lt;&gt;"")*ISNUMBER(SEARCH('Müşteriler'!$B$2:$B$101,B74)),ROW('Müşteriler'!$B$2:$B$101)-ROW('Müşteriler'!$B$2)+1)),""),""))</ns0:f>
        <ns0:v>Ayvenk Ticaret Örnek İşletme</ns0:v>
      </ns0:c>
      <ns0:c r="G74" s="28" t="str">
        <ns0:f>IF(F74="","",IFERROR(INDEX('Müşteriler'!$C$2:$C$101,MATCH(F74,'Müşteriler'!$A$2:$A$101,0)),""))</ns0:f>
        <ns0:v>Antalya</ns0:v>
      </ns0:c>
      <ns0:c r="H74" s="28" t="str">
        <ns0:f>IF(A74="","",IF(C74&lt;=0,"Satış dışı",IF(OR(F74="",G74=""),"Eşleşmedi","Eşleşti")))</ns0:f>
        <ns0:v>Eşleşti</ns0:v>
      </ns0:c>
      <ns0:c r="I74" s="28">
        <ns0:f>I73+IF(AND(H74="Eşleşmedi",E74='Panel'!$B$4),1,0)</ns0:f>
        <ns0:v>1.0</ns0:v>
      </ns0:c>
    </ns0:row>
    <ns0:row r="75" ht="21" customHeight="1">
      <ns0:c r="A75" s="25" t="n">
        <ns0:v>46307</ns0:v>
      </ns0:c>
      <ns0:c r="B75" s="26" t="inlineStr">
        <ns0:is>
          <ns0:t>HAVALE KURGUSAL MORCATI TEDARIK / MAL BEDELI</ns0:t>
        </ns0:is>
      </ns0:c>
      <ns0:c r="C75" s="27" t="n">
        <ns0:v>8168.85</ns0:v>
      </ns0:c>
      <ns0:c r="D75" s="27" t="n">
        <ns0:v>1015279.8</ns0:v>
      </ns0:c>
      <ns0:c r="E75" s="28" t="str">
        <ns0:f>IF(A75="","",YEAR(A75)&amp;"-"&amp;RIGHT("0"&amp;MONTH(A75),2))</ns0:f>
        <ns0:v>2026-10</ns0:v>
      </ns0:c>
      <ns0:c r="F75" s="28" t="str">
        <ns0:f>IF(OR(A75="",B75="",C75&lt;=0),"",IF(SUMPRODUCT(('Müşteriler'!$B$2:$B$101&lt;&gt;"")*ISNUMBER(SEARCH('Müşteriler'!$B$2:$B$101,B75)))=1,IFERROR(INDEX('Müşteriler'!$A$2:$A$101,SUMPRODUCT(('Müşteriler'!$B$2:$B$101&lt;&gt;"")*ISNUMBER(SEARCH('Müşteriler'!$B$2:$B$101,B75)),ROW('Müşteriler'!$B$2:$B$101)-ROW('Müşteriler'!$B$2)+1)),""),""))</ns0:f>
        <ns0:v>Morçatı Tedarik Örnek İşletme</ns0:v>
      </ns0:c>
      <ns0:c r="G75" s="28" t="str">
        <ns0:f>IF(F75="","",IFERROR(INDEX('Müşteriler'!$C$2:$C$101,MATCH(F75,'Müşteriler'!$A$2:$A$101,0)),""))</ns0:f>
        <ns0:v>Sakarya</ns0:v>
      </ns0:c>
      <ns0:c r="H75" s="28" t="str">
        <ns0:f>IF(A75="","",IF(C75&lt;=0,"Satış dışı",IF(OR(F75="",G75=""),"Eşleşmedi","Eşleşti")))</ns0:f>
        <ns0:v>Eşleşti</ns0:v>
      </ns0:c>
      <ns0:c r="I75" s="28">
        <ns0:f>I74+IF(AND(H75="Eşleşmedi",E75='Panel'!$B$4),1,0)</ns0:f>
        <ns0:v>1.0</ns0:v>
      </ns0:c>
    </ns0:row>
    <ns0:row r="76" ht="21" customHeight="1">
      <ns0:c r="A76" s="25" t="n">
        <ns0:v>46309</ns0:v>
      </ns0:c>
      <ns0:c r="B76" s="26" t="inlineStr">
        <ns0:is>
          <ns0:t>EFT - GONDEREN: KURGUSAL BULUTIZ MARKET - CARI HESAP</ns0:t>
        </ns0:is>
      </ns0:c>
      <ns0:c r="C76" s="27" t="n">
        <ns0:v>5081.28</ns0:v>
      </ns0:c>
      <ns0:c r="D76" s="27" t="n">
        <ns0:v>1020361.08</ns0:v>
      </ns0:c>
      <ns0:c r="E76" s="28" t="str">
        <ns0:f>IF(A76="","",YEAR(A76)&amp;"-"&amp;RIGHT("0"&amp;MONTH(A76),2))</ns0:f>
        <ns0:v>2026-10</ns0:v>
      </ns0:c>
      <ns0:c r="F76" s="28" t="str">
        <ns0:f>IF(OR(A76="",B76="",C76&lt;=0),"",IF(SUMPRODUCT(('Müşteriler'!$B$2:$B$101&lt;&gt;"")*ISNUMBER(SEARCH('Müşteriler'!$B$2:$B$101,B76)))=1,IFERROR(INDEX('Müşteriler'!$A$2:$A$101,SUMPRODUCT(('Müşteriler'!$B$2:$B$101&lt;&gt;"")*ISNUMBER(SEARCH('Müşteriler'!$B$2:$B$101,B76)),ROW('Müşteriler'!$B$2:$B$101)-ROW('Müşteriler'!$B$2)+1)),""),""))</ns0:f>
        <ns0:v>Bulutiz Market Örnek İşletme</ns0:v>
      </ns0:c>
      <ns0:c r="G76" s="28" t="str">
        <ns0:f>IF(F76="","",IFERROR(INDEX('Müşteriler'!$C$2:$C$101,MATCH(F76,'Müşteriler'!$A$2:$A$101,0)),""))</ns0:f>
        <ns0:v>Ankara</ns0:v>
      </ns0:c>
      <ns0:c r="H76" s="28" t="str">
        <ns0:f>IF(A76="","",IF(C76&lt;=0,"Satış dışı",IF(OR(F76="",G76=""),"Eşleşmedi","Eşleşti")))</ns0:f>
        <ns0:v>Eşleşti</ns0:v>
      </ns0:c>
      <ns0:c r="I76" s="28">
        <ns0:f>I75+IF(AND(H76="Eşleşmedi",E76='Panel'!$B$4),1,0)</ns0:f>
        <ns0:v>1.0</ns0:v>
      </ns0:c>
    </ns0:row>
    <ns0:row r="77" ht="21" customHeight="1">
      <ns0:c r="A77" s="25" t="n">
        <ns0:v>46309</ns0:v>
      </ns0:c>
      <ns0:c r="B77" s="26" t="inlineStr">
        <ns0:is>
          <ns0:t>FAST GELEN - KURGUSAL CINARIZ DAGITIM / FATURA ODEMESI</ns0:t>
        </ns0:is>
      </ns0:c>
      <ns0:c r="C77" s="27" t="n">
        <ns0:v>11861.1</ns0:v>
      </ns0:c>
      <ns0:c r="D77" s="27" t="n">
        <ns0:v>1032222.18</ns0:v>
      </ns0:c>
      <ns0:c r="E77" s="28" t="str">
        <ns0:f>IF(A77="","",YEAR(A77)&amp;"-"&amp;RIGHT("0"&amp;MONTH(A77),2))</ns0:f>
        <ns0:v>2026-10</ns0:v>
      </ns0:c>
      <ns0:c r="F77" s="28" t="str">
        <ns0:f>IF(OR(A77="",B77="",C77&lt;=0),"",IF(SUMPRODUCT(('Müşteriler'!$B$2:$B$101&lt;&gt;"")*ISNUMBER(SEARCH('Müşteriler'!$B$2:$B$101,B77)))=1,IFERROR(INDEX('Müşteriler'!$A$2:$A$101,SUMPRODUCT(('Müşteriler'!$B$2:$B$101&lt;&gt;"")*ISNUMBER(SEARCH('Müşteriler'!$B$2:$B$101,B77)),ROW('Müşteriler'!$B$2:$B$101)-ROW('Müşteriler'!$B$2)+1)),""),""))</ns0:f>
        <ns0:v>Çınariz Dağıtım Örnek İşletme</ns0:v>
      </ns0:c>
      <ns0:c r="G77" s="28" t="str">
        <ns0:f>IF(F77="","",IFERROR(INDEX('Müşteriler'!$C$2:$C$101,MATCH(F77,'Müşteriler'!$A$2:$A$101,0)),""))</ns0:f>
        <ns0:v>Bursa</ns0:v>
      </ns0:c>
      <ns0:c r="H77" s="28" t="str">
        <ns0:f>IF(A77="","",IF(C77&lt;=0,"Satış dışı",IF(OR(F77="",G77=""),"Eşleşmedi","Eşleşti")))</ns0:f>
        <ns0:v>Eşleşti</ns0:v>
      </ns0:c>
      <ns0:c r="I77" s="28">
        <ns0:f>I76+IF(AND(H77="Eşleşmedi",E77='Panel'!$B$4),1,0)</ns0:f>
        <ns0:v>1.0</ns0:v>
      </ns0:c>
    </ns0:row>
    <ns0:row r="78" ht="21" customHeight="1">
      <ns0:c r="A78" s="25" t="n">
        <ns0:v>46309</ns0:v>
      </ns0:c>
      <ns0:c r="B78" s="26" t="inlineStr">
        <ns0:is>
          <ns0:t>FAST GELEN - TANIMSIZ ISLETME 820</ns0:t>
        </ns0:is>
      </ns0:c>
      <ns0:c r="C78" s="27" t="n">
        <ns0:v>7080.5</ns0:v>
      </ns0:c>
      <ns0:c r="D78" s="27" t="n">
        <ns0:v>1039302.68</ns0:v>
      </ns0:c>
      <ns0:c r="E78" s="28" t="str">
        <ns0:f>IF(A78="","",YEAR(A78)&amp;"-"&amp;RIGHT("0"&amp;MONTH(A78),2))</ns0:f>
        <ns0:v>2026-10</ns0:v>
      </ns0:c>
      <ns0:c r="F78" s="28" t="str">
        <ns0:f>IF(OR(A78="",B78="",C78&lt;=0),"",IF(SUMPRODUCT(('Müşteriler'!$B$2:$B$101&lt;&gt;"")*ISNUMBER(SEARCH('Müşteriler'!$B$2:$B$101,B78)))=1,IFERROR(INDEX('Müşteriler'!$A$2:$A$101,SUMPRODUCT(('Müşteriler'!$B$2:$B$101&lt;&gt;"")*ISNUMBER(SEARCH('Müşteriler'!$B$2:$B$101,B78)),ROW('Müşteriler'!$B$2:$B$101)-ROW('Müşteriler'!$B$2)+1)),""),""))</ns0:f>
        <ns0:v/>
      </ns0:c>
      <ns0:c r="G78" s="28" t="str">
        <ns0:f>IF(F78="","",IFERROR(INDEX('Müşteriler'!$C$2:$C$101,MATCH(F78,'Müşteriler'!$A$2:$A$101,0)),""))</ns0:f>
        <ns0:v/>
      </ns0:c>
      <ns0:c r="H78" s="28" t="str">
        <ns0:f>IF(A78="","",IF(C78&lt;=0,"Satış dışı",IF(OR(F78="",G78=""),"Eşleşmedi","Eşleşti")))</ns0:f>
        <ns0:v>Eşleşmedi</ns0:v>
      </ns0:c>
      <ns0:c r="I78" s="28">
        <ns0:f>I77+IF(AND(H78="Eşleşmedi",E78='Panel'!$B$4),1,0)</ns0:f>
        <ns0:v>2.0</ns0:v>
      </ns0:c>
    </ns0:row>
    <ns0:row r="79" ht="21" customHeight="1">
      <ns0:c r="A79" s="25" t="n">
        <ns0:v>46310</ns0:v>
      </ns0:c>
      <ns0:c r="B79" s="26" t="inlineStr">
        <ns0:is>
          <ns0:t>EFT - GONDEREN: KURGUSAL KERVOLA TEDARIK - CARI HESAP</ns0:t>
        </ns0:is>
      </ns0:c>
      <ns0:c r="C79" s="27" t="n">
        <ns0:v>11384.76</ns0:v>
      </ns0:c>
      <ns0:c r="D79" s="27" t="n">
        <ns0:v>1050687.44</ns0:v>
      </ns0:c>
      <ns0:c r="E79" s="28" t="str">
        <ns0:f>IF(A79="","",YEAR(A79)&amp;"-"&amp;RIGHT("0"&amp;MONTH(A79),2))</ns0:f>
        <ns0:v>2026-10</ns0:v>
      </ns0:c>
      <ns0:c r="F79" s="28" t="str">
        <ns0:f>IF(OR(A79="",B79="",C79&lt;=0),"",IF(SUMPRODUCT(('Müşteriler'!$B$2:$B$101&lt;&gt;"")*ISNUMBER(SEARCH('Müşteriler'!$B$2:$B$101,B79)))=1,IFERROR(INDEX('Müşteriler'!$A$2:$A$101,SUMPRODUCT(('Müşteriler'!$B$2:$B$101&lt;&gt;"")*ISNUMBER(SEARCH('Müşteriler'!$B$2:$B$101,B79)),ROW('Müşteriler'!$B$2:$B$101)-ROW('Müşteriler'!$B$2)+1)),""),""))</ns0:f>
        <ns0:v>Kervola Tedarik Örnek İşletme</ns0:v>
      </ns0:c>
      <ns0:c r="G79" s="28" t="str">
        <ns0:f>IF(F79="","",IFERROR(INDEX('Müşteriler'!$C$2:$C$101,MATCH(F79,'Müşteriler'!$A$2:$A$101,0)),""))</ns0:f>
        <ns0:v>İzmir</ns0:v>
      </ns0:c>
      <ns0:c r="H79" s="28" t="str">
        <ns0:f>IF(A79="","",IF(C79&lt;=0,"Satış dışı",IF(OR(F79="",G79=""),"Eşleşmedi","Eşleşti")))</ns0:f>
        <ns0:v>Eşleşti</ns0:v>
      </ns0:c>
      <ns0:c r="I79" s="28">
        <ns0:f>I78+IF(AND(H79="Eşleşmedi",E79='Panel'!$B$4),1,0)</ns0:f>
        <ns0:v>2.0</ns0:v>
      </ns0:c>
    </ns0:row>
    <ns0:row r="80" ht="21" customHeight="1">
      <ns0:c r="A80" s="25" t="n">
        <ns0:v>46310</ns0:v>
      </ns0:c>
      <ns0:c r="B80" s="26" t="inlineStr">
        <ns0:is>
          <ns0:t>MAAS ODEMESI - PERSONEL TOPLU</ns0:t>
        </ns0:is>
      </ns0:c>
      <ns0:c r="C80" s="27" t="n">
        <ns0:v>-32750</ns0:v>
      </ns0:c>
      <ns0:c r="D80" s="27" t="n">
        <ns0:v>1017937.44</ns0:v>
      </ns0:c>
      <ns0:c r="E80" s="28" t="str">
        <ns0:f>IF(A80="","",YEAR(A80)&amp;"-"&amp;RIGHT("0"&amp;MONTH(A80),2))</ns0:f>
        <ns0:v>2026-10</ns0:v>
      </ns0:c>
      <ns0:c r="F80" s="28" t="str">
        <ns0:f>IF(OR(A80="",B80="",C80&lt;=0),"",IF(SUMPRODUCT(('Müşteriler'!$B$2:$B$101&lt;&gt;"")*ISNUMBER(SEARCH('Müşteriler'!$B$2:$B$101,B80)))=1,IFERROR(INDEX('Müşteriler'!$A$2:$A$101,SUMPRODUCT(('Müşteriler'!$B$2:$B$101&lt;&gt;"")*ISNUMBER(SEARCH('Müşteriler'!$B$2:$B$101,B80)),ROW('Müşteriler'!$B$2:$B$101)-ROW('Müşteriler'!$B$2)+1)),""),""))</ns0:f>
        <ns0:v/>
      </ns0:c>
      <ns0:c r="G80" s="28" t="str">
        <ns0:f>IF(F80="","",IFERROR(INDEX('Müşteriler'!$C$2:$C$101,MATCH(F80,'Müşteriler'!$A$2:$A$101,0)),""))</ns0:f>
        <ns0:v/>
      </ns0:c>
      <ns0:c r="H80" s="28" t="str">
        <ns0:f>IF(A80="","",IF(C80&lt;=0,"Satış dışı",IF(OR(F80="",G80=""),"Eşleşmedi","Eşleşti")))</ns0:f>
        <ns0:v>Satış dışı</ns0:v>
      </ns0:c>
      <ns0:c r="I80" s="28">
        <ns0:f>I79+IF(AND(H80="Eşleşmedi",E80='Panel'!$B$4),1,0)</ns0:f>
        <ns0:v>2.0</ns0:v>
      </ns0:c>
    </ns0:row>
    <ns0:row r="81" ht="21" customHeight="1">
      <ns0:c r="A81" s="25" t="n">
        <ns0:v>46311</ns0:v>
      </ns0:c>
      <ns0:c r="B81" s="26" t="inlineStr">
        <ns0:is>
          <ns0:t>FAST GELEN - KURGUSAL CIYROTA GIDA / FATURA ODEMESI</ns0:t>
        </ns0:is>
      </ns0:c>
      <ns0:c r="C81" s="27" t="n">
        <ns0:v>3598.52</ns0:v>
      </ns0:c>
      <ns0:c r="D81" s="27" t="n">
        <ns0:v>1021535.96</ns0:v>
      </ns0:c>
      <ns0:c r="E81" s="28" t="str">
        <ns0:f>IF(A81="","",YEAR(A81)&amp;"-"&amp;RIGHT("0"&amp;MONTH(A81),2))</ns0:f>
        <ns0:v>2026-10</ns0:v>
      </ns0:c>
      <ns0:c r="F81" s="28" t="str">
        <ns0:f>IF(OR(A81="",B81="",C81&lt;=0),"",IF(SUMPRODUCT(('Müşteriler'!$B$2:$B$101&lt;&gt;"")*ISNUMBER(SEARCH('Müşteriler'!$B$2:$B$101,B81)))=1,IFERROR(INDEX('Müşteriler'!$A$2:$A$101,SUMPRODUCT(('Müşteriler'!$B$2:$B$101&lt;&gt;"")*ISNUMBER(SEARCH('Müşteriler'!$B$2:$B$101,B81)),ROW('Müşteriler'!$B$2:$B$101)-ROW('Müşteriler'!$B$2)+1)),""),""))</ns0:f>
        <ns0:v>Çiyrota Gıda Örnek İşletme</ns0:v>
      </ns0:c>
      <ns0:c r="G81" s="28" t="str">
        <ns0:f>IF(F81="","",IFERROR(INDEX('Müşteriler'!$C$2:$C$101,MATCH(F81,'Müşteriler'!$A$2:$A$101,0)),""))</ns0:f>
        <ns0:v>İstanbul</ns0:v>
      </ns0:c>
      <ns0:c r="H81" s="28" t="str">
        <ns0:f>IF(A81="","",IF(C81&lt;=0,"Satış dışı",IF(OR(F81="",G81=""),"Eşleşmedi","Eşleşti")))</ns0:f>
        <ns0:v>Eşleşti</ns0:v>
      </ns0:c>
      <ns0:c r="I81" s="28">
        <ns0:f>I80+IF(AND(H81="Eşleşmedi",E81='Panel'!$B$4),1,0)</ns0:f>
        <ns0:v>2.0</ns0:v>
      </ns0:c>
    </ns0:row>
    <ns0:row r="82" ht="21" customHeight="1">
      <ns0:c r="A82" s="25" t="n">
        <ns0:v>46313</ns0:v>
      </ns0:c>
      <ns0:c r="B82" s="26" t="inlineStr">
        <ns0:is>
          <ns0:t>FAST GELEN - KURGUSAL KUMSERA GIDA / FATURA ODEMESI</ns0:t>
        </ns0:is>
      </ns0:c>
      <ns0:c r="C82" s="27" t="n">
        <ns0:v>47374.45</ns0:v>
      </ns0:c>
      <ns0:c r="D82" s="27" t="n">
        <ns0:v>1068910.41</ns0:v>
      </ns0:c>
      <ns0:c r="E82" s="28" t="str">
        <ns0:f>IF(A82="","",YEAR(A82)&amp;"-"&amp;RIGHT("0"&amp;MONTH(A82),2))</ns0:f>
        <ns0:v>2026-10</ns0:v>
      </ns0:c>
      <ns0:c r="F82" s="28" t="str">
        <ns0:f>IF(OR(A82="",B82="",C82&lt;=0),"",IF(SUMPRODUCT(('Müşteriler'!$B$2:$B$101&lt;&gt;"")*ISNUMBER(SEARCH('Müşteriler'!$B$2:$B$101,B82)))=1,IFERROR(INDEX('Müşteriler'!$A$2:$A$101,SUMPRODUCT(('Müşteriler'!$B$2:$B$101&lt;&gt;"")*ISNUMBER(SEARCH('Müşteriler'!$B$2:$B$101,B82)),ROW('Müşteriler'!$B$2:$B$101)-ROW('Müşteriler'!$B$2)+1)),""),""))</ns0:f>
        <ns0:v>Kumsera Gıda Örnek İşletme</ns0:v>
      </ns0:c>
      <ns0:c r="G82" s="28" t="str">
        <ns0:f>IF(F82="","",IFERROR(INDEX('Müşteriler'!$C$2:$C$101,MATCH(F82,'Müşteriler'!$A$2:$A$101,0)),""))</ns0:f>
        <ns0:v>Konya</ns0:v>
      </ns0:c>
      <ns0:c r="H82" s="28" t="str">
        <ns0:f>IF(A82="","",IF(C82&lt;=0,"Satış dışı",IF(OR(F82="",G82=""),"Eşleşmedi","Eşleşti")))</ns0:f>
        <ns0:v>Eşleşti</ns0:v>
      </ns0:c>
      <ns0:c r="I82" s="28">
        <ns0:f>I81+IF(AND(H82="Eşleşmedi",E82='Panel'!$B$4),1,0)</ns0:f>
        <ns0:v>2.0</ns0:v>
      </ns0:c>
    </ns0:row>
    <ns0:row r="83" ht="21" customHeight="1">
      <ns0:c r="A83" s="25" t="n">
        <ns0:v>46313</ns0:v>
      </ns0:c>
      <ns0:c r="B83" s="26" t="inlineStr">
        <ns0:is>
          <ns0:t>FAST GELEN - KURGUSAL TANYUVA GIDA / FATURA ODEMESI</ns0:t>
        </ns0:is>
      </ns0:c>
      <ns0:c r="C83" s="27" t="n">
        <ns0:v>17244.7</ns0:v>
      </ns0:c>
      <ns0:c r="D83" s="27" t="n">
        <ns0:v>1086155.11</ns0:v>
      </ns0:c>
      <ns0:c r="E83" s="28" t="str">
        <ns0:f>IF(A83="","",YEAR(A83)&amp;"-"&amp;RIGHT("0"&amp;MONTH(A83),2))</ns0:f>
        <ns0:v>2026-10</ns0:v>
      </ns0:c>
      <ns0:c r="F83" s="28" t="str">
        <ns0:f>IF(OR(A83="",B83="",C83&lt;=0),"",IF(SUMPRODUCT(('Müşteriler'!$B$2:$B$101&lt;&gt;"")*ISNUMBER(SEARCH('Müşteriler'!$B$2:$B$101,B83)))=1,IFERROR(INDEX('Müşteriler'!$A$2:$A$101,SUMPRODUCT(('Müşteriler'!$B$2:$B$101&lt;&gt;"")*ISNUMBER(SEARCH('Müşteriler'!$B$2:$B$101,B83)),ROW('Müşteriler'!$B$2:$B$101)-ROW('Müşteriler'!$B$2)+1)),""),""))</ns0:f>
        <ns0:v>Tanyuva Gıda Örnek İşletme</ns0:v>
      </ns0:c>
      <ns0:c r="G83" s="28" t="str">
        <ns0:f>IF(F83="","",IFERROR(INDEX('Müşteriler'!$C$2:$C$101,MATCH(F83,'Müşteriler'!$A$2:$A$101,0)),""))</ns0:f>
        <ns0:v>İstanbul</ns0:v>
      </ns0:c>
      <ns0:c r="H83" s="28" t="str">
        <ns0:f>IF(A83="","",IF(C83&lt;=0,"Satış dışı",IF(OR(F83="",G83=""),"Eşleşmedi","Eşleşti")))</ns0:f>
        <ns0:v>Eşleşti</ns0:v>
      </ns0:c>
      <ns0:c r="I83" s="28">
        <ns0:f>I82+IF(AND(H83="Eşleşmedi",E83='Panel'!$B$4),1,0)</ns0:f>
        <ns0:v>2.0</ns0:v>
      </ns0:c>
    </ns0:row>
    <ns0:row r="84" ht="21" customHeight="1">
      <ns0:c r="A84" s="25" t="n">
        <ns0:v>46314</ns0:v>
      </ns0:c>
      <ns0:c r="B84" s="26" t="inlineStr">
        <ns0:is>
          <ns0:t>EFT - GONDEREN: KURGUSAL MAVIDAL GIDA - CARI HESAP</ns0:t>
        </ns0:is>
      </ns0:c>
      <ns0:c r="C84" s="27" t="n">
        <ns0:v>4059.73</ns0:v>
      </ns0:c>
      <ns0:c r="D84" s="27" t="n">
        <ns0:v>1090214.84</ns0:v>
      </ns0:c>
      <ns0:c r="E84" s="28" t="str">
        <ns0:f>IF(A84="","",YEAR(A84)&amp;"-"&amp;RIGHT("0"&amp;MONTH(A84),2))</ns0:f>
        <ns0:v>2026-10</ns0:v>
      </ns0:c>
      <ns0:c r="F84" s="28" t="str">
        <ns0:f>IF(OR(A84="",B84="",C84&lt;=0),"",IF(SUMPRODUCT(('Müşteriler'!$B$2:$B$101&lt;&gt;"")*ISNUMBER(SEARCH('Müşteriler'!$B$2:$B$101,B84)))=1,IFERROR(INDEX('Müşteriler'!$A$2:$A$101,SUMPRODUCT(('Müşteriler'!$B$2:$B$101&lt;&gt;"")*ISNUMBER(SEARCH('Müşteriler'!$B$2:$B$101,B84)),ROW('Müşteriler'!$B$2:$B$101)-ROW('Müşteriler'!$B$2)+1)),""),""))</ns0:f>
        <ns0:v>Mavidal Gıda Örnek İşletme</ns0:v>
      </ns0:c>
      <ns0:c r="G84" s="28" t="str">
        <ns0:f>IF(F84="","",IFERROR(INDEX('Müşteriler'!$C$2:$C$101,MATCH(F84,'Müşteriler'!$A$2:$A$101,0)),""))</ns0:f>
        <ns0:v>İstanbul</ns0:v>
      </ns0:c>
      <ns0:c r="H84" s="28" t="str">
        <ns0:f>IF(A84="","",IF(C84&lt;=0,"Satış dışı",IF(OR(F84="",G84=""),"Eşleşmedi","Eşleşti")))</ns0:f>
        <ns0:v>Eşleşti</ns0:v>
      </ns0:c>
      <ns0:c r="I84" s="28">
        <ns0:f>I83+IF(AND(H84="Eşleşmedi",E84='Panel'!$B$4),1,0)</ns0:f>
        <ns0:v>2.0</ns0:v>
      </ns0:c>
    </ns0:row>
    <ns0:row r="85" ht="21" customHeight="1">
      <ns0:c r="A85" s="25" t="n">
        <ns0:v>46314</ns0:v>
      </ns0:c>
      <ns0:c r="B85" s="26" t="inlineStr">
        <ns0:is>
          <ns0:t>EFT - GONDEREN: KURGUSAL ZEROVA TEDARIK - CARI HESAP</ns0:t>
        </ns0:is>
      </ns0:c>
      <ns0:c r="C85" s="27" t="n">
        <ns0:v>5858.73</ns0:v>
      </ns0:c>
      <ns0:c r="D85" s="27" t="n">
        <ns0:v>1096073.57</ns0:v>
      </ns0:c>
      <ns0:c r="E85" s="28" t="str">
        <ns0:f>IF(A85="","",YEAR(A85)&amp;"-"&amp;RIGHT("0"&amp;MONTH(A85),2))</ns0:f>
        <ns0:v>2026-10</ns0:v>
      </ns0:c>
      <ns0:c r="F85" s="28" t="str">
        <ns0:f>IF(OR(A85="",B85="",C85&lt;=0),"",IF(SUMPRODUCT(('Müşteriler'!$B$2:$B$101&lt;&gt;"")*ISNUMBER(SEARCH('Müşteriler'!$B$2:$B$101,B85)))=1,IFERROR(INDEX('Müşteriler'!$A$2:$A$101,SUMPRODUCT(('Müşteriler'!$B$2:$B$101&lt;&gt;"")*ISNUMBER(SEARCH('Müşteriler'!$B$2:$B$101,B85)),ROW('Müşteriler'!$B$2:$B$101)-ROW('Müşteriler'!$B$2)+1)),""),""))</ns0:f>
        <ns0:v>Zerova Tedarik Örnek İşletme</ns0:v>
      </ns0:c>
      <ns0:c r="G85" s="28" t="str">
        <ns0:f>IF(F85="","",IFERROR(INDEX('Müşteriler'!$C$2:$C$101,MATCH(F85,'Müşteriler'!$A$2:$A$101,0)),""))</ns0:f>
        <ns0:v>Sakarya</ns0:v>
      </ns0:c>
      <ns0:c r="H85" s="28" t="str">
        <ns0:f>IF(A85="","",IF(C85&lt;=0,"Satış dışı",IF(OR(F85="",G85=""),"Eşleşmedi","Eşleşti")))</ns0:f>
        <ns0:v>Eşleşti</ns0:v>
      </ns0:c>
      <ns0:c r="I85" s="28">
        <ns0:f>I84+IF(AND(H85="Eşleşmedi",E85='Panel'!$B$4),1,0)</ns0:f>
        <ns0:v>2.0</ns0:v>
      </ns0:c>
    </ns0:row>
    <ns0:row r="86" ht="21" customHeight="1">
      <ns0:c r="A86" s="25" t="n">
        <ns0:v>46314</ns0:v>
      </ns0:c>
      <ns0:c r="B86" s="26" t="inlineStr">
        <ns0:is>
          <ns0:t>HAVALE KURGUSAL DUSOVA MARKET / MAL BEDELI</ns0:t>
        </ns0:is>
      </ns0:c>
      <ns0:c r="C86" s="27" t="n">
        <ns0:v>16163.18</ns0:v>
      </ns0:c>
      <ns0:c r="D86" s="27" t="n">
        <ns0:v>1112236.75</ns0:v>
      </ns0:c>
      <ns0:c r="E86" s="28" t="str">
        <ns0:f>IF(A86="","",YEAR(A86)&amp;"-"&amp;RIGHT("0"&amp;MONTH(A86),2))</ns0:f>
        <ns0:v>2026-10</ns0:v>
      </ns0:c>
      <ns0:c r="F86" s="28" t="str">
        <ns0:f>IF(OR(A86="",B86="",C86&lt;=0),"",IF(SUMPRODUCT(('Müşteriler'!$B$2:$B$101&lt;&gt;"")*ISNUMBER(SEARCH('Müşteriler'!$B$2:$B$101,B86)))=1,IFERROR(INDEX('Müşteriler'!$A$2:$A$101,SUMPRODUCT(('Müşteriler'!$B$2:$B$101&lt;&gt;"")*ISNUMBER(SEARCH('Müşteriler'!$B$2:$B$101,B86)),ROW('Müşteriler'!$B$2:$B$101)-ROW('Müşteriler'!$B$2)+1)),""),""))</ns0:f>
        <ns0:v>Düşova Market Örnek İşletme</ns0:v>
      </ns0:c>
      <ns0:c r="G86" s="28" t="str">
        <ns0:f>IF(F86="","",IFERROR(INDEX('Müşteriler'!$C$2:$C$101,MATCH(F86,'Müşteriler'!$A$2:$A$101,0)),""))</ns0:f>
        <ns0:v>Ankara</ns0:v>
      </ns0:c>
      <ns0:c r="H86" s="28" t="str">
        <ns0:f>IF(A86="","",IF(C86&lt;=0,"Satış dışı",IF(OR(F86="",G86=""),"Eşleşmedi","Eşleşti")))</ns0:f>
        <ns0:v>Eşleşti</ns0:v>
      </ns0:c>
      <ns0:c r="I86" s="28">
        <ns0:f>I85+IF(AND(H86="Eşleşmedi",E86='Panel'!$B$4),1,0)</ns0:f>
        <ns0:v>2.0</ns0:v>
      </ns0:c>
    </ns0:row>
    <ns0:row r="87" ht="21" customHeight="1">
      <ns0:c r="A87" s="25" t="n">
        <ns0:v>46314</ns0:v>
      </ns0:c>
      <ns0:c r="B87" s="26" t="inlineStr">
        <ns0:is>
          <ns0:t>HAVALE KURGUSAL GUNSERA TICARET / MAL BEDELI</ns0:t>
        </ns0:is>
      </ns0:c>
      <ns0:c r="C87" s="27" t="n">
        <ns0:v>4655.45</ns0:v>
      </ns0:c>
      <ns0:c r="D87" s="27" t="n">
        <ns0:v>1116892.2</ns0:v>
      </ns0:c>
      <ns0:c r="E87" s="28" t="str">
        <ns0:f>IF(A87="","",YEAR(A87)&amp;"-"&amp;RIGHT("0"&amp;MONTH(A87),2))</ns0:f>
        <ns0:v>2026-10</ns0:v>
      </ns0:c>
      <ns0:c r="F87" s="28" t="str">
        <ns0:f>IF(OR(A87="",B87="",C87&lt;=0),"",IF(SUMPRODUCT(('Müşteriler'!$B$2:$B$101&lt;&gt;"")*ISNUMBER(SEARCH('Müşteriler'!$B$2:$B$101,B87)))=1,IFERROR(INDEX('Müşteriler'!$A$2:$A$101,SUMPRODUCT(('Müşteriler'!$B$2:$B$101&lt;&gt;"")*ISNUMBER(SEARCH('Müşteriler'!$B$2:$B$101,B87)),ROW('Müşteriler'!$B$2:$B$101)-ROW('Müşteriler'!$B$2)+1)),""),""))</ns0:f>
        <ns0:v>Günsera Ticaret Örnek İşletme</ns0:v>
      </ns0:c>
      <ns0:c r="G87" s="28" t="str">
        <ns0:f>IF(F87="","",IFERROR(INDEX('Müşteriler'!$C$2:$C$101,MATCH(F87,'Müşteriler'!$A$2:$A$101,0)),""))</ns0:f>
        <ns0:v>Gaziantep</ns0:v>
      </ns0:c>
      <ns0:c r="H87" s="28" t="str">
        <ns0:f>IF(A87="","",IF(C87&lt;=0,"Satış dışı",IF(OR(F87="",G87=""),"Eşleşmedi","Eşleşti")))</ns0:f>
        <ns0:v>Eşleşti</ns0:v>
      </ns0:c>
      <ns0:c r="I87" s="28">
        <ns0:f>I86+IF(AND(H87="Eşleşmedi",E87='Panel'!$B$4),1,0)</ns0:f>
        <ns0:v>2.0</ns0:v>
      </ns0:c>
    </ns0:row>
    <ns0:row r="88" ht="21" customHeight="1">
      <ns0:c r="A88" s="25" t="n">
        <ns0:v>46314</ns0:v>
      </ns0:c>
      <ns0:c r="B88" s="26" t="inlineStr">
        <ns0:is>
          <ns0:t>HAVALE KURGUSAL KORALIN MARKET / MAL BEDELI</ns0:t>
        </ns0:is>
      </ns0:c>
      <ns0:c r="C88" s="27" t="n">
        <ns0:v>10201.07</ns0:v>
      </ns0:c>
      <ns0:c r="D88" s="27" t="n">
        <ns0:v>1127093.27</ns0:v>
      </ns0:c>
      <ns0:c r="E88" s="28" t="str">
        <ns0:f>IF(A88="","",YEAR(A88)&amp;"-"&amp;RIGHT("0"&amp;MONTH(A88),2))</ns0:f>
        <ns0:v>2026-10</ns0:v>
      </ns0:c>
      <ns0:c r="F88" s="28" t="str">
        <ns0:f>IF(OR(A88="",B88="",C88&lt;=0),"",IF(SUMPRODUCT(('Müşteriler'!$B$2:$B$101&lt;&gt;"")*ISNUMBER(SEARCH('Müşteriler'!$B$2:$B$101,B88)))=1,IFERROR(INDEX('Müşteriler'!$A$2:$A$101,SUMPRODUCT(('Müşteriler'!$B$2:$B$101&lt;&gt;"")*ISNUMBER(SEARCH('Müşteriler'!$B$2:$B$101,B88)),ROW('Müşteriler'!$B$2:$B$101)-ROW('Müşteriler'!$B$2)+1)),""),""))</ns0:f>
        <ns0:v>Koralin Market Örnek İşletme</ns0:v>
      </ns0:c>
      <ns0:c r="G88" s="28" t="str">
        <ns0:f>IF(F88="","",IFERROR(INDEX('Müşteriler'!$C$2:$C$101,MATCH(F88,'Müşteriler'!$A$2:$A$101,0)),""))</ns0:f>
        <ns0:v>Kocaeli</ns0:v>
      </ns0:c>
      <ns0:c r="H88" s="28" t="str">
        <ns0:f>IF(A88="","",IF(C88&lt;=0,"Satış dışı",IF(OR(F88="",G88=""),"Eşleşmedi","Eşleşti")))</ns0:f>
        <ns0:v>Eşleşti</ns0:v>
      </ns0:c>
      <ns0:c r="I88" s="28">
        <ns0:f>I87+IF(AND(H88="Eşleşmedi",E88='Panel'!$B$4),1,0)</ns0:f>
        <ns0:v>2.0</ns0:v>
      </ns0:c>
    </ns0:row>
    <ns0:row r="89" ht="21" customHeight="1">
      <ns0:c r="A89" s="25" t="n">
        <ns0:v>46315</ns0:v>
      </ns0:c>
      <ns0:c r="B89" s="26" t="inlineStr">
        <ns0:is>
          <ns0:t>FAST GELEN - ACIKLAMASIZ TRANSFER 930</ns0:t>
        </ns0:is>
      </ns0:c>
      <ns0:c r="C89" s="27" t="n">
        <ns0:v>8811</ns0:v>
      </ns0:c>
      <ns0:c r="D89" s="27" t="n">
        <ns0:v>1135904.27</ns0:v>
      </ns0:c>
      <ns0:c r="E89" s="28" t="str">
        <ns0:f>IF(A89="","",YEAR(A89)&amp;"-"&amp;RIGHT("0"&amp;MONTH(A89),2))</ns0:f>
        <ns0:v>2026-10</ns0:v>
      </ns0:c>
      <ns0:c r="F89" s="28" t="str">
        <ns0:f>IF(OR(A89="",B89="",C89&lt;=0),"",IF(SUMPRODUCT(('Müşteriler'!$B$2:$B$101&lt;&gt;"")*ISNUMBER(SEARCH('Müşteriler'!$B$2:$B$101,B89)))=1,IFERROR(INDEX('Müşteriler'!$A$2:$A$101,SUMPRODUCT(('Müşteriler'!$B$2:$B$101&lt;&gt;"")*ISNUMBER(SEARCH('Müşteriler'!$B$2:$B$101,B89)),ROW('Müşteriler'!$B$2:$B$101)-ROW('Müşteriler'!$B$2)+1)),""),""))</ns0:f>
        <ns0:v/>
      </ns0:c>
      <ns0:c r="G89" s="28" t="str">
        <ns0:f>IF(F89="","",IFERROR(INDEX('Müşteriler'!$C$2:$C$101,MATCH(F89,'Müşteriler'!$A$2:$A$101,0)),""))</ns0:f>
        <ns0:v/>
      </ns0:c>
      <ns0:c r="H89" s="28" t="str">
        <ns0:f>IF(A89="","",IF(C89&lt;=0,"Satış dışı",IF(OR(F89="",G89=""),"Eşleşmedi","Eşleşti")))</ns0:f>
        <ns0:v>Eşleşmedi</ns0:v>
      </ns0:c>
      <ns0:c r="I89" s="28">
        <ns0:f>I88+IF(AND(H89="Eşleşmedi",E89='Panel'!$B$4),1,0)</ns0:f>
        <ns0:v>3.0</ns0:v>
      </ns0:c>
    </ns0:row>
    <ns0:row r="90" ht="21" customHeight="1">
      <ns0:c r="A90" s="25" t="n">
        <ns0:v>46315</ns0:v>
      </ns0:c>
      <ns0:c r="B90" s="26" t="inlineStr">
        <ns0:is>
          <ns0:t>FAST GELEN - KURGUSAL MORCATI TEDARIK / FATURA ODEMESI</ns0:t>
        </ns0:is>
      </ns0:c>
      <ns0:c r="C90" s="27" t="n">
        <ns0:v>8168.85</ns0:v>
      </ns0:c>
      <ns0:c r="D90" s="27" t="n">
        <ns0:v>1144073.12</ns0:v>
      </ns0:c>
      <ns0:c r="E90" s="28" t="str">
        <ns0:f>IF(A90="","",YEAR(A90)&amp;"-"&amp;RIGHT("0"&amp;MONTH(A90),2))</ns0:f>
        <ns0:v>2026-10</ns0:v>
      </ns0:c>
      <ns0:c r="F90" s="28" t="str">
        <ns0:f>IF(OR(A90="",B90="",C90&lt;=0),"",IF(SUMPRODUCT(('Müşteriler'!$B$2:$B$101&lt;&gt;"")*ISNUMBER(SEARCH('Müşteriler'!$B$2:$B$101,B90)))=1,IFERROR(INDEX('Müşteriler'!$A$2:$A$101,SUMPRODUCT(('Müşteriler'!$B$2:$B$101&lt;&gt;"")*ISNUMBER(SEARCH('Müşteriler'!$B$2:$B$101,B90)),ROW('Müşteriler'!$B$2:$B$101)-ROW('Müşteriler'!$B$2)+1)),""),""))</ns0:f>
        <ns0:v>Morçatı Tedarik Örnek İşletme</ns0:v>
      </ns0:c>
      <ns0:c r="G90" s="28" t="str">
        <ns0:f>IF(F90="","",IFERROR(INDEX('Müşteriler'!$C$2:$C$101,MATCH(F90,'Müşteriler'!$A$2:$A$101,0)),""))</ns0:f>
        <ns0:v>Sakarya</ns0:v>
      </ns0:c>
      <ns0:c r="H90" s="28" t="str">
        <ns0:f>IF(A90="","",IF(C90&lt;=0,"Satış dışı",IF(OR(F90="",G90=""),"Eşleşmedi","Eşleşti")))</ns0:f>
        <ns0:v>Eşleşti</ns0:v>
      </ns0:c>
      <ns0:c r="I90" s="28">
        <ns0:f>I89+IF(AND(H90="Eşleşmedi",E90='Panel'!$B$4),1,0)</ns0:f>
        <ns0:v>3.0</ns0:v>
      </ns0:c>
    </ns0:row>
    <ns0:row r="91" ht="21" customHeight="1">
      <ns0:c r="A91" s="25" t="n">
        <ns0:v>46315</ns0:v>
      </ns0:c>
      <ns0:c r="B91" s="26" t="inlineStr">
        <ns0:is>
          <ns0:t>HAVALE - ISYERI KIRA ODEMESI</ns0:t>
        </ns0:is>
      </ns0:c>
      <ns0:c r="C91" s="27" t="n">
        <ns0:v>-18500</ns0:v>
      </ns0:c>
      <ns0:c r="D91" s="27" t="n">
        <ns0:v>1125573.12</ns0:v>
      </ns0:c>
      <ns0:c r="E91" s="28" t="str">
        <ns0:f>IF(A91="","",YEAR(A91)&amp;"-"&amp;RIGHT("0"&amp;MONTH(A91),2))</ns0:f>
        <ns0:v>2026-10</ns0:v>
      </ns0:c>
      <ns0:c r="F91" s="28" t="str">
        <ns0:f>IF(OR(A91="",B91="",C91&lt;=0),"",IF(SUMPRODUCT(('Müşteriler'!$B$2:$B$101&lt;&gt;"")*ISNUMBER(SEARCH('Müşteriler'!$B$2:$B$101,B91)))=1,IFERROR(INDEX('Müşteriler'!$A$2:$A$101,SUMPRODUCT(('Müşteriler'!$B$2:$B$101&lt;&gt;"")*ISNUMBER(SEARCH('Müşteriler'!$B$2:$B$101,B91)),ROW('Müşteriler'!$B$2:$B$101)-ROW('Müşteriler'!$B$2)+1)),""),""))</ns0:f>
        <ns0:v/>
      </ns0:c>
      <ns0:c r="G91" s="28" t="str">
        <ns0:f>IF(F91="","",IFERROR(INDEX('Müşteriler'!$C$2:$C$101,MATCH(F91,'Müşteriler'!$A$2:$A$101,0)),""))</ns0:f>
        <ns0:v/>
      </ns0:c>
      <ns0:c r="H91" s="28" t="str">
        <ns0:f>IF(A91="","",IF(C91&lt;=0,"Satış dışı",IF(OR(F91="",G91=""),"Eşleşmedi","Eşleşti")))</ns0:f>
        <ns0:v>Satış dışı</ns0:v>
      </ns0:c>
      <ns0:c r="I91" s="28">
        <ns0:f>I90+IF(AND(H91="Eşleşmedi",E91='Panel'!$B$4),1,0)</ns0:f>
        <ns0:v>3.0</ns0:v>
      </ns0:c>
    </ns0:row>
    <ns0:row r="92" ht="21" customHeight="1">
      <ns0:c r="A92" s="25" t="n">
        <ns0:v>46316</ns0:v>
      </ns0:c>
      <ns0:c r="B92" s="26" t="inlineStr">
        <ns0:is>
          <ns0:t>FAST GELEN - KURGUSAL YELMINO MARKET / FATURA ODEMESI</ns0:t>
        </ns0:is>
      </ns0:c>
      <ns0:c r="C92" s="27" t="n">
        <ns0:v>14137.63</ns0:v>
      </ns0:c>
      <ns0:c r="D92" s="27" t="n">
        <ns0:v>1139710.75</ns0:v>
      </ns0:c>
      <ns0:c r="E92" s="28" t="str">
        <ns0:f>IF(A92="","",YEAR(A92)&amp;"-"&amp;RIGHT("0"&amp;MONTH(A92),2))</ns0:f>
        <ns0:v>2026-10</ns0:v>
      </ns0:c>
      <ns0:c r="F92" s="28" t="str">
        <ns0:f>IF(OR(A92="",B92="",C92&lt;=0),"",IF(SUMPRODUCT(('Müşteriler'!$B$2:$B$101&lt;&gt;"")*ISNUMBER(SEARCH('Müşteriler'!$B$2:$B$101,B92)))=1,IFERROR(INDEX('Müşteriler'!$A$2:$A$101,SUMPRODUCT(('Müşteriler'!$B$2:$B$101&lt;&gt;"")*ISNUMBER(SEARCH('Müşteriler'!$B$2:$B$101,B92)),ROW('Müşteriler'!$B$2:$B$101)-ROW('Müşteriler'!$B$2)+1)),""),""))</ns0:f>
        <ns0:v>Yelmino Market Örnek İşletme</ns0:v>
      </ns0:c>
      <ns0:c r="G92" s="28" t="str">
        <ns0:f>IF(F92="","",IFERROR(INDEX('Müşteriler'!$C$2:$C$101,MATCH(F92,'Müşteriler'!$A$2:$A$101,0)),""))</ns0:f>
        <ns0:v>Kocaeli</ns0:v>
      </ns0:c>
      <ns0:c r="H92" s="28" t="str">
        <ns0:f>IF(A92="","",IF(C92&lt;=0,"Satış dışı",IF(OR(F92="",G92=""),"Eşleşmedi","Eşleşti")))</ns0:f>
        <ns0:v>Eşleşti</ns0:v>
      </ns0:c>
      <ns0:c r="I92" s="28">
        <ns0:f>I91+IF(AND(H92="Eşleşmedi",E92='Panel'!$B$4),1,0)</ns0:f>
        <ns0:v>3.0</ns0:v>
      </ns0:c>
    </ns0:row>
    <ns0:row r="93" ht="21" customHeight="1">
      <ns0:c r="A93" s="25" t="n">
        <ns0:v>46317</ns0:v>
      </ns0:c>
      <ns0:c r="B93" s="26" t="inlineStr">
        <ns0:is>
          <ns0:t>EFT - GONDEREN: KURGUSAL CISENTA TICARET - CARI HESAP</ns0:t>
        </ns0:is>
      </ns0:c>
      <ns0:c r="C93" s="27" t="n">
        <ns0:v>5145.8</ns0:v>
      </ns0:c>
      <ns0:c r="D93" s="27" t="n">
        <ns0:v>1144856.55</ns0:v>
      </ns0:c>
      <ns0:c r="E93" s="28" t="str">
        <ns0:f>IF(A93="","",YEAR(A93)&amp;"-"&amp;RIGHT("0"&amp;MONTH(A93),2))</ns0:f>
        <ns0:v>2026-10</ns0:v>
      </ns0:c>
      <ns0:c r="F93" s="28" t="str">
        <ns0:f>IF(OR(A93="",B93="",C93&lt;=0),"",IF(SUMPRODUCT(('Müşteriler'!$B$2:$B$101&lt;&gt;"")*ISNUMBER(SEARCH('Müşteriler'!$B$2:$B$101,B93)))=1,IFERROR(INDEX('Müşteriler'!$A$2:$A$101,SUMPRODUCT(('Müşteriler'!$B$2:$B$101&lt;&gt;"")*ISNUMBER(SEARCH('Müşteriler'!$B$2:$B$101,B93)),ROW('Müşteriler'!$B$2:$B$101)-ROW('Müşteriler'!$B$2)+1)),""),""))</ns0:f>
        <ns0:v>Çisenta Ticaret Örnek İşletme</ns0:v>
      </ns0:c>
      <ns0:c r="G93" s="28" t="str">
        <ns0:f>IF(F93="","",IFERROR(INDEX('Müşteriler'!$C$2:$C$101,MATCH(F93,'Müşteriler'!$A$2:$A$101,0)),""))</ns0:f>
        <ns0:v>Antalya</ns0:v>
      </ns0:c>
      <ns0:c r="H93" s="28" t="str">
        <ns0:f>IF(A93="","",IF(C93&lt;=0,"Satış dışı",IF(OR(F93="",G93=""),"Eşleşmedi","Eşleşti")))</ns0:f>
        <ns0:v>Eşleşti</ns0:v>
      </ns0:c>
      <ns0:c r="I93" s="28">
        <ns0:f>I92+IF(AND(H93="Eşleşmedi",E93='Panel'!$B$4),1,0)</ns0:f>
        <ns0:v>3.0</ns0:v>
      </ns0:c>
    </ns0:row>
    <ns0:row r="94" ht="21" customHeight="1">
      <ns0:c r="A94" s="25" t="n">
        <ns0:v>46317</ns0:v>
      </ns0:c>
      <ns0:c r="B94" s="26" t="inlineStr">
        <ns0:is>
          <ns0:t>EFT - GONDEREN: KURGUSAL ZEROVA TEDARIK - CARI HESAP</ns0:t>
        </ns0:is>
      </ns0:c>
      <ns0:c r="C94" s="27" t="n">
        <ns0:v>5858.73</ns0:v>
      </ns0:c>
      <ns0:c r="D94" s="27" t="n">
        <ns0:v>1150715.28</ns0:v>
      </ns0:c>
      <ns0:c r="E94" s="28" t="str">
        <ns0:f>IF(A94="","",YEAR(A94)&amp;"-"&amp;RIGHT("0"&amp;MONTH(A94),2))</ns0:f>
        <ns0:v>2026-10</ns0:v>
      </ns0:c>
      <ns0:c r="F94" s="28" t="str">
        <ns0:f>IF(OR(A94="",B94="",C94&lt;=0),"",IF(SUMPRODUCT(('Müşteriler'!$B$2:$B$101&lt;&gt;"")*ISNUMBER(SEARCH('Müşteriler'!$B$2:$B$101,B94)))=1,IFERROR(INDEX('Müşteriler'!$A$2:$A$101,SUMPRODUCT(('Müşteriler'!$B$2:$B$101&lt;&gt;"")*ISNUMBER(SEARCH('Müşteriler'!$B$2:$B$101,B94)),ROW('Müşteriler'!$B$2:$B$101)-ROW('Müşteriler'!$B$2)+1)),""),""))</ns0:f>
        <ns0:v>Zerova Tedarik Örnek İşletme</ns0:v>
      </ns0:c>
      <ns0:c r="G94" s="28" t="str">
        <ns0:f>IF(F94="","",IFERROR(INDEX('Müşteriler'!$C$2:$C$101,MATCH(F94,'Müşteriler'!$A$2:$A$101,0)),""))</ns0:f>
        <ns0:v>Sakarya</ns0:v>
      </ns0:c>
      <ns0:c r="H94" s="28" t="str">
        <ns0:f>IF(A94="","",IF(C94&lt;=0,"Satış dışı",IF(OR(F94="",G94=""),"Eşleşmedi","Eşleşti")))</ns0:f>
        <ns0:v>Eşleşti</ns0:v>
      </ns0:c>
      <ns0:c r="I94" s="28">
        <ns0:f>I93+IF(AND(H94="Eşleşmedi",E94='Panel'!$B$4),1,0)</ns0:f>
        <ns0:v>3.0</ns0:v>
      </ns0:c>
    </ns0:row>
    <ns0:row r="95" ht="21" customHeight="1">
      <ns0:c r="A95" s="25" t="n">
        <ns0:v>46317</ns0:v>
      </ns0:c>
      <ns0:c r="B95" s="26" t="inlineStr">
        <ns0:is>
          <ns0:t>FAST GELEN - KURGUSAL BULUTIZ MARKET / FATURA ODEMESI</ns0:t>
        </ns0:is>
      </ns0:c>
      <ns0:c r="C95" s="27" t="n">
        <ns0:v>5081.28</ns0:v>
      </ns0:c>
      <ns0:c r="D95" s="27" t="n">
        <ns0:v>1155796.56</ns0:v>
      </ns0:c>
      <ns0:c r="E95" s="28" t="str">
        <ns0:f>IF(A95="","",YEAR(A95)&amp;"-"&amp;RIGHT("0"&amp;MONTH(A95),2))</ns0:f>
        <ns0:v>2026-10</ns0:v>
      </ns0:c>
      <ns0:c r="F95" s="28" t="str">
        <ns0:f>IF(OR(A95="",B95="",C95&lt;=0),"",IF(SUMPRODUCT(('Müşteriler'!$B$2:$B$101&lt;&gt;"")*ISNUMBER(SEARCH('Müşteriler'!$B$2:$B$101,B95)))=1,IFERROR(INDEX('Müşteriler'!$A$2:$A$101,SUMPRODUCT(('Müşteriler'!$B$2:$B$101&lt;&gt;"")*ISNUMBER(SEARCH('Müşteriler'!$B$2:$B$101,B95)),ROW('Müşteriler'!$B$2:$B$101)-ROW('Müşteriler'!$B$2)+1)),""),""))</ns0:f>
        <ns0:v>Bulutiz Market Örnek İşletme</ns0:v>
      </ns0:c>
      <ns0:c r="G95" s="28" t="str">
        <ns0:f>IF(F95="","",IFERROR(INDEX('Müşteriler'!$C$2:$C$101,MATCH(F95,'Müşteriler'!$A$2:$A$101,0)),""))</ns0:f>
        <ns0:v>Ankara</ns0:v>
      </ns0:c>
      <ns0:c r="H95" s="28" t="str">
        <ns0:f>IF(A95="","",IF(C95&lt;=0,"Satış dışı",IF(OR(F95="",G95=""),"Eşleşmedi","Eşleşti")))</ns0:f>
        <ns0:v>Eşleşti</ns0:v>
      </ns0:c>
      <ns0:c r="I95" s="28">
        <ns0:f>I94+IF(AND(H95="Eşleşmedi",E95='Panel'!$B$4),1,0)</ns0:f>
        <ns0:v>3.0</ns0:v>
      </ns0:c>
    </ns0:row>
    <ns0:row r="96" ht="21" customHeight="1">
      <ns0:c r="A96" s="25" t="n">
        <ns0:v>46317</ns0:v>
      </ns0:c>
      <ns0:c r="B96" s="26" t="inlineStr">
        <ns0:is>
          <ns0:t>HAVALE KURGUSAL AYSERIN DAGITIM / MAL BEDELI</ns0:t>
        </ns0:is>
      </ns0:c>
      <ns0:c r="C96" s="27" t="n">
        <ns0:v>11521.93</ns0:v>
      </ns0:c>
      <ns0:c r="D96" s="27" t="n">
        <ns0:v>1167318.49</ns0:v>
      </ns0:c>
      <ns0:c r="E96" s="28" t="str">
        <ns0:f>IF(A96="","",YEAR(A96)&amp;"-"&amp;RIGHT("0"&amp;MONTH(A96),2))</ns0:f>
        <ns0:v>2026-10</ns0:v>
      </ns0:c>
      <ns0:c r="F96" s="28" t="str">
        <ns0:f>IF(OR(A96="",B96="",C96&lt;=0),"",IF(SUMPRODUCT(('Müşteriler'!$B$2:$B$101&lt;&gt;"")*ISNUMBER(SEARCH('Müşteriler'!$B$2:$B$101,B96)))=1,IFERROR(INDEX('Müşteriler'!$A$2:$A$101,SUMPRODUCT(('Müşteriler'!$B$2:$B$101&lt;&gt;"")*ISNUMBER(SEARCH('Müşteriler'!$B$2:$B$101,B96)),ROW('Müşteriler'!$B$2:$B$101)-ROW('Müşteriler'!$B$2)+1)),""),""))</ns0:f>
        <ns0:v>Ayserin Dağıtım Örnek İşletme</ns0:v>
      </ns0:c>
      <ns0:c r="G96" s="28" t="str">
        <ns0:f>IF(F96="","",IFERROR(INDEX('Müşteriler'!$C$2:$C$101,MATCH(F96,'Müşteriler'!$A$2:$A$101,0)),""))</ns0:f>
        <ns0:v>Bursa</ns0:v>
      </ns0:c>
      <ns0:c r="H96" s="28" t="str">
        <ns0:f>IF(A96="","",IF(C96&lt;=0,"Satış dışı",IF(OR(F96="",G96=""),"Eşleşmedi","Eşleşti")))</ns0:f>
        <ns0:v>Eşleşti</ns0:v>
      </ns0:c>
      <ns0:c r="I96" s="28">
        <ns0:f>I95+IF(AND(H96="Eşleşmedi",E96='Panel'!$B$4),1,0)</ns0:f>
        <ns0:v>3.0</ns0:v>
      </ns0:c>
    </ns0:row>
    <ns0:row r="97" ht="21" customHeight="1">
      <ns0:c r="A97" s="25" t="n">
        <ns0:v>46317</ns0:v>
      </ns0:c>
      <ns0:c r="B97" s="26" t="inlineStr">
        <ns0:is>
          <ns0:t>HAVALE KURGUSAL CIYROTA GIDA / MAL BEDELI</ns0:t>
        </ns0:is>
      </ns0:c>
      <ns0:c r="C97" s="27" t="n">
        <ns0:v>3598.52</ns0:v>
      </ns0:c>
      <ns0:c r="D97" s="27" t="n">
        <ns0:v>1170917.01</ns0:v>
      </ns0:c>
      <ns0:c r="E97" s="28" t="str">
        <ns0:f>IF(A97="","",YEAR(A97)&amp;"-"&amp;RIGHT("0"&amp;MONTH(A97),2))</ns0:f>
        <ns0:v>2026-10</ns0:v>
      </ns0:c>
      <ns0:c r="F97" s="28" t="str">
        <ns0:f>IF(OR(A97="",B97="",C97&lt;=0),"",IF(SUMPRODUCT(('Müşteriler'!$B$2:$B$101&lt;&gt;"")*ISNUMBER(SEARCH('Müşteriler'!$B$2:$B$101,B97)))=1,IFERROR(INDEX('Müşteriler'!$A$2:$A$101,SUMPRODUCT(('Müşteriler'!$B$2:$B$101&lt;&gt;"")*ISNUMBER(SEARCH('Müşteriler'!$B$2:$B$101,B97)),ROW('Müşteriler'!$B$2:$B$101)-ROW('Müşteriler'!$B$2)+1)),""),""))</ns0:f>
        <ns0:v>Çiyrota Gıda Örnek İşletme</ns0:v>
      </ns0:c>
      <ns0:c r="G97" s="28" t="str">
        <ns0:f>IF(F97="","",IFERROR(INDEX('Müşteriler'!$C$2:$C$101,MATCH(F97,'Müşteriler'!$A$2:$A$101,0)),""))</ns0:f>
        <ns0:v>İstanbul</ns0:v>
      </ns0:c>
      <ns0:c r="H97" s="28" t="str">
        <ns0:f>IF(A97="","",IF(C97&lt;=0,"Satış dışı",IF(OR(F97="",G97=""),"Eşleşmedi","Eşleşti")))</ns0:f>
        <ns0:v>Eşleşti</ns0:v>
      </ns0:c>
      <ns0:c r="I97" s="28">
        <ns0:f>I96+IF(AND(H97="Eşleşmedi",E97='Panel'!$B$4),1,0)</ns0:f>
        <ns0:v>3.0</ns0:v>
      </ns0:c>
    </ns0:row>
    <ns0:row r="98" ht="21" customHeight="1">
      <ns0:c r="A98" s="25" t="n">
        <ns0:v>46317</ns0:v>
      </ns0:c>
      <ns0:c r="B98" s="26" t="inlineStr">
        <ns0:is>
          <ns0:t>HAVALE KURGUSAL KERVOLA TEDARIK / MAL BEDELI</ns0:t>
        </ns0:is>
      </ns0:c>
      <ns0:c r="C98" s="27" t="n">
        <ns0:v>11384.76</ns0:v>
      </ns0:c>
      <ns0:c r="D98" s="27" t="n">
        <ns0:v>1182301.77</ns0:v>
      </ns0:c>
      <ns0:c r="E98" s="28" t="str">
        <ns0:f>IF(A98="","",YEAR(A98)&amp;"-"&amp;RIGHT("0"&amp;MONTH(A98),2))</ns0:f>
        <ns0:v>2026-10</ns0:v>
      </ns0:c>
      <ns0:c r="F98" s="28" t="str">
        <ns0:f>IF(OR(A98="",B98="",C98&lt;=0),"",IF(SUMPRODUCT(('Müşteriler'!$B$2:$B$101&lt;&gt;"")*ISNUMBER(SEARCH('Müşteriler'!$B$2:$B$101,B98)))=1,IFERROR(INDEX('Müşteriler'!$A$2:$A$101,SUMPRODUCT(('Müşteriler'!$B$2:$B$101&lt;&gt;"")*ISNUMBER(SEARCH('Müşteriler'!$B$2:$B$101,B98)),ROW('Müşteriler'!$B$2:$B$101)-ROW('Müşteriler'!$B$2)+1)),""),""))</ns0:f>
        <ns0:v>Kervola Tedarik Örnek İşletme</ns0:v>
      </ns0:c>
      <ns0:c r="G98" s="28" t="str">
        <ns0:f>IF(F98="","",IFERROR(INDEX('Müşteriler'!$C$2:$C$101,MATCH(F98,'Müşteriler'!$A$2:$A$101,0)),""))</ns0:f>
        <ns0:v>İzmir</ns0:v>
      </ns0:c>
      <ns0:c r="H98" s="28" t="str">
        <ns0:f>IF(A98="","",IF(C98&lt;=0,"Satış dışı",IF(OR(F98="",G98=""),"Eşleşmedi","Eşleşti")))</ns0:f>
        <ns0:v>Eşleşti</ns0:v>
      </ns0:c>
      <ns0:c r="I98" s="28">
        <ns0:f>I97+IF(AND(H98="Eşleşmedi",E98='Panel'!$B$4),1,0)</ns0:f>
        <ns0:v>3.0</ns0:v>
      </ns0:c>
    </ns0:row>
    <ns0:row r="99" ht="21" customHeight="1">
      <ns0:c r="A99" s="25" t="n">
        <ns0:v>46318</ns0:v>
      </ns0:c>
      <ns0:c r="B99" s="26" t="inlineStr">
        <ns0:is>
          <ns0:t>EFT - GONDEREN: KURGUSAL ERGUVEN MARKET - CARI HESAP</ns0:t>
        </ns0:is>
      </ns0:c>
      <ns0:c r="C99" s="27" t="n">
        <ns0:v>15604.92</ns0:v>
      </ns0:c>
      <ns0:c r="D99" s="27" t="n">
        <ns0:v>1197906.69</ns0:v>
      </ns0:c>
      <ns0:c r="E99" s="28" t="str">
        <ns0:f>IF(A99="","",YEAR(A99)&amp;"-"&amp;RIGHT("0"&amp;MONTH(A99),2))</ns0:f>
        <ns0:v>2026-10</ns0:v>
      </ns0:c>
      <ns0:c r="F99" s="28" t="str">
        <ns0:f>IF(OR(A99="",B99="",C99&lt;=0),"",IF(SUMPRODUCT(('Müşteriler'!$B$2:$B$101&lt;&gt;"")*ISNUMBER(SEARCH('Müşteriler'!$B$2:$B$101,B99)))=1,IFERROR(INDEX('Müşteriler'!$A$2:$A$101,SUMPRODUCT(('Müşteriler'!$B$2:$B$101&lt;&gt;"")*ISNUMBER(SEARCH('Müşteriler'!$B$2:$B$101,B99)),ROW('Müşteriler'!$B$2:$B$101)-ROW('Müşteriler'!$B$2)+1)),""),""))</ns0:f>
        <ns0:v>Erguven Market Örnek İşletme</ns0:v>
      </ns0:c>
      <ns0:c r="G99" s="28" t="str">
        <ns0:f>IF(F99="","",IFERROR(INDEX('Müşteriler'!$C$2:$C$101,MATCH(F99,'Müşteriler'!$A$2:$A$101,0)),""))</ns0:f>
        <ns0:v>Ankara</ns0:v>
      </ns0:c>
      <ns0:c r="H99" s="28" t="str">
        <ns0:f>IF(A99="","",IF(C99&lt;=0,"Satış dışı",IF(OR(F99="",G99=""),"Eşleşmedi","Eşleşti")))</ns0:f>
        <ns0:v>Eşleşti</ns0:v>
      </ns0:c>
      <ns0:c r="I99" s="28">
        <ns0:f>I98+IF(AND(H99="Eşleşmedi",E99='Panel'!$B$4),1,0)</ns0:f>
        <ns0:v>3.0</ns0:v>
      </ns0:c>
    </ns0:row>
    <ns0:row r="100" ht="21" customHeight="1">
      <ns0:c r="A100" s="25" t="n">
        <ns0:v>46318</ns0:v>
      </ns0:c>
      <ns0:c r="B100" s="26" t="inlineStr">
        <ns0:is>
          <ns0:t>FAST GELEN - KURGUSAL BULUTIZ MARKET / FATURA ODEMESI</ns0:t>
        </ns0:is>
      </ns0:c>
      <ns0:c r="C100" s="27" t="n">
        <ns0:v>5081.28</ns0:v>
      </ns0:c>
      <ns0:c r="D100" s="27" t="n">
        <ns0:v>1202987.97</ns0:v>
      </ns0:c>
      <ns0:c r="E100" s="28" t="str">
        <ns0:f>IF(A100="","",YEAR(A100)&amp;"-"&amp;RIGHT("0"&amp;MONTH(A100),2))</ns0:f>
        <ns0:v>2026-10</ns0:v>
      </ns0:c>
      <ns0:c r="F100" s="28" t="str">
        <ns0:f>IF(OR(A100="",B100="",C100&lt;=0),"",IF(SUMPRODUCT(('Müşteriler'!$B$2:$B$101&lt;&gt;"")*ISNUMBER(SEARCH('Müşteriler'!$B$2:$B$101,B100)))=1,IFERROR(INDEX('Müşteriler'!$A$2:$A$101,SUMPRODUCT(('Müşteriler'!$B$2:$B$101&lt;&gt;"")*ISNUMBER(SEARCH('Müşteriler'!$B$2:$B$101,B100)),ROW('Müşteriler'!$B$2:$B$101)-ROW('Müşteriler'!$B$2)+1)),""),""))</ns0:f>
        <ns0:v>Bulutiz Market Örnek İşletme</ns0:v>
      </ns0:c>
      <ns0:c r="G100" s="28" t="str">
        <ns0:f>IF(F100="","",IFERROR(INDEX('Müşteriler'!$C$2:$C$101,MATCH(F100,'Müşteriler'!$A$2:$A$101,0)),""))</ns0:f>
        <ns0:v>Ankara</ns0:v>
      </ns0:c>
      <ns0:c r="H100" s="28" t="str">
        <ns0:f>IF(A100="","",IF(C100&lt;=0,"Satış dışı",IF(OR(F100="",G100=""),"Eşleşmedi","Eşleşti")))</ns0:f>
        <ns0:v>Eşleşti</ns0:v>
      </ns0:c>
      <ns0:c r="I100" s="28">
        <ns0:f>I99+IF(AND(H100="Eşleşmedi",E100='Panel'!$B$4),1,0)</ns0:f>
        <ns0:v>3.0</ns0:v>
      </ns0:c>
    </ns0:row>
    <ns0:row r="101" ht="21" customHeight="1">
      <ns0:c r="A101" s="25" t="n">
        <ns0:v>46318</ns0:v>
      </ns0:c>
      <ns0:c r="B101" s="26" t="inlineStr">
        <ns0:is>
          <ns0:t>FAST GELEN - KURGUSAL LALROTA DAGITIM / FATURA ODEMESI</ns0:t>
        </ns0:is>
      </ns0:c>
      <ns0:c r="C101" s="27" t="n">
        <ns0:v>30823.09</ns0:v>
      </ns0:c>
      <ns0:c r="D101" s="27" t="n">
        <ns0:v>1233811.06</ns0:v>
      </ns0:c>
      <ns0:c r="E101" s="28" t="str">
        <ns0:f>IF(A101="","",YEAR(A101)&amp;"-"&amp;RIGHT("0"&amp;MONTH(A101),2))</ns0:f>
        <ns0:v>2026-10</ns0:v>
      </ns0:c>
      <ns0:c r="F101" s="28" t="str">
        <ns0:f>IF(OR(A101="",B101="",C101&lt;=0),"",IF(SUMPRODUCT(('Müşteriler'!$B$2:$B$101&lt;&gt;"")*ISNUMBER(SEARCH('Müşteriler'!$B$2:$B$101,B101)))=1,IFERROR(INDEX('Müşteriler'!$A$2:$A$101,SUMPRODUCT(('Müşteriler'!$B$2:$B$101&lt;&gt;"")*ISNUMBER(SEARCH('Müşteriler'!$B$2:$B$101,B101)),ROW('Müşteriler'!$B$2:$B$101)-ROW('Müşteriler'!$B$2)+1)),""),""))</ns0:f>
        <ns0:v>Lalrota Dağıtım Örnek İşletme</ns0:v>
      </ns0:c>
      <ns0:c r="G101" s="28" t="str">
        <ns0:f>IF(F101="","",IFERROR(INDEX('Müşteriler'!$C$2:$C$101,MATCH(F101,'Müşteriler'!$A$2:$A$101,0)),""))</ns0:f>
        <ns0:v>Bursa</ns0:v>
      </ns0:c>
      <ns0:c r="H101" s="28" t="str">
        <ns0:f>IF(A101="","",IF(C101&lt;=0,"Satış dışı",IF(OR(F101="",G101=""),"Eşleşmedi","Eşleşti")))</ns0:f>
        <ns0:v>Eşleşti</ns0:v>
      </ns0:c>
      <ns0:c r="I101" s="28">
        <ns0:f>I100+IF(AND(H101="Eşleşmedi",E101='Panel'!$B$4),1,0)</ns0:f>
        <ns0:v>3.0</ns0:v>
      </ns0:c>
    </ns0:row>
    <ns0:row r="102" ht="21" customHeight="1">
      <ns0:c r="A102" s="25" t="n">
        <ns0:v>46319</ns0:v>
      </ns0:c>
      <ns0:c r="B102" s="26" t="inlineStr">
        <ns0:is>
          <ns0:t>FAST GELEN - KURGUSAL TANYUVA GIDA / FATURA ODEMESI</ns0:t>
        </ns0:is>
      </ns0:c>
      <ns0:c r="C102" s="27" t="n">
        <ns0:v>17244.7</ns0:v>
      </ns0:c>
      <ns0:c r="D102" s="27" t="n">
        <ns0:v>1251055.76</ns0:v>
      </ns0:c>
      <ns0:c r="E102" s="28" t="str">
        <ns0:f>IF(A102="","",YEAR(A102)&amp;"-"&amp;RIGHT("0"&amp;MONTH(A102),2))</ns0:f>
        <ns0:v>2026-10</ns0:v>
      </ns0:c>
      <ns0:c r="F102" s="28" t="str">
        <ns0:f>IF(OR(A102="",B102="",C102&lt;=0),"",IF(SUMPRODUCT(('Müşteriler'!$B$2:$B$101&lt;&gt;"")*ISNUMBER(SEARCH('Müşteriler'!$B$2:$B$101,B102)))=1,IFERROR(INDEX('Müşteriler'!$A$2:$A$101,SUMPRODUCT(('Müşteriler'!$B$2:$B$101&lt;&gt;"")*ISNUMBER(SEARCH('Müşteriler'!$B$2:$B$101,B102)),ROW('Müşteriler'!$B$2:$B$101)-ROW('Müşteriler'!$B$2)+1)),""),""))</ns0:f>
        <ns0:v>Tanyuva Gıda Örnek İşletme</ns0:v>
      </ns0:c>
      <ns0:c r="G102" s="28" t="str">
        <ns0:f>IF(F102="","",IFERROR(INDEX('Müşteriler'!$C$2:$C$101,MATCH(F102,'Müşteriler'!$A$2:$A$101,0)),""))</ns0:f>
        <ns0:v>İstanbul</ns0:v>
      </ns0:c>
      <ns0:c r="H102" s="28" t="str">
        <ns0:f>IF(A102="","",IF(C102&lt;=0,"Satış dışı",IF(OR(F102="",G102=""),"Eşleşmedi","Eşleşti")))</ns0:f>
        <ns0:v>Eşleşti</ns0:v>
      </ns0:c>
      <ns0:c r="I102" s="28">
        <ns0:f>I101+IF(AND(H102="Eşleşmedi",E102='Panel'!$B$4),1,0)</ns0:f>
        <ns0:v>3.0</ns0:v>
      </ns0:c>
    </ns0:row>
    <ns0:row r="103" ht="21" customHeight="1">
      <ns0:c r="A103" s="25" t="n">
        <ns0:v>46319</ns0:v>
      </ns0:c>
      <ns0:c r="B103" s="26" t="inlineStr">
        <ns0:is>
          <ns0:t>HAVALE KURGUSAL BULUTIZ MARKET / MAL BEDELI</ns0:t>
        </ns0:is>
      </ns0:c>
      <ns0:c r="C103" s="27" t="n">
        <ns0:v>5081.28</ns0:v>
      </ns0:c>
      <ns0:c r="D103" s="27" t="n">
        <ns0:v>1256137.04</ns0:v>
      </ns0:c>
      <ns0:c r="E103" s="28" t="str">
        <ns0:f>IF(A103="","",YEAR(A103)&amp;"-"&amp;RIGHT("0"&amp;MONTH(A103),2))</ns0:f>
        <ns0:v>2026-10</ns0:v>
      </ns0:c>
      <ns0:c r="F103" s="28" t="str">
        <ns0:f>IF(OR(A103="",B103="",C103&lt;=0),"",IF(SUMPRODUCT(('Müşteriler'!$B$2:$B$101&lt;&gt;"")*ISNUMBER(SEARCH('Müşteriler'!$B$2:$B$101,B103)))=1,IFERROR(INDEX('Müşteriler'!$A$2:$A$101,SUMPRODUCT(('Müşteriler'!$B$2:$B$101&lt;&gt;"")*ISNUMBER(SEARCH('Müşteriler'!$B$2:$B$101,B103)),ROW('Müşteriler'!$B$2:$B$101)-ROW('Müşteriler'!$B$2)+1)),""),""))</ns0:f>
        <ns0:v>Bulutiz Market Örnek İşletme</ns0:v>
      </ns0:c>
      <ns0:c r="G103" s="28" t="str">
        <ns0:f>IF(F103="","",IFERROR(INDEX('Müşteriler'!$C$2:$C$101,MATCH(F103,'Müşteriler'!$A$2:$A$101,0)),""))</ns0:f>
        <ns0:v>Ankara</ns0:v>
      </ns0:c>
      <ns0:c r="H103" s="28" t="str">
        <ns0:f>IF(A103="","",IF(C103&lt;=0,"Satış dışı",IF(OR(F103="",G103=""),"Eşleşmedi","Eşleşti")))</ns0:f>
        <ns0:v>Eşleşti</ns0:v>
      </ns0:c>
      <ns0:c r="I103" s="28">
        <ns0:f>I102+IF(AND(H103="Eşleşmedi",E103='Panel'!$B$4),1,0)</ns0:f>
        <ns0:v>3.0</ns0:v>
      </ns0:c>
    </ns0:row>
    <ns0:row r="104" ht="21" customHeight="1">
      <ns0:c r="A104" s="25" t="n">
        <ns0:v>46319</ns0:v>
      </ns0:c>
      <ns0:c r="B104" s="26" t="inlineStr">
        <ns0:is>
          <ns0:t>HAVALE KURGUSAL MAVIDAL GIDA / MAL BEDELI</ns0:t>
        </ns0:is>
      </ns0:c>
      <ns0:c r="C104" s="27" t="n">
        <ns0:v>4059.73</ns0:v>
      </ns0:c>
      <ns0:c r="D104" s="27" t="n">
        <ns0:v>1260196.77</ns0:v>
      </ns0:c>
      <ns0:c r="E104" s="28" t="str">
        <ns0:f>IF(A104="","",YEAR(A104)&amp;"-"&amp;RIGHT("0"&amp;MONTH(A104),2))</ns0:f>
        <ns0:v>2026-10</ns0:v>
      </ns0:c>
      <ns0:c r="F104" s="28" t="str">
        <ns0:f>IF(OR(A104="",B104="",C104&lt;=0),"",IF(SUMPRODUCT(('Müşteriler'!$B$2:$B$101&lt;&gt;"")*ISNUMBER(SEARCH('Müşteriler'!$B$2:$B$101,B104)))=1,IFERROR(INDEX('Müşteriler'!$A$2:$A$101,SUMPRODUCT(('Müşteriler'!$B$2:$B$101&lt;&gt;"")*ISNUMBER(SEARCH('Müşteriler'!$B$2:$B$101,B104)),ROW('Müşteriler'!$B$2:$B$101)-ROW('Müşteriler'!$B$2)+1)),""),""))</ns0:f>
        <ns0:v>Mavidal Gıda Örnek İşletme</ns0:v>
      </ns0:c>
      <ns0:c r="G104" s="28" t="str">
        <ns0:f>IF(F104="","",IFERROR(INDEX('Müşteriler'!$C$2:$C$101,MATCH(F104,'Müşteriler'!$A$2:$A$101,0)),""))</ns0:f>
        <ns0:v>İstanbul</ns0:v>
      </ns0:c>
      <ns0:c r="H104" s="28" t="str">
        <ns0:f>IF(A104="","",IF(C104&lt;=0,"Satış dışı",IF(OR(F104="",G104=""),"Eşleşmedi","Eşleşti")))</ns0:f>
        <ns0:v>Eşleşti</ns0:v>
      </ns0:c>
      <ns0:c r="I104" s="28">
        <ns0:f>I103+IF(AND(H104="Eşleşmedi",E104='Panel'!$B$4),1,0)</ns0:f>
        <ns0:v>3.0</ns0:v>
      </ns0:c>
    </ns0:row>
    <ns0:row r="105" ht="21" customHeight="1">
      <ns0:c r="A105" s="25" t="n">
        <ns0:v>46319</ns0:v>
      </ns0:c>
      <ns0:c r="B105" s="26" t="inlineStr">
        <ns0:is>
          <ns0:t>HAVALE KURGUSAL ZEROVA TEDARIK / MAL BEDELI</ns0:t>
        </ns0:is>
      </ns0:c>
      <ns0:c r="C105" s="27" t="n">
        <ns0:v>5858.73</ns0:v>
      </ns0:c>
      <ns0:c r="D105" s="27" t="n">
        <ns0:v>1266055.5</ns0:v>
      </ns0:c>
      <ns0:c r="E105" s="28" t="str">
        <ns0:f>IF(A105="","",YEAR(A105)&amp;"-"&amp;RIGHT("0"&amp;MONTH(A105),2))</ns0:f>
        <ns0:v>2026-10</ns0:v>
      </ns0:c>
      <ns0:c r="F105" s="28" t="str">
        <ns0:f>IF(OR(A105="",B105="",C105&lt;=0),"",IF(SUMPRODUCT(('Müşteriler'!$B$2:$B$101&lt;&gt;"")*ISNUMBER(SEARCH('Müşteriler'!$B$2:$B$101,B105)))=1,IFERROR(INDEX('Müşteriler'!$A$2:$A$101,SUMPRODUCT(('Müşteriler'!$B$2:$B$101&lt;&gt;"")*ISNUMBER(SEARCH('Müşteriler'!$B$2:$B$101,B105)),ROW('Müşteriler'!$B$2:$B$101)-ROW('Müşteriler'!$B$2)+1)),""),""))</ns0:f>
        <ns0:v>Zerova Tedarik Örnek İşletme</ns0:v>
      </ns0:c>
      <ns0:c r="G105" s="28" t="str">
        <ns0:f>IF(F105="","",IFERROR(INDEX('Müşteriler'!$C$2:$C$101,MATCH(F105,'Müşteriler'!$A$2:$A$101,0)),""))</ns0:f>
        <ns0:v>Sakarya</ns0:v>
      </ns0:c>
      <ns0:c r="H105" s="28" t="str">
        <ns0:f>IF(A105="","",IF(C105&lt;=0,"Satış dışı",IF(OR(F105="",G105=""),"Eşleşmedi","Eşleşti")))</ns0:f>
        <ns0:v>Eşleşti</ns0:v>
      </ns0:c>
      <ns0:c r="I105" s="28">
        <ns0:f>I104+IF(AND(H105="Eşleşmedi",E105='Panel'!$B$4),1,0)</ns0:f>
        <ns0:v>3.0</ns0:v>
      </ns0:c>
    </ns0:row>
    <ns0:row r="106" ht="21" customHeight="1">
      <ns0:c r="A106" s="25" t="n">
        <ns0:v>46320</ns0:v>
      </ns0:c>
      <ns0:c r="B106" s="26" t="inlineStr">
        <ns0:is>
          <ns0:t>EFT - GONDEREN: KURGUSAL CINARIZ DAGITIM - CARI HESAP</ns0:t>
        </ns0:is>
      </ns0:c>
      <ns0:c r="C106" s="27" t="n">
        <ns0:v>11861.1</ns0:v>
      </ns0:c>
      <ns0:c r="D106" s="27" t="n">
        <ns0:v>1277916.6</ns0:v>
      </ns0:c>
      <ns0:c r="E106" s="28" t="str">
        <ns0:f>IF(A106="","",YEAR(A106)&amp;"-"&amp;RIGHT("0"&amp;MONTH(A106),2))</ns0:f>
        <ns0:v>2026-10</ns0:v>
      </ns0:c>
      <ns0:c r="F106" s="28" t="str">
        <ns0:f>IF(OR(A106="",B106="",C106&lt;=0),"",IF(SUMPRODUCT(('Müşteriler'!$B$2:$B$101&lt;&gt;"")*ISNUMBER(SEARCH('Müşteriler'!$B$2:$B$101,B106)))=1,IFERROR(INDEX('Müşteriler'!$A$2:$A$101,SUMPRODUCT(('Müşteriler'!$B$2:$B$101&lt;&gt;"")*ISNUMBER(SEARCH('Müşteriler'!$B$2:$B$101,B106)),ROW('Müşteriler'!$B$2:$B$101)-ROW('Müşteriler'!$B$2)+1)),""),""))</ns0:f>
        <ns0:v>Çınariz Dağıtım Örnek İşletme</ns0:v>
      </ns0:c>
      <ns0:c r="G106" s="28" t="str">
        <ns0:f>IF(F106="","",IFERROR(INDEX('Müşteriler'!$C$2:$C$101,MATCH(F106,'Müşteriler'!$A$2:$A$101,0)),""))</ns0:f>
        <ns0:v>Bursa</ns0:v>
      </ns0:c>
      <ns0:c r="H106" s="28" t="str">
        <ns0:f>IF(A106="","",IF(C106&lt;=0,"Satış dışı",IF(OR(F106="",G106=""),"Eşleşmedi","Eşleşti")))</ns0:f>
        <ns0:v>Eşleşti</ns0:v>
      </ns0:c>
      <ns0:c r="I106" s="28">
        <ns0:f>I105+IF(AND(H106="Eşleşmedi",E106='Panel'!$B$4),1,0)</ns0:f>
        <ns0:v>3.0</ns0:v>
      </ns0:c>
    </ns0:row>
    <ns0:row r="107" ht="21" customHeight="1">
      <ns0:c r="A107" s="25" t="n">
        <ns0:v>46321</ns0:v>
      </ns0:c>
      <ns0:c r="B107" s="26" t="inlineStr">
        <ns0:is>
          <ns0:t>FAST GELEN - KURGUSAL PUSUYEL TEDARIK / FATURA ODEMESI</ns0:t>
        </ns0:is>
      </ns0:c>
      <ns0:c r="C107" s="27" t="n">
        <ns0:v>10848.21</ns0:v>
      </ns0:c>
      <ns0:c r="D107" s="27" t="n">
        <ns0:v>1288764.81</ns0:v>
      </ns0:c>
      <ns0:c r="E107" s="28" t="str">
        <ns0:f>IF(A107="","",YEAR(A107)&amp;"-"&amp;RIGHT("0"&amp;MONTH(A107),2))</ns0:f>
        <ns0:v>2026-10</ns0:v>
      </ns0:c>
      <ns0:c r="F107" s="28" t="str">
        <ns0:f>IF(OR(A107="",B107="",C107&lt;=0),"",IF(SUMPRODUCT(('Müşteriler'!$B$2:$B$101&lt;&gt;"")*ISNUMBER(SEARCH('Müşteriler'!$B$2:$B$101,B107)))=1,IFERROR(INDEX('Müşteriler'!$A$2:$A$101,SUMPRODUCT(('Müşteriler'!$B$2:$B$101&lt;&gt;"")*ISNUMBER(SEARCH('Müşteriler'!$B$2:$B$101,B107)),ROW('Müşteriler'!$B$2:$B$101)-ROW('Müşteriler'!$B$2)+1)),""),""))</ns0:f>
        <ns0:v>Pusuyel Tedarik Örnek İşletme</ns0:v>
      </ns0:c>
      <ns0:c r="G107" s="28" t="str">
        <ns0:f>IF(F107="","",IFERROR(INDEX('Müşteriler'!$C$2:$C$101,MATCH(F107,'Müşteriler'!$A$2:$A$101,0)),""))</ns0:f>
        <ns0:v>İzmir</ns0:v>
      </ns0:c>
      <ns0:c r="H107" s="28" t="str">
        <ns0:f>IF(A107="","",IF(C107&lt;=0,"Satış dışı",IF(OR(F107="",G107=""),"Eşleşmedi","Eşleşti")))</ns0:f>
        <ns0:v>Eşleşti</ns0:v>
      </ns0:c>
      <ns0:c r="I107" s="28">
        <ns0:f>I106+IF(AND(H107="Eşleşmedi",E107='Panel'!$B$4),1,0)</ns0:f>
        <ns0:v>3.0</ns0:v>
      </ns0:c>
    </ns0:row>
    <ns0:row r="108" ht="21" customHeight="1">
      <ns0:c r="A108" s="25" t="n">
        <ns0:v>46322</ns0:v>
      </ns0:c>
      <ns0:c r="B108" s="26" t="inlineStr">
        <ns0:is>
          <ns0:t>EFT - GONDEREN: KURGUSAL ARDILYEL DAGITIM - CARI HESAP</ns0:t>
        </ns0:is>
      </ns0:c>
      <ns0:c r="C108" s="27" t="n">
        <ns0:v>18998.66</ns0:v>
      </ns0:c>
      <ns0:c r="D108" s="27" t="n">
        <ns0:v>1307763.47</ns0:v>
      </ns0:c>
      <ns0:c r="E108" s="28" t="str">
        <ns0:f>IF(A108="","",YEAR(A108)&amp;"-"&amp;RIGHT("0"&amp;MONTH(A108),2))</ns0:f>
        <ns0:v>2026-10</ns0:v>
      </ns0:c>
      <ns0:c r="F108" s="28" t="str">
        <ns0:f>IF(OR(A108="",B108="",C108&lt;=0),"",IF(SUMPRODUCT(('Müşteriler'!$B$2:$B$101&lt;&gt;"")*ISNUMBER(SEARCH('Müşteriler'!$B$2:$B$101,B108)))=1,IFERROR(INDEX('Müşteriler'!$A$2:$A$101,SUMPRODUCT(('Müşteriler'!$B$2:$B$101&lt;&gt;"")*ISNUMBER(SEARCH('Müşteriler'!$B$2:$B$101,B108)),ROW('Müşteriler'!$B$2:$B$101)-ROW('Müşteriler'!$B$2)+1)),""),""))</ns0:f>
        <ns0:v>Ardılyel Dağıtım Örnek İşletme</ns0:v>
      </ns0:c>
      <ns0:c r="G108" s="28" t="str">
        <ns0:f>IF(F108="","",IFERROR(INDEX('Müşteriler'!$C$2:$C$101,MATCH(F108,'Müşteriler'!$A$2:$A$101,0)),""))</ns0:f>
        <ns0:v>Kayseri</ns0:v>
      </ns0:c>
      <ns0:c r="H108" s="28" t="str">
        <ns0:f>IF(A108="","",IF(C108&lt;=0,"Satış dışı",IF(OR(F108="",G108=""),"Eşleşmedi","Eşleşti")))</ns0:f>
        <ns0:v>Eşleşti</ns0:v>
      </ns0:c>
      <ns0:c r="I108" s="28">
        <ns0:f>I107+IF(AND(H108="Eşleşmedi",E108='Panel'!$B$4),1,0)</ns0:f>
        <ns0:v>3.0</ns0:v>
      </ns0:c>
    </ns0:row>
    <ns0:row r="109" ht="21" customHeight="1">
      <ns0:c r="A109" s="25" t="n">
        <ns0:v>46322</ns0:v>
      </ns0:c>
      <ns0:c r="B109" s="26" t="inlineStr">
        <ns0:is>
          <ns0:t>FAST GELEN - KURGUSAL ZEROVA TEDARIK / FATURA ODEMESI</ns0:t>
        </ns0:is>
      </ns0:c>
      <ns0:c r="C109" s="27" t="n">
        <ns0:v>5858.73</ns0:v>
      </ns0:c>
      <ns0:c r="D109" s="27" t="n">
        <ns0:v>1313622.2</ns0:v>
      </ns0:c>
      <ns0:c r="E109" s="28" t="str">
        <ns0:f>IF(A109="","",YEAR(A109)&amp;"-"&amp;RIGHT("0"&amp;MONTH(A109),2))</ns0:f>
        <ns0:v>2026-10</ns0:v>
      </ns0:c>
      <ns0:c r="F109" s="28" t="str">
        <ns0:f>IF(OR(A109="",B109="",C109&lt;=0),"",IF(SUMPRODUCT(('Müşteriler'!$B$2:$B$101&lt;&gt;"")*ISNUMBER(SEARCH('Müşteriler'!$B$2:$B$101,B109)))=1,IFERROR(INDEX('Müşteriler'!$A$2:$A$101,SUMPRODUCT(('Müşteriler'!$B$2:$B$101&lt;&gt;"")*ISNUMBER(SEARCH('Müşteriler'!$B$2:$B$101,B109)),ROW('Müşteriler'!$B$2:$B$101)-ROW('Müşteriler'!$B$2)+1)),""),""))</ns0:f>
        <ns0:v>Zerova Tedarik Örnek İşletme</ns0:v>
      </ns0:c>
      <ns0:c r="G109" s="28" t="str">
        <ns0:f>IF(F109="","",IFERROR(INDEX('Müşteriler'!$C$2:$C$101,MATCH(F109,'Müşteriler'!$A$2:$A$101,0)),""))</ns0:f>
        <ns0:v>Sakarya</ns0:v>
      </ns0:c>
      <ns0:c r="H109" s="28" t="str">
        <ns0:f>IF(A109="","",IF(C109&lt;=0,"Satış dışı",IF(OR(F109="",G109=""),"Eşleşmedi","Eşleşti")))</ns0:f>
        <ns0:v>Eşleşti</ns0:v>
      </ns0:c>
      <ns0:c r="I109" s="28">
        <ns0:f>I108+IF(AND(H109="Eşleşmedi",E109='Panel'!$B$4),1,0)</ns0:f>
        <ns0:v>3.0</ns0:v>
      </ns0:c>
    </ns0:row>
    <ns0:row r="110" ht="21" customHeight="1">
      <ns0:c r="A110" s="25" t="n">
        <ns0:v>46322</ns0:v>
      </ns0:c>
      <ns0:c r="B110" s="26" t="inlineStr">
        <ns0:is>
          <ns0:t>HAVALE KURGUSAL MORCATI TEDARIK / MAL BEDELI</ns0:t>
        </ns0:is>
      </ns0:c>
      <ns0:c r="C110" s="27" t="n">
        <ns0:v>8168.85</ns0:v>
      </ns0:c>
      <ns0:c r="D110" s="27" t="n">
        <ns0:v>1321791.05</ns0:v>
      </ns0:c>
      <ns0:c r="E110" s="28" t="str">
        <ns0:f>IF(A110="","",YEAR(A110)&amp;"-"&amp;RIGHT("0"&amp;MONTH(A110),2))</ns0:f>
        <ns0:v>2026-10</ns0:v>
      </ns0:c>
      <ns0:c r="F110" s="28" t="str">
        <ns0:f>IF(OR(A110="",B110="",C110&lt;=0),"",IF(SUMPRODUCT(('Müşteriler'!$B$2:$B$101&lt;&gt;"")*ISNUMBER(SEARCH('Müşteriler'!$B$2:$B$101,B110)))=1,IFERROR(INDEX('Müşteriler'!$A$2:$A$101,SUMPRODUCT(('Müşteriler'!$B$2:$B$101&lt;&gt;"")*ISNUMBER(SEARCH('Müşteriler'!$B$2:$B$101,B110)),ROW('Müşteriler'!$B$2:$B$101)-ROW('Müşteriler'!$B$2)+1)),""),""))</ns0:f>
        <ns0:v>Morçatı Tedarik Örnek İşletme</ns0:v>
      </ns0:c>
      <ns0:c r="G110" s="28" t="str">
        <ns0:f>IF(F110="","",IFERROR(INDEX('Müşteriler'!$C$2:$C$101,MATCH(F110,'Müşteriler'!$A$2:$A$101,0)),""))</ns0:f>
        <ns0:v>Sakarya</ns0:v>
      </ns0:c>
      <ns0:c r="H110" s="28" t="str">
        <ns0:f>IF(A110="","",IF(C110&lt;=0,"Satış dışı",IF(OR(F110="",G110=""),"Eşleşmedi","Eşleşti")))</ns0:f>
        <ns0:v>Eşleşti</ns0:v>
      </ns0:c>
      <ns0:c r="I110" s="28">
        <ns0:f>I109+IF(AND(H110="Eşleşmedi",E110='Panel'!$B$4),1,0)</ns0:f>
        <ns0:v>3.0</ns0:v>
      </ns0:c>
    </ns0:row>
    <ns0:row r="111" ht="21" customHeight="1">
      <ns0:c r="A111" s="25" t="n">
        <ns0:v>46323</ns0:v>
      </ns0:c>
      <ns0:c r="B111" s="26" t="inlineStr">
        <ns0:is>
          <ns0:t>HAVALE KURGUSAL DENIZOVA GIDA / MAL BEDELI</ns0:t>
        </ns0:is>
      </ns0:c>
      <ns0:c r="C111" s="27" t="n">
        <ns0:v>5185.12</ns0:v>
      </ns0:c>
      <ns0:c r="D111" s="27" t="n">
        <ns0:v>1326976.17</ns0:v>
      </ns0:c>
      <ns0:c r="E111" s="28" t="str">
        <ns0:f>IF(A111="","",YEAR(A111)&amp;"-"&amp;RIGHT("0"&amp;MONTH(A111),2))</ns0:f>
        <ns0:v>2026-10</ns0:v>
      </ns0:c>
      <ns0:c r="F111" s="28" t="str">
        <ns0:f>IF(OR(A111="",B111="",C111&lt;=0),"",IF(SUMPRODUCT(('Müşteriler'!$B$2:$B$101&lt;&gt;"")*ISNUMBER(SEARCH('Müşteriler'!$B$2:$B$101,B111)))=1,IFERROR(INDEX('Müşteriler'!$A$2:$A$101,SUMPRODUCT(('Müşteriler'!$B$2:$B$101&lt;&gt;"")*ISNUMBER(SEARCH('Müşteriler'!$B$2:$B$101,B111)),ROW('Müşteriler'!$B$2:$B$101)-ROW('Müşteriler'!$B$2)+1)),""),""))</ns0:f>
        <ns0:v>Denizova Gıda Örnek İşletme</ns0:v>
      </ns0:c>
      <ns0:c r="G111" s="28" t="str">
        <ns0:f>IF(F111="","",IFERROR(INDEX('Müşteriler'!$C$2:$C$101,MATCH(F111,'Müşteriler'!$A$2:$A$101,0)),""))</ns0:f>
        <ns0:v>Konya</ns0:v>
      </ns0:c>
      <ns0:c r="H111" s="28" t="str">
        <ns0:f>IF(A111="","",IF(C111&lt;=0,"Satış dışı",IF(OR(F111="",G111=""),"Eşleşmedi","Eşleşti")))</ns0:f>
        <ns0:v>Eşleşti</ns0:v>
      </ns0:c>
      <ns0:c r="I111" s="28">
        <ns0:f>I110+IF(AND(H111="Eşleşmedi",E111='Panel'!$B$4),1,0)</ns0:f>
        <ns0:v>3.0</ns0:v>
      </ns0:c>
    </ns0:row>
    <ns0:row r="112" ht="21" customHeight="1">
      <ns0:c r="A112" s="25" t="n"/>
      <ns0:c r="B112" s="26" t="n"/>
      <ns0:c r="C112" s="27" t="n"/>
      <ns0:c r="D112" s="27" t="n"/>
      <ns0:c r="E112" s="28" t="str">
        <ns0:f>IF(A112="","",YEAR(A112)&amp;"-"&amp;RIGHT("0"&amp;MONTH(A112),2))</ns0:f>
        <ns0:v/>
      </ns0:c>
      <ns0:c r="F112" s="28" t="str">
        <ns0:f>IF(OR(A112="",B112="",C112&lt;=0),"",IF(SUMPRODUCT(('Müşteriler'!$B$2:$B$101&lt;&gt;"")*ISNUMBER(SEARCH('Müşteriler'!$B$2:$B$101,B112)))=1,IFERROR(INDEX('Müşteriler'!$A$2:$A$101,SUMPRODUCT(('Müşteriler'!$B$2:$B$101&lt;&gt;"")*ISNUMBER(SEARCH('Müşteriler'!$B$2:$B$101,B112)),ROW('Müşteriler'!$B$2:$B$101)-ROW('Müşteriler'!$B$2)+1)),""),""))</ns0:f>
        <ns0:v/>
      </ns0:c>
      <ns0:c r="G112" s="28" t="str">
        <ns0:f>IF(F112="","",IFERROR(INDEX('Müşteriler'!$C$2:$C$101,MATCH(F112,'Müşteriler'!$A$2:$A$101,0)),""))</ns0:f>
        <ns0:v/>
      </ns0:c>
      <ns0:c r="H112" s="28" t="str">
        <ns0:f>IF(A112="","",IF(C112&lt;=0,"Satış dışı",IF(OR(F112="",G112=""),"Eşleşmedi","Eşleşti")))</ns0:f>
        <ns0:v/>
      </ns0:c>
      <ns0:c r="I112" s="28">
        <ns0:f>I111+IF(AND(H112="Eşleşmedi",E112='Panel'!$B$4),1,0)</ns0:f>
        <ns0:v>3.0</ns0:v>
      </ns0:c>
    </ns0:row>
    <ns0:row r="113" ht="21" customHeight="1">
      <ns0:c r="A113" s="25" t="n"/>
      <ns0:c r="B113" s="26" t="n"/>
      <ns0:c r="C113" s="27" t="n"/>
      <ns0:c r="D113" s="27" t="n"/>
      <ns0:c r="E113" s="28" t="str">
        <ns0:f>IF(A113="","",YEAR(A113)&amp;"-"&amp;RIGHT("0"&amp;MONTH(A113),2))</ns0:f>
        <ns0:v/>
      </ns0:c>
      <ns0:c r="F113" s="28" t="str">
        <ns0:f>IF(OR(A113="",B113="",C113&lt;=0),"",IF(SUMPRODUCT(('Müşteriler'!$B$2:$B$101&lt;&gt;"")*ISNUMBER(SEARCH('Müşteriler'!$B$2:$B$101,B113)))=1,IFERROR(INDEX('Müşteriler'!$A$2:$A$101,SUMPRODUCT(('Müşteriler'!$B$2:$B$101&lt;&gt;"")*ISNUMBER(SEARCH('Müşteriler'!$B$2:$B$101,B113)),ROW('Müşteriler'!$B$2:$B$101)-ROW('Müşteriler'!$B$2)+1)),""),""))</ns0:f>
        <ns0:v/>
      </ns0:c>
      <ns0:c r="G113" s="28" t="str">
        <ns0:f>IF(F113="","",IFERROR(INDEX('Müşteriler'!$C$2:$C$101,MATCH(F113,'Müşteriler'!$A$2:$A$101,0)),""))</ns0:f>
        <ns0:v/>
      </ns0:c>
      <ns0:c r="H113" s="28" t="str">
        <ns0:f>IF(A113="","",IF(C113&lt;=0,"Satış dışı",IF(OR(F113="",G113=""),"Eşleşmedi","Eşleşti")))</ns0:f>
        <ns0:v/>
      </ns0:c>
      <ns0:c r="I113" s="28">
        <ns0:f>I112+IF(AND(H113="Eşleşmedi",E113='Panel'!$B$4),1,0)</ns0:f>
        <ns0:v>3.0</ns0:v>
      </ns0:c>
    </ns0:row>
    <ns0:row r="114" ht="21" customHeight="1">
      <ns0:c r="A114" s="25" t="n"/>
      <ns0:c r="B114" s="26" t="n"/>
      <ns0:c r="C114" s="27" t="n"/>
      <ns0:c r="D114" s="27" t="n"/>
      <ns0:c r="E114" s="28" t="str">
        <ns0:f>IF(A114="","",YEAR(A114)&amp;"-"&amp;RIGHT("0"&amp;MONTH(A114),2))</ns0:f>
        <ns0:v/>
      </ns0:c>
      <ns0:c r="F114" s="28" t="str">
        <ns0:f>IF(OR(A114="",B114="",C114&lt;=0),"",IF(SUMPRODUCT(('Müşteriler'!$B$2:$B$101&lt;&gt;"")*ISNUMBER(SEARCH('Müşteriler'!$B$2:$B$101,B114)))=1,IFERROR(INDEX('Müşteriler'!$A$2:$A$101,SUMPRODUCT(('Müşteriler'!$B$2:$B$101&lt;&gt;"")*ISNUMBER(SEARCH('Müşteriler'!$B$2:$B$101,B114)),ROW('Müşteriler'!$B$2:$B$101)-ROW('Müşteriler'!$B$2)+1)),""),""))</ns0:f>
        <ns0:v/>
      </ns0:c>
      <ns0:c r="G114" s="28" t="str">
        <ns0:f>IF(F114="","",IFERROR(INDEX('Müşteriler'!$C$2:$C$101,MATCH(F114,'Müşteriler'!$A$2:$A$101,0)),""))</ns0:f>
        <ns0:v/>
      </ns0:c>
      <ns0:c r="H114" s="28" t="str">
        <ns0:f>IF(A114="","",IF(C114&lt;=0,"Satış dışı",IF(OR(F114="",G114=""),"Eşleşmedi","Eşleşti")))</ns0:f>
        <ns0:v/>
      </ns0:c>
      <ns0:c r="I114" s="28">
        <ns0:f>I113+IF(AND(H114="Eşleşmedi",E114='Panel'!$B$4),1,0)</ns0:f>
        <ns0:v>3.0</ns0:v>
      </ns0:c>
    </ns0:row>
    <ns0:row r="115" ht="21" customHeight="1">
      <ns0:c r="A115" s="25" t="n"/>
      <ns0:c r="B115" s="26" t="n"/>
      <ns0:c r="C115" s="27" t="n"/>
      <ns0:c r="D115" s="27" t="n"/>
      <ns0:c r="E115" s="28" t="str">
        <ns0:f>IF(A115="","",YEAR(A115)&amp;"-"&amp;RIGHT("0"&amp;MONTH(A115),2))</ns0:f>
        <ns0:v/>
      </ns0:c>
      <ns0:c r="F115" s="28" t="str">
        <ns0:f>IF(OR(A115="",B115="",C115&lt;=0),"",IF(SUMPRODUCT(('Müşteriler'!$B$2:$B$101&lt;&gt;"")*ISNUMBER(SEARCH('Müşteriler'!$B$2:$B$101,B115)))=1,IFERROR(INDEX('Müşteriler'!$A$2:$A$101,SUMPRODUCT(('Müşteriler'!$B$2:$B$101&lt;&gt;"")*ISNUMBER(SEARCH('Müşteriler'!$B$2:$B$101,B115)),ROW('Müşteriler'!$B$2:$B$101)-ROW('Müşteriler'!$B$2)+1)),""),""))</ns0:f>
        <ns0:v/>
      </ns0:c>
      <ns0:c r="G115" s="28" t="str">
        <ns0:f>IF(F115="","",IFERROR(INDEX('Müşteriler'!$C$2:$C$101,MATCH(F115,'Müşteriler'!$A$2:$A$101,0)),""))</ns0:f>
        <ns0:v/>
      </ns0:c>
      <ns0:c r="H115" s="28" t="str">
        <ns0:f>IF(A115="","",IF(C115&lt;=0,"Satış dışı",IF(OR(F115="",G115=""),"Eşleşmedi","Eşleşti")))</ns0:f>
        <ns0:v/>
      </ns0:c>
      <ns0:c r="I115" s="28">
        <ns0:f>I114+IF(AND(H115="Eşleşmedi",E115='Panel'!$B$4),1,0)</ns0:f>
        <ns0:v>3.0</ns0:v>
      </ns0:c>
    </ns0:row>
    <ns0:row r="116" ht="21" customHeight="1">
      <ns0:c r="A116" s="25" t="n"/>
      <ns0:c r="B116" s="26" t="n"/>
      <ns0:c r="C116" s="27" t="n"/>
      <ns0:c r="D116" s="27" t="n"/>
      <ns0:c r="E116" s="28" t="str">
        <ns0:f>IF(A116="","",YEAR(A116)&amp;"-"&amp;RIGHT("0"&amp;MONTH(A116),2))</ns0:f>
        <ns0:v/>
      </ns0:c>
      <ns0:c r="F116" s="28" t="str">
        <ns0:f>IF(OR(A116="",B116="",C116&lt;=0),"",IF(SUMPRODUCT(('Müşteriler'!$B$2:$B$101&lt;&gt;"")*ISNUMBER(SEARCH('Müşteriler'!$B$2:$B$101,B116)))=1,IFERROR(INDEX('Müşteriler'!$A$2:$A$101,SUMPRODUCT(('Müşteriler'!$B$2:$B$101&lt;&gt;"")*ISNUMBER(SEARCH('Müşteriler'!$B$2:$B$101,B116)),ROW('Müşteriler'!$B$2:$B$101)-ROW('Müşteriler'!$B$2)+1)),""),""))</ns0:f>
        <ns0:v/>
      </ns0:c>
      <ns0:c r="G116" s="28" t="str">
        <ns0:f>IF(F116="","",IFERROR(INDEX('Müşteriler'!$C$2:$C$101,MATCH(F116,'Müşteriler'!$A$2:$A$101,0)),""))</ns0:f>
        <ns0:v/>
      </ns0:c>
      <ns0:c r="H116" s="28" t="str">
        <ns0:f>IF(A116="","",IF(C116&lt;=0,"Satış dışı",IF(OR(F116="",G116=""),"Eşleşmedi","Eşleşti")))</ns0:f>
        <ns0:v/>
      </ns0:c>
      <ns0:c r="I116" s="28">
        <ns0:f>I115+IF(AND(H116="Eşleşmedi",E116='Panel'!$B$4),1,0)</ns0:f>
        <ns0:v>3.0</ns0:v>
      </ns0:c>
    </ns0:row>
    <ns0:row r="117" ht="21" customHeight="1">
      <ns0:c r="A117" s="25" t="n"/>
      <ns0:c r="B117" s="26" t="n"/>
      <ns0:c r="C117" s="27" t="n"/>
      <ns0:c r="D117" s="27" t="n"/>
      <ns0:c r="E117" s="28" t="str">
        <ns0:f>IF(A117="","",YEAR(A117)&amp;"-"&amp;RIGHT("0"&amp;MONTH(A117),2))</ns0:f>
        <ns0:v/>
      </ns0:c>
      <ns0:c r="F117" s="28" t="str">
        <ns0:f>IF(OR(A117="",B117="",C117&lt;=0),"",IF(SUMPRODUCT(('Müşteriler'!$B$2:$B$101&lt;&gt;"")*ISNUMBER(SEARCH('Müşteriler'!$B$2:$B$101,B117)))=1,IFERROR(INDEX('Müşteriler'!$A$2:$A$101,SUMPRODUCT(('Müşteriler'!$B$2:$B$101&lt;&gt;"")*ISNUMBER(SEARCH('Müşteriler'!$B$2:$B$101,B117)),ROW('Müşteriler'!$B$2:$B$101)-ROW('Müşteriler'!$B$2)+1)),""),""))</ns0:f>
        <ns0:v/>
      </ns0:c>
      <ns0:c r="G117" s="28" t="str">
        <ns0:f>IF(F117="","",IFERROR(INDEX('Müşteriler'!$C$2:$C$101,MATCH(F117,'Müşteriler'!$A$2:$A$101,0)),""))</ns0:f>
        <ns0:v/>
      </ns0:c>
      <ns0:c r="H117" s="28" t="str">
        <ns0:f>IF(A117="","",IF(C117&lt;=0,"Satış dışı",IF(OR(F117="",G117=""),"Eşleşmedi","Eşleşti")))</ns0:f>
        <ns0:v/>
      </ns0:c>
      <ns0:c r="I117" s="28">
        <ns0:f>I116+IF(AND(H117="Eşleşmedi",E117='Panel'!$B$4),1,0)</ns0:f>
        <ns0:v>3.0</ns0:v>
      </ns0:c>
    </ns0:row>
    <ns0:row r="118" ht="21" customHeight="1">
      <ns0:c r="A118" s="25" t="n"/>
      <ns0:c r="B118" s="26" t="n"/>
      <ns0:c r="C118" s="27" t="n"/>
      <ns0:c r="D118" s="27" t="n"/>
      <ns0:c r="E118" s="28" t="str">
        <ns0:f>IF(A118="","",YEAR(A118)&amp;"-"&amp;RIGHT("0"&amp;MONTH(A118),2))</ns0:f>
        <ns0:v/>
      </ns0:c>
      <ns0:c r="F118" s="28" t="str">
        <ns0:f>IF(OR(A118="",B118="",C118&lt;=0),"",IF(SUMPRODUCT(('Müşteriler'!$B$2:$B$101&lt;&gt;"")*ISNUMBER(SEARCH('Müşteriler'!$B$2:$B$101,B118)))=1,IFERROR(INDEX('Müşteriler'!$A$2:$A$101,SUMPRODUCT(('Müşteriler'!$B$2:$B$101&lt;&gt;"")*ISNUMBER(SEARCH('Müşteriler'!$B$2:$B$101,B118)),ROW('Müşteriler'!$B$2:$B$101)-ROW('Müşteriler'!$B$2)+1)),""),""))</ns0:f>
        <ns0:v/>
      </ns0:c>
      <ns0:c r="G118" s="28" t="str">
        <ns0:f>IF(F118="","",IFERROR(INDEX('Müşteriler'!$C$2:$C$101,MATCH(F118,'Müşteriler'!$A$2:$A$101,0)),""))</ns0:f>
        <ns0:v/>
      </ns0:c>
      <ns0:c r="H118" s="28" t="str">
        <ns0:f>IF(A118="","",IF(C118&lt;=0,"Satış dışı",IF(OR(F118="",G118=""),"Eşleşmedi","Eşleşti")))</ns0:f>
        <ns0:v/>
      </ns0:c>
      <ns0:c r="I118" s="28">
        <ns0:f>I117+IF(AND(H118="Eşleşmedi",E118='Panel'!$B$4),1,0)</ns0:f>
        <ns0:v>3.0</ns0:v>
      </ns0:c>
    </ns0:row>
    <ns0:row r="119" ht="21" customHeight="1">
      <ns0:c r="A119" s="25" t="n"/>
      <ns0:c r="B119" s="26" t="n"/>
      <ns0:c r="C119" s="27" t="n"/>
      <ns0:c r="D119" s="27" t="n"/>
      <ns0:c r="E119" s="28" t="str">
        <ns0:f>IF(A119="","",YEAR(A119)&amp;"-"&amp;RIGHT("0"&amp;MONTH(A119),2))</ns0:f>
        <ns0:v/>
      </ns0:c>
      <ns0:c r="F119" s="28" t="str">
        <ns0:f>IF(OR(A119="",B119="",C119&lt;=0),"",IF(SUMPRODUCT(('Müşteriler'!$B$2:$B$101&lt;&gt;"")*ISNUMBER(SEARCH('Müşteriler'!$B$2:$B$101,B119)))=1,IFERROR(INDEX('Müşteriler'!$A$2:$A$101,SUMPRODUCT(('Müşteriler'!$B$2:$B$101&lt;&gt;"")*ISNUMBER(SEARCH('Müşteriler'!$B$2:$B$101,B119)),ROW('Müşteriler'!$B$2:$B$101)-ROW('Müşteriler'!$B$2)+1)),""),""))</ns0:f>
        <ns0:v/>
      </ns0:c>
      <ns0:c r="G119" s="28" t="str">
        <ns0:f>IF(F119="","",IFERROR(INDEX('Müşteriler'!$C$2:$C$101,MATCH(F119,'Müşteriler'!$A$2:$A$101,0)),""))</ns0:f>
        <ns0:v/>
      </ns0:c>
      <ns0:c r="H119" s="28" t="str">
        <ns0:f>IF(A119="","",IF(C119&lt;=0,"Satış dışı",IF(OR(F119="",G119=""),"Eşleşmedi","Eşleşti")))</ns0:f>
        <ns0:v/>
      </ns0:c>
      <ns0:c r="I119" s="28">
        <ns0:f>I118+IF(AND(H119="Eşleşmedi",E119='Panel'!$B$4),1,0)</ns0:f>
        <ns0:v>3.0</ns0:v>
      </ns0:c>
    </ns0:row>
    <ns0:row r="120" ht="21" customHeight="1">
      <ns0:c r="A120" s="25" t="n"/>
      <ns0:c r="B120" s="26" t="n"/>
      <ns0:c r="C120" s="27" t="n"/>
      <ns0:c r="D120" s="27" t="n"/>
      <ns0:c r="E120" s="28" t="str">
        <ns0:f>IF(A120="","",YEAR(A120)&amp;"-"&amp;RIGHT("0"&amp;MONTH(A120),2))</ns0:f>
        <ns0:v/>
      </ns0:c>
      <ns0:c r="F120" s="28" t="str">
        <ns0:f>IF(OR(A120="",B120="",C120&lt;=0),"",IF(SUMPRODUCT(('Müşteriler'!$B$2:$B$101&lt;&gt;"")*ISNUMBER(SEARCH('Müşteriler'!$B$2:$B$101,B120)))=1,IFERROR(INDEX('Müşteriler'!$A$2:$A$101,SUMPRODUCT(('Müşteriler'!$B$2:$B$101&lt;&gt;"")*ISNUMBER(SEARCH('Müşteriler'!$B$2:$B$101,B120)),ROW('Müşteriler'!$B$2:$B$101)-ROW('Müşteriler'!$B$2)+1)),""),""))</ns0:f>
        <ns0:v/>
      </ns0:c>
      <ns0:c r="G120" s="28" t="str">
        <ns0:f>IF(F120="","",IFERROR(INDEX('Müşteriler'!$C$2:$C$101,MATCH(F120,'Müşteriler'!$A$2:$A$101,0)),""))</ns0:f>
        <ns0:v/>
      </ns0:c>
      <ns0:c r="H120" s="28" t="str">
        <ns0:f>IF(A120="","",IF(C120&lt;=0,"Satış dışı",IF(OR(F120="",G120=""),"Eşleşmedi","Eşleşti")))</ns0:f>
        <ns0:v/>
      </ns0:c>
      <ns0:c r="I120" s="28">
        <ns0:f>I119+IF(AND(H120="Eşleşmedi",E120='Panel'!$B$4),1,0)</ns0:f>
        <ns0:v>3.0</ns0:v>
      </ns0:c>
    </ns0:row>
    <ns0:row r="121" ht="21" customHeight="1">
      <ns0:c r="A121" s="25" t="n"/>
      <ns0:c r="B121" s="26" t="n"/>
      <ns0:c r="C121" s="27" t="n"/>
      <ns0:c r="D121" s="27" t="n"/>
      <ns0:c r="E121" s="28" t="str">
        <ns0:f>IF(A121="","",YEAR(A121)&amp;"-"&amp;RIGHT("0"&amp;MONTH(A121),2))</ns0:f>
        <ns0:v/>
      </ns0:c>
      <ns0:c r="F121" s="28" t="str">
        <ns0:f>IF(OR(A121="",B121="",C121&lt;=0),"",IF(SUMPRODUCT(('Müşteriler'!$B$2:$B$101&lt;&gt;"")*ISNUMBER(SEARCH('Müşteriler'!$B$2:$B$101,B121)))=1,IFERROR(INDEX('Müşteriler'!$A$2:$A$101,SUMPRODUCT(('Müşteriler'!$B$2:$B$101&lt;&gt;"")*ISNUMBER(SEARCH('Müşteriler'!$B$2:$B$101,B121)),ROW('Müşteriler'!$B$2:$B$101)-ROW('Müşteriler'!$B$2)+1)),""),""))</ns0:f>
        <ns0:v/>
      </ns0:c>
      <ns0:c r="G121" s="28" t="str">
        <ns0:f>IF(F121="","",IFERROR(INDEX('Müşteriler'!$C$2:$C$101,MATCH(F121,'Müşteriler'!$A$2:$A$101,0)),""))</ns0:f>
        <ns0:v/>
      </ns0:c>
      <ns0:c r="H121" s="28" t="str">
        <ns0:f>IF(A121="","",IF(C121&lt;=0,"Satış dışı",IF(OR(F121="",G121=""),"Eşleşmedi","Eşleşti")))</ns0:f>
        <ns0:v/>
      </ns0:c>
      <ns0:c r="I121" s="28">
        <ns0:f>I120+IF(AND(H121="Eşleşmedi",E121='Panel'!$B$4),1,0)</ns0:f>
        <ns0:v>3.0</ns0:v>
      </ns0:c>
    </ns0:row>
    <ns0:row r="122" ht="21" customHeight="1">
      <ns0:c r="A122" s="25" t="n"/>
      <ns0:c r="B122" s="26" t="n"/>
      <ns0:c r="C122" s="27" t="n"/>
      <ns0:c r="D122" s="27" t="n"/>
      <ns0:c r="E122" s="28" t="str">
        <ns0:f>IF(A122="","",YEAR(A122)&amp;"-"&amp;RIGHT("0"&amp;MONTH(A122),2))</ns0:f>
        <ns0:v/>
      </ns0:c>
      <ns0:c r="F122" s="28" t="str">
        <ns0:f>IF(OR(A122="",B122="",C122&lt;=0),"",IF(SUMPRODUCT(('Müşteriler'!$B$2:$B$101&lt;&gt;"")*ISNUMBER(SEARCH('Müşteriler'!$B$2:$B$101,B122)))=1,IFERROR(INDEX('Müşteriler'!$A$2:$A$101,SUMPRODUCT(('Müşteriler'!$B$2:$B$101&lt;&gt;"")*ISNUMBER(SEARCH('Müşteriler'!$B$2:$B$101,B122)),ROW('Müşteriler'!$B$2:$B$101)-ROW('Müşteriler'!$B$2)+1)),""),""))</ns0:f>
        <ns0:v/>
      </ns0:c>
      <ns0:c r="G122" s="28" t="str">
        <ns0:f>IF(F122="","",IFERROR(INDEX('Müşteriler'!$C$2:$C$101,MATCH(F122,'Müşteriler'!$A$2:$A$101,0)),""))</ns0:f>
        <ns0:v/>
      </ns0:c>
      <ns0:c r="H122" s="28" t="str">
        <ns0:f>IF(A122="","",IF(C122&lt;=0,"Satış dışı",IF(OR(F122="",G122=""),"Eşleşmedi","Eşleşti")))</ns0:f>
        <ns0:v/>
      </ns0:c>
      <ns0:c r="I122" s="28">
        <ns0:f>I121+IF(AND(H122="Eşleşmedi",E122='Panel'!$B$4),1,0)</ns0:f>
        <ns0:v>3.0</ns0:v>
      </ns0:c>
    </ns0:row>
    <ns0:row r="123" ht="21" customHeight="1">
      <ns0:c r="A123" s="25" t="n"/>
      <ns0:c r="B123" s="26" t="n"/>
      <ns0:c r="C123" s="27" t="n"/>
      <ns0:c r="D123" s="27" t="n"/>
      <ns0:c r="E123" s="28" t="str">
        <ns0:f>IF(A123="","",YEAR(A123)&amp;"-"&amp;RIGHT("0"&amp;MONTH(A123),2))</ns0:f>
        <ns0:v/>
      </ns0:c>
      <ns0:c r="F123" s="28" t="str">
        <ns0:f>IF(OR(A123="",B123="",C123&lt;=0),"",IF(SUMPRODUCT(('Müşteriler'!$B$2:$B$101&lt;&gt;"")*ISNUMBER(SEARCH('Müşteriler'!$B$2:$B$101,B123)))=1,IFERROR(INDEX('Müşteriler'!$A$2:$A$101,SUMPRODUCT(('Müşteriler'!$B$2:$B$101&lt;&gt;"")*ISNUMBER(SEARCH('Müşteriler'!$B$2:$B$101,B123)),ROW('Müşteriler'!$B$2:$B$101)-ROW('Müşteriler'!$B$2)+1)),""),""))</ns0:f>
        <ns0:v/>
      </ns0:c>
      <ns0:c r="G123" s="28" t="str">
        <ns0:f>IF(F123="","",IFERROR(INDEX('Müşteriler'!$C$2:$C$101,MATCH(F123,'Müşteriler'!$A$2:$A$101,0)),""))</ns0:f>
        <ns0:v/>
      </ns0:c>
      <ns0:c r="H123" s="28" t="str">
        <ns0:f>IF(A123="","",IF(C123&lt;=0,"Satış dışı",IF(OR(F123="",G123=""),"Eşleşmedi","Eşleşti")))</ns0:f>
        <ns0:v/>
      </ns0:c>
      <ns0:c r="I123" s="28">
        <ns0:f>I122+IF(AND(H123="Eşleşmedi",E123='Panel'!$B$4),1,0)</ns0:f>
        <ns0:v>3.0</ns0:v>
      </ns0:c>
    </ns0:row>
    <ns0:row r="124" ht="21" customHeight="1">
      <ns0:c r="A124" s="25" t="n"/>
      <ns0:c r="B124" s="26" t="n"/>
      <ns0:c r="C124" s="27" t="n"/>
      <ns0:c r="D124" s="27" t="n"/>
      <ns0:c r="E124" s="28" t="str">
        <ns0:f>IF(A124="","",YEAR(A124)&amp;"-"&amp;RIGHT("0"&amp;MONTH(A124),2))</ns0:f>
        <ns0:v/>
      </ns0:c>
      <ns0:c r="F124" s="28" t="str">
        <ns0:f>IF(OR(A124="",B124="",C124&lt;=0),"",IF(SUMPRODUCT(('Müşteriler'!$B$2:$B$101&lt;&gt;"")*ISNUMBER(SEARCH('Müşteriler'!$B$2:$B$101,B124)))=1,IFERROR(INDEX('Müşteriler'!$A$2:$A$101,SUMPRODUCT(('Müşteriler'!$B$2:$B$101&lt;&gt;"")*ISNUMBER(SEARCH('Müşteriler'!$B$2:$B$101,B124)),ROW('Müşteriler'!$B$2:$B$101)-ROW('Müşteriler'!$B$2)+1)),""),""))</ns0:f>
        <ns0:v/>
      </ns0:c>
      <ns0:c r="G124" s="28" t="str">
        <ns0:f>IF(F124="","",IFERROR(INDEX('Müşteriler'!$C$2:$C$101,MATCH(F124,'Müşteriler'!$A$2:$A$101,0)),""))</ns0:f>
        <ns0:v/>
      </ns0:c>
      <ns0:c r="H124" s="28" t="str">
        <ns0:f>IF(A124="","",IF(C124&lt;=0,"Satış dışı",IF(OR(F124="",G124=""),"Eşleşmedi","Eşleşti")))</ns0:f>
        <ns0:v/>
      </ns0:c>
      <ns0:c r="I124" s="28">
        <ns0:f>I123+IF(AND(H124="Eşleşmedi",E124='Panel'!$B$4),1,0)</ns0:f>
        <ns0:v>3.0</ns0:v>
      </ns0:c>
    </ns0:row>
    <ns0:row r="125" ht="21" customHeight="1">
      <ns0:c r="A125" s="25" t="n"/>
      <ns0:c r="B125" s="26" t="n"/>
      <ns0:c r="C125" s="27" t="n"/>
      <ns0:c r="D125" s="27" t="n"/>
      <ns0:c r="E125" s="28" t="str">
        <ns0:f>IF(A125="","",YEAR(A125)&amp;"-"&amp;RIGHT("0"&amp;MONTH(A125),2))</ns0:f>
        <ns0:v/>
      </ns0:c>
      <ns0:c r="F125" s="28" t="str">
        <ns0:f>IF(OR(A125="",B125="",C125&lt;=0),"",IF(SUMPRODUCT(('Müşteriler'!$B$2:$B$101&lt;&gt;"")*ISNUMBER(SEARCH('Müşteriler'!$B$2:$B$101,B125)))=1,IFERROR(INDEX('Müşteriler'!$A$2:$A$101,SUMPRODUCT(('Müşteriler'!$B$2:$B$101&lt;&gt;"")*ISNUMBER(SEARCH('Müşteriler'!$B$2:$B$101,B125)),ROW('Müşteriler'!$B$2:$B$101)-ROW('Müşteriler'!$B$2)+1)),""),""))</ns0:f>
        <ns0:v/>
      </ns0:c>
      <ns0:c r="G125" s="28" t="str">
        <ns0:f>IF(F125="","",IFERROR(INDEX('Müşteriler'!$C$2:$C$101,MATCH(F125,'Müşteriler'!$A$2:$A$101,0)),""))</ns0:f>
        <ns0:v/>
      </ns0:c>
      <ns0:c r="H125" s="28" t="str">
        <ns0:f>IF(A125="","",IF(C125&lt;=0,"Satış dışı",IF(OR(F125="",G125=""),"Eşleşmedi","Eşleşti")))</ns0:f>
        <ns0:v/>
      </ns0:c>
      <ns0:c r="I125" s="28">
        <ns0:f>I124+IF(AND(H125="Eşleşmedi",E125='Panel'!$B$4),1,0)</ns0:f>
        <ns0:v>3.0</ns0:v>
      </ns0:c>
    </ns0:row>
    <ns0:row r="126" ht="21" customHeight="1">
      <ns0:c r="A126" s="25" t="n"/>
      <ns0:c r="B126" s="26" t="n"/>
      <ns0:c r="C126" s="27" t="n"/>
      <ns0:c r="D126" s="27" t="n"/>
      <ns0:c r="E126" s="28" t="str">
        <ns0:f>IF(A126="","",YEAR(A126)&amp;"-"&amp;RIGHT("0"&amp;MONTH(A126),2))</ns0:f>
        <ns0:v/>
      </ns0:c>
      <ns0:c r="F126" s="28" t="str">
        <ns0:f>IF(OR(A126="",B126="",C126&lt;=0),"",IF(SUMPRODUCT(('Müşteriler'!$B$2:$B$101&lt;&gt;"")*ISNUMBER(SEARCH('Müşteriler'!$B$2:$B$101,B126)))=1,IFERROR(INDEX('Müşteriler'!$A$2:$A$101,SUMPRODUCT(('Müşteriler'!$B$2:$B$101&lt;&gt;"")*ISNUMBER(SEARCH('Müşteriler'!$B$2:$B$101,B126)),ROW('Müşteriler'!$B$2:$B$101)-ROW('Müşteriler'!$B$2)+1)),""),""))</ns0:f>
        <ns0:v/>
      </ns0:c>
      <ns0:c r="G126" s="28" t="str">
        <ns0:f>IF(F126="","",IFERROR(INDEX('Müşteriler'!$C$2:$C$101,MATCH(F126,'Müşteriler'!$A$2:$A$101,0)),""))</ns0:f>
        <ns0:v/>
      </ns0:c>
      <ns0:c r="H126" s="28" t="str">
        <ns0:f>IF(A126="","",IF(C126&lt;=0,"Satış dışı",IF(OR(F126="",G126=""),"Eşleşmedi","Eşleşti")))</ns0:f>
        <ns0:v/>
      </ns0:c>
      <ns0:c r="I126" s="28">
        <ns0:f>I125+IF(AND(H126="Eşleşmedi",E126='Panel'!$B$4),1,0)</ns0:f>
        <ns0:v>3.0</ns0:v>
      </ns0:c>
    </ns0:row>
    <ns0:row r="127" ht="21" customHeight="1">
      <ns0:c r="A127" s="25" t="n"/>
      <ns0:c r="B127" s="26" t="n"/>
      <ns0:c r="C127" s="27" t="n"/>
      <ns0:c r="D127" s="27" t="n"/>
      <ns0:c r="E127" s="28" t="str">
        <ns0:f>IF(A127="","",YEAR(A127)&amp;"-"&amp;RIGHT("0"&amp;MONTH(A127),2))</ns0:f>
        <ns0:v/>
      </ns0:c>
      <ns0:c r="F127" s="28" t="str">
        <ns0:f>IF(OR(A127="",B127="",C127&lt;=0),"",IF(SUMPRODUCT(('Müşteriler'!$B$2:$B$101&lt;&gt;"")*ISNUMBER(SEARCH('Müşteriler'!$B$2:$B$101,B127)))=1,IFERROR(INDEX('Müşteriler'!$A$2:$A$101,SUMPRODUCT(('Müşteriler'!$B$2:$B$101&lt;&gt;"")*ISNUMBER(SEARCH('Müşteriler'!$B$2:$B$101,B127)),ROW('Müşteriler'!$B$2:$B$101)-ROW('Müşteriler'!$B$2)+1)),""),""))</ns0:f>
        <ns0:v/>
      </ns0:c>
      <ns0:c r="G127" s="28" t="str">
        <ns0:f>IF(F127="","",IFERROR(INDEX('Müşteriler'!$C$2:$C$101,MATCH(F127,'Müşteriler'!$A$2:$A$101,0)),""))</ns0:f>
        <ns0:v/>
      </ns0:c>
      <ns0:c r="H127" s="28" t="str">
        <ns0:f>IF(A127="","",IF(C127&lt;=0,"Satış dışı",IF(OR(F127="",G127=""),"Eşleşmedi","Eşleşti")))</ns0:f>
        <ns0:v/>
      </ns0:c>
      <ns0:c r="I127" s="28">
        <ns0:f>I126+IF(AND(H127="Eşleşmedi",E127='Panel'!$B$4),1,0)</ns0:f>
        <ns0:v>3.0</ns0:v>
      </ns0:c>
    </ns0:row>
    <ns0:row r="128" ht="21" customHeight="1">
      <ns0:c r="A128" s="25" t="n"/>
      <ns0:c r="B128" s="26" t="n"/>
      <ns0:c r="C128" s="27" t="n"/>
      <ns0:c r="D128" s="27" t="n"/>
      <ns0:c r="E128" s="28" t="str">
        <ns0:f>IF(A128="","",YEAR(A128)&amp;"-"&amp;RIGHT("0"&amp;MONTH(A128),2))</ns0:f>
        <ns0:v/>
      </ns0:c>
      <ns0:c r="F128" s="28" t="str">
        <ns0:f>IF(OR(A128="",B128="",C128&lt;=0),"",IF(SUMPRODUCT(('Müşteriler'!$B$2:$B$101&lt;&gt;"")*ISNUMBER(SEARCH('Müşteriler'!$B$2:$B$101,B128)))=1,IFERROR(INDEX('Müşteriler'!$A$2:$A$101,SUMPRODUCT(('Müşteriler'!$B$2:$B$101&lt;&gt;"")*ISNUMBER(SEARCH('Müşteriler'!$B$2:$B$101,B128)),ROW('Müşteriler'!$B$2:$B$101)-ROW('Müşteriler'!$B$2)+1)),""),""))</ns0:f>
        <ns0:v/>
      </ns0:c>
      <ns0:c r="G128" s="28" t="str">
        <ns0:f>IF(F128="","",IFERROR(INDEX('Müşteriler'!$C$2:$C$101,MATCH(F128,'Müşteriler'!$A$2:$A$101,0)),""))</ns0:f>
        <ns0:v/>
      </ns0:c>
      <ns0:c r="H128" s="28" t="str">
        <ns0:f>IF(A128="","",IF(C128&lt;=0,"Satış dışı",IF(OR(F128="",G128=""),"Eşleşmedi","Eşleşti")))</ns0:f>
        <ns0:v/>
      </ns0:c>
      <ns0:c r="I128" s="28">
        <ns0:f>I127+IF(AND(H128="Eşleşmedi",E128='Panel'!$B$4),1,0)</ns0:f>
        <ns0:v>3.0</ns0:v>
      </ns0:c>
    </ns0:row>
    <ns0:row r="129" ht="21" customHeight="1">
      <ns0:c r="A129" s="25" t="n"/>
      <ns0:c r="B129" s="26" t="n"/>
      <ns0:c r="C129" s="27" t="n"/>
      <ns0:c r="D129" s="27" t="n"/>
      <ns0:c r="E129" s="28" t="str">
        <ns0:f>IF(A129="","",YEAR(A129)&amp;"-"&amp;RIGHT("0"&amp;MONTH(A129),2))</ns0:f>
        <ns0:v/>
      </ns0:c>
      <ns0:c r="F129" s="28" t="str">
        <ns0:f>IF(OR(A129="",B129="",C129&lt;=0),"",IF(SUMPRODUCT(('Müşteriler'!$B$2:$B$101&lt;&gt;"")*ISNUMBER(SEARCH('Müşteriler'!$B$2:$B$101,B129)))=1,IFERROR(INDEX('Müşteriler'!$A$2:$A$101,SUMPRODUCT(('Müşteriler'!$B$2:$B$101&lt;&gt;"")*ISNUMBER(SEARCH('Müşteriler'!$B$2:$B$101,B129)),ROW('Müşteriler'!$B$2:$B$101)-ROW('Müşteriler'!$B$2)+1)),""),""))</ns0:f>
        <ns0:v/>
      </ns0:c>
      <ns0:c r="G129" s="28" t="str">
        <ns0:f>IF(F129="","",IFERROR(INDEX('Müşteriler'!$C$2:$C$101,MATCH(F129,'Müşteriler'!$A$2:$A$101,0)),""))</ns0:f>
        <ns0:v/>
      </ns0:c>
      <ns0:c r="H129" s="28" t="str">
        <ns0:f>IF(A129="","",IF(C129&lt;=0,"Satış dışı",IF(OR(F129="",G129=""),"Eşleşmedi","Eşleşti")))</ns0:f>
        <ns0:v/>
      </ns0:c>
      <ns0:c r="I129" s="28">
        <ns0:f>I128+IF(AND(H129="Eşleşmedi",E129='Panel'!$B$4),1,0)</ns0:f>
        <ns0:v>3.0</ns0:v>
      </ns0:c>
    </ns0:row>
    <ns0:row r="130" ht="21" customHeight="1">
      <ns0:c r="A130" s="25" t="n"/>
      <ns0:c r="B130" s="26" t="n"/>
      <ns0:c r="C130" s="27" t="n"/>
      <ns0:c r="D130" s="27" t="n"/>
      <ns0:c r="E130" s="28" t="str">
        <ns0:f>IF(A130="","",YEAR(A130)&amp;"-"&amp;RIGHT("0"&amp;MONTH(A130),2))</ns0:f>
        <ns0:v/>
      </ns0:c>
      <ns0:c r="F130" s="28" t="str">
        <ns0:f>IF(OR(A130="",B130="",C130&lt;=0),"",IF(SUMPRODUCT(('Müşteriler'!$B$2:$B$101&lt;&gt;"")*ISNUMBER(SEARCH('Müşteriler'!$B$2:$B$101,B130)))=1,IFERROR(INDEX('Müşteriler'!$A$2:$A$101,SUMPRODUCT(('Müşteriler'!$B$2:$B$101&lt;&gt;"")*ISNUMBER(SEARCH('Müşteriler'!$B$2:$B$101,B130)),ROW('Müşteriler'!$B$2:$B$101)-ROW('Müşteriler'!$B$2)+1)),""),""))</ns0:f>
        <ns0:v/>
      </ns0:c>
      <ns0:c r="G130" s="28" t="str">
        <ns0:f>IF(F130="","",IFERROR(INDEX('Müşteriler'!$C$2:$C$101,MATCH(F130,'Müşteriler'!$A$2:$A$101,0)),""))</ns0:f>
        <ns0:v/>
      </ns0:c>
      <ns0:c r="H130" s="28" t="str">
        <ns0:f>IF(A130="","",IF(C130&lt;=0,"Satış dışı",IF(OR(F130="",G130=""),"Eşleşmedi","Eşleşti")))</ns0:f>
        <ns0:v/>
      </ns0:c>
      <ns0:c r="I130" s="28">
        <ns0:f>I129+IF(AND(H130="Eşleşmedi",E130='Panel'!$B$4),1,0)</ns0:f>
        <ns0:v>3.0</ns0:v>
      </ns0:c>
    </ns0:row>
    <ns0:row r="131" ht="21" customHeight="1">
      <ns0:c r="A131" s="25" t="n"/>
      <ns0:c r="B131" s="26" t="n"/>
      <ns0:c r="C131" s="27" t="n"/>
      <ns0:c r="D131" s="27" t="n"/>
      <ns0:c r="E131" s="28" t="str">
        <ns0:f>IF(A131="","",YEAR(A131)&amp;"-"&amp;RIGHT("0"&amp;MONTH(A131),2))</ns0:f>
        <ns0:v/>
      </ns0:c>
      <ns0:c r="F131" s="28" t="str">
        <ns0:f>IF(OR(A131="",B131="",C131&lt;=0),"",IF(SUMPRODUCT(('Müşteriler'!$B$2:$B$101&lt;&gt;"")*ISNUMBER(SEARCH('Müşteriler'!$B$2:$B$101,B131)))=1,IFERROR(INDEX('Müşteriler'!$A$2:$A$101,SUMPRODUCT(('Müşteriler'!$B$2:$B$101&lt;&gt;"")*ISNUMBER(SEARCH('Müşteriler'!$B$2:$B$101,B131)),ROW('Müşteriler'!$B$2:$B$101)-ROW('Müşteriler'!$B$2)+1)),""),""))</ns0:f>
        <ns0:v/>
      </ns0:c>
      <ns0:c r="G131" s="28" t="str">
        <ns0:f>IF(F131="","",IFERROR(INDEX('Müşteriler'!$C$2:$C$101,MATCH(F131,'Müşteriler'!$A$2:$A$101,0)),""))</ns0:f>
        <ns0:v/>
      </ns0:c>
      <ns0:c r="H131" s="28" t="str">
        <ns0:f>IF(A131="","",IF(C131&lt;=0,"Satış dışı",IF(OR(F131="",G131=""),"Eşleşmedi","Eşleşti")))</ns0:f>
        <ns0:v/>
      </ns0:c>
      <ns0:c r="I131" s="28">
        <ns0:f>I130+IF(AND(H131="Eşleşmedi",E131='Panel'!$B$4),1,0)</ns0:f>
        <ns0:v>3.0</ns0:v>
      </ns0:c>
    </ns0:row>
    <ns0:row r="132" ht="21" customHeight="1">
      <ns0:c r="A132" s="25" t="n"/>
      <ns0:c r="B132" s="26" t="n"/>
      <ns0:c r="C132" s="27" t="n"/>
      <ns0:c r="D132" s="27" t="n"/>
      <ns0:c r="E132" s="28" t="str">
        <ns0:f>IF(A132="","",YEAR(A132)&amp;"-"&amp;RIGHT("0"&amp;MONTH(A132),2))</ns0:f>
        <ns0:v/>
      </ns0:c>
      <ns0:c r="F132" s="28" t="str">
        <ns0:f>IF(OR(A132="",B132="",C132&lt;=0),"",IF(SUMPRODUCT(('Müşteriler'!$B$2:$B$101&lt;&gt;"")*ISNUMBER(SEARCH('Müşteriler'!$B$2:$B$101,B132)))=1,IFERROR(INDEX('Müşteriler'!$A$2:$A$101,SUMPRODUCT(('Müşteriler'!$B$2:$B$101&lt;&gt;"")*ISNUMBER(SEARCH('Müşteriler'!$B$2:$B$101,B132)),ROW('Müşteriler'!$B$2:$B$101)-ROW('Müşteriler'!$B$2)+1)),""),""))</ns0:f>
        <ns0:v/>
      </ns0:c>
      <ns0:c r="G132" s="28" t="str">
        <ns0:f>IF(F132="","",IFERROR(INDEX('Müşteriler'!$C$2:$C$101,MATCH(F132,'Müşteriler'!$A$2:$A$101,0)),""))</ns0:f>
        <ns0:v/>
      </ns0:c>
      <ns0:c r="H132" s="28" t="str">
        <ns0:f>IF(A132="","",IF(C132&lt;=0,"Satış dışı",IF(OR(F132="",G132=""),"Eşleşmedi","Eşleşti")))</ns0:f>
        <ns0:v/>
      </ns0:c>
      <ns0:c r="I132" s="28">
        <ns0:f>I131+IF(AND(H132="Eşleşmedi",E132='Panel'!$B$4),1,0)</ns0:f>
        <ns0:v>3.0</ns0:v>
      </ns0:c>
    </ns0:row>
    <ns0:row r="133" ht="21" customHeight="1">
      <ns0:c r="A133" s="25" t="n"/>
      <ns0:c r="B133" s="26" t="n"/>
      <ns0:c r="C133" s="27" t="n"/>
      <ns0:c r="D133" s="27" t="n"/>
      <ns0:c r="E133" s="28" t="str">
        <ns0:f>IF(A133="","",YEAR(A133)&amp;"-"&amp;RIGHT("0"&amp;MONTH(A133),2))</ns0:f>
        <ns0:v/>
      </ns0:c>
      <ns0:c r="F133" s="28" t="str">
        <ns0:f>IF(OR(A133="",B133="",C133&lt;=0),"",IF(SUMPRODUCT(('Müşteriler'!$B$2:$B$101&lt;&gt;"")*ISNUMBER(SEARCH('Müşteriler'!$B$2:$B$101,B133)))=1,IFERROR(INDEX('Müşteriler'!$A$2:$A$101,SUMPRODUCT(('Müşteriler'!$B$2:$B$101&lt;&gt;"")*ISNUMBER(SEARCH('Müşteriler'!$B$2:$B$101,B133)),ROW('Müşteriler'!$B$2:$B$101)-ROW('Müşteriler'!$B$2)+1)),""),""))</ns0:f>
        <ns0:v/>
      </ns0:c>
      <ns0:c r="G133" s="28" t="str">
        <ns0:f>IF(F133="","",IFERROR(INDEX('Müşteriler'!$C$2:$C$101,MATCH(F133,'Müşteriler'!$A$2:$A$101,0)),""))</ns0:f>
        <ns0:v/>
      </ns0:c>
      <ns0:c r="H133" s="28" t="str">
        <ns0:f>IF(A133="","",IF(C133&lt;=0,"Satış dışı",IF(OR(F133="",G133=""),"Eşleşmedi","Eşleşti")))</ns0:f>
        <ns0:v/>
      </ns0:c>
      <ns0:c r="I133" s="28">
        <ns0:f>I132+IF(AND(H133="Eşleşmedi",E133='Panel'!$B$4),1,0)</ns0:f>
        <ns0:v>3.0</ns0:v>
      </ns0:c>
    </ns0:row>
    <ns0:row r="134" ht="21" customHeight="1">
      <ns0:c r="A134" s="25" t="n"/>
      <ns0:c r="B134" s="26" t="n"/>
      <ns0:c r="C134" s="27" t="n"/>
      <ns0:c r="D134" s="27" t="n"/>
      <ns0:c r="E134" s="28" t="str">
        <ns0:f>IF(A134="","",YEAR(A134)&amp;"-"&amp;RIGHT("0"&amp;MONTH(A134),2))</ns0:f>
        <ns0:v/>
      </ns0:c>
      <ns0:c r="F134" s="28" t="str">
        <ns0:f>IF(OR(A134="",B134="",C134&lt;=0),"",IF(SUMPRODUCT(('Müşteriler'!$B$2:$B$101&lt;&gt;"")*ISNUMBER(SEARCH('Müşteriler'!$B$2:$B$101,B134)))=1,IFERROR(INDEX('Müşteriler'!$A$2:$A$101,SUMPRODUCT(('Müşteriler'!$B$2:$B$101&lt;&gt;"")*ISNUMBER(SEARCH('Müşteriler'!$B$2:$B$101,B134)),ROW('Müşteriler'!$B$2:$B$101)-ROW('Müşteriler'!$B$2)+1)),""),""))</ns0:f>
        <ns0:v/>
      </ns0:c>
      <ns0:c r="G134" s="28" t="str">
        <ns0:f>IF(F134="","",IFERROR(INDEX('Müşteriler'!$C$2:$C$101,MATCH(F134,'Müşteriler'!$A$2:$A$101,0)),""))</ns0:f>
        <ns0:v/>
      </ns0:c>
      <ns0:c r="H134" s="28" t="str">
        <ns0:f>IF(A134="","",IF(C134&lt;=0,"Satış dışı",IF(OR(F134="",G134=""),"Eşleşmedi","Eşleşti")))</ns0:f>
        <ns0:v/>
      </ns0:c>
      <ns0:c r="I134" s="28">
        <ns0:f>I133+IF(AND(H134="Eşleşmedi",E134='Panel'!$B$4),1,0)</ns0:f>
        <ns0:v>3.0</ns0:v>
      </ns0:c>
    </ns0:row>
    <ns0:row r="135" ht="21" customHeight="1">
      <ns0:c r="A135" s="25" t="n"/>
      <ns0:c r="B135" s="26" t="n"/>
      <ns0:c r="C135" s="27" t="n"/>
      <ns0:c r="D135" s="27" t="n"/>
      <ns0:c r="E135" s="28" t="str">
        <ns0:f>IF(A135="","",YEAR(A135)&amp;"-"&amp;RIGHT("0"&amp;MONTH(A135),2))</ns0:f>
        <ns0:v/>
      </ns0:c>
      <ns0:c r="F135" s="28" t="str">
        <ns0:f>IF(OR(A135="",B135="",C135&lt;=0),"",IF(SUMPRODUCT(('Müşteriler'!$B$2:$B$101&lt;&gt;"")*ISNUMBER(SEARCH('Müşteriler'!$B$2:$B$101,B135)))=1,IFERROR(INDEX('Müşteriler'!$A$2:$A$101,SUMPRODUCT(('Müşteriler'!$B$2:$B$101&lt;&gt;"")*ISNUMBER(SEARCH('Müşteriler'!$B$2:$B$101,B135)),ROW('Müşteriler'!$B$2:$B$101)-ROW('Müşteriler'!$B$2)+1)),""),""))</ns0:f>
        <ns0:v/>
      </ns0:c>
      <ns0:c r="G135" s="28" t="str">
        <ns0:f>IF(F135="","",IFERROR(INDEX('Müşteriler'!$C$2:$C$101,MATCH(F135,'Müşteriler'!$A$2:$A$101,0)),""))</ns0:f>
        <ns0:v/>
      </ns0:c>
      <ns0:c r="H135" s="28" t="str">
        <ns0:f>IF(A135="","",IF(C135&lt;=0,"Satış dışı",IF(OR(F135="",G135=""),"Eşleşmedi","Eşleşti")))</ns0:f>
        <ns0:v/>
      </ns0:c>
      <ns0:c r="I135" s="28">
        <ns0:f>I134+IF(AND(H135="Eşleşmedi",E135='Panel'!$B$4),1,0)</ns0:f>
        <ns0:v>3.0</ns0:v>
      </ns0:c>
    </ns0:row>
    <ns0:row r="136" ht="21" customHeight="1">
      <ns0:c r="A136" s="25" t="n"/>
      <ns0:c r="B136" s="26" t="n"/>
      <ns0:c r="C136" s="27" t="n"/>
      <ns0:c r="D136" s="27" t="n"/>
      <ns0:c r="E136" s="28" t="str">
        <ns0:f>IF(A136="","",YEAR(A136)&amp;"-"&amp;RIGHT("0"&amp;MONTH(A136),2))</ns0:f>
        <ns0:v/>
      </ns0:c>
      <ns0:c r="F136" s="28" t="str">
        <ns0:f>IF(OR(A136="",B136="",C136&lt;=0),"",IF(SUMPRODUCT(('Müşteriler'!$B$2:$B$101&lt;&gt;"")*ISNUMBER(SEARCH('Müşteriler'!$B$2:$B$101,B136)))=1,IFERROR(INDEX('Müşteriler'!$A$2:$A$101,SUMPRODUCT(('Müşteriler'!$B$2:$B$101&lt;&gt;"")*ISNUMBER(SEARCH('Müşteriler'!$B$2:$B$101,B136)),ROW('Müşteriler'!$B$2:$B$101)-ROW('Müşteriler'!$B$2)+1)),""),""))</ns0:f>
        <ns0:v/>
      </ns0:c>
      <ns0:c r="G136" s="28" t="str">
        <ns0:f>IF(F136="","",IFERROR(INDEX('Müşteriler'!$C$2:$C$101,MATCH(F136,'Müşteriler'!$A$2:$A$101,0)),""))</ns0:f>
        <ns0:v/>
      </ns0:c>
      <ns0:c r="H136" s="28" t="str">
        <ns0:f>IF(A136="","",IF(C136&lt;=0,"Satış dışı",IF(OR(F136="",G136=""),"Eşleşmedi","Eşleşti")))</ns0:f>
        <ns0:v/>
      </ns0:c>
      <ns0:c r="I136" s="28">
        <ns0:f>I135+IF(AND(H136="Eşleşmedi",E136='Panel'!$B$4),1,0)</ns0:f>
        <ns0:v>3.0</ns0:v>
      </ns0:c>
    </ns0:row>
    <ns0:row r="137" ht="21" customHeight="1">
      <ns0:c r="A137" s="25" t="n"/>
      <ns0:c r="B137" s="26" t="n"/>
      <ns0:c r="C137" s="27" t="n"/>
      <ns0:c r="D137" s="27" t="n"/>
      <ns0:c r="E137" s="28" t="str">
        <ns0:f>IF(A137="","",YEAR(A137)&amp;"-"&amp;RIGHT("0"&amp;MONTH(A137),2))</ns0:f>
        <ns0:v/>
      </ns0:c>
      <ns0:c r="F137" s="28" t="str">
        <ns0:f>IF(OR(A137="",B137="",C137&lt;=0),"",IF(SUMPRODUCT(('Müşteriler'!$B$2:$B$101&lt;&gt;"")*ISNUMBER(SEARCH('Müşteriler'!$B$2:$B$101,B137)))=1,IFERROR(INDEX('Müşteriler'!$A$2:$A$101,SUMPRODUCT(('Müşteriler'!$B$2:$B$101&lt;&gt;"")*ISNUMBER(SEARCH('Müşteriler'!$B$2:$B$101,B137)),ROW('Müşteriler'!$B$2:$B$101)-ROW('Müşteriler'!$B$2)+1)),""),""))</ns0:f>
        <ns0:v/>
      </ns0:c>
      <ns0:c r="G137" s="28" t="str">
        <ns0:f>IF(F137="","",IFERROR(INDEX('Müşteriler'!$C$2:$C$101,MATCH(F137,'Müşteriler'!$A$2:$A$101,0)),""))</ns0:f>
        <ns0:v/>
      </ns0:c>
      <ns0:c r="H137" s="28" t="str">
        <ns0:f>IF(A137="","",IF(C137&lt;=0,"Satış dışı",IF(OR(F137="",G137=""),"Eşleşmedi","Eşleşti")))</ns0:f>
        <ns0:v/>
      </ns0:c>
      <ns0:c r="I137" s="28">
        <ns0:f>I136+IF(AND(H137="Eşleşmedi",E137='Panel'!$B$4),1,0)</ns0:f>
        <ns0:v>3.0</ns0:v>
      </ns0:c>
    </ns0:row>
    <ns0:row r="138" ht="21" customHeight="1">
      <ns0:c r="A138" s="25" t="n"/>
      <ns0:c r="B138" s="26" t="n"/>
      <ns0:c r="C138" s="27" t="n"/>
      <ns0:c r="D138" s="27" t="n"/>
      <ns0:c r="E138" s="28" t="str">
        <ns0:f>IF(A138="","",YEAR(A138)&amp;"-"&amp;RIGHT("0"&amp;MONTH(A138),2))</ns0:f>
        <ns0:v/>
      </ns0:c>
      <ns0:c r="F138" s="28" t="str">
        <ns0:f>IF(OR(A138="",B138="",C138&lt;=0),"",IF(SUMPRODUCT(('Müşteriler'!$B$2:$B$101&lt;&gt;"")*ISNUMBER(SEARCH('Müşteriler'!$B$2:$B$101,B138)))=1,IFERROR(INDEX('Müşteriler'!$A$2:$A$101,SUMPRODUCT(('Müşteriler'!$B$2:$B$101&lt;&gt;"")*ISNUMBER(SEARCH('Müşteriler'!$B$2:$B$101,B138)),ROW('Müşteriler'!$B$2:$B$101)-ROW('Müşteriler'!$B$2)+1)),""),""))</ns0:f>
        <ns0:v/>
      </ns0:c>
      <ns0:c r="G138" s="28" t="str">
        <ns0:f>IF(F138="","",IFERROR(INDEX('Müşteriler'!$C$2:$C$101,MATCH(F138,'Müşteriler'!$A$2:$A$101,0)),""))</ns0:f>
        <ns0:v/>
      </ns0:c>
      <ns0:c r="H138" s="28" t="str">
        <ns0:f>IF(A138="","",IF(C138&lt;=0,"Satış dışı",IF(OR(F138="",G138=""),"Eşleşmedi","Eşleşti")))</ns0:f>
        <ns0:v/>
      </ns0:c>
      <ns0:c r="I138" s="28">
        <ns0:f>I137+IF(AND(H138="Eşleşmedi",E138='Panel'!$B$4),1,0)</ns0:f>
        <ns0:v>3.0</ns0:v>
      </ns0:c>
    </ns0:row>
    <ns0:row r="139" ht="21" customHeight="1">
      <ns0:c r="A139" s="25" t="n"/>
      <ns0:c r="B139" s="26" t="n"/>
      <ns0:c r="C139" s="27" t="n"/>
      <ns0:c r="D139" s="27" t="n"/>
      <ns0:c r="E139" s="28" t="str">
        <ns0:f>IF(A139="","",YEAR(A139)&amp;"-"&amp;RIGHT("0"&amp;MONTH(A139),2))</ns0:f>
        <ns0:v/>
      </ns0:c>
      <ns0:c r="F139" s="28" t="str">
        <ns0:f>IF(OR(A139="",B139="",C139&lt;=0),"",IF(SUMPRODUCT(('Müşteriler'!$B$2:$B$101&lt;&gt;"")*ISNUMBER(SEARCH('Müşteriler'!$B$2:$B$101,B139)))=1,IFERROR(INDEX('Müşteriler'!$A$2:$A$101,SUMPRODUCT(('Müşteriler'!$B$2:$B$101&lt;&gt;"")*ISNUMBER(SEARCH('Müşteriler'!$B$2:$B$101,B139)),ROW('Müşteriler'!$B$2:$B$101)-ROW('Müşteriler'!$B$2)+1)),""),""))</ns0:f>
        <ns0:v/>
      </ns0:c>
      <ns0:c r="G139" s="28" t="str">
        <ns0:f>IF(F139="","",IFERROR(INDEX('Müşteriler'!$C$2:$C$101,MATCH(F139,'Müşteriler'!$A$2:$A$101,0)),""))</ns0:f>
        <ns0:v/>
      </ns0:c>
      <ns0:c r="H139" s="28" t="str">
        <ns0:f>IF(A139="","",IF(C139&lt;=0,"Satış dışı",IF(OR(F139="",G139=""),"Eşleşmedi","Eşleşti")))</ns0:f>
        <ns0:v/>
      </ns0:c>
      <ns0:c r="I139" s="28">
        <ns0:f>I138+IF(AND(H139="Eşleşmedi",E139='Panel'!$B$4),1,0)</ns0:f>
        <ns0:v>3.0</ns0:v>
      </ns0:c>
    </ns0:row>
    <ns0:row r="140" ht="21" customHeight="1">
      <ns0:c r="A140" s="25" t="n"/>
      <ns0:c r="B140" s="26" t="n"/>
      <ns0:c r="C140" s="27" t="n"/>
      <ns0:c r="D140" s="27" t="n"/>
      <ns0:c r="E140" s="28" t="str">
        <ns0:f>IF(A140="","",YEAR(A140)&amp;"-"&amp;RIGHT("0"&amp;MONTH(A140),2))</ns0:f>
        <ns0:v/>
      </ns0:c>
      <ns0:c r="F140" s="28" t="str">
        <ns0:f>IF(OR(A140="",B140="",C140&lt;=0),"",IF(SUMPRODUCT(('Müşteriler'!$B$2:$B$101&lt;&gt;"")*ISNUMBER(SEARCH('Müşteriler'!$B$2:$B$101,B140)))=1,IFERROR(INDEX('Müşteriler'!$A$2:$A$101,SUMPRODUCT(('Müşteriler'!$B$2:$B$101&lt;&gt;"")*ISNUMBER(SEARCH('Müşteriler'!$B$2:$B$101,B140)),ROW('Müşteriler'!$B$2:$B$101)-ROW('Müşteriler'!$B$2)+1)),""),""))</ns0:f>
        <ns0:v/>
      </ns0:c>
      <ns0:c r="G140" s="28" t="str">
        <ns0:f>IF(F140="","",IFERROR(INDEX('Müşteriler'!$C$2:$C$101,MATCH(F140,'Müşteriler'!$A$2:$A$101,0)),""))</ns0:f>
        <ns0:v/>
      </ns0:c>
      <ns0:c r="H140" s="28" t="str">
        <ns0:f>IF(A140="","",IF(C140&lt;=0,"Satış dışı",IF(OR(F140="",G140=""),"Eşleşmedi","Eşleşti")))</ns0:f>
        <ns0:v/>
      </ns0:c>
      <ns0:c r="I140" s="28">
        <ns0:f>I139+IF(AND(H140="Eşleşmedi",E140='Panel'!$B$4),1,0)</ns0:f>
        <ns0:v>3.0</ns0:v>
      </ns0:c>
    </ns0:row>
    <ns0:row r="141" ht="21" customHeight="1">
      <ns0:c r="A141" s="25" t="n"/>
      <ns0:c r="B141" s="26" t="n"/>
      <ns0:c r="C141" s="27" t="n"/>
      <ns0:c r="D141" s="27" t="n"/>
      <ns0:c r="E141" s="28" t="str">
        <ns0:f>IF(A141="","",YEAR(A141)&amp;"-"&amp;RIGHT("0"&amp;MONTH(A141),2))</ns0:f>
        <ns0:v/>
      </ns0:c>
      <ns0:c r="F141" s="28" t="str">
        <ns0:f>IF(OR(A141="",B141="",C141&lt;=0),"",IF(SUMPRODUCT(('Müşteriler'!$B$2:$B$101&lt;&gt;"")*ISNUMBER(SEARCH('Müşteriler'!$B$2:$B$101,B141)))=1,IFERROR(INDEX('Müşteriler'!$A$2:$A$101,SUMPRODUCT(('Müşteriler'!$B$2:$B$101&lt;&gt;"")*ISNUMBER(SEARCH('Müşteriler'!$B$2:$B$101,B141)),ROW('Müşteriler'!$B$2:$B$101)-ROW('Müşteriler'!$B$2)+1)),""),""))</ns0:f>
        <ns0:v/>
      </ns0:c>
      <ns0:c r="G141" s="28" t="str">
        <ns0:f>IF(F141="","",IFERROR(INDEX('Müşteriler'!$C$2:$C$101,MATCH(F141,'Müşteriler'!$A$2:$A$101,0)),""))</ns0:f>
        <ns0:v/>
      </ns0:c>
      <ns0:c r="H141" s="28" t="str">
        <ns0:f>IF(A141="","",IF(C141&lt;=0,"Satış dışı",IF(OR(F141="",G141=""),"Eşleşmedi","Eşleşti")))</ns0:f>
        <ns0:v/>
      </ns0:c>
      <ns0:c r="I141" s="28">
        <ns0:f>I140+IF(AND(H141="Eşleşmedi",E141='Panel'!$B$4),1,0)</ns0:f>
        <ns0:v>3.0</ns0:v>
      </ns0:c>
    </ns0:row>
    <ns0:row r="142" ht="21" customHeight="1">
      <ns0:c r="A142" s="25" t="n"/>
      <ns0:c r="B142" s="26" t="n"/>
      <ns0:c r="C142" s="27" t="n"/>
      <ns0:c r="D142" s="27" t="n"/>
      <ns0:c r="E142" s="28" t="str">
        <ns0:f>IF(A142="","",YEAR(A142)&amp;"-"&amp;RIGHT("0"&amp;MONTH(A142),2))</ns0:f>
        <ns0:v/>
      </ns0:c>
      <ns0:c r="F142" s="28" t="str">
        <ns0:f>IF(OR(A142="",B142="",C142&lt;=0),"",IF(SUMPRODUCT(('Müşteriler'!$B$2:$B$101&lt;&gt;"")*ISNUMBER(SEARCH('Müşteriler'!$B$2:$B$101,B142)))=1,IFERROR(INDEX('Müşteriler'!$A$2:$A$101,SUMPRODUCT(('Müşteriler'!$B$2:$B$101&lt;&gt;"")*ISNUMBER(SEARCH('Müşteriler'!$B$2:$B$101,B142)),ROW('Müşteriler'!$B$2:$B$101)-ROW('Müşteriler'!$B$2)+1)),""),""))</ns0:f>
        <ns0:v/>
      </ns0:c>
      <ns0:c r="G142" s="28" t="str">
        <ns0:f>IF(F142="","",IFERROR(INDEX('Müşteriler'!$C$2:$C$101,MATCH(F142,'Müşteriler'!$A$2:$A$101,0)),""))</ns0:f>
        <ns0:v/>
      </ns0:c>
      <ns0:c r="H142" s="28" t="str">
        <ns0:f>IF(A142="","",IF(C142&lt;=0,"Satış dışı",IF(OR(F142="",G142=""),"Eşleşmedi","Eşleşti")))</ns0:f>
        <ns0:v/>
      </ns0:c>
      <ns0:c r="I142" s="28">
        <ns0:f>I141+IF(AND(H142="Eşleşmedi",E142='Panel'!$B$4),1,0)</ns0:f>
        <ns0:v>3.0</ns0:v>
      </ns0:c>
    </ns0:row>
    <ns0:row r="143" ht="21" customHeight="1">
      <ns0:c r="A143" s="25" t="n"/>
      <ns0:c r="B143" s="26" t="n"/>
      <ns0:c r="C143" s="27" t="n"/>
      <ns0:c r="D143" s="27" t="n"/>
      <ns0:c r="E143" s="28" t="str">
        <ns0:f>IF(A143="","",YEAR(A143)&amp;"-"&amp;RIGHT("0"&amp;MONTH(A143),2))</ns0:f>
        <ns0:v/>
      </ns0:c>
      <ns0:c r="F143" s="28" t="str">
        <ns0:f>IF(OR(A143="",B143="",C143&lt;=0),"",IF(SUMPRODUCT(('Müşteriler'!$B$2:$B$101&lt;&gt;"")*ISNUMBER(SEARCH('Müşteriler'!$B$2:$B$101,B143)))=1,IFERROR(INDEX('Müşteriler'!$A$2:$A$101,SUMPRODUCT(('Müşteriler'!$B$2:$B$101&lt;&gt;"")*ISNUMBER(SEARCH('Müşteriler'!$B$2:$B$101,B143)),ROW('Müşteriler'!$B$2:$B$101)-ROW('Müşteriler'!$B$2)+1)),""),""))</ns0:f>
        <ns0:v/>
      </ns0:c>
      <ns0:c r="G143" s="28" t="str">
        <ns0:f>IF(F143="","",IFERROR(INDEX('Müşteriler'!$C$2:$C$101,MATCH(F143,'Müşteriler'!$A$2:$A$101,0)),""))</ns0:f>
        <ns0:v/>
      </ns0:c>
      <ns0:c r="H143" s="28" t="str">
        <ns0:f>IF(A143="","",IF(C143&lt;=0,"Satış dışı",IF(OR(F143="",G143=""),"Eşleşmedi","Eşleşti")))</ns0:f>
        <ns0:v/>
      </ns0:c>
      <ns0:c r="I143" s="28">
        <ns0:f>I142+IF(AND(H143="Eşleşmedi",E143='Panel'!$B$4),1,0)</ns0:f>
        <ns0:v>3.0</ns0:v>
      </ns0:c>
    </ns0:row>
    <ns0:row r="144" ht="21" customHeight="1">
      <ns0:c r="A144" s="25" t="n"/>
      <ns0:c r="B144" s="26" t="n"/>
      <ns0:c r="C144" s="27" t="n"/>
      <ns0:c r="D144" s="27" t="n"/>
      <ns0:c r="E144" s="28" t="str">
        <ns0:f>IF(A144="","",YEAR(A144)&amp;"-"&amp;RIGHT("0"&amp;MONTH(A144),2))</ns0:f>
        <ns0:v/>
      </ns0:c>
      <ns0:c r="F144" s="28" t="str">
        <ns0:f>IF(OR(A144="",B144="",C144&lt;=0),"",IF(SUMPRODUCT(('Müşteriler'!$B$2:$B$101&lt;&gt;"")*ISNUMBER(SEARCH('Müşteriler'!$B$2:$B$101,B144)))=1,IFERROR(INDEX('Müşteriler'!$A$2:$A$101,SUMPRODUCT(('Müşteriler'!$B$2:$B$101&lt;&gt;"")*ISNUMBER(SEARCH('Müşteriler'!$B$2:$B$101,B144)),ROW('Müşteriler'!$B$2:$B$101)-ROW('Müşteriler'!$B$2)+1)),""),""))</ns0:f>
        <ns0:v/>
      </ns0:c>
      <ns0:c r="G144" s="28" t="str">
        <ns0:f>IF(F144="","",IFERROR(INDEX('Müşteriler'!$C$2:$C$101,MATCH(F144,'Müşteriler'!$A$2:$A$101,0)),""))</ns0:f>
        <ns0:v/>
      </ns0:c>
      <ns0:c r="H144" s="28" t="str">
        <ns0:f>IF(A144="","",IF(C144&lt;=0,"Satış dışı",IF(OR(F144="",G144=""),"Eşleşmedi","Eşleşti")))</ns0:f>
        <ns0:v/>
      </ns0:c>
      <ns0:c r="I144" s="28">
        <ns0:f>I143+IF(AND(H144="Eşleşmedi",E144='Panel'!$B$4),1,0)</ns0:f>
        <ns0:v>3.0</ns0:v>
      </ns0:c>
    </ns0:row>
    <ns0:row r="145" ht="21" customHeight="1">
      <ns0:c r="A145" s="25" t="n"/>
      <ns0:c r="B145" s="26" t="n"/>
      <ns0:c r="C145" s="27" t="n"/>
      <ns0:c r="D145" s="27" t="n"/>
      <ns0:c r="E145" s="28" t="str">
        <ns0:f>IF(A145="","",YEAR(A145)&amp;"-"&amp;RIGHT("0"&amp;MONTH(A145),2))</ns0:f>
        <ns0:v/>
      </ns0:c>
      <ns0:c r="F145" s="28" t="str">
        <ns0:f>IF(OR(A145="",B145="",C145&lt;=0),"",IF(SUMPRODUCT(('Müşteriler'!$B$2:$B$101&lt;&gt;"")*ISNUMBER(SEARCH('Müşteriler'!$B$2:$B$101,B145)))=1,IFERROR(INDEX('Müşteriler'!$A$2:$A$101,SUMPRODUCT(('Müşteriler'!$B$2:$B$101&lt;&gt;"")*ISNUMBER(SEARCH('Müşteriler'!$B$2:$B$101,B145)),ROW('Müşteriler'!$B$2:$B$101)-ROW('Müşteriler'!$B$2)+1)),""),""))</ns0:f>
        <ns0:v/>
      </ns0:c>
      <ns0:c r="G145" s="28" t="str">
        <ns0:f>IF(F145="","",IFERROR(INDEX('Müşteriler'!$C$2:$C$101,MATCH(F145,'Müşteriler'!$A$2:$A$101,0)),""))</ns0:f>
        <ns0:v/>
      </ns0:c>
      <ns0:c r="H145" s="28" t="str">
        <ns0:f>IF(A145="","",IF(C145&lt;=0,"Satış dışı",IF(OR(F145="",G145=""),"Eşleşmedi","Eşleşti")))</ns0:f>
        <ns0:v/>
      </ns0:c>
      <ns0:c r="I145" s="28">
        <ns0:f>I144+IF(AND(H145="Eşleşmedi",E145='Panel'!$B$4),1,0)</ns0:f>
        <ns0:v>3.0</ns0:v>
      </ns0:c>
    </ns0:row>
    <ns0:row r="146" ht="21" customHeight="1">
      <ns0:c r="A146" s="25" t="n"/>
      <ns0:c r="B146" s="26" t="n"/>
      <ns0:c r="C146" s="27" t="n"/>
      <ns0:c r="D146" s="27" t="n"/>
      <ns0:c r="E146" s="28" t="str">
        <ns0:f>IF(A146="","",YEAR(A146)&amp;"-"&amp;RIGHT("0"&amp;MONTH(A146),2))</ns0:f>
        <ns0:v/>
      </ns0:c>
      <ns0:c r="F146" s="28" t="str">
        <ns0:f>IF(OR(A146="",B146="",C146&lt;=0),"",IF(SUMPRODUCT(('Müşteriler'!$B$2:$B$101&lt;&gt;"")*ISNUMBER(SEARCH('Müşteriler'!$B$2:$B$101,B146)))=1,IFERROR(INDEX('Müşteriler'!$A$2:$A$101,SUMPRODUCT(('Müşteriler'!$B$2:$B$101&lt;&gt;"")*ISNUMBER(SEARCH('Müşteriler'!$B$2:$B$101,B146)),ROW('Müşteriler'!$B$2:$B$101)-ROW('Müşteriler'!$B$2)+1)),""),""))</ns0:f>
        <ns0:v/>
      </ns0:c>
      <ns0:c r="G146" s="28" t="str">
        <ns0:f>IF(F146="","",IFERROR(INDEX('Müşteriler'!$C$2:$C$101,MATCH(F146,'Müşteriler'!$A$2:$A$101,0)),""))</ns0:f>
        <ns0:v/>
      </ns0:c>
      <ns0:c r="H146" s="28" t="str">
        <ns0:f>IF(A146="","",IF(C146&lt;=0,"Satış dışı",IF(OR(F146="",G146=""),"Eşleşmedi","Eşleşti")))</ns0:f>
        <ns0:v/>
      </ns0:c>
      <ns0:c r="I146" s="28">
        <ns0:f>I145+IF(AND(H146="Eşleşmedi",E146='Panel'!$B$4),1,0)</ns0:f>
        <ns0:v>3.0</ns0:v>
      </ns0:c>
    </ns0:row>
    <ns0:row r="147" ht="21" customHeight="1">
      <ns0:c r="A147" s="25" t="n"/>
      <ns0:c r="B147" s="26" t="n"/>
      <ns0:c r="C147" s="27" t="n"/>
      <ns0:c r="D147" s="27" t="n"/>
      <ns0:c r="E147" s="28" t="str">
        <ns0:f>IF(A147="","",YEAR(A147)&amp;"-"&amp;RIGHT("0"&amp;MONTH(A147),2))</ns0:f>
        <ns0:v/>
      </ns0:c>
      <ns0:c r="F147" s="28" t="str">
        <ns0:f>IF(OR(A147="",B147="",C147&lt;=0),"",IF(SUMPRODUCT(('Müşteriler'!$B$2:$B$101&lt;&gt;"")*ISNUMBER(SEARCH('Müşteriler'!$B$2:$B$101,B147)))=1,IFERROR(INDEX('Müşteriler'!$A$2:$A$101,SUMPRODUCT(('Müşteriler'!$B$2:$B$101&lt;&gt;"")*ISNUMBER(SEARCH('Müşteriler'!$B$2:$B$101,B147)),ROW('Müşteriler'!$B$2:$B$101)-ROW('Müşteriler'!$B$2)+1)),""),""))</ns0:f>
        <ns0:v/>
      </ns0:c>
      <ns0:c r="G147" s="28" t="str">
        <ns0:f>IF(F147="","",IFERROR(INDEX('Müşteriler'!$C$2:$C$101,MATCH(F147,'Müşteriler'!$A$2:$A$101,0)),""))</ns0:f>
        <ns0:v/>
      </ns0:c>
      <ns0:c r="H147" s="28" t="str">
        <ns0:f>IF(A147="","",IF(C147&lt;=0,"Satış dışı",IF(OR(F147="",G147=""),"Eşleşmedi","Eşleşti")))</ns0:f>
        <ns0:v/>
      </ns0:c>
      <ns0:c r="I147" s="28">
        <ns0:f>I146+IF(AND(H147="Eşleşmedi",E147='Panel'!$B$4),1,0)</ns0:f>
        <ns0:v>3.0</ns0:v>
      </ns0:c>
    </ns0:row>
    <ns0:row r="148" ht="21" customHeight="1">
      <ns0:c r="A148" s="25" t="n"/>
      <ns0:c r="B148" s="26" t="n"/>
      <ns0:c r="C148" s="27" t="n"/>
      <ns0:c r="D148" s="27" t="n"/>
      <ns0:c r="E148" s="28" t="str">
        <ns0:f>IF(A148="","",YEAR(A148)&amp;"-"&amp;RIGHT("0"&amp;MONTH(A148),2))</ns0:f>
        <ns0:v/>
      </ns0:c>
      <ns0:c r="F148" s="28" t="str">
        <ns0:f>IF(OR(A148="",B148="",C148&lt;=0),"",IF(SUMPRODUCT(('Müşteriler'!$B$2:$B$101&lt;&gt;"")*ISNUMBER(SEARCH('Müşteriler'!$B$2:$B$101,B148)))=1,IFERROR(INDEX('Müşteriler'!$A$2:$A$101,SUMPRODUCT(('Müşteriler'!$B$2:$B$101&lt;&gt;"")*ISNUMBER(SEARCH('Müşteriler'!$B$2:$B$101,B148)),ROW('Müşteriler'!$B$2:$B$101)-ROW('Müşteriler'!$B$2)+1)),""),""))</ns0:f>
        <ns0:v/>
      </ns0:c>
      <ns0:c r="G148" s="28" t="str">
        <ns0:f>IF(F148="","",IFERROR(INDEX('Müşteriler'!$C$2:$C$101,MATCH(F148,'Müşteriler'!$A$2:$A$101,0)),""))</ns0:f>
        <ns0:v/>
      </ns0:c>
      <ns0:c r="H148" s="28" t="str">
        <ns0:f>IF(A148="","",IF(C148&lt;=0,"Satış dışı",IF(OR(F148="",G148=""),"Eşleşmedi","Eşleşti")))</ns0:f>
        <ns0:v/>
      </ns0:c>
      <ns0:c r="I148" s="28">
        <ns0:f>I147+IF(AND(H148="Eşleşmedi",E148='Panel'!$B$4),1,0)</ns0:f>
        <ns0:v>3.0</ns0:v>
      </ns0:c>
    </ns0:row>
    <ns0:row r="149" ht="21" customHeight="1">
      <ns0:c r="A149" s="25" t="n"/>
      <ns0:c r="B149" s="26" t="n"/>
      <ns0:c r="C149" s="27" t="n"/>
      <ns0:c r="D149" s="27" t="n"/>
      <ns0:c r="E149" s="28" t="str">
        <ns0:f>IF(A149="","",YEAR(A149)&amp;"-"&amp;RIGHT("0"&amp;MONTH(A149),2))</ns0:f>
        <ns0:v/>
      </ns0:c>
      <ns0:c r="F149" s="28" t="str">
        <ns0:f>IF(OR(A149="",B149="",C149&lt;=0),"",IF(SUMPRODUCT(('Müşteriler'!$B$2:$B$101&lt;&gt;"")*ISNUMBER(SEARCH('Müşteriler'!$B$2:$B$101,B149)))=1,IFERROR(INDEX('Müşteriler'!$A$2:$A$101,SUMPRODUCT(('Müşteriler'!$B$2:$B$101&lt;&gt;"")*ISNUMBER(SEARCH('Müşteriler'!$B$2:$B$101,B149)),ROW('Müşteriler'!$B$2:$B$101)-ROW('Müşteriler'!$B$2)+1)),""),""))</ns0:f>
        <ns0:v/>
      </ns0:c>
      <ns0:c r="G149" s="28" t="str">
        <ns0:f>IF(F149="","",IFERROR(INDEX('Müşteriler'!$C$2:$C$101,MATCH(F149,'Müşteriler'!$A$2:$A$101,0)),""))</ns0:f>
        <ns0:v/>
      </ns0:c>
      <ns0:c r="H149" s="28" t="str">
        <ns0:f>IF(A149="","",IF(C149&lt;=0,"Satış dışı",IF(OR(F149="",G149=""),"Eşleşmedi","Eşleşti")))</ns0:f>
        <ns0:v/>
      </ns0:c>
      <ns0:c r="I149" s="28">
        <ns0:f>I148+IF(AND(H149="Eşleşmedi",E149='Panel'!$B$4),1,0)</ns0:f>
        <ns0:v>3.0</ns0:v>
      </ns0:c>
    </ns0:row>
    <ns0:row r="150" ht="21" customHeight="1">
      <ns0:c r="A150" s="25" t="n"/>
      <ns0:c r="B150" s="26" t="n"/>
      <ns0:c r="C150" s="27" t="n"/>
      <ns0:c r="D150" s="27" t="n"/>
      <ns0:c r="E150" s="28" t="str">
        <ns0:f>IF(A150="","",YEAR(A150)&amp;"-"&amp;RIGHT("0"&amp;MONTH(A150),2))</ns0:f>
        <ns0:v/>
      </ns0:c>
      <ns0:c r="F150" s="28" t="str">
        <ns0:f>IF(OR(A150="",B150="",C150&lt;=0),"",IF(SUMPRODUCT(('Müşteriler'!$B$2:$B$101&lt;&gt;"")*ISNUMBER(SEARCH('Müşteriler'!$B$2:$B$101,B150)))=1,IFERROR(INDEX('Müşteriler'!$A$2:$A$101,SUMPRODUCT(('Müşteriler'!$B$2:$B$101&lt;&gt;"")*ISNUMBER(SEARCH('Müşteriler'!$B$2:$B$101,B150)),ROW('Müşteriler'!$B$2:$B$101)-ROW('Müşteriler'!$B$2)+1)),""),""))</ns0:f>
        <ns0:v/>
      </ns0:c>
      <ns0:c r="G150" s="28" t="str">
        <ns0:f>IF(F150="","",IFERROR(INDEX('Müşteriler'!$C$2:$C$101,MATCH(F150,'Müşteriler'!$A$2:$A$101,0)),""))</ns0:f>
        <ns0:v/>
      </ns0:c>
      <ns0:c r="H150" s="28" t="str">
        <ns0:f>IF(A150="","",IF(C150&lt;=0,"Satış dışı",IF(OR(F150="",G150=""),"Eşleşmedi","Eşleşti")))</ns0:f>
        <ns0:v/>
      </ns0:c>
      <ns0:c r="I150" s="28">
        <ns0:f>I149+IF(AND(H150="Eşleşmedi",E150='Panel'!$B$4),1,0)</ns0:f>
        <ns0:v>3.0</ns0:v>
      </ns0:c>
    </ns0:row>
    <ns0:row r="151" ht="21" customHeight="1">
      <ns0:c r="A151" s="25" t="n"/>
      <ns0:c r="B151" s="26" t="n"/>
      <ns0:c r="C151" s="27" t="n"/>
      <ns0:c r="D151" s="27" t="n"/>
      <ns0:c r="E151" s="28" t="str">
        <ns0:f>IF(A151="","",YEAR(A151)&amp;"-"&amp;RIGHT("0"&amp;MONTH(A151),2))</ns0:f>
        <ns0:v/>
      </ns0:c>
      <ns0:c r="F151" s="28" t="str">
        <ns0:f>IF(OR(A151="",B151="",C151&lt;=0),"",IF(SUMPRODUCT(('Müşteriler'!$B$2:$B$101&lt;&gt;"")*ISNUMBER(SEARCH('Müşteriler'!$B$2:$B$101,B151)))=1,IFERROR(INDEX('Müşteriler'!$A$2:$A$101,SUMPRODUCT(('Müşteriler'!$B$2:$B$101&lt;&gt;"")*ISNUMBER(SEARCH('Müşteriler'!$B$2:$B$101,B151)),ROW('Müşteriler'!$B$2:$B$101)-ROW('Müşteriler'!$B$2)+1)),""),""))</ns0:f>
        <ns0:v/>
      </ns0:c>
      <ns0:c r="G151" s="28" t="str">
        <ns0:f>IF(F151="","",IFERROR(INDEX('Müşteriler'!$C$2:$C$101,MATCH(F151,'Müşteriler'!$A$2:$A$101,0)),""))</ns0:f>
        <ns0:v/>
      </ns0:c>
      <ns0:c r="H151" s="28" t="str">
        <ns0:f>IF(A151="","",IF(C151&lt;=0,"Satış dışı",IF(OR(F151="",G151=""),"Eşleşmedi","Eşleşti")))</ns0:f>
        <ns0:v/>
      </ns0:c>
      <ns0:c r="I151" s="28">
        <ns0:f>I150+IF(AND(H151="Eşleşmedi",E151='Panel'!$B$4),1,0)</ns0:f>
        <ns0:v>3.0</ns0:v>
      </ns0:c>
    </ns0:row>
    <ns0:row r="152" ht="21" customHeight="1">
      <ns0:c r="A152" s="25" t="n"/>
      <ns0:c r="B152" s="26" t="n"/>
      <ns0:c r="C152" s="27" t="n"/>
      <ns0:c r="D152" s="27" t="n"/>
      <ns0:c r="E152" s="28" t="str">
        <ns0:f>IF(A152="","",YEAR(A152)&amp;"-"&amp;RIGHT("0"&amp;MONTH(A152),2))</ns0:f>
        <ns0:v/>
      </ns0:c>
      <ns0:c r="F152" s="28" t="str">
        <ns0:f>IF(OR(A152="",B152="",C152&lt;=0),"",IF(SUMPRODUCT(('Müşteriler'!$B$2:$B$101&lt;&gt;"")*ISNUMBER(SEARCH('Müşteriler'!$B$2:$B$101,B152)))=1,IFERROR(INDEX('Müşteriler'!$A$2:$A$101,SUMPRODUCT(('Müşteriler'!$B$2:$B$101&lt;&gt;"")*ISNUMBER(SEARCH('Müşteriler'!$B$2:$B$101,B152)),ROW('Müşteriler'!$B$2:$B$101)-ROW('Müşteriler'!$B$2)+1)),""),""))</ns0:f>
        <ns0:v/>
      </ns0:c>
      <ns0:c r="G152" s="28" t="str">
        <ns0:f>IF(F152="","",IFERROR(INDEX('Müşteriler'!$C$2:$C$101,MATCH(F152,'Müşteriler'!$A$2:$A$101,0)),""))</ns0:f>
        <ns0:v/>
      </ns0:c>
      <ns0:c r="H152" s="28" t="str">
        <ns0:f>IF(A152="","",IF(C152&lt;=0,"Satış dışı",IF(OR(F152="",G152=""),"Eşleşmedi","Eşleşti")))</ns0:f>
        <ns0:v/>
      </ns0:c>
      <ns0:c r="I152" s="28">
        <ns0:f>I151+IF(AND(H152="Eşleşmedi",E152='Panel'!$B$4),1,0)</ns0:f>
        <ns0:v>3.0</ns0:v>
      </ns0:c>
    </ns0:row>
    <ns0:row r="153" ht="21" customHeight="1">
      <ns0:c r="A153" s="25" t="n"/>
      <ns0:c r="B153" s="26" t="n"/>
      <ns0:c r="C153" s="27" t="n"/>
      <ns0:c r="D153" s="27" t="n"/>
      <ns0:c r="E153" s="28" t="str">
        <ns0:f>IF(A153="","",YEAR(A153)&amp;"-"&amp;RIGHT("0"&amp;MONTH(A153),2))</ns0:f>
        <ns0:v/>
      </ns0:c>
      <ns0:c r="F153" s="28" t="str">
        <ns0:f>IF(OR(A153="",B153="",C153&lt;=0),"",IF(SUMPRODUCT(('Müşteriler'!$B$2:$B$101&lt;&gt;"")*ISNUMBER(SEARCH('Müşteriler'!$B$2:$B$101,B153)))=1,IFERROR(INDEX('Müşteriler'!$A$2:$A$101,SUMPRODUCT(('Müşteriler'!$B$2:$B$101&lt;&gt;"")*ISNUMBER(SEARCH('Müşteriler'!$B$2:$B$101,B153)),ROW('Müşteriler'!$B$2:$B$101)-ROW('Müşteriler'!$B$2)+1)),""),""))</ns0:f>
        <ns0:v/>
      </ns0:c>
      <ns0:c r="G153" s="28" t="str">
        <ns0:f>IF(F153="","",IFERROR(INDEX('Müşteriler'!$C$2:$C$101,MATCH(F153,'Müşteriler'!$A$2:$A$101,0)),""))</ns0:f>
        <ns0:v/>
      </ns0:c>
      <ns0:c r="H153" s="28" t="str">
        <ns0:f>IF(A153="","",IF(C153&lt;=0,"Satış dışı",IF(OR(F153="",G153=""),"Eşleşmedi","Eşleşti")))</ns0:f>
        <ns0:v/>
      </ns0:c>
      <ns0:c r="I153" s="28">
        <ns0:f>I152+IF(AND(H153="Eşleşmedi",E153='Panel'!$B$4),1,0)</ns0:f>
        <ns0:v>3.0</ns0:v>
      </ns0:c>
    </ns0:row>
    <ns0:row r="154" ht="21" customHeight="1">
      <ns0:c r="A154" s="25" t="n"/>
      <ns0:c r="B154" s="26" t="n"/>
      <ns0:c r="C154" s="27" t="n"/>
      <ns0:c r="D154" s="27" t="n"/>
      <ns0:c r="E154" s="28" t="str">
        <ns0:f>IF(A154="","",YEAR(A154)&amp;"-"&amp;RIGHT("0"&amp;MONTH(A154),2))</ns0:f>
        <ns0:v/>
      </ns0:c>
      <ns0:c r="F154" s="28" t="str">
        <ns0:f>IF(OR(A154="",B154="",C154&lt;=0),"",IF(SUMPRODUCT(('Müşteriler'!$B$2:$B$101&lt;&gt;"")*ISNUMBER(SEARCH('Müşteriler'!$B$2:$B$101,B154)))=1,IFERROR(INDEX('Müşteriler'!$A$2:$A$101,SUMPRODUCT(('Müşteriler'!$B$2:$B$101&lt;&gt;"")*ISNUMBER(SEARCH('Müşteriler'!$B$2:$B$101,B154)),ROW('Müşteriler'!$B$2:$B$101)-ROW('Müşteriler'!$B$2)+1)),""),""))</ns0:f>
        <ns0:v/>
      </ns0:c>
      <ns0:c r="G154" s="28" t="str">
        <ns0:f>IF(F154="","",IFERROR(INDEX('Müşteriler'!$C$2:$C$101,MATCH(F154,'Müşteriler'!$A$2:$A$101,0)),""))</ns0:f>
        <ns0:v/>
      </ns0:c>
      <ns0:c r="H154" s="28" t="str">
        <ns0:f>IF(A154="","",IF(C154&lt;=0,"Satış dışı",IF(OR(F154="",G154=""),"Eşleşmedi","Eşleşti")))</ns0:f>
        <ns0:v/>
      </ns0:c>
      <ns0:c r="I154" s="28">
        <ns0:f>I153+IF(AND(H154="Eşleşmedi",E154='Panel'!$B$4),1,0)</ns0:f>
        <ns0:v>3.0</ns0:v>
      </ns0:c>
    </ns0:row>
    <ns0:row r="155" ht="21" customHeight="1">
      <ns0:c r="A155" s="25" t="n"/>
      <ns0:c r="B155" s="26" t="n"/>
      <ns0:c r="C155" s="27" t="n"/>
      <ns0:c r="D155" s="27" t="n"/>
      <ns0:c r="E155" s="28" t="str">
        <ns0:f>IF(A155="","",YEAR(A155)&amp;"-"&amp;RIGHT("0"&amp;MONTH(A155),2))</ns0:f>
        <ns0:v/>
      </ns0:c>
      <ns0:c r="F155" s="28" t="str">
        <ns0:f>IF(OR(A155="",B155="",C155&lt;=0),"",IF(SUMPRODUCT(('Müşteriler'!$B$2:$B$101&lt;&gt;"")*ISNUMBER(SEARCH('Müşteriler'!$B$2:$B$101,B155)))=1,IFERROR(INDEX('Müşteriler'!$A$2:$A$101,SUMPRODUCT(('Müşteriler'!$B$2:$B$101&lt;&gt;"")*ISNUMBER(SEARCH('Müşteriler'!$B$2:$B$101,B155)),ROW('Müşteriler'!$B$2:$B$101)-ROW('Müşteriler'!$B$2)+1)),""),""))</ns0:f>
        <ns0:v/>
      </ns0:c>
      <ns0:c r="G155" s="28" t="str">
        <ns0:f>IF(F155="","",IFERROR(INDEX('Müşteriler'!$C$2:$C$101,MATCH(F155,'Müşteriler'!$A$2:$A$101,0)),""))</ns0:f>
        <ns0:v/>
      </ns0:c>
      <ns0:c r="H155" s="28" t="str">
        <ns0:f>IF(A155="","",IF(C155&lt;=0,"Satış dışı",IF(OR(F155="",G155=""),"Eşleşmedi","Eşleşti")))</ns0:f>
        <ns0:v/>
      </ns0:c>
      <ns0:c r="I155" s="28">
        <ns0:f>I154+IF(AND(H155="Eşleşmedi",E155='Panel'!$B$4),1,0)</ns0:f>
        <ns0:v>3.0</ns0:v>
      </ns0:c>
    </ns0:row>
    <ns0:row r="156" ht="21" customHeight="1">
      <ns0:c r="A156" s="25" t="n"/>
      <ns0:c r="B156" s="26" t="n"/>
      <ns0:c r="C156" s="27" t="n"/>
      <ns0:c r="D156" s="27" t="n"/>
      <ns0:c r="E156" s="28" t="str">
        <ns0:f>IF(A156="","",YEAR(A156)&amp;"-"&amp;RIGHT("0"&amp;MONTH(A156),2))</ns0:f>
        <ns0:v/>
      </ns0:c>
      <ns0:c r="F156" s="28" t="str">
        <ns0:f>IF(OR(A156="",B156="",C156&lt;=0),"",IF(SUMPRODUCT(('Müşteriler'!$B$2:$B$101&lt;&gt;"")*ISNUMBER(SEARCH('Müşteriler'!$B$2:$B$101,B156)))=1,IFERROR(INDEX('Müşteriler'!$A$2:$A$101,SUMPRODUCT(('Müşteriler'!$B$2:$B$101&lt;&gt;"")*ISNUMBER(SEARCH('Müşteriler'!$B$2:$B$101,B156)),ROW('Müşteriler'!$B$2:$B$101)-ROW('Müşteriler'!$B$2)+1)),""),""))</ns0:f>
        <ns0:v/>
      </ns0:c>
      <ns0:c r="G156" s="28" t="str">
        <ns0:f>IF(F156="","",IFERROR(INDEX('Müşteriler'!$C$2:$C$101,MATCH(F156,'Müşteriler'!$A$2:$A$101,0)),""))</ns0:f>
        <ns0:v/>
      </ns0:c>
      <ns0:c r="H156" s="28" t="str">
        <ns0:f>IF(A156="","",IF(C156&lt;=0,"Satış dışı",IF(OR(F156="",G156=""),"Eşleşmedi","Eşleşti")))</ns0:f>
        <ns0:v/>
      </ns0:c>
      <ns0:c r="I156" s="28">
        <ns0:f>I155+IF(AND(H156="Eşleşmedi",E156='Panel'!$B$4),1,0)</ns0:f>
        <ns0:v>3.0</ns0:v>
      </ns0:c>
    </ns0:row>
    <ns0:row r="157" ht="21" customHeight="1">
      <ns0:c r="A157" s="25" t="n"/>
      <ns0:c r="B157" s="26" t="n"/>
      <ns0:c r="C157" s="27" t="n"/>
      <ns0:c r="D157" s="27" t="n"/>
      <ns0:c r="E157" s="28" t="str">
        <ns0:f>IF(A157="","",YEAR(A157)&amp;"-"&amp;RIGHT("0"&amp;MONTH(A157),2))</ns0:f>
        <ns0:v/>
      </ns0:c>
      <ns0:c r="F157" s="28" t="str">
        <ns0:f>IF(OR(A157="",B157="",C157&lt;=0),"",IF(SUMPRODUCT(('Müşteriler'!$B$2:$B$101&lt;&gt;"")*ISNUMBER(SEARCH('Müşteriler'!$B$2:$B$101,B157)))=1,IFERROR(INDEX('Müşteriler'!$A$2:$A$101,SUMPRODUCT(('Müşteriler'!$B$2:$B$101&lt;&gt;"")*ISNUMBER(SEARCH('Müşteriler'!$B$2:$B$101,B157)),ROW('Müşteriler'!$B$2:$B$101)-ROW('Müşteriler'!$B$2)+1)),""),""))</ns0:f>
        <ns0:v/>
      </ns0:c>
      <ns0:c r="G157" s="28" t="str">
        <ns0:f>IF(F157="","",IFERROR(INDEX('Müşteriler'!$C$2:$C$101,MATCH(F157,'Müşteriler'!$A$2:$A$101,0)),""))</ns0:f>
        <ns0:v/>
      </ns0:c>
      <ns0:c r="H157" s="28" t="str">
        <ns0:f>IF(A157="","",IF(C157&lt;=0,"Satış dışı",IF(OR(F157="",G157=""),"Eşleşmedi","Eşleşti")))</ns0:f>
        <ns0:v/>
      </ns0:c>
      <ns0:c r="I157" s="28">
        <ns0:f>I156+IF(AND(H157="Eşleşmedi",E157='Panel'!$B$4),1,0)</ns0:f>
        <ns0:v>3.0</ns0:v>
      </ns0:c>
    </ns0:row>
    <ns0:row r="158" ht="21" customHeight="1">
      <ns0:c r="A158" s="25" t="n"/>
      <ns0:c r="B158" s="26" t="n"/>
      <ns0:c r="C158" s="27" t="n"/>
      <ns0:c r="D158" s="27" t="n"/>
      <ns0:c r="E158" s="28" t="str">
        <ns0:f>IF(A158="","",YEAR(A158)&amp;"-"&amp;RIGHT("0"&amp;MONTH(A158),2))</ns0:f>
        <ns0:v/>
      </ns0:c>
      <ns0:c r="F158" s="28" t="str">
        <ns0:f>IF(OR(A158="",B158="",C158&lt;=0),"",IF(SUMPRODUCT(('Müşteriler'!$B$2:$B$101&lt;&gt;"")*ISNUMBER(SEARCH('Müşteriler'!$B$2:$B$101,B158)))=1,IFERROR(INDEX('Müşteriler'!$A$2:$A$101,SUMPRODUCT(('Müşteriler'!$B$2:$B$101&lt;&gt;"")*ISNUMBER(SEARCH('Müşteriler'!$B$2:$B$101,B158)),ROW('Müşteriler'!$B$2:$B$101)-ROW('Müşteriler'!$B$2)+1)),""),""))</ns0:f>
        <ns0:v/>
      </ns0:c>
      <ns0:c r="G158" s="28" t="str">
        <ns0:f>IF(F158="","",IFERROR(INDEX('Müşteriler'!$C$2:$C$101,MATCH(F158,'Müşteriler'!$A$2:$A$101,0)),""))</ns0:f>
        <ns0:v/>
      </ns0:c>
      <ns0:c r="H158" s="28" t="str">
        <ns0:f>IF(A158="","",IF(C158&lt;=0,"Satış dışı",IF(OR(F158="",G158=""),"Eşleşmedi","Eşleşti")))</ns0:f>
        <ns0:v/>
      </ns0:c>
      <ns0:c r="I158" s="28">
        <ns0:f>I157+IF(AND(H158="Eşleşmedi",E158='Panel'!$B$4),1,0)</ns0:f>
        <ns0:v>3.0</ns0:v>
      </ns0:c>
    </ns0:row>
    <ns0:row r="159" ht="21" customHeight="1">
      <ns0:c r="A159" s="25" t="n"/>
      <ns0:c r="B159" s="26" t="n"/>
      <ns0:c r="C159" s="27" t="n"/>
      <ns0:c r="D159" s="27" t="n"/>
      <ns0:c r="E159" s="28" t="str">
        <ns0:f>IF(A159="","",YEAR(A159)&amp;"-"&amp;RIGHT("0"&amp;MONTH(A159),2))</ns0:f>
        <ns0:v/>
      </ns0:c>
      <ns0:c r="F159" s="28" t="str">
        <ns0:f>IF(OR(A159="",B159="",C159&lt;=0),"",IF(SUMPRODUCT(('Müşteriler'!$B$2:$B$101&lt;&gt;"")*ISNUMBER(SEARCH('Müşteriler'!$B$2:$B$101,B159)))=1,IFERROR(INDEX('Müşteriler'!$A$2:$A$101,SUMPRODUCT(('Müşteriler'!$B$2:$B$101&lt;&gt;"")*ISNUMBER(SEARCH('Müşteriler'!$B$2:$B$101,B159)),ROW('Müşteriler'!$B$2:$B$101)-ROW('Müşteriler'!$B$2)+1)),""),""))</ns0:f>
        <ns0:v/>
      </ns0:c>
      <ns0:c r="G159" s="28" t="str">
        <ns0:f>IF(F159="","",IFERROR(INDEX('Müşteriler'!$C$2:$C$101,MATCH(F159,'Müşteriler'!$A$2:$A$101,0)),""))</ns0:f>
        <ns0:v/>
      </ns0:c>
      <ns0:c r="H159" s="28" t="str">
        <ns0:f>IF(A159="","",IF(C159&lt;=0,"Satış dışı",IF(OR(F159="",G159=""),"Eşleşmedi","Eşleşti")))</ns0:f>
        <ns0:v/>
      </ns0:c>
      <ns0:c r="I159" s="28">
        <ns0:f>I158+IF(AND(H159="Eşleşmedi",E159='Panel'!$B$4),1,0)</ns0:f>
        <ns0:v>3.0</ns0:v>
      </ns0:c>
    </ns0:row>
    <ns0:row r="160" ht="21" customHeight="1">
      <ns0:c r="A160" s="25" t="n"/>
      <ns0:c r="B160" s="26" t="n"/>
      <ns0:c r="C160" s="27" t="n"/>
      <ns0:c r="D160" s="27" t="n"/>
      <ns0:c r="E160" s="28" t="str">
        <ns0:f>IF(A160="","",YEAR(A160)&amp;"-"&amp;RIGHT("0"&amp;MONTH(A160),2))</ns0:f>
        <ns0:v/>
      </ns0:c>
      <ns0:c r="F160" s="28" t="str">
        <ns0:f>IF(OR(A160="",B160="",C160&lt;=0),"",IF(SUMPRODUCT(('Müşteriler'!$B$2:$B$101&lt;&gt;"")*ISNUMBER(SEARCH('Müşteriler'!$B$2:$B$101,B160)))=1,IFERROR(INDEX('Müşteriler'!$A$2:$A$101,SUMPRODUCT(('Müşteriler'!$B$2:$B$101&lt;&gt;"")*ISNUMBER(SEARCH('Müşteriler'!$B$2:$B$101,B160)),ROW('Müşteriler'!$B$2:$B$101)-ROW('Müşteriler'!$B$2)+1)),""),""))</ns0:f>
        <ns0:v/>
      </ns0:c>
      <ns0:c r="G160" s="28" t="str">
        <ns0:f>IF(F160="","",IFERROR(INDEX('Müşteriler'!$C$2:$C$101,MATCH(F160,'Müşteriler'!$A$2:$A$101,0)),""))</ns0:f>
        <ns0:v/>
      </ns0:c>
      <ns0:c r="H160" s="28" t="str">
        <ns0:f>IF(A160="","",IF(C160&lt;=0,"Satış dışı",IF(OR(F160="",G160=""),"Eşleşmedi","Eşleşti")))</ns0:f>
        <ns0:v/>
      </ns0:c>
      <ns0:c r="I160" s="28">
        <ns0:f>I159+IF(AND(H160="Eşleşmedi",E160='Panel'!$B$4),1,0)</ns0:f>
        <ns0:v>3.0</ns0:v>
      </ns0:c>
    </ns0:row>
    <ns0:row r="161" ht="21" customHeight="1">
      <ns0:c r="A161" s="25" t="n"/>
      <ns0:c r="B161" s="26" t="n"/>
      <ns0:c r="C161" s="27" t="n"/>
      <ns0:c r="D161" s="27" t="n"/>
      <ns0:c r="E161" s="28" t="str">
        <ns0:f>IF(A161="","",YEAR(A161)&amp;"-"&amp;RIGHT("0"&amp;MONTH(A161),2))</ns0:f>
        <ns0:v/>
      </ns0:c>
      <ns0:c r="F161" s="28" t="str">
        <ns0:f>IF(OR(A161="",B161="",C161&lt;=0),"",IF(SUMPRODUCT(('Müşteriler'!$B$2:$B$101&lt;&gt;"")*ISNUMBER(SEARCH('Müşteriler'!$B$2:$B$101,B161)))=1,IFERROR(INDEX('Müşteriler'!$A$2:$A$101,SUMPRODUCT(('Müşteriler'!$B$2:$B$101&lt;&gt;"")*ISNUMBER(SEARCH('Müşteriler'!$B$2:$B$101,B161)),ROW('Müşteriler'!$B$2:$B$101)-ROW('Müşteriler'!$B$2)+1)),""),""))</ns0:f>
        <ns0:v/>
      </ns0:c>
      <ns0:c r="G161" s="28" t="str">
        <ns0:f>IF(F161="","",IFERROR(INDEX('Müşteriler'!$C$2:$C$101,MATCH(F161,'Müşteriler'!$A$2:$A$101,0)),""))</ns0:f>
        <ns0:v/>
      </ns0:c>
      <ns0:c r="H161" s="28" t="str">
        <ns0:f>IF(A161="","",IF(C161&lt;=0,"Satış dışı",IF(OR(F161="",G161=""),"Eşleşmedi","Eşleşti")))</ns0:f>
        <ns0:v/>
      </ns0:c>
      <ns0:c r="I161" s="28">
        <ns0:f>I160+IF(AND(H161="Eşleşmedi",E161='Panel'!$B$4),1,0)</ns0:f>
        <ns0:v>3.0</ns0:v>
      </ns0:c>
    </ns0:row>
    <ns0:row r="162" ht="21" customHeight="1">
      <ns0:c r="A162" s="25" t="n"/>
      <ns0:c r="B162" s="26" t="n"/>
      <ns0:c r="C162" s="27" t="n"/>
      <ns0:c r="D162" s="27" t="n"/>
      <ns0:c r="E162" s="28" t="str">
        <ns0:f>IF(A162="","",YEAR(A162)&amp;"-"&amp;RIGHT("0"&amp;MONTH(A162),2))</ns0:f>
        <ns0:v/>
      </ns0:c>
      <ns0:c r="F162" s="28" t="str">
        <ns0:f>IF(OR(A162="",B162="",C162&lt;=0),"",IF(SUMPRODUCT(('Müşteriler'!$B$2:$B$101&lt;&gt;"")*ISNUMBER(SEARCH('Müşteriler'!$B$2:$B$101,B162)))=1,IFERROR(INDEX('Müşteriler'!$A$2:$A$101,SUMPRODUCT(('Müşteriler'!$B$2:$B$101&lt;&gt;"")*ISNUMBER(SEARCH('Müşteriler'!$B$2:$B$101,B162)),ROW('Müşteriler'!$B$2:$B$101)-ROW('Müşteriler'!$B$2)+1)),""),""))</ns0:f>
        <ns0:v/>
      </ns0:c>
      <ns0:c r="G162" s="28" t="str">
        <ns0:f>IF(F162="","",IFERROR(INDEX('Müşteriler'!$C$2:$C$101,MATCH(F162,'Müşteriler'!$A$2:$A$101,0)),""))</ns0:f>
        <ns0:v/>
      </ns0:c>
      <ns0:c r="H162" s="28" t="str">
        <ns0:f>IF(A162="","",IF(C162&lt;=0,"Satış dışı",IF(OR(F162="",G162=""),"Eşleşmedi","Eşleşti")))</ns0:f>
        <ns0:v/>
      </ns0:c>
      <ns0:c r="I162" s="28">
        <ns0:f>I161+IF(AND(H162="Eşleşmedi",E162='Panel'!$B$4),1,0)</ns0:f>
        <ns0:v>3.0</ns0:v>
      </ns0:c>
    </ns0:row>
    <ns0:row r="163" ht="21" customHeight="1">
      <ns0:c r="A163" s="25" t="n"/>
      <ns0:c r="B163" s="26" t="n"/>
      <ns0:c r="C163" s="27" t="n"/>
      <ns0:c r="D163" s="27" t="n"/>
      <ns0:c r="E163" s="28" t="str">
        <ns0:f>IF(A163="","",YEAR(A163)&amp;"-"&amp;RIGHT("0"&amp;MONTH(A163),2))</ns0:f>
        <ns0:v/>
      </ns0:c>
      <ns0:c r="F163" s="28" t="str">
        <ns0:f>IF(OR(A163="",B163="",C163&lt;=0),"",IF(SUMPRODUCT(('Müşteriler'!$B$2:$B$101&lt;&gt;"")*ISNUMBER(SEARCH('Müşteriler'!$B$2:$B$101,B163)))=1,IFERROR(INDEX('Müşteriler'!$A$2:$A$101,SUMPRODUCT(('Müşteriler'!$B$2:$B$101&lt;&gt;"")*ISNUMBER(SEARCH('Müşteriler'!$B$2:$B$101,B163)),ROW('Müşteriler'!$B$2:$B$101)-ROW('Müşteriler'!$B$2)+1)),""),""))</ns0:f>
        <ns0:v/>
      </ns0:c>
      <ns0:c r="G163" s="28" t="str">
        <ns0:f>IF(F163="","",IFERROR(INDEX('Müşteriler'!$C$2:$C$101,MATCH(F163,'Müşteriler'!$A$2:$A$101,0)),""))</ns0:f>
        <ns0:v/>
      </ns0:c>
      <ns0:c r="H163" s="28" t="str">
        <ns0:f>IF(A163="","",IF(C163&lt;=0,"Satış dışı",IF(OR(F163="",G163=""),"Eşleşmedi","Eşleşti")))</ns0:f>
        <ns0:v/>
      </ns0:c>
      <ns0:c r="I163" s="28">
        <ns0:f>I162+IF(AND(H163="Eşleşmedi",E163='Panel'!$B$4),1,0)</ns0:f>
        <ns0:v>3.0</ns0:v>
      </ns0:c>
    </ns0:row>
    <ns0:row r="164" ht="21" customHeight="1">
      <ns0:c r="A164" s="25" t="n"/>
      <ns0:c r="B164" s="26" t="n"/>
      <ns0:c r="C164" s="27" t="n"/>
      <ns0:c r="D164" s="27" t="n"/>
      <ns0:c r="E164" s="28" t="str">
        <ns0:f>IF(A164="","",YEAR(A164)&amp;"-"&amp;RIGHT("0"&amp;MONTH(A164),2))</ns0:f>
        <ns0:v/>
      </ns0:c>
      <ns0:c r="F164" s="28" t="str">
        <ns0:f>IF(OR(A164="",B164="",C164&lt;=0),"",IF(SUMPRODUCT(('Müşteriler'!$B$2:$B$101&lt;&gt;"")*ISNUMBER(SEARCH('Müşteriler'!$B$2:$B$101,B164)))=1,IFERROR(INDEX('Müşteriler'!$A$2:$A$101,SUMPRODUCT(('Müşteriler'!$B$2:$B$101&lt;&gt;"")*ISNUMBER(SEARCH('Müşteriler'!$B$2:$B$101,B164)),ROW('Müşteriler'!$B$2:$B$101)-ROW('Müşteriler'!$B$2)+1)),""),""))</ns0:f>
        <ns0:v/>
      </ns0:c>
      <ns0:c r="G164" s="28" t="str">
        <ns0:f>IF(F164="","",IFERROR(INDEX('Müşteriler'!$C$2:$C$101,MATCH(F164,'Müşteriler'!$A$2:$A$101,0)),""))</ns0:f>
        <ns0:v/>
      </ns0:c>
      <ns0:c r="H164" s="28" t="str">
        <ns0:f>IF(A164="","",IF(C164&lt;=0,"Satış dışı",IF(OR(F164="",G164=""),"Eşleşmedi","Eşleşti")))</ns0:f>
        <ns0:v/>
      </ns0:c>
      <ns0:c r="I164" s="28">
        <ns0:f>I163+IF(AND(H164="Eşleşmedi",E164='Panel'!$B$4),1,0)</ns0:f>
        <ns0:v>3.0</ns0:v>
      </ns0:c>
    </ns0:row>
    <ns0:row r="165" ht="21" customHeight="1">
      <ns0:c r="A165" s="25" t="n"/>
      <ns0:c r="B165" s="26" t="n"/>
      <ns0:c r="C165" s="27" t="n"/>
      <ns0:c r="D165" s="27" t="n"/>
      <ns0:c r="E165" s="28" t="str">
        <ns0:f>IF(A165="","",YEAR(A165)&amp;"-"&amp;RIGHT("0"&amp;MONTH(A165),2))</ns0:f>
        <ns0:v/>
      </ns0:c>
      <ns0:c r="F165" s="28" t="str">
        <ns0:f>IF(OR(A165="",B165="",C165&lt;=0),"",IF(SUMPRODUCT(('Müşteriler'!$B$2:$B$101&lt;&gt;"")*ISNUMBER(SEARCH('Müşteriler'!$B$2:$B$101,B165)))=1,IFERROR(INDEX('Müşteriler'!$A$2:$A$101,SUMPRODUCT(('Müşteriler'!$B$2:$B$101&lt;&gt;"")*ISNUMBER(SEARCH('Müşteriler'!$B$2:$B$101,B165)),ROW('Müşteriler'!$B$2:$B$101)-ROW('Müşteriler'!$B$2)+1)),""),""))</ns0:f>
        <ns0:v/>
      </ns0:c>
      <ns0:c r="G165" s="28" t="str">
        <ns0:f>IF(F165="","",IFERROR(INDEX('Müşteriler'!$C$2:$C$101,MATCH(F165,'Müşteriler'!$A$2:$A$101,0)),""))</ns0:f>
        <ns0:v/>
      </ns0:c>
      <ns0:c r="H165" s="28" t="str">
        <ns0:f>IF(A165="","",IF(C165&lt;=0,"Satış dışı",IF(OR(F165="",G165=""),"Eşleşmedi","Eşleşti")))</ns0:f>
        <ns0:v/>
      </ns0:c>
      <ns0:c r="I165" s="28">
        <ns0:f>I164+IF(AND(H165="Eşleşmedi",E165='Panel'!$B$4),1,0)</ns0:f>
        <ns0:v>3.0</ns0:v>
      </ns0:c>
    </ns0:row>
    <ns0:row r="166" ht="21" customHeight="1">
      <ns0:c r="A166" s="25" t="n"/>
      <ns0:c r="B166" s="26" t="n"/>
      <ns0:c r="C166" s="27" t="n"/>
      <ns0:c r="D166" s="27" t="n"/>
      <ns0:c r="E166" s="28" t="str">
        <ns0:f>IF(A166="","",YEAR(A166)&amp;"-"&amp;RIGHT("0"&amp;MONTH(A166),2))</ns0:f>
        <ns0:v/>
      </ns0:c>
      <ns0:c r="F166" s="28" t="str">
        <ns0:f>IF(OR(A166="",B166="",C166&lt;=0),"",IF(SUMPRODUCT(('Müşteriler'!$B$2:$B$101&lt;&gt;"")*ISNUMBER(SEARCH('Müşteriler'!$B$2:$B$101,B166)))=1,IFERROR(INDEX('Müşteriler'!$A$2:$A$101,SUMPRODUCT(('Müşteriler'!$B$2:$B$101&lt;&gt;"")*ISNUMBER(SEARCH('Müşteriler'!$B$2:$B$101,B166)),ROW('Müşteriler'!$B$2:$B$101)-ROW('Müşteriler'!$B$2)+1)),""),""))</ns0:f>
        <ns0:v/>
      </ns0:c>
      <ns0:c r="G166" s="28" t="str">
        <ns0:f>IF(F166="","",IFERROR(INDEX('Müşteriler'!$C$2:$C$101,MATCH(F166,'Müşteriler'!$A$2:$A$101,0)),""))</ns0:f>
        <ns0:v/>
      </ns0:c>
      <ns0:c r="H166" s="28" t="str">
        <ns0:f>IF(A166="","",IF(C166&lt;=0,"Satış dışı",IF(OR(F166="",G166=""),"Eşleşmedi","Eşleşti")))</ns0:f>
        <ns0:v/>
      </ns0:c>
      <ns0:c r="I166" s="28">
        <ns0:f>I165+IF(AND(H166="Eşleşmedi",E166='Panel'!$B$4),1,0)</ns0:f>
        <ns0:v>3.0</ns0:v>
      </ns0:c>
    </ns0:row>
    <ns0:row r="167" ht="21" customHeight="1">
      <ns0:c r="A167" s="25" t="n"/>
      <ns0:c r="B167" s="26" t="n"/>
      <ns0:c r="C167" s="27" t="n"/>
      <ns0:c r="D167" s="27" t="n"/>
      <ns0:c r="E167" s="28" t="str">
        <ns0:f>IF(A167="","",YEAR(A167)&amp;"-"&amp;RIGHT("0"&amp;MONTH(A167),2))</ns0:f>
        <ns0:v/>
      </ns0:c>
      <ns0:c r="F167" s="28" t="str">
        <ns0:f>IF(OR(A167="",B167="",C167&lt;=0),"",IF(SUMPRODUCT(('Müşteriler'!$B$2:$B$101&lt;&gt;"")*ISNUMBER(SEARCH('Müşteriler'!$B$2:$B$101,B167)))=1,IFERROR(INDEX('Müşteriler'!$A$2:$A$101,SUMPRODUCT(('Müşteriler'!$B$2:$B$101&lt;&gt;"")*ISNUMBER(SEARCH('Müşteriler'!$B$2:$B$101,B167)),ROW('Müşteriler'!$B$2:$B$101)-ROW('Müşteriler'!$B$2)+1)),""),""))</ns0:f>
        <ns0:v/>
      </ns0:c>
      <ns0:c r="G167" s="28" t="str">
        <ns0:f>IF(F167="","",IFERROR(INDEX('Müşteriler'!$C$2:$C$101,MATCH(F167,'Müşteriler'!$A$2:$A$101,0)),""))</ns0:f>
        <ns0:v/>
      </ns0:c>
      <ns0:c r="H167" s="28" t="str">
        <ns0:f>IF(A167="","",IF(C167&lt;=0,"Satış dışı",IF(OR(F167="",G167=""),"Eşleşmedi","Eşleşti")))</ns0:f>
        <ns0:v/>
      </ns0:c>
      <ns0:c r="I167" s="28">
        <ns0:f>I166+IF(AND(H167="Eşleşmedi",E167='Panel'!$B$4),1,0)</ns0:f>
        <ns0:v>3.0</ns0:v>
      </ns0:c>
    </ns0:row>
    <ns0:row r="168" ht="21" customHeight="1">
      <ns0:c r="A168" s="25" t="n"/>
      <ns0:c r="B168" s="26" t="n"/>
      <ns0:c r="C168" s="27" t="n"/>
      <ns0:c r="D168" s="27" t="n"/>
      <ns0:c r="E168" s="28" t="str">
        <ns0:f>IF(A168="","",YEAR(A168)&amp;"-"&amp;RIGHT("0"&amp;MONTH(A168),2))</ns0:f>
        <ns0:v/>
      </ns0:c>
      <ns0:c r="F168" s="28" t="str">
        <ns0:f>IF(OR(A168="",B168="",C168&lt;=0),"",IF(SUMPRODUCT(('Müşteriler'!$B$2:$B$101&lt;&gt;"")*ISNUMBER(SEARCH('Müşteriler'!$B$2:$B$101,B168)))=1,IFERROR(INDEX('Müşteriler'!$A$2:$A$101,SUMPRODUCT(('Müşteriler'!$B$2:$B$101&lt;&gt;"")*ISNUMBER(SEARCH('Müşteriler'!$B$2:$B$101,B168)),ROW('Müşteriler'!$B$2:$B$101)-ROW('Müşteriler'!$B$2)+1)),""),""))</ns0:f>
        <ns0:v/>
      </ns0:c>
      <ns0:c r="G168" s="28" t="str">
        <ns0:f>IF(F168="","",IFERROR(INDEX('Müşteriler'!$C$2:$C$101,MATCH(F168,'Müşteriler'!$A$2:$A$101,0)),""))</ns0:f>
        <ns0:v/>
      </ns0:c>
      <ns0:c r="H168" s="28" t="str">
        <ns0:f>IF(A168="","",IF(C168&lt;=0,"Satış dışı",IF(OR(F168="",G168=""),"Eşleşmedi","Eşleşti")))</ns0:f>
        <ns0:v/>
      </ns0:c>
      <ns0:c r="I168" s="28">
        <ns0:f>I167+IF(AND(H168="Eşleşmedi",E168='Panel'!$B$4),1,0)</ns0:f>
        <ns0:v>3.0</ns0:v>
      </ns0:c>
    </ns0:row>
    <ns0:row r="169" ht="21" customHeight="1">
      <ns0:c r="A169" s="25" t="n"/>
      <ns0:c r="B169" s="26" t="n"/>
      <ns0:c r="C169" s="27" t="n"/>
      <ns0:c r="D169" s="27" t="n"/>
      <ns0:c r="E169" s="28" t="str">
        <ns0:f>IF(A169="","",YEAR(A169)&amp;"-"&amp;RIGHT("0"&amp;MONTH(A169),2))</ns0:f>
        <ns0:v/>
      </ns0:c>
      <ns0:c r="F169" s="28" t="str">
        <ns0:f>IF(OR(A169="",B169="",C169&lt;=0),"",IF(SUMPRODUCT(('Müşteriler'!$B$2:$B$101&lt;&gt;"")*ISNUMBER(SEARCH('Müşteriler'!$B$2:$B$101,B169)))=1,IFERROR(INDEX('Müşteriler'!$A$2:$A$101,SUMPRODUCT(('Müşteriler'!$B$2:$B$101&lt;&gt;"")*ISNUMBER(SEARCH('Müşteriler'!$B$2:$B$101,B169)),ROW('Müşteriler'!$B$2:$B$101)-ROW('Müşteriler'!$B$2)+1)),""),""))</ns0:f>
        <ns0:v/>
      </ns0:c>
      <ns0:c r="G169" s="28" t="str">
        <ns0:f>IF(F169="","",IFERROR(INDEX('Müşteriler'!$C$2:$C$101,MATCH(F169,'Müşteriler'!$A$2:$A$101,0)),""))</ns0:f>
        <ns0:v/>
      </ns0:c>
      <ns0:c r="H169" s="28" t="str">
        <ns0:f>IF(A169="","",IF(C169&lt;=0,"Satış dışı",IF(OR(F169="",G169=""),"Eşleşmedi","Eşleşti")))</ns0:f>
        <ns0:v/>
      </ns0:c>
      <ns0:c r="I169" s="28">
        <ns0:f>I168+IF(AND(H169="Eşleşmedi",E169='Panel'!$B$4),1,0)</ns0:f>
        <ns0:v>3.0</ns0:v>
      </ns0:c>
    </ns0:row>
    <ns0:row r="170" ht="21" customHeight="1">
      <ns0:c r="A170" s="25" t="n"/>
      <ns0:c r="B170" s="26" t="n"/>
      <ns0:c r="C170" s="27" t="n"/>
      <ns0:c r="D170" s="27" t="n"/>
      <ns0:c r="E170" s="28" t="str">
        <ns0:f>IF(A170="","",YEAR(A170)&amp;"-"&amp;RIGHT("0"&amp;MONTH(A170),2))</ns0:f>
        <ns0:v/>
      </ns0:c>
      <ns0:c r="F170" s="28" t="str">
        <ns0:f>IF(OR(A170="",B170="",C170&lt;=0),"",IF(SUMPRODUCT(('Müşteriler'!$B$2:$B$101&lt;&gt;"")*ISNUMBER(SEARCH('Müşteriler'!$B$2:$B$101,B170)))=1,IFERROR(INDEX('Müşteriler'!$A$2:$A$101,SUMPRODUCT(('Müşteriler'!$B$2:$B$101&lt;&gt;"")*ISNUMBER(SEARCH('Müşteriler'!$B$2:$B$101,B170)),ROW('Müşteriler'!$B$2:$B$101)-ROW('Müşteriler'!$B$2)+1)),""),""))</ns0:f>
        <ns0:v/>
      </ns0:c>
      <ns0:c r="G170" s="28" t="str">
        <ns0:f>IF(F170="","",IFERROR(INDEX('Müşteriler'!$C$2:$C$101,MATCH(F170,'Müşteriler'!$A$2:$A$101,0)),""))</ns0:f>
        <ns0:v/>
      </ns0:c>
      <ns0:c r="H170" s="28" t="str">
        <ns0:f>IF(A170="","",IF(C170&lt;=0,"Satış dışı",IF(OR(F170="",G170=""),"Eşleşmedi","Eşleşti")))</ns0:f>
        <ns0:v/>
      </ns0:c>
      <ns0:c r="I170" s="28">
        <ns0:f>I169+IF(AND(H170="Eşleşmedi",E170='Panel'!$B$4),1,0)</ns0:f>
        <ns0:v>3.0</ns0:v>
      </ns0:c>
    </ns0:row>
    <ns0:row r="171" ht="21" customHeight="1">
      <ns0:c r="A171" s="25" t="n"/>
      <ns0:c r="B171" s="26" t="n"/>
      <ns0:c r="C171" s="27" t="n"/>
      <ns0:c r="D171" s="27" t="n"/>
      <ns0:c r="E171" s="28" t="str">
        <ns0:f>IF(A171="","",YEAR(A171)&amp;"-"&amp;RIGHT("0"&amp;MONTH(A171),2))</ns0:f>
        <ns0:v/>
      </ns0:c>
      <ns0:c r="F171" s="28" t="str">
        <ns0:f>IF(OR(A171="",B171="",C171&lt;=0),"",IF(SUMPRODUCT(('Müşteriler'!$B$2:$B$101&lt;&gt;"")*ISNUMBER(SEARCH('Müşteriler'!$B$2:$B$101,B171)))=1,IFERROR(INDEX('Müşteriler'!$A$2:$A$101,SUMPRODUCT(('Müşteriler'!$B$2:$B$101&lt;&gt;"")*ISNUMBER(SEARCH('Müşteriler'!$B$2:$B$101,B171)),ROW('Müşteriler'!$B$2:$B$101)-ROW('Müşteriler'!$B$2)+1)),""),""))</ns0:f>
        <ns0:v/>
      </ns0:c>
      <ns0:c r="G171" s="28" t="str">
        <ns0:f>IF(F171="","",IFERROR(INDEX('Müşteriler'!$C$2:$C$101,MATCH(F171,'Müşteriler'!$A$2:$A$101,0)),""))</ns0:f>
        <ns0:v/>
      </ns0:c>
      <ns0:c r="H171" s="28" t="str">
        <ns0:f>IF(A171="","",IF(C171&lt;=0,"Satış dışı",IF(OR(F171="",G171=""),"Eşleşmedi","Eşleşti")))</ns0:f>
        <ns0:v/>
      </ns0:c>
      <ns0:c r="I171" s="28">
        <ns0:f>I170+IF(AND(H171="Eşleşmedi",E171='Panel'!$B$4),1,0)</ns0:f>
        <ns0:v>3.0</ns0:v>
      </ns0:c>
    </ns0:row>
    <ns0:row r="172" ht="21" customHeight="1">
      <ns0:c r="A172" s="25" t="n"/>
      <ns0:c r="B172" s="26" t="n"/>
      <ns0:c r="C172" s="27" t="n"/>
      <ns0:c r="D172" s="27" t="n"/>
      <ns0:c r="E172" s="28" t="str">
        <ns0:f>IF(A172="","",YEAR(A172)&amp;"-"&amp;RIGHT("0"&amp;MONTH(A172),2))</ns0:f>
        <ns0:v/>
      </ns0:c>
      <ns0:c r="F172" s="28" t="str">
        <ns0:f>IF(OR(A172="",B172="",C172&lt;=0),"",IF(SUMPRODUCT(('Müşteriler'!$B$2:$B$101&lt;&gt;"")*ISNUMBER(SEARCH('Müşteriler'!$B$2:$B$101,B172)))=1,IFERROR(INDEX('Müşteriler'!$A$2:$A$101,SUMPRODUCT(('Müşteriler'!$B$2:$B$101&lt;&gt;"")*ISNUMBER(SEARCH('Müşteriler'!$B$2:$B$101,B172)),ROW('Müşteriler'!$B$2:$B$101)-ROW('Müşteriler'!$B$2)+1)),""),""))</ns0:f>
        <ns0:v/>
      </ns0:c>
      <ns0:c r="G172" s="28" t="str">
        <ns0:f>IF(F172="","",IFERROR(INDEX('Müşteriler'!$C$2:$C$101,MATCH(F172,'Müşteriler'!$A$2:$A$101,0)),""))</ns0:f>
        <ns0:v/>
      </ns0:c>
      <ns0:c r="H172" s="28" t="str">
        <ns0:f>IF(A172="","",IF(C172&lt;=0,"Satış dışı",IF(OR(F172="",G172=""),"Eşleşmedi","Eşleşti")))</ns0:f>
        <ns0:v/>
      </ns0:c>
      <ns0:c r="I172" s="28">
        <ns0:f>I171+IF(AND(H172="Eşleşmedi",E172='Panel'!$B$4),1,0)</ns0:f>
        <ns0:v>3.0</ns0:v>
      </ns0:c>
    </ns0:row>
    <ns0:row r="173" ht="21" customHeight="1">
      <ns0:c r="A173" s="25" t="n"/>
      <ns0:c r="B173" s="26" t="n"/>
      <ns0:c r="C173" s="27" t="n"/>
      <ns0:c r="D173" s="27" t="n"/>
      <ns0:c r="E173" s="28" t="str">
        <ns0:f>IF(A173="","",YEAR(A173)&amp;"-"&amp;RIGHT("0"&amp;MONTH(A173),2))</ns0:f>
        <ns0:v/>
      </ns0:c>
      <ns0:c r="F173" s="28" t="str">
        <ns0:f>IF(OR(A173="",B173="",C173&lt;=0),"",IF(SUMPRODUCT(('Müşteriler'!$B$2:$B$101&lt;&gt;"")*ISNUMBER(SEARCH('Müşteriler'!$B$2:$B$101,B173)))=1,IFERROR(INDEX('Müşteriler'!$A$2:$A$101,SUMPRODUCT(('Müşteriler'!$B$2:$B$101&lt;&gt;"")*ISNUMBER(SEARCH('Müşteriler'!$B$2:$B$101,B173)),ROW('Müşteriler'!$B$2:$B$101)-ROW('Müşteriler'!$B$2)+1)),""),""))</ns0:f>
        <ns0:v/>
      </ns0:c>
      <ns0:c r="G173" s="28" t="str">
        <ns0:f>IF(F173="","",IFERROR(INDEX('Müşteriler'!$C$2:$C$101,MATCH(F173,'Müşteriler'!$A$2:$A$101,0)),""))</ns0:f>
        <ns0:v/>
      </ns0:c>
      <ns0:c r="H173" s="28" t="str">
        <ns0:f>IF(A173="","",IF(C173&lt;=0,"Satış dışı",IF(OR(F173="",G173=""),"Eşleşmedi","Eşleşti")))</ns0:f>
        <ns0:v/>
      </ns0:c>
      <ns0:c r="I173" s="28">
        <ns0:f>I172+IF(AND(H173="Eşleşmedi",E173='Panel'!$B$4),1,0)</ns0:f>
        <ns0:v>3.0</ns0:v>
      </ns0:c>
    </ns0:row>
    <ns0:row r="174" ht="21" customHeight="1">
      <ns0:c r="A174" s="25" t="n"/>
      <ns0:c r="B174" s="26" t="n"/>
      <ns0:c r="C174" s="27" t="n"/>
      <ns0:c r="D174" s="27" t="n"/>
      <ns0:c r="E174" s="28" t="str">
        <ns0:f>IF(A174="","",YEAR(A174)&amp;"-"&amp;RIGHT("0"&amp;MONTH(A174),2))</ns0:f>
        <ns0:v/>
      </ns0:c>
      <ns0:c r="F174" s="28" t="str">
        <ns0:f>IF(OR(A174="",B174="",C174&lt;=0),"",IF(SUMPRODUCT(('Müşteriler'!$B$2:$B$101&lt;&gt;"")*ISNUMBER(SEARCH('Müşteriler'!$B$2:$B$101,B174)))=1,IFERROR(INDEX('Müşteriler'!$A$2:$A$101,SUMPRODUCT(('Müşteriler'!$B$2:$B$101&lt;&gt;"")*ISNUMBER(SEARCH('Müşteriler'!$B$2:$B$101,B174)),ROW('Müşteriler'!$B$2:$B$101)-ROW('Müşteriler'!$B$2)+1)),""),""))</ns0:f>
        <ns0:v/>
      </ns0:c>
      <ns0:c r="G174" s="28" t="str">
        <ns0:f>IF(F174="","",IFERROR(INDEX('Müşteriler'!$C$2:$C$101,MATCH(F174,'Müşteriler'!$A$2:$A$101,0)),""))</ns0:f>
        <ns0:v/>
      </ns0:c>
      <ns0:c r="H174" s="28" t="str">
        <ns0:f>IF(A174="","",IF(C174&lt;=0,"Satış dışı",IF(OR(F174="",G174=""),"Eşleşmedi","Eşleşti")))</ns0:f>
        <ns0:v/>
      </ns0:c>
      <ns0:c r="I174" s="28">
        <ns0:f>I173+IF(AND(H174="Eşleşmedi",E174='Panel'!$B$4),1,0)</ns0:f>
        <ns0:v>3.0</ns0:v>
      </ns0:c>
    </ns0:row>
    <ns0:row r="175" ht="21" customHeight="1">
      <ns0:c r="A175" s="25" t="n"/>
      <ns0:c r="B175" s="26" t="n"/>
      <ns0:c r="C175" s="27" t="n"/>
      <ns0:c r="D175" s="27" t="n"/>
      <ns0:c r="E175" s="28" t="str">
        <ns0:f>IF(A175="","",YEAR(A175)&amp;"-"&amp;RIGHT("0"&amp;MONTH(A175),2))</ns0:f>
        <ns0:v/>
      </ns0:c>
      <ns0:c r="F175" s="28" t="str">
        <ns0:f>IF(OR(A175="",B175="",C175&lt;=0),"",IF(SUMPRODUCT(('Müşteriler'!$B$2:$B$101&lt;&gt;"")*ISNUMBER(SEARCH('Müşteriler'!$B$2:$B$101,B175)))=1,IFERROR(INDEX('Müşteriler'!$A$2:$A$101,SUMPRODUCT(('Müşteriler'!$B$2:$B$101&lt;&gt;"")*ISNUMBER(SEARCH('Müşteriler'!$B$2:$B$101,B175)),ROW('Müşteriler'!$B$2:$B$101)-ROW('Müşteriler'!$B$2)+1)),""),""))</ns0:f>
        <ns0:v/>
      </ns0:c>
      <ns0:c r="G175" s="28" t="str">
        <ns0:f>IF(F175="","",IFERROR(INDEX('Müşteriler'!$C$2:$C$101,MATCH(F175,'Müşteriler'!$A$2:$A$101,0)),""))</ns0:f>
        <ns0:v/>
      </ns0:c>
      <ns0:c r="H175" s="28" t="str">
        <ns0:f>IF(A175="","",IF(C175&lt;=0,"Satış dışı",IF(OR(F175="",G175=""),"Eşleşmedi","Eşleşti")))</ns0:f>
        <ns0:v/>
      </ns0:c>
      <ns0:c r="I175" s="28">
        <ns0:f>I174+IF(AND(H175="Eşleşmedi",E175='Panel'!$B$4),1,0)</ns0:f>
        <ns0:v>3.0</ns0:v>
      </ns0:c>
    </ns0:row>
    <ns0:row r="176" ht="21" customHeight="1">
      <ns0:c r="A176" s="25" t="n"/>
      <ns0:c r="B176" s="26" t="n"/>
      <ns0:c r="C176" s="27" t="n"/>
      <ns0:c r="D176" s="27" t="n"/>
      <ns0:c r="E176" s="28" t="str">
        <ns0:f>IF(A176="","",YEAR(A176)&amp;"-"&amp;RIGHT("0"&amp;MONTH(A176),2))</ns0:f>
        <ns0:v/>
      </ns0:c>
      <ns0:c r="F176" s="28" t="str">
        <ns0:f>IF(OR(A176="",B176="",C176&lt;=0),"",IF(SUMPRODUCT(('Müşteriler'!$B$2:$B$101&lt;&gt;"")*ISNUMBER(SEARCH('Müşteriler'!$B$2:$B$101,B176)))=1,IFERROR(INDEX('Müşteriler'!$A$2:$A$101,SUMPRODUCT(('Müşteriler'!$B$2:$B$101&lt;&gt;"")*ISNUMBER(SEARCH('Müşteriler'!$B$2:$B$101,B176)),ROW('Müşteriler'!$B$2:$B$101)-ROW('Müşteriler'!$B$2)+1)),""),""))</ns0:f>
        <ns0:v/>
      </ns0:c>
      <ns0:c r="G176" s="28" t="str">
        <ns0:f>IF(F176="","",IFERROR(INDEX('Müşteriler'!$C$2:$C$101,MATCH(F176,'Müşteriler'!$A$2:$A$101,0)),""))</ns0:f>
        <ns0:v/>
      </ns0:c>
      <ns0:c r="H176" s="28" t="str">
        <ns0:f>IF(A176="","",IF(C176&lt;=0,"Satış dışı",IF(OR(F176="",G176=""),"Eşleşmedi","Eşleşti")))</ns0:f>
        <ns0:v/>
      </ns0:c>
      <ns0:c r="I176" s="28">
        <ns0:f>I175+IF(AND(H176="Eşleşmedi",E176='Panel'!$B$4),1,0)</ns0:f>
        <ns0:v>3.0</ns0:v>
      </ns0:c>
    </ns0:row>
    <ns0:row r="177" ht="21" customHeight="1">
      <ns0:c r="A177" s="25" t="n"/>
      <ns0:c r="B177" s="26" t="n"/>
      <ns0:c r="C177" s="27" t="n"/>
      <ns0:c r="D177" s="27" t="n"/>
      <ns0:c r="E177" s="28" t="str">
        <ns0:f>IF(A177="","",YEAR(A177)&amp;"-"&amp;RIGHT("0"&amp;MONTH(A177),2))</ns0:f>
        <ns0:v/>
      </ns0:c>
      <ns0:c r="F177" s="28" t="str">
        <ns0:f>IF(OR(A177="",B177="",C177&lt;=0),"",IF(SUMPRODUCT(('Müşteriler'!$B$2:$B$101&lt;&gt;"")*ISNUMBER(SEARCH('Müşteriler'!$B$2:$B$101,B177)))=1,IFERROR(INDEX('Müşteriler'!$A$2:$A$101,SUMPRODUCT(('Müşteriler'!$B$2:$B$101&lt;&gt;"")*ISNUMBER(SEARCH('Müşteriler'!$B$2:$B$101,B177)),ROW('Müşteriler'!$B$2:$B$101)-ROW('Müşteriler'!$B$2)+1)),""),""))</ns0:f>
        <ns0:v/>
      </ns0:c>
      <ns0:c r="G177" s="28" t="str">
        <ns0:f>IF(F177="","",IFERROR(INDEX('Müşteriler'!$C$2:$C$101,MATCH(F177,'Müşteriler'!$A$2:$A$101,0)),""))</ns0:f>
        <ns0:v/>
      </ns0:c>
      <ns0:c r="H177" s="28" t="str">
        <ns0:f>IF(A177="","",IF(C177&lt;=0,"Satış dışı",IF(OR(F177="",G177=""),"Eşleşmedi","Eşleşti")))</ns0:f>
        <ns0:v/>
      </ns0:c>
      <ns0:c r="I177" s="28">
        <ns0:f>I176+IF(AND(H177="Eşleşmedi",E177='Panel'!$B$4),1,0)</ns0:f>
        <ns0:v>3.0</ns0:v>
      </ns0:c>
    </ns0:row>
    <ns0:row r="178" ht="21" customHeight="1">
      <ns0:c r="A178" s="25" t="n"/>
      <ns0:c r="B178" s="26" t="n"/>
      <ns0:c r="C178" s="27" t="n"/>
      <ns0:c r="D178" s="27" t="n"/>
      <ns0:c r="E178" s="28" t="str">
        <ns0:f>IF(A178="","",YEAR(A178)&amp;"-"&amp;RIGHT("0"&amp;MONTH(A178),2))</ns0:f>
        <ns0:v/>
      </ns0:c>
      <ns0:c r="F178" s="28" t="str">
        <ns0:f>IF(OR(A178="",B178="",C178&lt;=0),"",IF(SUMPRODUCT(('Müşteriler'!$B$2:$B$101&lt;&gt;"")*ISNUMBER(SEARCH('Müşteriler'!$B$2:$B$101,B178)))=1,IFERROR(INDEX('Müşteriler'!$A$2:$A$101,SUMPRODUCT(('Müşteriler'!$B$2:$B$101&lt;&gt;"")*ISNUMBER(SEARCH('Müşteriler'!$B$2:$B$101,B178)),ROW('Müşteriler'!$B$2:$B$101)-ROW('Müşteriler'!$B$2)+1)),""),""))</ns0:f>
        <ns0:v/>
      </ns0:c>
      <ns0:c r="G178" s="28" t="str">
        <ns0:f>IF(F178="","",IFERROR(INDEX('Müşteriler'!$C$2:$C$101,MATCH(F178,'Müşteriler'!$A$2:$A$101,0)),""))</ns0:f>
        <ns0:v/>
      </ns0:c>
      <ns0:c r="H178" s="28" t="str">
        <ns0:f>IF(A178="","",IF(C178&lt;=0,"Satış dışı",IF(OR(F178="",G178=""),"Eşleşmedi","Eşleşti")))</ns0:f>
        <ns0:v/>
      </ns0:c>
      <ns0:c r="I178" s="28">
        <ns0:f>I177+IF(AND(H178="Eşleşmedi",E178='Panel'!$B$4),1,0)</ns0:f>
        <ns0:v>3.0</ns0:v>
      </ns0:c>
    </ns0:row>
    <ns0:row r="179" ht="21" customHeight="1">
      <ns0:c r="A179" s="25" t="n"/>
      <ns0:c r="B179" s="26" t="n"/>
      <ns0:c r="C179" s="27" t="n"/>
      <ns0:c r="D179" s="27" t="n"/>
      <ns0:c r="E179" s="28" t="str">
        <ns0:f>IF(A179="","",YEAR(A179)&amp;"-"&amp;RIGHT("0"&amp;MONTH(A179),2))</ns0:f>
        <ns0:v/>
      </ns0:c>
      <ns0:c r="F179" s="28" t="str">
        <ns0:f>IF(OR(A179="",B179="",C179&lt;=0),"",IF(SUMPRODUCT(('Müşteriler'!$B$2:$B$101&lt;&gt;"")*ISNUMBER(SEARCH('Müşteriler'!$B$2:$B$101,B179)))=1,IFERROR(INDEX('Müşteriler'!$A$2:$A$101,SUMPRODUCT(('Müşteriler'!$B$2:$B$101&lt;&gt;"")*ISNUMBER(SEARCH('Müşteriler'!$B$2:$B$101,B179)),ROW('Müşteriler'!$B$2:$B$101)-ROW('Müşteriler'!$B$2)+1)),""),""))</ns0:f>
        <ns0:v/>
      </ns0:c>
      <ns0:c r="G179" s="28" t="str">
        <ns0:f>IF(F179="","",IFERROR(INDEX('Müşteriler'!$C$2:$C$101,MATCH(F179,'Müşteriler'!$A$2:$A$101,0)),""))</ns0:f>
        <ns0:v/>
      </ns0:c>
      <ns0:c r="H179" s="28" t="str">
        <ns0:f>IF(A179="","",IF(C179&lt;=0,"Satış dışı",IF(OR(F179="",G179=""),"Eşleşmedi","Eşleşti")))</ns0:f>
        <ns0:v/>
      </ns0:c>
      <ns0:c r="I179" s="28">
        <ns0:f>I178+IF(AND(H179="Eşleşmedi",E179='Panel'!$B$4),1,0)</ns0:f>
        <ns0:v>3.0</ns0:v>
      </ns0:c>
    </ns0:row>
    <ns0:row r="180" ht="21" customHeight="1">
      <ns0:c r="A180" s="25" t="n"/>
      <ns0:c r="B180" s="26" t="n"/>
      <ns0:c r="C180" s="27" t="n"/>
      <ns0:c r="D180" s="27" t="n"/>
      <ns0:c r="E180" s="28" t="str">
        <ns0:f>IF(A180="","",YEAR(A180)&amp;"-"&amp;RIGHT("0"&amp;MONTH(A180),2))</ns0:f>
        <ns0:v/>
      </ns0:c>
      <ns0:c r="F180" s="28" t="str">
        <ns0:f>IF(OR(A180="",B180="",C180&lt;=0),"",IF(SUMPRODUCT(('Müşteriler'!$B$2:$B$101&lt;&gt;"")*ISNUMBER(SEARCH('Müşteriler'!$B$2:$B$101,B180)))=1,IFERROR(INDEX('Müşteriler'!$A$2:$A$101,SUMPRODUCT(('Müşteriler'!$B$2:$B$101&lt;&gt;"")*ISNUMBER(SEARCH('Müşteriler'!$B$2:$B$101,B180)),ROW('Müşteriler'!$B$2:$B$101)-ROW('Müşteriler'!$B$2)+1)),""),""))</ns0:f>
        <ns0:v/>
      </ns0:c>
      <ns0:c r="G180" s="28" t="str">
        <ns0:f>IF(F180="","",IFERROR(INDEX('Müşteriler'!$C$2:$C$101,MATCH(F180,'Müşteriler'!$A$2:$A$101,0)),""))</ns0:f>
        <ns0:v/>
      </ns0:c>
      <ns0:c r="H180" s="28" t="str">
        <ns0:f>IF(A180="","",IF(C180&lt;=0,"Satış dışı",IF(OR(F180="",G180=""),"Eşleşmedi","Eşleşti")))</ns0:f>
        <ns0:v/>
      </ns0:c>
      <ns0:c r="I180" s="28">
        <ns0:f>I179+IF(AND(H180="Eşleşmedi",E180='Panel'!$B$4),1,0)</ns0:f>
        <ns0:v>3.0</ns0:v>
      </ns0:c>
    </ns0:row>
    <ns0:row r="181" ht="21" customHeight="1">
      <ns0:c r="A181" s="25" t="n"/>
      <ns0:c r="B181" s="26" t="n"/>
      <ns0:c r="C181" s="27" t="n"/>
      <ns0:c r="D181" s="27" t="n"/>
      <ns0:c r="E181" s="28" t="str">
        <ns0:f>IF(A181="","",YEAR(A181)&amp;"-"&amp;RIGHT("0"&amp;MONTH(A181),2))</ns0:f>
        <ns0:v/>
      </ns0:c>
      <ns0:c r="F181" s="28" t="str">
        <ns0:f>IF(OR(A181="",B181="",C181&lt;=0),"",IF(SUMPRODUCT(('Müşteriler'!$B$2:$B$101&lt;&gt;"")*ISNUMBER(SEARCH('Müşteriler'!$B$2:$B$101,B181)))=1,IFERROR(INDEX('Müşteriler'!$A$2:$A$101,SUMPRODUCT(('Müşteriler'!$B$2:$B$101&lt;&gt;"")*ISNUMBER(SEARCH('Müşteriler'!$B$2:$B$101,B181)),ROW('Müşteriler'!$B$2:$B$101)-ROW('Müşteriler'!$B$2)+1)),""),""))</ns0:f>
        <ns0:v/>
      </ns0:c>
      <ns0:c r="G181" s="28" t="str">
        <ns0:f>IF(F181="","",IFERROR(INDEX('Müşteriler'!$C$2:$C$101,MATCH(F181,'Müşteriler'!$A$2:$A$101,0)),""))</ns0:f>
        <ns0:v/>
      </ns0:c>
      <ns0:c r="H181" s="28" t="str">
        <ns0:f>IF(A181="","",IF(C181&lt;=0,"Satış dışı",IF(OR(F181="",G181=""),"Eşleşmedi","Eşleşti")))</ns0:f>
        <ns0:v/>
      </ns0:c>
      <ns0:c r="I181" s="28">
        <ns0:f>I180+IF(AND(H181="Eşleşmedi",E181='Panel'!$B$4),1,0)</ns0:f>
        <ns0:v>3.0</ns0:v>
      </ns0:c>
    </ns0:row>
    <ns0:row r="182" ht="21" customHeight="1">
      <ns0:c r="A182" s="25" t="n"/>
      <ns0:c r="B182" s="26" t="n"/>
      <ns0:c r="C182" s="27" t="n"/>
      <ns0:c r="D182" s="27" t="n"/>
      <ns0:c r="E182" s="28" t="str">
        <ns0:f>IF(A182="","",YEAR(A182)&amp;"-"&amp;RIGHT("0"&amp;MONTH(A182),2))</ns0:f>
        <ns0:v/>
      </ns0:c>
      <ns0:c r="F182" s="28" t="str">
        <ns0:f>IF(OR(A182="",B182="",C182&lt;=0),"",IF(SUMPRODUCT(('Müşteriler'!$B$2:$B$101&lt;&gt;"")*ISNUMBER(SEARCH('Müşteriler'!$B$2:$B$101,B182)))=1,IFERROR(INDEX('Müşteriler'!$A$2:$A$101,SUMPRODUCT(('Müşteriler'!$B$2:$B$101&lt;&gt;"")*ISNUMBER(SEARCH('Müşteriler'!$B$2:$B$101,B182)),ROW('Müşteriler'!$B$2:$B$101)-ROW('Müşteriler'!$B$2)+1)),""),""))</ns0:f>
        <ns0:v/>
      </ns0:c>
      <ns0:c r="G182" s="28" t="str">
        <ns0:f>IF(F182="","",IFERROR(INDEX('Müşteriler'!$C$2:$C$101,MATCH(F182,'Müşteriler'!$A$2:$A$101,0)),""))</ns0:f>
        <ns0:v/>
      </ns0:c>
      <ns0:c r="H182" s="28" t="str">
        <ns0:f>IF(A182="","",IF(C182&lt;=0,"Satış dışı",IF(OR(F182="",G182=""),"Eşleşmedi","Eşleşti")))</ns0:f>
        <ns0:v/>
      </ns0:c>
      <ns0:c r="I182" s="28">
        <ns0:f>I181+IF(AND(H182="Eşleşmedi",E182='Panel'!$B$4),1,0)</ns0:f>
        <ns0:v>3.0</ns0:v>
      </ns0:c>
    </ns0:row>
    <ns0:row r="183" ht="21" customHeight="1">
      <ns0:c r="A183" s="25" t="n"/>
      <ns0:c r="B183" s="26" t="n"/>
      <ns0:c r="C183" s="27" t="n"/>
      <ns0:c r="D183" s="27" t="n"/>
      <ns0:c r="E183" s="28" t="str">
        <ns0:f>IF(A183="","",YEAR(A183)&amp;"-"&amp;RIGHT("0"&amp;MONTH(A183),2))</ns0:f>
        <ns0:v/>
      </ns0:c>
      <ns0:c r="F183" s="28" t="str">
        <ns0:f>IF(OR(A183="",B183="",C183&lt;=0),"",IF(SUMPRODUCT(('Müşteriler'!$B$2:$B$101&lt;&gt;"")*ISNUMBER(SEARCH('Müşteriler'!$B$2:$B$101,B183)))=1,IFERROR(INDEX('Müşteriler'!$A$2:$A$101,SUMPRODUCT(('Müşteriler'!$B$2:$B$101&lt;&gt;"")*ISNUMBER(SEARCH('Müşteriler'!$B$2:$B$101,B183)),ROW('Müşteriler'!$B$2:$B$101)-ROW('Müşteriler'!$B$2)+1)),""),""))</ns0:f>
        <ns0:v/>
      </ns0:c>
      <ns0:c r="G183" s="28" t="str">
        <ns0:f>IF(F183="","",IFERROR(INDEX('Müşteriler'!$C$2:$C$101,MATCH(F183,'Müşteriler'!$A$2:$A$101,0)),""))</ns0:f>
        <ns0:v/>
      </ns0:c>
      <ns0:c r="H183" s="28" t="str">
        <ns0:f>IF(A183="","",IF(C183&lt;=0,"Satış dışı",IF(OR(F183="",G183=""),"Eşleşmedi","Eşleşti")))</ns0:f>
        <ns0:v/>
      </ns0:c>
      <ns0:c r="I183" s="28">
        <ns0:f>I182+IF(AND(H183="Eşleşmedi",E183='Panel'!$B$4),1,0)</ns0:f>
        <ns0:v>3.0</ns0:v>
      </ns0:c>
    </ns0:row>
    <ns0:row r="184" ht="21" customHeight="1">
      <ns0:c r="A184" s="25" t="n"/>
      <ns0:c r="B184" s="26" t="n"/>
      <ns0:c r="C184" s="27" t="n"/>
      <ns0:c r="D184" s="27" t="n"/>
      <ns0:c r="E184" s="28" t="str">
        <ns0:f>IF(A184="","",YEAR(A184)&amp;"-"&amp;RIGHT("0"&amp;MONTH(A184),2))</ns0:f>
        <ns0:v/>
      </ns0:c>
      <ns0:c r="F184" s="28" t="str">
        <ns0:f>IF(OR(A184="",B184="",C184&lt;=0),"",IF(SUMPRODUCT(('Müşteriler'!$B$2:$B$101&lt;&gt;"")*ISNUMBER(SEARCH('Müşteriler'!$B$2:$B$101,B184)))=1,IFERROR(INDEX('Müşteriler'!$A$2:$A$101,SUMPRODUCT(('Müşteriler'!$B$2:$B$101&lt;&gt;"")*ISNUMBER(SEARCH('Müşteriler'!$B$2:$B$101,B184)),ROW('Müşteriler'!$B$2:$B$101)-ROW('Müşteriler'!$B$2)+1)),""),""))</ns0:f>
        <ns0:v/>
      </ns0:c>
      <ns0:c r="G184" s="28" t="str">
        <ns0:f>IF(F184="","",IFERROR(INDEX('Müşteriler'!$C$2:$C$101,MATCH(F184,'Müşteriler'!$A$2:$A$101,0)),""))</ns0:f>
        <ns0:v/>
      </ns0:c>
      <ns0:c r="H184" s="28" t="str">
        <ns0:f>IF(A184="","",IF(C184&lt;=0,"Satış dışı",IF(OR(F184="",G184=""),"Eşleşmedi","Eşleşti")))</ns0:f>
        <ns0:v/>
      </ns0:c>
      <ns0:c r="I184" s="28">
        <ns0:f>I183+IF(AND(H184="Eşleşmedi",E184='Panel'!$B$4),1,0)</ns0:f>
        <ns0:v>3.0</ns0:v>
      </ns0:c>
    </ns0:row>
    <ns0:row r="185" ht="21" customHeight="1">
      <ns0:c r="A185" s="25" t="n"/>
      <ns0:c r="B185" s="26" t="n"/>
      <ns0:c r="C185" s="27" t="n"/>
      <ns0:c r="D185" s="27" t="n"/>
      <ns0:c r="E185" s="28" t="str">
        <ns0:f>IF(A185="","",YEAR(A185)&amp;"-"&amp;RIGHT("0"&amp;MONTH(A185),2))</ns0:f>
        <ns0:v/>
      </ns0:c>
      <ns0:c r="F185" s="28" t="str">
        <ns0:f>IF(OR(A185="",B185="",C185&lt;=0),"",IF(SUMPRODUCT(('Müşteriler'!$B$2:$B$101&lt;&gt;"")*ISNUMBER(SEARCH('Müşteriler'!$B$2:$B$101,B185)))=1,IFERROR(INDEX('Müşteriler'!$A$2:$A$101,SUMPRODUCT(('Müşteriler'!$B$2:$B$101&lt;&gt;"")*ISNUMBER(SEARCH('Müşteriler'!$B$2:$B$101,B185)),ROW('Müşteriler'!$B$2:$B$101)-ROW('Müşteriler'!$B$2)+1)),""),""))</ns0:f>
        <ns0:v/>
      </ns0:c>
      <ns0:c r="G185" s="28" t="str">
        <ns0:f>IF(F185="","",IFERROR(INDEX('Müşteriler'!$C$2:$C$101,MATCH(F185,'Müşteriler'!$A$2:$A$101,0)),""))</ns0:f>
        <ns0:v/>
      </ns0:c>
      <ns0:c r="H185" s="28" t="str">
        <ns0:f>IF(A185="","",IF(C185&lt;=0,"Satış dışı",IF(OR(F185="",G185=""),"Eşleşmedi","Eşleşti")))</ns0:f>
        <ns0:v/>
      </ns0:c>
      <ns0:c r="I185" s="28">
        <ns0:f>I184+IF(AND(H185="Eşleşmedi",E185='Panel'!$B$4),1,0)</ns0:f>
        <ns0:v>3.0</ns0:v>
      </ns0:c>
    </ns0:row>
    <ns0:row r="186" ht="21" customHeight="1">
      <ns0:c r="A186" s="25" t="n"/>
      <ns0:c r="B186" s="26" t="n"/>
      <ns0:c r="C186" s="27" t="n"/>
      <ns0:c r="D186" s="27" t="n"/>
      <ns0:c r="E186" s="28" t="str">
        <ns0:f>IF(A186="","",YEAR(A186)&amp;"-"&amp;RIGHT("0"&amp;MONTH(A186),2))</ns0:f>
        <ns0:v/>
      </ns0:c>
      <ns0:c r="F186" s="28" t="str">
        <ns0:f>IF(OR(A186="",B186="",C186&lt;=0),"",IF(SUMPRODUCT(('Müşteriler'!$B$2:$B$101&lt;&gt;"")*ISNUMBER(SEARCH('Müşteriler'!$B$2:$B$101,B186)))=1,IFERROR(INDEX('Müşteriler'!$A$2:$A$101,SUMPRODUCT(('Müşteriler'!$B$2:$B$101&lt;&gt;"")*ISNUMBER(SEARCH('Müşteriler'!$B$2:$B$101,B186)),ROW('Müşteriler'!$B$2:$B$101)-ROW('Müşteriler'!$B$2)+1)),""),""))</ns0:f>
        <ns0:v/>
      </ns0:c>
      <ns0:c r="G186" s="28" t="str">
        <ns0:f>IF(F186="","",IFERROR(INDEX('Müşteriler'!$C$2:$C$101,MATCH(F186,'Müşteriler'!$A$2:$A$101,0)),""))</ns0:f>
        <ns0:v/>
      </ns0:c>
      <ns0:c r="H186" s="28" t="str">
        <ns0:f>IF(A186="","",IF(C186&lt;=0,"Satış dışı",IF(OR(F186="",G186=""),"Eşleşmedi","Eşleşti")))</ns0:f>
        <ns0:v/>
      </ns0:c>
      <ns0:c r="I186" s="28">
        <ns0:f>I185+IF(AND(H186="Eşleşmedi",E186='Panel'!$B$4),1,0)</ns0:f>
        <ns0:v>3.0</ns0:v>
      </ns0:c>
    </ns0:row>
    <ns0:row r="187" ht="21" customHeight="1">
      <ns0:c r="A187" s="25" t="n"/>
      <ns0:c r="B187" s="26" t="n"/>
      <ns0:c r="C187" s="27" t="n"/>
      <ns0:c r="D187" s="27" t="n"/>
      <ns0:c r="E187" s="28" t="str">
        <ns0:f>IF(A187="","",YEAR(A187)&amp;"-"&amp;RIGHT("0"&amp;MONTH(A187),2))</ns0:f>
        <ns0:v/>
      </ns0:c>
      <ns0:c r="F187" s="28" t="str">
        <ns0:f>IF(OR(A187="",B187="",C187&lt;=0),"",IF(SUMPRODUCT(('Müşteriler'!$B$2:$B$101&lt;&gt;"")*ISNUMBER(SEARCH('Müşteriler'!$B$2:$B$101,B187)))=1,IFERROR(INDEX('Müşteriler'!$A$2:$A$101,SUMPRODUCT(('Müşteriler'!$B$2:$B$101&lt;&gt;"")*ISNUMBER(SEARCH('Müşteriler'!$B$2:$B$101,B187)),ROW('Müşteriler'!$B$2:$B$101)-ROW('Müşteriler'!$B$2)+1)),""),""))</ns0:f>
        <ns0:v/>
      </ns0:c>
      <ns0:c r="G187" s="28" t="str">
        <ns0:f>IF(F187="","",IFERROR(INDEX('Müşteriler'!$C$2:$C$101,MATCH(F187,'Müşteriler'!$A$2:$A$101,0)),""))</ns0:f>
        <ns0:v/>
      </ns0:c>
      <ns0:c r="H187" s="28" t="str">
        <ns0:f>IF(A187="","",IF(C187&lt;=0,"Satış dışı",IF(OR(F187="",G187=""),"Eşleşmedi","Eşleşti")))</ns0:f>
        <ns0:v/>
      </ns0:c>
      <ns0:c r="I187" s="28">
        <ns0:f>I186+IF(AND(H187="Eşleşmedi",E187='Panel'!$B$4),1,0)</ns0:f>
        <ns0:v>3.0</ns0:v>
      </ns0:c>
    </ns0:row>
    <ns0:row r="188" ht="21" customHeight="1">
      <ns0:c r="A188" s="25" t="n"/>
      <ns0:c r="B188" s="26" t="n"/>
      <ns0:c r="C188" s="27" t="n"/>
      <ns0:c r="D188" s="27" t="n"/>
      <ns0:c r="E188" s="28" t="str">
        <ns0:f>IF(A188="","",YEAR(A188)&amp;"-"&amp;RIGHT("0"&amp;MONTH(A188),2))</ns0:f>
        <ns0:v/>
      </ns0:c>
      <ns0:c r="F188" s="28" t="str">
        <ns0:f>IF(OR(A188="",B188="",C188&lt;=0),"",IF(SUMPRODUCT(('Müşteriler'!$B$2:$B$101&lt;&gt;"")*ISNUMBER(SEARCH('Müşteriler'!$B$2:$B$101,B188)))=1,IFERROR(INDEX('Müşteriler'!$A$2:$A$101,SUMPRODUCT(('Müşteriler'!$B$2:$B$101&lt;&gt;"")*ISNUMBER(SEARCH('Müşteriler'!$B$2:$B$101,B188)),ROW('Müşteriler'!$B$2:$B$101)-ROW('Müşteriler'!$B$2)+1)),""),""))</ns0:f>
        <ns0:v/>
      </ns0:c>
      <ns0:c r="G188" s="28" t="str">
        <ns0:f>IF(F188="","",IFERROR(INDEX('Müşteriler'!$C$2:$C$101,MATCH(F188,'Müşteriler'!$A$2:$A$101,0)),""))</ns0:f>
        <ns0:v/>
      </ns0:c>
      <ns0:c r="H188" s="28" t="str">
        <ns0:f>IF(A188="","",IF(C188&lt;=0,"Satış dışı",IF(OR(F188="",G188=""),"Eşleşmedi","Eşleşti")))</ns0:f>
        <ns0:v/>
      </ns0:c>
      <ns0:c r="I188" s="28">
        <ns0:f>I187+IF(AND(H188="Eşleşmedi",E188='Panel'!$B$4),1,0)</ns0:f>
        <ns0:v>3.0</ns0:v>
      </ns0:c>
    </ns0:row>
    <ns0:row r="189" ht="21" customHeight="1">
      <ns0:c r="A189" s="25" t="n"/>
      <ns0:c r="B189" s="26" t="n"/>
      <ns0:c r="C189" s="27" t="n"/>
      <ns0:c r="D189" s="27" t="n"/>
      <ns0:c r="E189" s="28" t="str">
        <ns0:f>IF(A189="","",YEAR(A189)&amp;"-"&amp;RIGHT("0"&amp;MONTH(A189),2))</ns0:f>
        <ns0:v/>
      </ns0:c>
      <ns0:c r="F189" s="28" t="str">
        <ns0:f>IF(OR(A189="",B189="",C189&lt;=0),"",IF(SUMPRODUCT(('Müşteriler'!$B$2:$B$101&lt;&gt;"")*ISNUMBER(SEARCH('Müşteriler'!$B$2:$B$101,B189)))=1,IFERROR(INDEX('Müşteriler'!$A$2:$A$101,SUMPRODUCT(('Müşteriler'!$B$2:$B$101&lt;&gt;"")*ISNUMBER(SEARCH('Müşteriler'!$B$2:$B$101,B189)),ROW('Müşteriler'!$B$2:$B$101)-ROW('Müşteriler'!$B$2)+1)),""),""))</ns0:f>
        <ns0:v/>
      </ns0:c>
      <ns0:c r="G189" s="28" t="str">
        <ns0:f>IF(F189="","",IFERROR(INDEX('Müşteriler'!$C$2:$C$101,MATCH(F189,'Müşteriler'!$A$2:$A$101,0)),""))</ns0:f>
        <ns0:v/>
      </ns0:c>
      <ns0:c r="H189" s="28" t="str">
        <ns0:f>IF(A189="","",IF(C189&lt;=0,"Satış dışı",IF(OR(F189="",G189=""),"Eşleşmedi","Eşleşti")))</ns0:f>
        <ns0:v/>
      </ns0:c>
      <ns0:c r="I189" s="28">
        <ns0:f>I188+IF(AND(H189="Eşleşmedi",E189='Panel'!$B$4),1,0)</ns0:f>
        <ns0:v>3.0</ns0:v>
      </ns0:c>
    </ns0:row>
    <ns0:row r="190" ht="21" customHeight="1">
      <ns0:c r="A190" s="25" t="n"/>
      <ns0:c r="B190" s="26" t="n"/>
      <ns0:c r="C190" s="27" t="n"/>
      <ns0:c r="D190" s="27" t="n"/>
      <ns0:c r="E190" s="28" t="str">
        <ns0:f>IF(A190="","",YEAR(A190)&amp;"-"&amp;RIGHT("0"&amp;MONTH(A190),2))</ns0:f>
        <ns0:v/>
      </ns0:c>
      <ns0:c r="F190" s="28" t="str">
        <ns0:f>IF(OR(A190="",B190="",C190&lt;=0),"",IF(SUMPRODUCT(('Müşteriler'!$B$2:$B$101&lt;&gt;"")*ISNUMBER(SEARCH('Müşteriler'!$B$2:$B$101,B190)))=1,IFERROR(INDEX('Müşteriler'!$A$2:$A$101,SUMPRODUCT(('Müşteriler'!$B$2:$B$101&lt;&gt;"")*ISNUMBER(SEARCH('Müşteriler'!$B$2:$B$101,B190)),ROW('Müşteriler'!$B$2:$B$101)-ROW('Müşteriler'!$B$2)+1)),""),""))</ns0:f>
        <ns0:v/>
      </ns0:c>
      <ns0:c r="G190" s="28" t="str">
        <ns0:f>IF(F190="","",IFERROR(INDEX('Müşteriler'!$C$2:$C$101,MATCH(F190,'Müşteriler'!$A$2:$A$101,0)),""))</ns0:f>
        <ns0:v/>
      </ns0:c>
      <ns0:c r="H190" s="28" t="str">
        <ns0:f>IF(A190="","",IF(C190&lt;=0,"Satış dışı",IF(OR(F190="",G190=""),"Eşleşmedi","Eşleşti")))</ns0:f>
        <ns0:v/>
      </ns0:c>
      <ns0:c r="I190" s="28">
        <ns0:f>I189+IF(AND(H190="Eşleşmedi",E190='Panel'!$B$4),1,0)</ns0:f>
        <ns0:v>3.0</ns0:v>
      </ns0:c>
    </ns0:row>
    <ns0:row r="191" ht="21" customHeight="1">
      <ns0:c r="A191" s="25" t="n"/>
      <ns0:c r="B191" s="26" t="n"/>
      <ns0:c r="C191" s="27" t="n"/>
      <ns0:c r="D191" s="27" t="n"/>
      <ns0:c r="E191" s="28" t="str">
        <ns0:f>IF(A191="","",YEAR(A191)&amp;"-"&amp;RIGHT("0"&amp;MONTH(A191),2))</ns0:f>
        <ns0:v/>
      </ns0:c>
      <ns0:c r="F191" s="28" t="str">
        <ns0:f>IF(OR(A191="",B191="",C191&lt;=0),"",IF(SUMPRODUCT(('Müşteriler'!$B$2:$B$101&lt;&gt;"")*ISNUMBER(SEARCH('Müşteriler'!$B$2:$B$101,B191)))=1,IFERROR(INDEX('Müşteriler'!$A$2:$A$101,SUMPRODUCT(('Müşteriler'!$B$2:$B$101&lt;&gt;"")*ISNUMBER(SEARCH('Müşteriler'!$B$2:$B$101,B191)),ROW('Müşteriler'!$B$2:$B$101)-ROW('Müşteriler'!$B$2)+1)),""),""))</ns0:f>
        <ns0:v/>
      </ns0:c>
      <ns0:c r="G191" s="28" t="str">
        <ns0:f>IF(F191="","",IFERROR(INDEX('Müşteriler'!$C$2:$C$101,MATCH(F191,'Müşteriler'!$A$2:$A$101,0)),""))</ns0:f>
        <ns0:v/>
      </ns0:c>
      <ns0:c r="H191" s="28" t="str">
        <ns0:f>IF(A191="","",IF(C191&lt;=0,"Satış dışı",IF(OR(F191="",G191=""),"Eşleşmedi","Eşleşti")))</ns0:f>
        <ns0:v/>
      </ns0:c>
      <ns0:c r="I191" s="28">
        <ns0:f>I190+IF(AND(H191="Eşleşmedi",E191='Panel'!$B$4),1,0)</ns0:f>
        <ns0:v>3.0</ns0:v>
      </ns0:c>
    </ns0:row>
    <ns0:row r="192" ht="21" customHeight="1">
      <ns0:c r="A192" s="25" t="n"/>
      <ns0:c r="B192" s="26" t="n"/>
      <ns0:c r="C192" s="27" t="n"/>
      <ns0:c r="D192" s="27" t="n"/>
      <ns0:c r="E192" s="28" t="str">
        <ns0:f>IF(A192="","",YEAR(A192)&amp;"-"&amp;RIGHT("0"&amp;MONTH(A192),2))</ns0:f>
        <ns0:v/>
      </ns0:c>
      <ns0:c r="F192" s="28" t="str">
        <ns0:f>IF(OR(A192="",B192="",C192&lt;=0),"",IF(SUMPRODUCT(('Müşteriler'!$B$2:$B$101&lt;&gt;"")*ISNUMBER(SEARCH('Müşteriler'!$B$2:$B$101,B192)))=1,IFERROR(INDEX('Müşteriler'!$A$2:$A$101,SUMPRODUCT(('Müşteriler'!$B$2:$B$101&lt;&gt;"")*ISNUMBER(SEARCH('Müşteriler'!$B$2:$B$101,B192)),ROW('Müşteriler'!$B$2:$B$101)-ROW('Müşteriler'!$B$2)+1)),""),""))</ns0:f>
        <ns0:v/>
      </ns0:c>
      <ns0:c r="G192" s="28" t="str">
        <ns0:f>IF(F192="","",IFERROR(INDEX('Müşteriler'!$C$2:$C$101,MATCH(F192,'Müşteriler'!$A$2:$A$101,0)),""))</ns0:f>
        <ns0:v/>
      </ns0:c>
      <ns0:c r="H192" s="28" t="str">
        <ns0:f>IF(A192="","",IF(C192&lt;=0,"Satış dışı",IF(OR(F192="",G192=""),"Eşleşmedi","Eşleşti")))</ns0:f>
        <ns0:v/>
      </ns0:c>
      <ns0:c r="I192" s="28">
        <ns0:f>I191+IF(AND(H192="Eşleşmedi",E192='Panel'!$B$4),1,0)</ns0:f>
        <ns0:v>3.0</ns0:v>
      </ns0:c>
    </ns0:row>
    <ns0:row r="193" ht="21" customHeight="1">
      <ns0:c r="A193" s="25" t="n"/>
      <ns0:c r="B193" s="26" t="n"/>
      <ns0:c r="C193" s="27" t="n"/>
      <ns0:c r="D193" s="27" t="n"/>
      <ns0:c r="E193" s="28" t="str">
        <ns0:f>IF(A193="","",YEAR(A193)&amp;"-"&amp;RIGHT("0"&amp;MONTH(A193),2))</ns0:f>
        <ns0:v/>
      </ns0:c>
      <ns0:c r="F193" s="28" t="str">
        <ns0:f>IF(OR(A193="",B193="",C193&lt;=0),"",IF(SUMPRODUCT(('Müşteriler'!$B$2:$B$101&lt;&gt;"")*ISNUMBER(SEARCH('Müşteriler'!$B$2:$B$101,B193)))=1,IFERROR(INDEX('Müşteriler'!$A$2:$A$101,SUMPRODUCT(('Müşteriler'!$B$2:$B$101&lt;&gt;"")*ISNUMBER(SEARCH('Müşteriler'!$B$2:$B$101,B193)),ROW('Müşteriler'!$B$2:$B$101)-ROW('Müşteriler'!$B$2)+1)),""),""))</ns0:f>
        <ns0:v/>
      </ns0:c>
      <ns0:c r="G193" s="28" t="str">
        <ns0:f>IF(F193="","",IFERROR(INDEX('Müşteriler'!$C$2:$C$101,MATCH(F193,'Müşteriler'!$A$2:$A$101,0)),""))</ns0:f>
        <ns0:v/>
      </ns0:c>
      <ns0:c r="H193" s="28" t="str">
        <ns0:f>IF(A193="","",IF(C193&lt;=0,"Satış dışı",IF(OR(F193="",G193=""),"Eşleşmedi","Eşleşti")))</ns0:f>
        <ns0:v/>
      </ns0:c>
      <ns0:c r="I193" s="28">
        <ns0:f>I192+IF(AND(H193="Eşleşmedi",E193='Panel'!$B$4),1,0)</ns0:f>
        <ns0:v>3.0</ns0:v>
      </ns0:c>
    </ns0:row>
    <ns0:row r="194" ht="21" customHeight="1">
      <ns0:c r="A194" s="25" t="n"/>
      <ns0:c r="B194" s="26" t="n"/>
      <ns0:c r="C194" s="27" t="n"/>
      <ns0:c r="D194" s="27" t="n"/>
      <ns0:c r="E194" s="28" t="str">
        <ns0:f>IF(A194="","",YEAR(A194)&amp;"-"&amp;RIGHT("0"&amp;MONTH(A194),2))</ns0:f>
        <ns0:v/>
      </ns0:c>
      <ns0:c r="F194" s="28" t="str">
        <ns0:f>IF(OR(A194="",B194="",C194&lt;=0),"",IF(SUMPRODUCT(('Müşteriler'!$B$2:$B$101&lt;&gt;"")*ISNUMBER(SEARCH('Müşteriler'!$B$2:$B$101,B194)))=1,IFERROR(INDEX('Müşteriler'!$A$2:$A$101,SUMPRODUCT(('Müşteriler'!$B$2:$B$101&lt;&gt;"")*ISNUMBER(SEARCH('Müşteriler'!$B$2:$B$101,B194)),ROW('Müşteriler'!$B$2:$B$101)-ROW('Müşteriler'!$B$2)+1)),""),""))</ns0:f>
        <ns0:v/>
      </ns0:c>
      <ns0:c r="G194" s="28" t="str">
        <ns0:f>IF(F194="","",IFERROR(INDEX('Müşteriler'!$C$2:$C$101,MATCH(F194,'Müşteriler'!$A$2:$A$101,0)),""))</ns0:f>
        <ns0:v/>
      </ns0:c>
      <ns0:c r="H194" s="28" t="str">
        <ns0:f>IF(A194="","",IF(C194&lt;=0,"Satış dışı",IF(OR(F194="",G194=""),"Eşleşmedi","Eşleşti")))</ns0:f>
        <ns0:v/>
      </ns0:c>
      <ns0:c r="I194" s="28">
        <ns0:f>I193+IF(AND(H194="Eşleşmedi",E194='Panel'!$B$4),1,0)</ns0:f>
        <ns0:v>3.0</ns0:v>
      </ns0:c>
    </ns0:row>
    <ns0:row r="195" ht="21" customHeight="1">
      <ns0:c r="A195" s="25" t="n"/>
      <ns0:c r="B195" s="26" t="n"/>
      <ns0:c r="C195" s="27" t="n"/>
      <ns0:c r="D195" s="27" t="n"/>
      <ns0:c r="E195" s="28" t="str">
        <ns0:f>IF(A195="","",YEAR(A195)&amp;"-"&amp;RIGHT("0"&amp;MONTH(A195),2))</ns0:f>
        <ns0:v/>
      </ns0:c>
      <ns0:c r="F195" s="28" t="str">
        <ns0:f>IF(OR(A195="",B195="",C195&lt;=0),"",IF(SUMPRODUCT(('Müşteriler'!$B$2:$B$101&lt;&gt;"")*ISNUMBER(SEARCH('Müşteriler'!$B$2:$B$101,B195)))=1,IFERROR(INDEX('Müşteriler'!$A$2:$A$101,SUMPRODUCT(('Müşteriler'!$B$2:$B$101&lt;&gt;"")*ISNUMBER(SEARCH('Müşteriler'!$B$2:$B$101,B195)),ROW('Müşteriler'!$B$2:$B$101)-ROW('Müşteriler'!$B$2)+1)),""),""))</ns0:f>
        <ns0:v/>
      </ns0:c>
      <ns0:c r="G195" s="28" t="str">
        <ns0:f>IF(F195="","",IFERROR(INDEX('Müşteriler'!$C$2:$C$101,MATCH(F195,'Müşteriler'!$A$2:$A$101,0)),""))</ns0:f>
        <ns0:v/>
      </ns0:c>
      <ns0:c r="H195" s="28" t="str">
        <ns0:f>IF(A195="","",IF(C195&lt;=0,"Satış dışı",IF(OR(F195="",G195=""),"Eşleşmedi","Eşleşti")))</ns0:f>
        <ns0:v/>
      </ns0:c>
      <ns0:c r="I195" s="28">
        <ns0:f>I194+IF(AND(H195="Eşleşmedi",E195='Panel'!$B$4),1,0)</ns0:f>
        <ns0:v>3.0</ns0:v>
      </ns0:c>
    </ns0:row>
    <ns0:row r="196" ht="21" customHeight="1">
      <ns0:c r="A196" s="25" t="n"/>
      <ns0:c r="B196" s="26" t="n"/>
      <ns0:c r="C196" s="27" t="n"/>
      <ns0:c r="D196" s="27" t="n"/>
      <ns0:c r="E196" s="28" t="str">
        <ns0:f>IF(A196="","",YEAR(A196)&amp;"-"&amp;RIGHT("0"&amp;MONTH(A196),2))</ns0:f>
        <ns0:v/>
      </ns0:c>
      <ns0:c r="F196" s="28" t="str">
        <ns0:f>IF(OR(A196="",B196="",C196&lt;=0),"",IF(SUMPRODUCT(('Müşteriler'!$B$2:$B$101&lt;&gt;"")*ISNUMBER(SEARCH('Müşteriler'!$B$2:$B$101,B196)))=1,IFERROR(INDEX('Müşteriler'!$A$2:$A$101,SUMPRODUCT(('Müşteriler'!$B$2:$B$101&lt;&gt;"")*ISNUMBER(SEARCH('Müşteriler'!$B$2:$B$101,B196)),ROW('Müşteriler'!$B$2:$B$101)-ROW('Müşteriler'!$B$2)+1)),""),""))</ns0:f>
        <ns0:v/>
      </ns0:c>
      <ns0:c r="G196" s="28" t="str">
        <ns0:f>IF(F196="","",IFERROR(INDEX('Müşteriler'!$C$2:$C$101,MATCH(F196,'Müşteriler'!$A$2:$A$101,0)),""))</ns0:f>
        <ns0:v/>
      </ns0:c>
      <ns0:c r="H196" s="28" t="str">
        <ns0:f>IF(A196="","",IF(C196&lt;=0,"Satış dışı",IF(OR(F196="",G196=""),"Eşleşmedi","Eşleşti")))</ns0:f>
        <ns0:v/>
      </ns0:c>
      <ns0:c r="I196" s="28">
        <ns0:f>I195+IF(AND(H196="Eşleşmedi",E196='Panel'!$B$4),1,0)</ns0:f>
        <ns0:v>3.0</ns0:v>
      </ns0:c>
    </ns0:row>
    <ns0:row r="197" ht="21" customHeight="1">
      <ns0:c r="A197" s="25" t="n"/>
      <ns0:c r="B197" s="26" t="n"/>
      <ns0:c r="C197" s="27" t="n"/>
      <ns0:c r="D197" s="27" t="n"/>
      <ns0:c r="E197" s="28" t="str">
        <ns0:f>IF(A197="","",YEAR(A197)&amp;"-"&amp;RIGHT("0"&amp;MONTH(A197),2))</ns0:f>
        <ns0:v/>
      </ns0:c>
      <ns0:c r="F197" s="28" t="str">
        <ns0:f>IF(OR(A197="",B197="",C197&lt;=0),"",IF(SUMPRODUCT(('Müşteriler'!$B$2:$B$101&lt;&gt;"")*ISNUMBER(SEARCH('Müşteriler'!$B$2:$B$101,B197)))=1,IFERROR(INDEX('Müşteriler'!$A$2:$A$101,SUMPRODUCT(('Müşteriler'!$B$2:$B$101&lt;&gt;"")*ISNUMBER(SEARCH('Müşteriler'!$B$2:$B$101,B197)),ROW('Müşteriler'!$B$2:$B$101)-ROW('Müşteriler'!$B$2)+1)),""),""))</ns0:f>
        <ns0:v/>
      </ns0:c>
      <ns0:c r="G197" s="28" t="str">
        <ns0:f>IF(F197="","",IFERROR(INDEX('Müşteriler'!$C$2:$C$101,MATCH(F197,'Müşteriler'!$A$2:$A$101,0)),""))</ns0:f>
        <ns0:v/>
      </ns0:c>
      <ns0:c r="H197" s="28" t="str">
        <ns0:f>IF(A197="","",IF(C197&lt;=0,"Satış dışı",IF(OR(F197="",G197=""),"Eşleşmedi","Eşleşti")))</ns0:f>
        <ns0:v/>
      </ns0:c>
      <ns0:c r="I197" s="28">
        <ns0:f>I196+IF(AND(H197="Eşleşmedi",E197='Panel'!$B$4),1,0)</ns0:f>
        <ns0:v>3.0</ns0:v>
      </ns0:c>
    </ns0:row>
    <ns0:row r="198" ht="21" customHeight="1">
      <ns0:c r="A198" s="25" t="n"/>
      <ns0:c r="B198" s="26" t="n"/>
      <ns0:c r="C198" s="27" t="n"/>
      <ns0:c r="D198" s="27" t="n"/>
      <ns0:c r="E198" s="28" t="str">
        <ns0:f>IF(A198="","",YEAR(A198)&amp;"-"&amp;RIGHT("0"&amp;MONTH(A198),2))</ns0:f>
        <ns0:v/>
      </ns0:c>
      <ns0:c r="F198" s="28" t="str">
        <ns0:f>IF(OR(A198="",B198="",C198&lt;=0),"",IF(SUMPRODUCT(('Müşteriler'!$B$2:$B$101&lt;&gt;"")*ISNUMBER(SEARCH('Müşteriler'!$B$2:$B$101,B198)))=1,IFERROR(INDEX('Müşteriler'!$A$2:$A$101,SUMPRODUCT(('Müşteriler'!$B$2:$B$101&lt;&gt;"")*ISNUMBER(SEARCH('Müşteriler'!$B$2:$B$101,B198)),ROW('Müşteriler'!$B$2:$B$101)-ROW('Müşteriler'!$B$2)+1)),""),""))</ns0:f>
        <ns0:v/>
      </ns0:c>
      <ns0:c r="G198" s="28" t="str">
        <ns0:f>IF(F198="","",IFERROR(INDEX('Müşteriler'!$C$2:$C$101,MATCH(F198,'Müşteriler'!$A$2:$A$101,0)),""))</ns0:f>
        <ns0:v/>
      </ns0:c>
      <ns0:c r="H198" s="28" t="str">
        <ns0:f>IF(A198="","",IF(C198&lt;=0,"Satış dışı",IF(OR(F198="",G198=""),"Eşleşmedi","Eşleşti")))</ns0:f>
        <ns0:v/>
      </ns0:c>
      <ns0:c r="I198" s="28">
        <ns0:f>I197+IF(AND(H198="Eşleşmedi",E198='Panel'!$B$4),1,0)</ns0:f>
        <ns0:v>3.0</ns0:v>
      </ns0:c>
    </ns0:row>
    <ns0:row r="199" ht="21" customHeight="1">
      <ns0:c r="A199" s="25" t="n"/>
      <ns0:c r="B199" s="26" t="n"/>
      <ns0:c r="C199" s="27" t="n"/>
      <ns0:c r="D199" s="27" t="n"/>
      <ns0:c r="E199" s="28" t="str">
        <ns0:f>IF(A199="","",YEAR(A199)&amp;"-"&amp;RIGHT("0"&amp;MONTH(A199),2))</ns0:f>
        <ns0:v/>
      </ns0:c>
      <ns0:c r="F199" s="28" t="str">
        <ns0:f>IF(OR(A199="",B199="",C199&lt;=0),"",IF(SUMPRODUCT(('Müşteriler'!$B$2:$B$101&lt;&gt;"")*ISNUMBER(SEARCH('Müşteriler'!$B$2:$B$101,B199)))=1,IFERROR(INDEX('Müşteriler'!$A$2:$A$101,SUMPRODUCT(('Müşteriler'!$B$2:$B$101&lt;&gt;"")*ISNUMBER(SEARCH('Müşteriler'!$B$2:$B$101,B199)),ROW('Müşteriler'!$B$2:$B$101)-ROW('Müşteriler'!$B$2)+1)),""),""))</ns0:f>
        <ns0:v/>
      </ns0:c>
      <ns0:c r="G199" s="28" t="str">
        <ns0:f>IF(F199="","",IFERROR(INDEX('Müşteriler'!$C$2:$C$101,MATCH(F199,'Müşteriler'!$A$2:$A$101,0)),""))</ns0:f>
        <ns0:v/>
      </ns0:c>
      <ns0:c r="H199" s="28" t="str">
        <ns0:f>IF(A199="","",IF(C199&lt;=0,"Satış dışı",IF(OR(F199="",G199=""),"Eşleşmedi","Eşleşti")))</ns0:f>
        <ns0:v/>
      </ns0:c>
      <ns0:c r="I199" s="28">
        <ns0:f>I198+IF(AND(H199="Eşleşmedi",E199='Panel'!$B$4),1,0)</ns0:f>
        <ns0:v>3.0</ns0:v>
      </ns0:c>
    </ns0:row>
    <ns0:row r="200" ht="21" customHeight="1">
      <ns0:c r="A200" s="25" t="n"/>
      <ns0:c r="B200" s="26" t="n"/>
      <ns0:c r="C200" s="27" t="n"/>
      <ns0:c r="D200" s="27" t="n"/>
      <ns0:c r="E200" s="28" t="str">
        <ns0:f>IF(A200="","",YEAR(A200)&amp;"-"&amp;RIGHT("0"&amp;MONTH(A200),2))</ns0:f>
        <ns0:v/>
      </ns0:c>
      <ns0:c r="F200" s="28" t="str">
        <ns0:f>IF(OR(A200="",B200="",C200&lt;=0),"",IF(SUMPRODUCT(('Müşteriler'!$B$2:$B$101&lt;&gt;"")*ISNUMBER(SEARCH('Müşteriler'!$B$2:$B$101,B200)))=1,IFERROR(INDEX('Müşteriler'!$A$2:$A$101,SUMPRODUCT(('Müşteriler'!$B$2:$B$101&lt;&gt;"")*ISNUMBER(SEARCH('Müşteriler'!$B$2:$B$101,B200)),ROW('Müşteriler'!$B$2:$B$101)-ROW('Müşteriler'!$B$2)+1)),""),""))</ns0:f>
        <ns0:v/>
      </ns0:c>
      <ns0:c r="G200" s="28" t="str">
        <ns0:f>IF(F200="","",IFERROR(INDEX('Müşteriler'!$C$2:$C$101,MATCH(F200,'Müşteriler'!$A$2:$A$101,0)),""))</ns0:f>
        <ns0:v/>
      </ns0:c>
      <ns0:c r="H200" s="28" t="str">
        <ns0:f>IF(A200="","",IF(C200&lt;=0,"Satış dışı",IF(OR(F200="",G200=""),"Eşleşmedi","Eşleşti")))</ns0:f>
        <ns0:v/>
      </ns0:c>
      <ns0:c r="I200" s="28">
        <ns0:f>I199+IF(AND(H200="Eşleşmedi",E200='Panel'!$B$4),1,0)</ns0:f>
        <ns0:v>3.0</ns0:v>
      </ns0:c>
    </ns0:row>
    <ns0:row r="201" ht="21" customHeight="1">
      <ns0:c r="A201" s="25" t="n"/>
      <ns0:c r="B201" s="26" t="n"/>
      <ns0:c r="C201" s="27" t="n"/>
      <ns0:c r="D201" s="27" t="n"/>
      <ns0:c r="E201" s="28" t="str">
        <ns0:f>IF(A201="","",YEAR(A201)&amp;"-"&amp;RIGHT("0"&amp;MONTH(A201),2))</ns0:f>
        <ns0:v/>
      </ns0:c>
      <ns0:c r="F201" s="28" t="str">
        <ns0:f>IF(OR(A201="",B201="",C201&lt;=0),"",IF(SUMPRODUCT(('Müşteriler'!$B$2:$B$101&lt;&gt;"")*ISNUMBER(SEARCH('Müşteriler'!$B$2:$B$101,B201)))=1,IFERROR(INDEX('Müşteriler'!$A$2:$A$101,SUMPRODUCT(('Müşteriler'!$B$2:$B$101&lt;&gt;"")*ISNUMBER(SEARCH('Müşteriler'!$B$2:$B$101,B201)),ROW('Müşteriler'!$B$2:$B$101)-ROW('Müşteriler'!$B$2)+1)),""),""))</ns0:f>
        <ns0:v/>
      </ns0:c>
      <ns0:c r="G201" s="28" t="str">
        <ns0:f>IF(F201="","",IFERROR(INDEX('Müşteriler'!$C$2:$C$101,MATCH(F201,'Müşteriler'!$A$2:$A$101,0)),""))</ns0:f>
        <ns0:v/>
      </ns0:c>
      <ns0:c r="H201" s="28" t="str">
        <ns0:f>IF(A201="","",IF(C201&lt;=0,"Satış dışı",IF(OR(F201="",G201=""),"Eşleşmedi","Eşleşti")))</ns0:f>
        <ns0:v/>
      </ns0:c>
      <ns0:c r="I201" s="28">
        <ns0:f>I200+IF(AND(H201="Eşleşmedi",E201='Panel'!$B$4),1,0)</ns0:f>
        <ns0:v>3.0</ns0:v>
      </ns0:c>
    </ns0:row>
    <ns0:row r="202" ht="21" customHeight="1">
      <ns0:c r="A202" s="25" t="n"/>
      <ns0:c r="B202" s="26" t="n"/>
      <ns0:c r="C202" s="27" t="n"/>
      <ns0:c r="D202" s="27" t="n"/>
      <ns0:c r="E202" s="28" t="str">
        <ns0:f>IF(A202="","",YEAR(A202)&amp;"-"&amp;RIGHT("0"&amp;MONTH(A202),2))</ns0:f>
        <ns0:v/>
      </ns0:c>
      <ns0:c r="F202" s="28" t="str">
        <ns0:f>IF(OR(A202="",B202="",C202&lt;=0),"",IF(SUMPRODUCT(('Müşteriler'!$B$2:$B$101&lt;&gt;"")*ISNUMBER(SEARCH('Müşteriler'!$B$2:$B$101,B202)))=1,IFERROR(INDEX('Müşteriler'!$A$2:$A$101,SUMPRODUCT(('Müşteriler'!$B$2:$B$101&lt;&gt;"")*ISNUMBER(SEARCH('Müşteriler'!$B$2:$B$101,B202)),ROW('Müşteriler'!$B$2:$B$101)-ROW('Müşteriler'!$B$2)+1)),""),""))</ns0:f>
        <ns0:v/>
      </ns0:c>
      <ns0:c r="G202" s="28" t="str">
        <ns0:f>IF(F202="","",IFERROR(INDEX('Müşteriler'!$C$2:$C$101,MATCH(F202,'Müşteriler'!$A$2:$A$101,0)),""))</ns0:f>
        <ns0:v/>
      </ns0:c>
      <ns0:c r="H202" s="28" t="str">
        <ns0:f>IF(A202="","",IF(C202&lt;=0,"Satış dışı",IF(OR(F202="",G202=""),"Eşleşmedi","Eşleşti")))</ns0:f>
        <ns0:v/>
      </ns0:c>
      <ns0:c r="I202" s="28">
        <ns0:f>I201+IF(AND(H202="Eşleşmedi",E202='Panel'!$B$4),1,0)</ns0:f>
        <ns0:v>3.0</ns0:v>
      </ns0:c>
    </ns0:row>
    <ns0:row r="203" ht="21" customHeight="1">
      <ns0:c r="A203" s="25" t="n"/>
      <ns0:c r="B203" s="26" t="n"/>
      <ns0:c r="C203" s="27" t="n"/>
      <ns0:c r="D203" s="27" t="n"/>
      <ns0:c r="E203" s="28" t="str">
        <ns0:f>IF(A203="","",YEAR(A203)&amp;"-"&amp;RIGHT("0"&amp;MONTH(A203),2))</ns0:f>
        <ns0:v/>
      </ns0:c>
      <ns0:c r="F203" s="28" t="str">
        <ns0:f>IF(OR(A203="",B203="",C203&lt;=0),"",IF(SUMPRODUCT(('Müşteriler'!$B$2:$B$101&lt;&gt;"")*ISNUMBER(SEARCH('Müşteriler'!$B$2:$B$101,B203)))=1,IFERROR(INDEX('Müşteriler'!$A$2:$A$101,SUMPRODUCT(('Müşteriler'!$B$2:$B$101&lt;&gt;"")*ISNUMBER(SEARCH('Müşteriler'!$B$2:$B$101,B203)),ROW('Müşteriler'!$B$2:$B$101)-ROW('Müşteriler'!$B$2)+1)),""),""))</ns0:f>
        <ns0:v/>
      </ns0:c>
      <ns0:c r="G203" s="28" t="str">
        <ns0:f>IF(F203="","",IFERROR(INDEX('Müşteriler'!$C$2:$C$101,MATCH(F203,'Müşteriler'!$A$2:$A$101,0)),""))</ns0:f>
        <ns0:v/>
      </ns0:c>
      <ns0:c r="H203" s="28" t="str">
        <ns0:f>IF(A203="","",IF(C203&lt;=0,"Satış dışı",IF(OR(F203="",G203=""),"Eşleşmedi","Eşleşti")))</ns0:f>
        <ns0:v/>
      </ns0:c>
      <ns0:c r="I203" s="28">
        <ns0:f>I202+IF(AND(H203="Eşleşmedi",E203='Panel'!$B$4),1,0)</ns0:f>
        <ns0:v>3.0</ns0:v>
      </ns0:c>
    </ns0:row>
    <ns0:row r="204" ht="21" customHeight="1">
      <ns0:c r="A204" s="25" t="n"/>
      <ns0:c r="B204" s="26" t="n"/>
      <ns0:c r="C204" s="27" t="n"/>
      <ns0:c r="D204" s="27" t="n"/>
      <ns0:c r="E204" s="28" t="str">
        <ns0:f>IF(A204="","",YEAR(A204)&amp;"-"&amp;RIGHT("0"&amp;MONTH(A204),2))</ns0:f>
        <ns0:v/>
      </ns0:c>
      <ns0:c r="F204" s="28" t="str">
        <ns0:f>IF(OR(A204="",B204="",C204&lt;=0),"",IF(SUMPRODUCT(('Müşteriler'!$B$2:$B$101&lt;&gt;"")*ISNUMBER(SEARCH('Müşteriler'!$B$2:$B$101,B204)))=1,IFERROR(INDEX('Müşteriler'!$A$2:$A$101,SUMPRODUCT(('Müşteriler'!$B$2:$B$101&lt;&gt;"")*ISNUMBER(SEARCH('Müşteriler'!$B$2:$B$101,B204)),ROW('Müşteriler'!$B$2:$B$101)-ROW('Müşteriler'!$B$2)+1)),""),""))</ns0:f>
        <ns0:v/>
      </ns0:c>
      <ns0:c r="G204" s="28" t="str">
        <ns0:f>IF(F204="","",IFERROR(INDEX('Müşteriler'!$C$2:$C$101,MATCH(F204,'Müşteriler'!$A$2:$A$101,0)),""))</ns0:f>
        <ns0:v/>
      </ns0:c>
      <ns0:c r="H204" s="28" t="str">
        <ns0:f>IF(A204="","",IF(C204&lt;=0,"Satış dışı",IF(OR(F204="",G204=""),"Eşleşmedi","Eşleşti")))</ns0:f>
        <ns0:v/>
      </ns0:c>
      <ns0:c r="I204" s="28">
        <ns0:f>I203+IF(AND(H204="Eşleşmedi",E204='Panel'!$B$4),1,0)</ns0:f>
        <ns0:v>3.0</ns0:v>
      </ns0:c>
    </ns0:row>
    <ns0:row r="205" ht="21" customHeight="1">
      <ns0:c r="A205" s="25" t="n"/>
      <ns0:c r="B205" s="26" t="n"/>
      <ns0:c r="C205" s="27" t="n"/>
      <ns0:c r="D205" s="27" t="n"/>
      <ns0:c r="E205" s="28" t="str">
        <ns0:f>IF(A205="","",YEAR(A205)&amp;"-"&amp;RIGHT("0"&amp;MONTH(A205),2))</ns0:f>
        <ns0:v/>
      </ns0:c>
      <ns0:c r="F205" s="28" t="str">
        <ns0:f>IF(OR(A205="",B205="",C205&lt;=0),"",IF(SUMPRODUCT(('Müşteriler'!$B$2:$B$101&lt;&gt;"")*ISNUMBER(SEARCH('Müşteriler'!$B$2:$B$101,B205)))=1,IFERROR(INDEX('Müşteriler'!$A$2:$A$101,SUMPRODUCT(('Müşteriler'!$B$2:$B$101&lt;&gt;"")*ISNUMBER(SEARCH('Müşteriler'!$B$2:$B$101,B205)),ROW('Müşteriler'!$B$2:$B$101)-ROW('Müşteriler'!$B$2)+1)),""),""))</ns0:f>
        <ns0:v/>
      </ns0:c>
      <ns0:c r="G205" s="28" t="str">
        <ns0:f>IF(F205="","",IFERROR(INDEX('Müşteriler'!$C$2:$C$101,MATCH(F205,'Müşteriler'!$A$2:$A$101,0)),""))</ns0:f>
        <ns0:v/>
      </ns0:c>
      <ns0:c r="H205" s="28" t="str">
        <ns0:f>IF(A205="","",IF(C205&lt;=0,"Satış dışı",IF(OR(F205="",G205=""),"Eşleşmedi","Eşleşti")))</ns0:f>
        <ns0:v/>
      </ns0:c>
      <ns0:c r="I205" s="28">
        <ns0:f>I204+IF(AND(H205="Eşleşmedi",E205='Panel'!$B$4),1,0)</ns0:f>
        <ns0:v>3.0</ns0:v>
      </ns0:c>
    </ns0:row>
    <ns0:row r="206" ht="21" customHeight="1">
      <ns0:c r="A206" s="25" t="n"/>
      <ns0:c r="B206" s="26" t="n"/>
      <ns0:c r="C206" s="27" t="n"/>
      <ns0:c r="D206" s="27" t="n"/>
      <ns0:c r="E206" s="28" t="str">
        <ns0:f>IF(A206="","",YEAR(A206)&amp;"-"&amp;RIGHT("0"&amp;MONTH(A206),2))</ns0:f>
        <ns0:v/>
      </ns0:c>
      <ns0:c r="F206" s="28" t="str">
        <ns0:f>IF(OR(A206="",B206="",C206&lt;=0),"",IF(SUMPRODUCT(('Müşteriler'!$B$2:$B$101&lt;&gt;"")*ISNUMBER(SEARCH('Müşteriler'!$B$2:$B$101,B206)))=1,IFERROR(INDEX('Müşteriler'!$A$2:$A$101,SUMPRODUCT(('Müşteriler'!$B$2:$B$101&lt;&gt;"")*ISNUMBER(SEARCH('Müşteriler'!$B$2:$B$101,B206)),ROW('Müşteriler'!$B$2:$B$101)-ROW('Müşteriler'!$B$2)+1)),""),""))</ns0:f>
        <ns0:v/>
      </ns0:c>
      <ns0:c r="G206" s="28" t="str">
        <ns0:f>IF(F206="","",IFERROR(INDEX('Müşteriler'!$C$2:$C$101,MATCH(F206,'Müşteriler'!$A$2:$A$101,0)),""))</ns0:f>
        <ns0:v/>
      </ns0:c>
      <ns0:c r="H206" s="28" t="str">
        <ns0:f>IF(A206="","",IF(C206&lt;=0,"Satış dışı",IF(OR(F206="",G206=""),"Eşleşmedi","Eşleşti")))</ns0:f>
        <ns0:v/>
      </ns0:c>
      <ns0:c r="I206" s="28">
        <ns0:f>I205+IF(AND(H206="Eşleşmedi",E206='Panel'!$B$4),1,0)</ns0:f>
        <ns0:v>3.0</ns0:v>
      </ns0:c>
    </ns0:row>
    <ns0:row r="207" ht="21" customHeight="1">
      <ns0:c r="A207" s="25" t="n"/>
      <ns0:c r="B207" s="26" t="n"/>
      <ns0:c r="C207" s="27" t="n"/>
      <ns0:c r="D207" s="27" t="n"/>
      <ns0:c r="E207" s="28" t="str">
        <ns0:f>IF(A207="","",YEAR(A207)&amp;"-"&amp;RIGHT("0"&amp;MONTH(A207),2))</ns0:f>
        <ns0:v/>
      </ns0:c>
      <ns0:c r="F207" s="28" t="str">
        <ns0:f>IF(OR(A207="",B207="",C207&lt;=0),"",IF(SUMPRODUCT(('Müşteriler'!$B$2:$B$101&lt;&gt;"")*ISNUMBER(SEARCH('Müşteriler'!$B$2:$B$101,B207)))=1,IFERROR(INDEX('Müşteriler'!$A$2:$A$101,SUMPRODUCT(('Müşteriler'!$B$2:$B$101&lt;&gt;"")*ISNUMBER(SEARCH('Müşteriler'!$B$2:$B$101,B207)),ROW('Müşteriler'!$B$2:$B$101)-ROW('Müşteriler'!$B$2)+1)),""),""))</ns0:f>
        <ns0:v/>
      </ns0:c>
      <ns0:c r="G207" s="28" t="str">
        <ns0:f>IF(F207="","",IFERROR(INDEX('Müşteriler'!$C$2:$C$101,MATCH(F207,'Müşteriler'!$A$2:$A$101,0)),""))</ns0:f>
        <ns0:v/>
      </ns0:c>
      <ns0:c r="H207" s="28" t="str">
        <ns0:f>IF(A207="","",IF(C207&lt;=0,"Satış dışı",IF(OR(F207="",G207=""),"Eşleşmedi","Eşleşti")))</ns0:f>
        <ns0:v/>
      </ns0:c>
      <ns0:c r="I207" s="28">
        <ns0:f>I206+IF(AND(H207="Eşleşmedi",E207='Panel'!$B$4),1,0)</ns0:f>
        <ns0:v>3.0</ns0:v>
      </ns0:c>
    </ns0:row>
    <ns0:row r="208" ht="21" customHeight="1">
      <ns0:c r="A208" s="25" t="n"/>
      <ns0:c r="B208" s="26" t="n"/>
      <ns0:c r="C208" s="27" t="n"/>
      <ns0:c r="D208" s="27" t="n"/>
      <ns0:c r="E208" s="28" t="str">
        <ns0:f>IF(A208="","",YEAR(A208)&amp;"-"&amp;RIGHT("0"&amp;MONTH(A208),2))</ns0:f>
        <ns0:v/>
      </ns0:c>
      <ns0:c r="F208" s="28" t="str">
        <ns0:f>IF(OR(A208="",B208="",C208&lt;=0),"",IF(SUMPRODUCT(('Müşteriler'!$B$2:$B$101&lt;&gt;"")*ISNUMBER(SEARCH('Müşteriler'!$B$2:$B$101,B208)))=1,IFERROR(INDEX('Müşteriler'!$A$2:$A$101,SUMPRODUCT(('Müşteriler'!$B$2:$B$101&lt;&gt;"")*ISNUMBER(SEARCH('Müşteriler'!$B$2:$B$101,B208)),ROW('Müşteriler'!$B$2:$B$101)-ROW('Müşteriler'!$B$2)+1)),""),""))</ns0:f>
        <ns0:v/>
      </ns0:c>
      <ns0:c r="G208" s="28" t="str">
        <ns0:f>IF(F208="","",IFERROR(INDEX('Müşteriler'!$C$2:$C$101,MATCH(F208,'Müşteriler'!$A$2:$A$101,0)),""))</ns0:f>
        <ns0:v/>
      </ns0:c>
      <ns0:c r="H208" s="28" t="str">
        <ns0:f>IF(A208="","",IF(C208&lt;=0,"Satış dışı",IF(OR(F208="",G208=""),"Eşleşmedi","Eşleşti")))</ns0:f>
        <ns0:v/>
      </ns0:c>
      <ns0:c r="I208" s="28">
        <ns0:f>I207+IF(AND(H208="Eşleşmedi",E208='Panel'!$B$4),1,0)</ns0:f>
        <ns0:v>3.0</ns0:v>
      </ns0:c>
    </ns0:row>
    <ns0:row r="209" ht="21" customHeight="1">
      <ns0:c r="A209" s="25" t="n"/>
      <ns0:c r="B209" s="26" t="n"/>
      <ns0:c r="C209" s="27" t="n"/>
      <ns0:c r="D209" s="27" t="n"/>
      <ns0:c r="E209" s="28" t="str">
        <ns0:f>IF(A209="","",YEAR(A209)&amp;"-"&amp;RIGHT("0"&amp;MONTH(A209),2))</ns0:f>
        <ns0:v/>
      </ns0:c>
      <ns0:c r="F209" s="28" t="str">
        <ns0:f>IF(OR(A209="",B209="",C209&lt;=0),"",IF(SUMPRODUCT(('Müşteriler'!$B$2:$B$101&lt;&gt;"")*ISNUMBER(SEARCH('Müşteriler'!$B$2:$B$101,B209)))=1,IFERROR(INDEX('Müşteriler'!$A$2:$A$101,SUMPRODUCT(('Müşteriler'!$B$2:$B$101&lt;&gt;"")*ISNUMBER(SEARCH('Müşteriler'!$B$2:$B$101,B209)),ROW('Müşteriler'!$B$2:$B$101)-ROW('Müşteriler'!$B$2)+1)),""),""))</ns0:f>
        <ns0:v/>
      </ns0:c>
      <ns0:c r="G209" s="28" t="str">
        <ns0:f>IF(F209="","",IFERROR(INDEX('Müşteriler'!$C$2:$C$101,MATCH(F209,'Müşteriler'!$A$2:$A$101,0)),""))</ns0:f>
        <ns0:v/>
      </ns0:c>
      <ns0:c r="H209" s="28" t="str">
        <ns0:f>IF(A209="","",IF(C209&lt;=0,"Satış dışı",IF(OR(F209="",G209=""),"Eşleşmedi","Eşleşti")))</ns0:f>
        <ns0:v/>
      </ns0:c>
      <ns0:c r="I209" s="28">
        <ns0:f>I208+IF(AND(H209="Eşleşmedi",E209='Panel'!$B$4),1,0)</ns0:f>
        <ns0:v>3.0</ns0:v>
      </ns0:c>
    </ns0:row>
    <ns0:row r="210" ht="21" customHeight="1">
      <ns0:c r="A210" s="25" t="n"/>
      <ns0:c r="B210" s="26" t="n"/>
      <ns0:c r="C210" s="27" t="n"/>
      <ns0:c r="D210" s="27" t="n"/>
      <ns0:c r="E210" s="28" t="str">
        <ns0:f>IF(A210="","",YEAR(A210)&amp;"-"&amp;RIGHT("0"&amp;MONTH(A210),2))</ns0:f>
        <ns0:v/>
      </ns0:c>
      <ns0:c r="F210" s="28" t="str">
        <ns0:f>IF(OR(A210="",B210="",C210&lt;=0),"",IF(SUMPRODUCT(('Müşteriler'!$B$2:$B$101&lt;&gt;"")*ISNUMBER(SEARCH('Müşteriler'!$B$2:$B$101,B210)))=1,IFERROR(INDEX('Müşteriler'!$A$2:$A$101,SUMPRODUCT(('Müşteriler'!$B$2:$B$101&lt;&gt;"")*ISNUMBER(SEARCH('Müşteriler'!$B$2:$B$101,B210)),ROW('Müşteriler'!$B$2:$B$101)-ROW('Müşteriler'!$B$2)+1)),""),""))</ns0:f>
        <ns0:v/>
      </ns0:c>
      <ns0:c r="G210" s="28" t="str">
        <ns0:f>IF(F210="","",IFERROR(INDEX('Müşteriler'!$C$2:$C$101,MATCH(F210,'Müşteriler'!$A$2:$A$101,0)),""))</ns0:f>
        <ns0:v/>
      </ns0:c>
      <ns0:c r="H210" s="28" t="str">
        <ns0:f>IF(A210="","",IF(C210&lt;=0,"Satış dışı",IF(OR(F210="",G210=""),"Eşleşmedi","Eşleşti")))</ns0:f>
        <ns0:v/>
      </ns0:c>
      <ns0:c r="I210" s="28">
        <ns0:f>I209+IF(AND(H210="Eşleşmedi",E210='Panel'!$B$4),1,0)</ns0:f>
        <ns0:v>3.0</ns0:v>
      </ns0:c>
    </ns0:row>
    <ns0:row r="211" ht="21" customHeight="1">
      <ns0:c r="A211" s="25" t="n"/>
      <ns0:c r="B211" s="26" t="n"/>
      <ns0:c r="C211" s="27" t="n"/>
      <ns0:c r="D211" s="27" t="n"/>
      <ns0:c r="E211" s="28" t="str">
        <ns0:f>IF(A211="","",YEAR(A211)&amp;"-"&amp;RIGHT("0"&amp;MONTH(A211),2))</ns0:f>
        <ns0:v/>
      </ns0:c>
      <ns0:c r="F211" s="28" t="str">
        <ns0:f>IF(OR(A211="",B211="",C211&lt;=0),"",IF(SUMPRODUCT(('Müşteriler'!$B$2:$B$101&lt;&gt;"")*ISNUMBER(SEARCH('Müşteriler'!$B$2:$B$101,B211)))=1,IFERROR(INDEX('Müşteriler'!$A$2:$A$101,SUMPRODUCT(('Müşteriler'!$B$2:$B$101&lt;&gt;"")*ISNUMBER(SEARCH('Müşteriler'!$B$2:$B$101,B211)),ROW('Müşteriler'!$B$2:$B$101)-ROW('Müşteriler'!$B$2)+1)),""),""))</ns0:f>
        <ns0:v/>
      </ns0:c>
      <ns0:c r="G211" s="28" t="str">
        <ns0:f>IF(F211="","",IFERROR(INDEX('Müşteriler'!$C$2:$C$101,MATCH(F211,'Müşteriler'!$A$2:$A$101,0)),""))</ns0:f>
        <ns0:v/>
      </ns0:c>
      <ns0:c r="H211" s="28" t="str">
        <ns0:f>IF(A211="","",IF(C211&lt;=0,"Satış dışı",IF(OR(F211="",G211=""),"Eşleşmedi","Eşleşti")))</ns0:f>
        <ns0:v/>
      </ns0:c>
      <ns0:c r="I211" s="28">
        <ns0:f>I210+IF(AND(H211="Eşleşmedi",E211='Panel'!$B$4),1,0)</ns0:f>
        <ns0:v>3.0</ns0:v>
      </ns0:c>
    </ns0:row>
    <ns0:row r="212" ht="21" customHeight="1">
      <ns0:c r="A212" s="25" t="n"/>
      <ns0:c r="B212" s="26" t="n"/>
      <ns0:c r="C212" s="27" t="n"/>
      <ns0:c r="D212" s="27" t="n"/>
      <ns0:c r="E212" s="28" t="str">
        <ns0:f>IF(A212="","",YEAR(A212)&amp;"-"&amp;RIGHT("0"&amp;MONTH(A212),2))</ns0:f>
        <ns0:v/>
      </ns0:c>
      <ns0:c r="F212" s="28" t="str">
        <ns0:f>IF(OR(A212="",B212="",C212&lt;=0),"",IF(SUMPRODUCT(('Müşteriler'!$B$2:$B$101&lt;&gt;"")*ISNUMBER(SEARCH('Müşteriler'!$B$2:$B$101,B212)))=1,IFERROR(INDEX('Müşteriler'!$A$2:$A$101,SUMPRODUCT(('Müşteriler'!$B$2:$B$101&lt;&gt;"")*ISNUMBER(SEARCH('Müşteriler'!$B$2:$B$101,B212)),ROW('Müşteriler'!$B$2:$B$101)-ROW('Müşteriler'!$B$2)+1)),""),""))</ns0:f>
        <ns0:v/>
      </ns0:c>
      <ns0:c r="G212" s="28" t="str">
        <ns0:f>IF(F212="","",IFERROR(INDEX('Müşteriler'!$C$2:$C$101,MATCH(F212,'Müşteriler'!$A$2:$A$101,0)),""))</ns0:f>
        <ns0:v/>
      </ns0:c>
      <ns0:c r="H212" s="28" t="str">
        <ns0:f>IF(A212="","",IF(C212&lt;=0,"Satış dışı",IF(OR(F212="",G212=""),"Eşleşmedi","Eşleşti")))</ns0:f>
        <ns0:v/>
      </ns0:c>
      <ns0:c r="I212" s="28">
        <ns0:f>I211+IF(AND(H212="Eşleşmedi",E212='Panel'!$B$4),1,0)</ns0:f>
        <ns0:v>3.0</ns0:v>
      </ns0:c>
    </ns0:row>
    <ns0:row r="213" ht="21" customHeight="1">
      <ns0:c r="A213" s="25" t="n"/>
      <ns0:c r="B213" s="26" t="n"/>
      <ns0:c r="C213" s="27" t="n"/>
      <ns0:c r="D213" s="27" t="n"/>
      <ns0:c r="E213" s="28" t="str">
        <ns0:f>IF(A213="","",YEAR(A213)&amp;"-"&amp;RIGHT("0"&amp;MONTH(A213),2))</ns0:f>
        <ns0:v/>
      </ns0:c>
      <ns0:c r="F213" s="28" t="str">
        <ns0:f>IF(OR(A213="",B213="",C213&lt;=0),"",IF(SUMPRODUCT(('Müşteriler'!$B$2:$B$101&lt;&gt;"")*ISNUMBER(SEARCH('Müşteriler'!$B$2:$B$101,B213)))=1,IFERROR(INDEX('Müşteriler'!$A$2:$A$101,SUMPRODUCT(('Müşteriler'!$B$2:$B$101&lt;&gt;"")*ISNUMBER(SEARCH('Müşteriler'!$B$2:$B$101,B213)),ROW('Müşteriler'!$B$2:$B$101)-ROW('Müşteriler'!$B$2)+1)),""),""))</ns0:f>
        <ns0:v/>
      </ns0:c>
      <ns0:c r="G213" s="28" t="str">
        <ns0:f>IF(F213="","",IFERROR(INDEX('Müşteriler'!$C$2:$C$101,MATCH(F213,'Müşteriler'!$A$2:$A$101,0)),""))</ns0:f>
        <ns0:v/>
      </ns0:c>
      <ns0:c r="H213" s="28" t="str">
        <ns0:f>IF(A213="","",IF(C213&lt;=0,"Satış dışı",IF(OR(F213="",G213=""),"Eşleşmedi","Eşleşti")))</ns0:f>
        <ns0:v/>
      </ns0:c>
      <ns0:c r="I213" s="28">
        <ns0:f>I212+IF(AND(H213="Eşleşmedi",E213='Panel'!$B$4),1,0)</ns0:f>
        <ns0:v>3.0</ns0:v>
      </ns0:c>
    </ns0:row>
    <ns0:row r="214" ht="21" customHeight="1">
      <ns0:c r="A214" s="25" t="n"/>
      <ns0:c r="B214" s="26" t="n"/>
      <ns0:c r="C214" s="27" t="n"/>
      <ns0:c r="D214" s="27" t="n"/>
      <ns0:c r="E214" s="28" t="str">
        <ns0:f>IF(A214="","",YEAR(A214)&amp;"-"&amp;RIGHT("0"&amp;MONTH(A214),2))</ns0:f>
        <ns0:v/>
      </ns0:c>
      <ns0:c r="F214" s="28" t="str">
        <ns0:f>IF(OR(A214="",B214="",C214&lt;=0),"",IF(SUMPRODUCT(('Müşteriler'!$B$2:$B$101&lt;&gt;"")*ISNUMBER(SEARCH('Müşteriler'!$B$2:$B$101,B214)))=1,IFERROR(INDEX('Müşteriler'!$A$2:$A$101,SUMPRODUCT(('Müşteriler'!$B$2:$B$101&lt;&gt;"")*ISNUMBER(SEARCH('Müşteriler'!$B$2:$B$101,B214)),ROW('Müşteriler'!$B$2:$B$101)-ROW('Müşteriler'!$B$2)+1)),""),""))</ns0:f>
        <ns0:v/>
      </ns0:c>
      <ns0:c r="G214" s="28" t="str">
        <ns0:f>IF(F214="","",IFERROR(INDEX('Müşteriler'!$C$2:$C$101,MATCH(F214,'Müşteriler'!$A$2:$A$101,0)),""))</ns0:f>
        <ns0:v/>
      </ns0:c>
      <ns0:c r="H214" s="28" t="str">
        <ns0:f>IF(A214="","",IF(C214&lt;=0,"Satış dışı",IF(OR(F214="",G214=""),"Eşleşmedi","Eşleşti")))</ns0:f>
        <ns0:v/>
      </ns0:c>
      <ns0:c r="I214" s="28">
        <ns0:f>I213+IF(AND(H214="Eşleşmedi",E214='Panel'!$B$4),1,0)</ns0:f>
        <ns0:v>3.0</ns0:v>
      </ns0:c>
    </ns0:row>
    <ns0:row r="215" ht="21" customHeight="1">
      <ns0:c r="A215" s="25" t="n"/>
      <ns0:c r="B215" s="26" t="n"/>
      <ns0:c r="C215" s="27" t="n"/>
      <ns0:c r="D215" s="27" t="n"/>
      <ns0:c r="E215" s="28" t="str">
        <ns0:f>IF(A215="","",YEAR(A215)&amp;"-"&amp;RIGHT("0"&amp;MONTH(A215),2))</ns0:f>
        <ns0:v/>
      </ns0:c>
      <ns0:c r="F215" s="28" t="str">
        <ns0:f>IF(OR(A215="",B215="",C215&lt;=0),"",IF(SUMPRODUCT(('Müşteriler'!$B$2:$B$101&lt;&gt;"")*ISNUMBER(SEARCH('Müşteriler'!$B$2:$B$101,B215)))=1,IFERROR(INDEX('Müşteriler'!$A$2:$A$101,SUMPRODUCT(('Müşteriler'!$B$2:$B$101&lt;&gt;"")*ISNUMBER(SEARCH('Müşteriler'!$B$2:$B$101,B215)),ROW('Müşteriler'!$B$2:$B$101)-ROW('Müşteriler'!$B$2)+1)),""),""))</ns0:f>
        <ns0:v/>
      </ns0:c>
      <ns0:c r="G215" s="28" t="str">
        <ns0:f>IF(F215="","",IFERROR(INDEX('Müşteriler'!$C$2:$C$101,MATCH(F215,'Müşteriler'!$A$2:$A$101,0)),""))</ns0:f>
        <ns0:v/>
      </ns0:c>
      <ns0:c r="H215" s="28" t="str">
        <ns0:f>IF(A215="","",IF(C215&lt;=0,"Satış dışı",IF(OR(F215="",G215=""),"Eşleşmedi","Eşleşti")))</ns0:f>
        <ns0:v/>
      </ns0:c>
      <ns0:c r="I215" s="28">
        <ns0:f>I214+IF(AND(H215="Eşleşmedi",E215='Panel'!$B$4),1,0)</ns0:f>
        <ns0:v>3.0</ns0:v>
      </ns0:c>
    </ns0:row>
    <ns0:row r="216" ht="21" customHeight="1">
      <ns0:c r="A216" s="25" t="n"/>
      <ns0:c r="B216" s="26" t="n"/>
      <ns0:c r="C216" s="27" t="n"/>
      <ns0:c r="D216" s="27" t="n"/>
      <ns0:c r="E216" s="28" t="str">
        <ns0:f>IF(A216="","",YEAR(A216)&amp;"-"&amp;RIGHT("0"&amp;MONTH(A216),2))</ns0:f>
        <ns0:v/>
      </ns0:c>
      <ns0:c r="F216" s="28" t="str">
        <ns0:f>IF(OR(A216="",B216="",C216&lt;=0),"",IF(SUMPRODUCT(('Müşteriler'!$B$2:$B$101&lt;&gt;"")*ISNUMBER(SEARCH('Müşteriler'!$B$2:$B$101,B216)))=1,IFERROR(INDEX('Müşteriler'!$A$2:$A$101,SUMPRODUCT(('Müşteriler'!$B$2:$B$101&lt;&gt;"")*ISNUMBER(SEARCH('Müşteriler'!$B$2:$B$101,B216)),ROW('Müşteriler'!$B$2:$B$101)-ROW('Müşteriler'!$B$2)+1)),""),""))</ns0:f>
        <ns0:v/>
      </ns0:c>
      <ns0:c r="G216" s="28" t="str">
        <ns0:f>IF(F216="","",IFERROR(INDEX('Müşteriler'!$C$2:$C$101,MATCH(F216,'Müşteriler'!$A$2:$A$101,0)),""))</ns0:f>
        <ns0:v/>
      </ns0:c>
      <ns0:c r="H216" s="28" t="str">
        <ns0:f>IF(A216="","",IF(C216&lt;=0,"Satış dışı",IF(OR(F216="",G216=""),"Eşleşmedi","Eşleşti")))</ns0:f>
        <ns0:v/>
      </ns0:c>
      <ns0:c r="I216" s="28">
        <ns0:f>I215+IF(AND(H216="Eşleşmedi",E216='Panel'!$B$4),1,0)</ns0:f>
        <ns0:v>3.0</ns0:v>
      </ns0:c>
    </ns0:row>
    <ns0:row r="217" ht="21" customHeight="1">
      <ns0:c r="A217" s="25" t="n"/>
      <ns0:c r="B217" s="26" t="n"/>
      <ns0:c r="C217" s="27" t="n"/>
      <ns0:c r="D217" s="27" t="n"/>
      <ns0:c r="E217" s="28" t="str">
        <ns0:f>IF(A217="","",YEAR(A217)&amp;"-"&amp;RIGHT("0"&amp;MONTH(A217),2))</ns0:f>
        <ns0:v/>
      </ns0:c>
      <ns0:c r="F217" s="28" t="str">
        <ns0:f>IF(OR(A217="",B217="",C217&lt;=0),"",IF(SUMPRODUCT(('Müşteriler'!$B$2:$B$101&lt;&gt;"")*ISNUMBER(SEARCH('Müşteriler'!$B$2:$B$101,B217)))=1,IFERROR(INDEX('Müşteriler'!$A$2:$A$101,SUMPRODUCT(('Müşteriler'!$B$2:$B$101&lt;&gt;"")*ISNUMBER(SEARCH('Müşteriler'!$B$2:$B$101,B217)),ROW('Müşteriler'!$B$2:$B$101)-ROW('Müşteriler'!$B$2)+1)),""),""))</ns0:f>
        <ns0:v/>
      </ns0:c>
      <ns0:c r="G217" s="28" t="str">
        <ns0:f>IF(F217="","",IFERROR(INDEX('Müşteriler'!$C$2:$C$101,MATCH(F217,'Müşteriler'!$A$2:$A$101,0)),""))</ns0:f>
        <ns0:v/>
      </ns0:c>
      <ns0:c r="H217" s="28" t="str">
        <ns0:f>IF(A217="","",IF(C217&lt;=0,"Satış dışı",IF(OR(F217="",G217=""),"Eşleşmedi","Eşleşti")))</ns0:f>
        <ns0:v/>
      </ns0:c>
      <ns0:c r="I217" s="28">
        <ns0:f>I216+IF(AND(H217="Eşleşmedi",E217='Panel'!$B$4),1,0)</ns0:f>
        <ns0:v>3.0</ns0:v>
      </ns0:c>
    </ns0:row>
    <ns0:row r="218" ht="21" customHeight="1">
      <ns0:c r="A218" s="25" t="n"/>
      <ns0:c r="B218" s="26" t="n"/>
      <ns0:c r="C218" s="27" t="n"/>
      <ns0:c r="D218" s="27" t="n"/>
      <ns0:c r="E218" s="28" t="str">
        <ns0:f>IF(A218="","",YEAR(A218)&amp;"-"&amp;RIGHT("0"&amp;MONTH(A218),2))</ns0:f>
        <ns0:v/>
      </ns0:c>
      <ns0:c r="F218" s="28" t="str">
        <ns0:f>IF(OR(A218="",B218="",C218&lt;=0),"",IF(SUMPRODUCT(('Müşteriler'!$B$2:$B$101&lt;&gt;"")*ISNUMBER(SEARCH('Müşteriler'!$B$2:$B$101,B218)))=1,IFERROR(INDEX('Müşteriler'!$A$2:$A$101,SUMPRODUCT(('Müşteriler'!$B$2:$B$101&lt;&gt;"")*ISNUMBER(SEARCH('Müşteriler'!$B$2:$B$101,B218)),ROW('Müşteriler'!$B$2:$B$101)-ROW('Müşteriler'!$B$2)+1)),""),""))</ns0:f>
        <ns0:v/>
      </ns0:c>
      <ns0:c r="G218" s="28" t="str">
        <ns0:f>IF(F218="","",IFERROR(INDEX('Müşteriler'!$C$2:$C$101,MATCH(F218,'Müşteriler'!$A$2:$A$101,0)),""))</ns0:f>
        <ns0:v/>
      </ns0:c>
      <ns0:c r="H218" s="28" t="str">
        <ns0:f>IF(A218="","",IF(C218&lt;=0,"Satış dışı",IF(OR(F218="",G218=""),"Eşleşmedi","Eşleşti")))</ns0:f>
        <ns0:v/>
      </ns0:c>
      <ns0:c r="I218" s="28">
        <ns0:f>I217+IF(AND(H218="Eşleşmedi",E218='Panel'!$B$4),1,0)</ns0:f>
        <ns0:v>3.0</ns0:v>
      </ns0:c>
    </ns0:row>
    <ns0:row r="219" ht="21" customHeight="1">
      <ns0:c r="A219" s="25" t="n"/>
      <ns0:c r="B219" s="26" t="n"/>
      <ns0:c r="C219" s="27" t="n"/>
      <ns0:c r="D219" s="27" t="n"/>
      <ns0:c r="E219" s="28" t="str">
        <ns0:f>IF(A219="","",YEAR(A219)&amp;"-"&amp;RIGHT("0"&amp;MONTH(A219),2))</ns0:f>
        <ns0:v/>
      </ns0:c>
      <ns0:c r="F219" s="28" t="str">
        <ns0:f>IF(OR(A219="",B219="",C219&lt;=0),"",IF(SUMPRODUCT(('Müşteriler'!$B$2:$B$101&lt;&gt;"")*ISNUMBER(SEARCH('Müşteriler'!$B$2:$B$101,B219)))=1,IFERROR(INDEX('Müşteriler'!$A$2:$A$101,SUMPRODUCT(('Müşteriler'!$B$2:$B$101&lt;&gt;"")*ISNUMBER(SEARCH('Müşteriler'!$B$2:$B$101,B219)),ROW('Müşteriler'!$B$2:$B$101)-ROW('Müşteriler'!$B$2)+1)),""),""))</ns0:f>
        <ns0:v/>
      </ns0:c>
      <ns0:c r="G219" s="28" t="str">
        <ns0:f>IF(F219="","",IFERROR(INDEX('Müşteriler'!$C$2:$C$101,MATCH(F219,'Müşteriler'!$A$2:$A$101,0)),""))</ns0:f>
        <ns0:v/>
      </ns0:c>
      <ns0:c r="H219" s="28" t="str">
        <ns0:f>IF(A219="","",IF(C219&lt;=0,"Satış dışı",IF(OR(F219="",G219=""),"Eşleşmedi","Eşleşti")))</ns0:f>
        <ns0:v/>
      </ns0:c>
      <ns0:c r="I219" s="28">
        <ns0:f>I218+IF(AND(H219="Eşleşmedi",E219='Panel'!$B$4),1,0)</ns0:f>
        <ns0:v>3.0</ns0:v>
      </ns0:c>
    </ns0:row>
    <ns0:row r="220" ht="21" customHeight="1">
      <ns0:c r="A220" s="25" t="n"/>
      <ns0:c r="B220" s="26" t="n"/>
      <ns0:c r="C220" s="27" t="n"/>
      <ns0:c r="D220" s="27" t="n"/>
      <ns0:c r="E220" s="28" t="str">
        <ns0:f>IF(A220="","",YEAR(A220)&amp;"-"&amp;RIGHT("0"&amp;MONTH(A220),2))</ns0:f>
        <ns0:v/>
      </ns0:c>
      <ns0:c r="F220" s="28" t="str">
        <ns0:f>IF(OR(A220="",B220="",C220&lt;=0),"",IF(SUMPRODUCT(('Müşteriler'!$B$2:$B$101&lt;&gt;"")*ISNUMBER(SEARCH('Müşteriler'!$B$2:$B$101,B220)))=1,IFERROR(INDEX('Müşteriler'!$A$2:$A$101,SUMPRODUCT(('Müşteriler'!$B$2:$B$101&lt;&gt;"")*ISNUMBER(SEARCH('Müşteriler'!$B$2:$B$101,B220)),ROW('Müşteriler'!$B$2:$B$101)-ROW('Müşteriler'!$B$2)+1)),""),""))</ns0:f>
        <ns0:v/>
      </ns0:c>
      <ns0:c r="G220" s="28" t="str">
        <ns0:f>IF(F220="","",IFERROR(INDEX('Müşteriler'!$C$2:$C$101,MATCH(F220,'Müşteriler'!$A$2:$A$101,0)),""))</ns0:f>
        <ns0:v/>
      </ns0:c>
      <ns0:c r="H220" s="28" t="str">
        <ns0:f>IF(A220="","",IF(C220&lt;=0,"Satış dışı",IF(OR(F220="",G220=""),"Eşleşmedi","Eşleşti")))</ns0:f>
        <ns0:v/>
      </ns0:c>
      <ns0:c r="I220" s="28">
        <ns0:f>I219+IF(AND(H220="Eşleşmedi",E220='Panel'!$B$4),1,0)</ns0:f>
        <ns0:v>3.0</ns0:v>
      </ns0:c>
    </ns0:row>
    <ns0:row r="221" ht="21" customHeight="1">
      <ns0:c r="A221" s="25" t="n"/>
      <ns0:c r="B221" s="26" t="n"/>
      <ns0:c r="C221" s="27" t="n"/>
      <ns0:c r="D221" s="27" t="n"/>
      <ns0:c r="E221" s="28" t="str">
        <ns0:f>IF(A221="","",YEAR(A221)&amp;"-"&amp;RIGHT("0"&amp;MONTH(A221),2))</ns0:f>
        <ns0:v/>
      </ns0:c>
      <ns0:c r="F221" s="28" t="str">
        <ns0:f>IF(OR(A221="",B221="",C221&lt;=0),"",IF(SUMPRODUCT(('Müşteriler'!$B$2:$B$101&lt;&gt;"")*ISNUMBER(SEARCH('Müşteriler'!$B$2:$B$101,B221)))=1,IFERROR(INDEX('Müşteriler'!$A$2:$A$101,SUMPRODUCT(('Müşteriler'!$B$2:$B$101&lt;&gt;"")*ISNUMBER(SEARCH('Müşteriler'!$B$2:$B$101,B221)),ROW('Müşteriler'!$B$2:$B$101)-ROW('Müşteriler'!$B$2)+1)),""),""))</ns0:f>
        <ns0:v/>
      </ns0:c>
      <ns0:c r="G221" s="28" t="str">
        <ns0:f>IF(F221="","",IFERROR(INDEX('Müşteriler'!$C$2:$C$101,MATCH(F221,'Müşteriler'!$A$2:$A$101,0)),""))</ns0:f>
        <ns0:v/>
      </ns0:c>
      <ns0:c r="H221" s="28" t="str">
        <ns0:f>IF(A221="","",IF(C221&lt;=0,"Satış dışı",IF(OR(F221="",G221=""),"Eşleşmedi","Eşleşti")))</ns0:f>
        <ns0:v/>
      </ns0:c>
      <ns0:c r="I221" s="28">
        <ns0:f>I220+IF(AND(H221="Eşleşmedi",E221='Panel'!$B$4),1,0)</ns0:f>
        <ns0:v>3.0</ns0:v>
      </ns0:c>
    </ns0:row>
    <ns0:row r="222" ht="21" customHeight="1">
      <ns0:c r="A222" s="25" t="n"/>
      <ns0:c r="B222" s="26" t="n"/>
      <ns0:c r="C222" s="27" t="n"/>
      <ns0:c r="D222" s="27" t="n"/>
      <ns0:c r="E222" s="28" t="str">
        <ns0:f>IF(A222="","",YEAR(A222)&amp;"-"&amp;RIGHT("0"&amp;MONTH(A222),2))</ns0:f>
        <ns0:v/>
      </ns0:c>
      <ns0:c r="F222" s="28" t="str">
        <ns0:f>IF(OR(A222="",B222="",C222&lt;=0),"",IF(SUMPRODUCT(('Müşteriler'!$B$2:$B$101&lt;&gt;"")*ISNUMBER(SEARCH('Müşteriler'!$B$2:$B$101,B222)))=1,IFERROR(INDEX('Müşteriler'!$A$2:$A$101,SUMPRODUCT(('Müşteriler'!$B$2:$B$101&lt;&gt;"")*ISNUMBER(SEARCH('Müşteriler'!$B$2:$B$101,B222)),ROW('Müşteriler'!$B$2:$B$101)-ROW('Müşteriler'!$B$2)+1)),""),""))</ns0:f>
        <ns0:v/>
      </ns0:c>
      <ns0:c r="G222" s="28" t="str">
        <ns0:f>IF(F222="","",IFERROR(INDEX('Müşteriler'!$C$2:$C$101,MATCH(F222,'Müşteriler'!$A$2:$A$101,0)),""))</ns0:f>
        <ns0:v/>
      </ns0:c>
      <ns0:c r="H222" s="28" t="str">
        <ns0:f>IF(A222="","",IF(C222&lt;=0,"Satış dışı",IF(OR(F222="",G222=""),"Eşleşmedi","Eşleşti")))</ns0:f>
        <ns0:v/>
      </ns0:c>
      <ns0:c r="I222" s="28">
        <ns0:f>I221+IF(AND(H222="Eşleşmedi",E222='Panel'!$B$4),1,0)</ns0:f>
        <ns0:v>3.0</ns0:v>
      </ns0:c>
    </ns0:row>
    <ns0:row r="223" ht="21" customHeight="1">
      <ns0:c r="A223" s="25" t="n"/>
      <ns0:c r="B223" s="26" t="n"/>
      <ns0:c r="C223" s="27" t="n"/>
      <ns0:c r="D223" s="27" t="n"/>
      <ns0:c r="E223" s="28" t="str">
        <ns0:f>IF(A223="","",YEAR(A223)&amp;"-"&amp;RIGHT("0"&amp;MONTH(A223),2))</ns0:f>
        <ns0:v/>
      </ns0:c>
      <ns0:c r="F223" s="28" t="str">
        <ns0:f>IF(OR(A223="",B223="",C223&lt;=0),"",IF(SUMPRODUCT(('Müşteriler'!$B$2:$B$101&lt;&gt;"")*ISNUMBER(SEARCH('Müşteriler'!$B$2:$B$101,B223)))=1,IFERROR(INDEX('Müşteriler'!$A$2:$A$101,SUMPRODUCT(('Müşteriler'!$B$2:$B$101&lt;&gt;"")*ISNUMBER(SEARCH('Müşteriler'!$B$2:$B$101,B223)),ROW('Müşteriler'!$B$2:$B$101)-ROW('Müşteriler'!$B$2)+1)),""),""))</ns0:f>
        <ns0:v/>
      </ns0:c>
      <ns0:c r="G223" s="28" t="str">
        <ns0:f>IF(F223="","",IFERROR(INDEX('Müşteriler'!$C$2:$C$101,MATCH(F223,'Müşteriler'!$A$2:$A$101,0)),""))</ns0:f>
        <ns0:v/>
      </ns0:c>
      <ns0:c r="H223" s="28" t="str">
        <ns0:f>IF(A223="","",IF(C223&lt;=0,"Satış dışı",IF(OR(F223="",G223=""),"Eşleşmedi","Eşleşti")))</ns0:f>
        <ns0:v/>
      </ns0:c>
      <ns0:c r="I223" s="28">
        <ns0:f>I222+IF(AND(H223="Eşleşmedi",E223='Panel'!$B$4),1,0)</ns0:f>
        <ns0:v>3.0</ns0:v>
      </ns0:c>
    </ns0:row>
    <ns0:row r="224" ht="21" customHeight="1">
      <ns0:c r="A224" s="25" t="n"/>
      <ns0:c r="B224" s="26" t="n"/>
      <ns0:c r="C224" s="27" t="n"/>
      <ns0:c r="D224" s="27" t="n"/>
      <ns0:c r="E224" s="28" t="str">
        <ns0:f>IF(A224="","",YEAR(A224)&amp;"-"&amp;RIGHT("0"&amp;MONTH(A224),2))</ns0:f>
        <ns0:v/>
      </ns0:c>
      <ns0:c r="F224" s="28" t="str">
        <ns0:f>IF(OR(A224="",B224="",C224&lt;=0),"",IF(SUMPRODUCT(('Müşteriler'!$B$2:$B$101&lt;&gt;"")*ISNUMBER(SEARCH('Müşteriler'!$B$2:$B$101,B224)))=1,IFERROR(INDEX('Müşteriler'!$A$2:$A$101,SUMPRODUCT(('Müşteriler'!$B$2:$B$101&lt;&gt;"")*ISNUMBER(SEARCH('Müşteriler'!$B$2:$B$101,B224)),ROW('Müşteriler'!$B$2:$B$101)-ROW('Müşteriler'!$B$2)+1)),""),""))</ns0:f>
        <ns0:v/>
      </ns0:c>
      <ns0:c r="G224" s="28" t="str">
        <ns0:f>IF(F224="","",IFERROR(INDEX('Müşteriler'!$C$2:$C$101,MATCH(F224,'Müşteriler'!$A$2:$A$101,0)),""))</ns0:f>
        <ns0:v/>
      </ns0:c>
      <ns0:c r="H224" s="28" t="str">
        <ns0:f>IF(A224="","",IF(C224&lt;=0,"Satış dışı",IF(OR(F224="",G224=""),"Eşleşmedi","Eşleşti")))</ns0:f>
        <ns0:v/>
      </ns0:c>
      <ns0:c r="I224" s="28">
        <ns0:f>I223+IF(AND(H224="Eşleşmedi",E224='Panel'!$B$4),1,0)</ns0:f>
        <ns0:v>3.0</ns0:v>
      </ns0:c>
    </ns0:row>
    <ns0:row r="225" ht="21" customHeight="1">
      <ns0:c r="A225" s="25" t="n"/>
      <ns0:c r="B225" s="26" t="n"/>
      <ns0:c r="C225" s="27" t="n"/>
      <ns0:c r="D225" s="27" t="n"/>
      <ns0:c r="E225" s="28" t="str">
        <ns0:f>IF(A225="","",YEAR(A225)&amp;"-"&amp;RIGHT("0"&amp;MONTH(A225),2))</ns0:f>
        <ns0:v/>
      </ns0:c>
      <ns0:c r="F225" s="28" t="str">
        <ns0:f>IF(OR(A225="",B225="",C225&lt;=0),"",IF(SUMPRODUCT(('Müşteriler'!$B$2:$B$101&lt;&gt;"")*ISNUMBER(SEARCH('Müşteriler'!$B$2:$B$101,B225)))=1,IFERROR(INDEX('Müşteriler'!$A$2:$A$101,SUMPRODUCT(('Müşteriler'!$B$2:$B$101&lt;&gt;"")*ISNUMBER(SEARCH('Müşteriler'!$B$2:$B$101,B225)),ROW('Müşteriler'!$B$2:$B$101)-ROW('Müşteriler'!$B$2)+1)),""),""))</ns0:f>
        <ns0:v/>
      </ns0:c>
      <ns0:c r="G225" s="28" t="str">
        <ns0:f>IF(F225="","",IFERROR(INDEX('Müşteriler'!$C$2:$C$101,MATCH(F225,'Müşteriler'!$A$2:$A$101,0)),""))</ns0:f>
        <ns0:v/>
      </ns0:c>
      <ns0:c r="H225" s="28" t="str">
        <ns0:f>IF(A225="","",IF(C225&lt;=0,"Satış dışı",IF(OR(F225="",G225=""),"Eşleşmedi","Eşleşti")))</ns0:f>
        <ns0:v/>
      </ns0:c>
      <ns0:c r="I225" s="28">
        <ns0:f>I224+IF(AND(H225="Eşleşmedi",E225='Panel'!$B$4),1,0)</ns0:f>
        <ns0:v>3.0</ns0:v>
      </ns0:c>
    </ns0:row>
    <ns0:row r="226" ht="21" customHeight="1">
      <ns0:c r="A226" s="25" t="n"/>
      <ns0:c r="B226" s="26" t="n"/>
      <ns0:c r="C226" s="27" t="n"/>
      <ns0:c r="D226" s="27" t="n"/>
      <ns0:c r="E226" s="28" t="str">
        <ns0:f>IF(A226="","",YEAR(A226)&amp;"-"&amp;RIGHT("0"&amp;MONTH(A226),2))</ns0:f>
        <ns0:v/>
      </ns0:c>
      <ns0:c r="F226" s="28" t="str">
        <ns0:f>IF(OR(A226="",B226="",C226&lt;=0),"",IF(SUMPRODUCT(('Müşteriler'!$B$2:$B$101&lt;&gt;"")*ISNUMBER(SEARCH('Müşteriler'!$B$2:$B$101,B226)))=1,IFERROR(INDEX('Müşteriler'!$A$2:$A$101,SUMPRODUCT(('Müşteriler'!$B$2:$B$101&lt;&gt;"")*ISNUMBER(SEARCH('Müşteriler'!$B$2:$B$101,B226)),ROW('Müşteriler'!$B$2:$B$101)-ROW('Müşteriler'!$B$2)+1)),""),""))</ns0:f>
        <ns0:v/>
      </ns0:c>
      <ns0:c r="G226" s="28" t="str">
        <ns0:f>IF(F226="","",IFERROR(INDEX('Müşteriler'!$C$2:$C$101,MATCH(F226,'Müşteriler'!$A$2:$A$101,0)),""))</ns0:f>
        <ns0:v/>
      </ns0:c>
      <ns0:c r="H226" s="28" t="str">
        <ns0:f>IF(A226="","",IF(C226&lt;=0,"Satış dışı",IF(OR(F226="",G226=""),"Eşleşmedi","Eşleşti")))</ns0:f>
        <ns0:v/>
      </ns0:c>
      <ns0:c r="I226" s="28">
        <ns0:f>I225+IF(AND(H226="Eşleşmedi",E226='Panel'!$B$4),1,0)</ns0:f>
        <ns0:v>3.0</ns0:v>
      </ns0:c>
    </ns0:row>
    <ns0:row r="227" ht="21" customHeight="1">
      <ns0:c r="A227" s="25" t="n"/>
      <ns0:c r="B227" s="26" t="n"/>
      <ns0:c r="C227" s="27" t="n"/>
      <ns0:c r="D227" s="27" t="n"/>
      <ns0:c r="E227" s="28" t="str">
        <ns0:f>IF(A227="","",YEAR(A227)&amp;"-"&amp;RIGHT("0"&amp;MONTH(A227),2))</ns0:f>
        <ns0:v/>
      </ns0:c>
      <ns0:c r="F227" s="28" t="str">
        <ns0:f>IF(OR(A227="",B227="",C227&lt;=0),"",IF(SUMPRODUCT(('Müşteriler'!$B$2:$B$101&lt;&gt;"")*ISNUMBER(SEARCH('Müşteriler'!$B$2:$B$101,B227)))=1,IFERROR(INDEX('Müşteriler'!$A$2:$A$101,SUMPRODUCT(('Müşteriler'!$B$2:$B$101&lt;&gt;"")*ISNUMBER(SEARCH('Müşteriler'!$B$2:$B$101,B227)),ROW('Müşteriler'!$B$2:$B$101)-ROW('Müşteriler'!$B$2)+1)),""),""))</ns0:f>
        <ns0:v/>
      </ns0:c>
      <ns0:c r="G227" s="28" t="str">
        <ns0:f>IF(F227="","",IFERROR(INDEX('Müşteriler'!$C$2:$C$101,MATCH(F227,'Müşteriler'!$A$2:$A$101,0)),""))</ns0:f>
        <ns0:v/>
      </ns0:c>
      <ns0:c r="H227" s="28" t="str">
        <ns0:f>IF(A227="","",IF(C227&lt;=0,"Satış dışı",IF(OR(F227="",G227=""),"Eşleşmedi","Eşleşti")))</ns0:f>
        <ns0:v/>
      </ns0:c>
      <ns0:c r="I227" s="28">
        <ns0:f>I226+IF(AND(H227="Eşleşmedi",E227='Panel'!$B$4),1,0)</ns0:f>
        <ns0:v>3.0</ns0:v>
      </ns0:c>
    </ns0:row>
    <ns0:row r="228" ht="21" customHeight="1">
      <ns0:c r="A228" s="25" t="n"/>
      <ns0:c r="B228" s="26" t="n"/>
      <ns0:c r="C228" s="27" t="n"/>
      <ns0:c r="D228" s="27" t="n"/>
      <ns0:c r="E228" s="28" t="str">
        <ns0:f>IF(A228="","",YEAR(A228)&amp;"-"&amp;RIGHT("0"&amp;MONTH(A228),2))</ns0:f>
        <ns0:v/>
      </ns0:c>
      <ns0:c r="F228" s="28" t="str">
        <ns0:f>IF(OR(A228="",B228="",C228&lt;=0),"",IF(SUMPRODUCT(('Müşteriler'!$B$2:$B$101&lt;&gt;"")*ISNUMBER(SEARCH('Müşteriler'!$B$2:$B$101,B228)))=1,IFERROR(INDEX('Müşteriler'!$A$2:$A$101,SUMPRODUCT(('Müşteriler'!$B$2:$B$101&lt;&gt;"")*ISNUMBER(SEARCH('Müşteriler'!$B$2:$B$101,B228)),ROW('Müşteriler'!$B$2:$B$101)-ROW('Müşteriler'!$B$2)+1)),""),""))</ns0:f>
        <ns0:v/>
      </ns0:c>
      <ns0:c r="G228" s="28" t="str">
        <ns0:f>IF(F228="","",IFERROR(INDEX('Müşteriler'!$C$2:$C$101,MATCH(F228,'Müşteriler'!$A$2:$A$101,0)),""))</ns0:f>
        <ns0:v/>
      </ns0:c>
      <ns0:c r="H228" s="28" t="str">
        <ns0:f>IF(A228="","",IF(C228&lt;=0,"Satış dışı",IF(OR(F228="",G228=""),"Eşleşmedi","Eşleşti")))</ns0:f>
        <ns0:v/>
      </ns0:c>
      <ns0:c r="I228" s="28">
        <ns0:f>I227+IF(AND(H228="Eşleşmedi",E228='Panel'!$B$4),1,0)</ns0:f>
        <ns0:v>3.0</ns0:v>
      </ns0:c>
    </ns0:row>
    <ns0:row r="229" ht="21" customHeight="1">
      <ns0:c r="A229" s="25" t="n"/>
      <ns0:c r="B229" s="26" t="n"/>
      <ns0:c r="C229" s="27" t="n"/>
      <ns0:c r="D229" s="27" t="n"/>
      <ns0:c r="E229" s="28" t="str">
        <ns0:f>IF(A229="","",YEAR(A229)&amp;"-"&amp;RIGHT("0"&amp;MONTH(A229),2))</ns0:f>
        <ns0:v/>
      </ns0:c>
      <ns0:c r="F229" s="28" t="str">
        <ns0:f>IF(OR(A229="",B229="",C229&lt;=0),"",IF(SUMPRODUCT(('Müşteriler'!$B$2:$B$101&lt;&gt;"")*ISNUMBER(SEARCH('Müşteriler'!$B$2:$B$101,B229)))=1,IFERROR(INDEX('Müşteriler'!$A$2:$A$101,SUMPRODUCT(('Müşteriler'!$B$2:$B$101&lt;&gt;"")*ISNUMBER(SEARCH('Müşteriler'!$B$2:$B$101,B229)),ROW('Müşteriler'!$B$2:$B$101)-ROW('Müşteriler'!$B$2)+1)),""),""))</ns0:f>
        <ns0:v/>
      </ns0:c>
      <ns0:c r="G229" s="28" t="str">
        <ns0:f>IF(F229="","",IFERROR(INDEX('Müşteriler'!$C$2:$C$101,MATCH(F229,'Müşteriler'!$A$2:$A$101,0)),""))</ns0:f>
        <ns0:v/>
      </ns0:c>
      <ns0:c r="H229" s="28" t="str">
        <ns0:f>IF(A229="","",IF(C229&lt;=0,"Satış dışı",IF(OR(F229="",G229=""),"Eşleşmedi","Eşleşti")))</ns0:f>
        <ns0:v/>
      </ns0:c>
      <ns0:c r="I229" s="28">
        <ns0:f>I228+IF(AND(H229="Eşleşmedi",E229='Panel'!$B$4),1,0)</ns0:f>
        <ns0:v>3.0</ns0:v>
      </ns0:c>
    </ns0:row>
    <ns0:row r="230" ht="21" customHeight="1">
      <ns0:c r="A230" s="25" t="n"/>
      <ns0:c r="B230" s="26" t="n"/>
      <ns0:c r="C230" s="27" t="n"/>
      <ns0:c r="D230" s="27" t="n"/>
      <ns0:c r="E230" s="28" t="str">
        <ns0:f>IF(A230="","",YEAR(A230)&amp;"-"&amp;RIGHT("0"&amp;MONTH(A230),2))</ns0:f>
        <ns0:v/>
      </ns0:c>
      <ns0:c r="F230" s="28" t="str">
        <ns0:f>IF(OR(A230="",B230="",C230&lt;=0),"",IF(SUMPRODUCT(('Müşteriler'!$B$2:$B$101&lt;&gt;"")*ISNUMBER(SEARCH('Müşteriler'!$B$2:$B$101,B230)))=1,IFERROR(INDEX('Müşteriler'!$A$2:$A$101,SUMPRODUCT(('Müşteriler'!$B$2:$B$101&lt;&gt;"")*ISNUMBER(SEARCH('Müşteriler'!$B$2:$B$101,B230)),ROW('Müşteriler'!$B$2:$B$101)-ROW('Müşteriler'!$B$2)+1)),""),""))</ns0:f>
        <ns0:v/>
      </ns0:c>
      <ns0:c r="G230" s="28" t="str">
        <ns0:f>IF(F230="","",IFERROR(INDEX('Müşteriler'!$C$2:$C$101,MATCH(F230,'Müşteriler'!$A$2:$A$101,0)),""))</ns0:f>
        <ns0:v/>
      </ns0:c>
      <ns0:c r="H230" s="28" t="str">
        <ns0:f>IF(A230="","",IF(C230&lt;=0,"Satış dışı",IF(OR(F230="",G230=""),"Eşleşmedi","Eşleşti")))</ns0:f>
        <ns0:v/>
      </ns0:c>
      <ns0:c r="I230" s="28">
        <ns0:f>I229+IF(AND(H230="Eşleşmedi",E230='Panel'!$B$4),1,0)</ns0:f>
        <ns0:v>3.0</ns0:v>
      </ns0:c>
    </ns0:row>
    <ns0:row r="231" ht="21" customHeight="1">
      <ns0:c r="A231" s="25" t="n"/>
      <ns0:c r="B231" s="26" t="n"/>
      <ns0:c r="C231" s="27" t="n"/>
      <ns0:c r="D231" s="27" t="n"/>
      <ns0:c r="E231" s="28" t="str">
        <ns0:f>IF(A231="","",YEAR(A231)&amp;"-"&amp;RIGHT("0"&amp;MONTH(A231),2))</ns0:f>
        <ns0:v/>
      </ns0:c>
      <ns0:c r="F231" s="28" t="str">
        <ns0:f>IF(OR(A231="",B231="",C231&lt;=0),"",IF(SUMPRODUCT(('Müşteriler'!$B$2:$B$101&lt;&gt;"")*ISNUMBER(SEARCH('Müşteriler'!$B$2:$B$101,B231)))=1,IFERROR(INDEX('Müşteriler'!$A$2:$A$101,SUMPRODUCT(('Müşteriler'!$B$2:$B$101&lt;&gt;"")*ISNUMBER(SEARCH('Müşteriler'!$B$2:$B$101,B231)),ROW('Müşteriler'!$B$2:$B$101)-ROW('Müşteriler'!$B$2)+1)),""),""))</ns0:f>
        <ns0:v/>
      </ns0:c>
      <ns0:c r="G231" s="28" t="str">
        <ns0:f>IF(F231="","",IFERROR(INDEX('Müşteriler'!$C$2:$C$101,MATCH(F231,'Müşteriler'!$A$2:$A$101,0)),""))</ns0:f>
        <ns0:v/>
      </ns0:c>
      <ns0:c r="H231" s="28" t="str">
        <ns0:f>IF(A231="","",IF(C231&lt;=0,"Satış dışı",IF(OR(F231="",G231=""),"Eşleşmedi","Eşleşti")))</ns0:f>
        <ns0:v/>
      </ns0:c>
      <ns0:c r="I231" s="28">
        <ns0:f>I230+IF(AND(H231="Eşleşmedi",E231='Panel'!$B$4),1,0)</ns0:f>
        <ns0:v>3.0</ns0:v>
      </ns0:c>
    </ns0:row>
    <ns0:row r="232" ht="21" customHeight="1">
      <ns0:c r="A232" s="25" t="n"/>
      <ns0:c r="B232" s="26" t="n"/>
      <ns0:c r="C232" s="27" t="n"/>
      <ns0:c r="D232" s="27" t="n"/>
      <ns0:c r="E232" s="28" t="str">
        <ns0:f>IF(A232="","",YEAR(A232)&amp;"-"&amp;RIGHT("0"&amp;MONTH(A232),2))</ns0:f>
        <ns0:v/>
      </ns0:c>
      <ns0:c r="F232" s="28" t="str">
        <ns0:f>IF(OR(A232="",B232="",C232&lt;=0),"",IF(SUMPRODUCT(('Müşteriler'!$B$2:$B$101&lt;&gt;"")*ISNUMBER(SEARCH('Müşteriler'!$B$2:$B$101,B232)))=1,IFERROR(INDEX('Müşteriler'!$A$2:$A$101,SUMPRODUCT(('Müşteriler'!$B$2:$B$101&lt;&gt;"")*ISNUMBER(SEARCH('Müşteriler'!$B$2:$B$101,B232)),ROW('Müşteriler'!$B$2:$B$101)-ROW('Müşteriler'!$B$2)+1)),""),""))</ns0:f>
        <ns0:v/>
      </ns0:c>
      <ns0:c r="G232" s="28" t="str">
        <ns0:f>IF(F232="","",IFERROR(INDEX('Müşteriler'!$C$2:$C$101,MATCH(F232,'Müşteriler'!$A$2:$A$101,0)),""))</ns0:f>
        <ns0:v/>
      </ns0:c>
      <ns0:c r="H232" s="28" t="str">
        <ns0:f>IF(A232="","",IF(C232&lt;=0,"Satış dışı",IF(OR(F232="",G232=""),"Eşleşmedi","Eşleşti")))</ns0:f>
        <ns0:v/>
      </ns0:c>
      <ns0:c r="I232" s="28">
        <ns0:f>I231+IF(AND(H232="Eşleşmedi",E232='Panel'!$B$4),1,0)</ns0:f>
        <ns0:v>3.0</ns0:v>
      </ns0:c>
    </ns0:row>
    <ns0:row r="233" ht="21" customHeight="1">
      <ns0:c r="A233" s="25" t="n"/>
      <ns0:c r="B233" s="26" t="n"/>
      <ns0:c r="C233" s="27" t="n"/>
      <ns0:c r="D233" s="27" t="n"/>
      <ns0:c r="E233" s="28" t="str">
        <ns0:f>IF(A233="","",YEAR(A233)&amp;"-"&amp;RIGHT("0"&amp;MONTH(A233),2))</ns0:f>
        <ns0:v/>
      </ns0:c>
      <ns0:c r="F233" s="28" t="str">
        <ns0:f>IF(OR(A233="",B233="",C233&lt;=0),"",IF(SUMPRODUCT(('Müşteriler'!$B$2:$B$101&lt;&gt;"")*ISNUMBER(SEARCH('Müşteriler'!$B$2:$B$101,B233)))=1,IFERROR(INDEX('Müşteriler'!$A$2:$A$101,SUMPRODUCT(('Müşteriler'!$B$2:$B$101&lt;&gt;"")*ISNUMBER(SEARCH('Müşteriler'!$B$2:$B$101,B233)),ROW('Müşteriler'!$B$2:$B$101)-ROW('Müşteriler'!$B$2)+1)),""),""))</ns0:f>
        <ns0:v/>
      </ns0:c>
      <ns0:c r="G233" s="28" t="str">
        <ns0:f>IF(F233="","",IFERROR(INDEX('Müşteriler'!$C$2:$C$101,MATCH(F233,'Müşteriler'!$A$2:$A$101,0)),""))</ns0:f>
        <ns0:v/>
      </ns0:c>
      <ns0:c r="H233" s="28" t="str">
        <ns0:f>IF(A233="","",IF(C233&lt;=0,"Satış dışı",IF(OR(F233="",G233=""),"Eşleşmedi","Eşleşti")))</ns0:f>
        <ns0:v/>
      </ns0:c>
      <ns0:c r="I233" s="28">
        <ns0:f>I232+IF(AND(H233="Eşleşmedi",E233='Panel'!$B$4),1,0)</ns0:f>
        <ns0:v>3.0</ns0:v>
      </ns0:c>
    </ns0:row>
    <ns0:row r="234" ht="21" customHeight="1">
      <ns0:c r="A234" s="25" t="n"/>
      <ns0:c r="B234" s="26" t="n"/>
      <ns0:c r="C234" s="27" t="n"/>
      <ns0:c r="D234" s="27" t="n"/>
      <ns0:c r="E234" s="28" t="str">
        <ns0:f>IF(A234="","",YEAR(A234)&amp;"-"&amp;RIGHT("0"&amp;MONTH(A234),2))</ns0:f>
        <ns0:v/>
      </ns0:c>
      <ns0:c r="F234" s="28" t="str">
        <ns0:f>IF(OR(A234="",B234="",C234&lt;=0),"",IF(SUMPRODUCT(('Müşteriler'!$B$2:$B$101&lt;&gt;"")*ISNUMBER(SEARCH('Müşteriler'!$B$2:$B$101,B234)))=1,IFERROR(INDEX('Müşteriler'!$A$2:$A$101,SUMPRODUCT(('Müşteriler'!$B$2:$B$101&lt;&gt;"")*ISNUMBER(SEARCH('Müşteriler'!$B$2:$B$101,B234)),ROW('Müşteriler'!$B$2:$B$101)-ROW('Müşteriler'!$B$2)+1)),""),""))</ns0:f>
        <ns0:v/>
      </ns0:c>
      <ns0:c r="G234" s="28" t="str">
        <ns0:f>IF(F234="","",IFERROR(INDEX('Müşteriler'!$C$2:$C$101,MATCH(F234,'Müşteriler'!$A$2:$A$101,0)),""))</ns0:f>
        <ns0:v/>
      </ns0:c>
      <ns0:c r="H234" s="28" t="str">
        <ns0:f>IF(A234="","",IF(C234&lt;=0,"Satış dışı",IF(OR(F234="",G234=""),"Eşleşmedi","Eşleşti")))</ns0:f>
        <ns0:v/>
      </ns0:c>
      <ns0:c r="I234" s="28">
        <ns0:f>I233+IF(AND(H234="Eşleşmedi",E234='Panel'!$B$4),1,0)</ns0:f>
        <ns0:v>3.0</ns0:v>
      </ns0:c>
    </ns0:row>
    <ns0:row r="235" ht="21" customHeight="1">
      <ns0:c r="A235" s="25" t="n"/>
      <ns0:c r="B235" s="26" t="n"/>
      <ns0:c r="C235" s="27" t="n"/>
      <ns0:c r="D235" s="27" t="n"/>
      <ns0:c r="E235" s="28" t="str">
        <ns0:f>IF(A235="","",YEAR(A235)&amp;"-"&amp;RIGHT("0"&amp;MONTH(A235),2))</ns0:f>
        <ns0:v/>
      </ns0:c>
      <ns0:c r="F235" s="28" t="str">
        <ns0:f>IF(OR(A235="",B235="",C235&lt;=0),"",IF(SUMPRODUCT(('Müşteriler'!$B$2:$B$101&lt;&gt;"")*ISNUMBER(SEARCH('Müşteriler'!$B$2:$B$101,B235)))=1,IFERROR(INDEX('Müşteriler'!$A$2:$A$101,SUMPRODUCT(('Müşteriler'!$B$2:$B$101&lt;&gt;"")*ISNUMBER(SEARCH('Müşteriler'!$B$2:$B$101,B235)),ROW('Müşteriler'!$B$2:$B$101)-ROW('Müşteriler'!$B$2)+1)),""),""))</ns0:f>
        <ns0:v/>
      </ns0:c>
      <ns0:c r="G235" s="28" t="str">
        <ns0:f>IF(F235="","",IFERROR(INDEX('Müşteriler'!$C$2:$C$101,MATCH(F235,'Müşteriler'!$A$2:$A$101,0)),""))</ns0:f>
        <ns0:v/>
      </ns0:c>
      <ns0:c r="H235" s="28" t="str">
        <ns0:f>IF(A235="","",IF(C235&lt;=0,"Satış dışı",IF(OR(F235="",G235=""),"Eşleşmedi","Eşleşti")))</ns0:f>
        <ns0:v/>
      </ns0:c>
      <ns0:c r="I235" s="28">
        <ns0:f>I234+IF(AND(H235="Eşleşmedi",E235='Panel'!$B$4),1,0)</ns0:f>
        <ns0:v>3.0</ns0:v>
      </ns0:c>
    </ns0:row>
    <ns0:row r="236" ht="21" customHeight="1">
      <ns0:c r="A236" s="25" t="n"/>
      <ns0:c r="B236" s="26" t="n"/>
      <ns0:c r="C236" s="27" t="n"/>
      <ns0:c r="D236" s="27" t="n"/>
      <ns0:c r="E236" s="28" t="str">
        <ns0:f>IF(A236="","",YEAR(A236)&amp;"-"&amp;RIGHT("0"&amp;MONTH(A236),2))</ns0:f>
        <ns0:v/>
      </ns0:c>
      <ns0:c r="F236" s="28" t="str">
        <ns0:f>IF(OR(A236="",B236="",C236&lt;=0),"",IF(SUMPRODUCT(('Müşteriler'!$B$2:$B$101&lt;&gt;"")*ISNUMBER(SEARCH('Müşteriler'!$B$2:$B$101,B236)))=1,IFERROR(INDEX('Müşteriler'!$A$2:$A$101,SUMPRODUCT(('Müşteriler'!$B$2:$B$101&lt;&gt;"")*ISNUMBER(SEARCH('Müşteriler'!$B$2:$B$101,B236)),ROW('Müşteriler'!$B$2:$B$101)-ROW('Müşteriler'!$B$2)+1)),""),""))</ns0:f>
        <ns0:v/>
      </ns0:c>
      <ns0:c r="G236" s="28" t="str">
        <ns0:f>IF(F236="","",IFERROR(INDEX('Müşteriler'!$C$2:$C$101,MATCH(F236,'Müşteriler'!$A$2:$A$101,0)),""))</ns0:f>
        <ns0:v/>
      </ns0:c>
      <ns0:c r="H236" s="28" t="str">
        <ns0:f>IF(A236="","",IF(C236&lt;=0,"Satış dışı",IF(OR(F236="",G236=""),"Eşleşmedi","Eşleşti")))</ns0:f>
        <ns0:v/>
      </ns0:c>
      <ns0:c r="I236" s="28">
        <ns0:f>I235+IF(AND(H236="Eşleşmedi",E236='Panel'!$B$4),1,0)</ns0:f>
        <ns0:v>3.0</ns0:v>
      </ns0:c>
    </ns0:row>
    <ns0:row r="237" ht="21" customHeight="1">
      <ns0:c r="A237" s="25" t="n"/>
      <ns0:c r="B237" s="26" t="n"/>
      <ns0:c r="C237" s="27" t="n"/>
      <ns0:c r="D237" s="27" t="n"/>
      <ns0:c r="E237" s="28" t="str">
        <ns0:f>IF(A237="","",YEAR(A237)&amp;"-"&amp;RIGHT("0"&amp;MONTH(A237),2))</ns0:f>
        <ns0:v/>
      </ns0:c>
      <ns0:c r="F237" s="28" t="str">
        <ns0:f>IF(OR(A237="",B237="",C237&lt;=0),"",IF(SUMPRODUCT(('Müşteriler'!$B$2:$B$101&lt;&gt;"")*ISNUMBER(SEARCH('Müşteriler'!$B$2:$B$101,B237)))=1,IFERROR(INDEX('Müşteriler'!$A$2:$A$101,SUMPRODUCT(('Müşteriler'!$B$2:$B$101&lt;&gt;"")*ISNUMBER(SEARCH('Müşteriler'!$B$2:$B$101,B237)),ROW('Müşteriler'!$B$2:$B$101)-ROW('Müşteriler'!$B$2)+1)),""),""))</ns0:f>
        <ns0:v/>
      </ns0:c>
      <ns0:c r="G237" s="28" t="str">
        <ns0:f>IF(F237="","",IFERROR(INDEX('Müşteriler'!$C$2:$C$101,MATCH(F237,'Müşteriler'!$A$2:$A$101,0)),""))</ns0:f>
        <ns0:v/>
      </ns0:c>
      <ns0:c r="H237" s="28" t="str">
        <ns0:f>IF(A237="","",IF(C237&lt;=0,"Satış dışı",IF(OR(F237="",G237=""),"Eşleşmedi","Eşleşti")))</ns0:f>
        <ns0:v/>
      </ns0:c>
      <ns0:c r="I237" s="28">
        <ns0:f>I236+IF(AND(H237="Eşleşmedi",E237='Panel'!$B$4),1,0)</ns0:f>
        <ns0:v>3.0</ns0:v>
      </ns0:c>
    </ns0:row>
    <ns0:row r="238" ht="21" customHeight="1">
      <ns0:c r="A238" s="25" t="n"/>
      <ns0:c r="B238" s="26" t="n"/>
      <ns0:c r="C238" s="27" t="n"/>
      <ns0:c r="D238" s="27" t="n"/>
      <ns0:c r="E238" s="28" t="str">
        <ns0:f>IF(A238="","",YEAR(A238)&amp;"-"&amp;RIGHT("0"&amp;MONTH(A238),2))</ns0:f>
        <ns0:v/>
      </ns0:c>
      <ns0:c r="F238" s="28" t="str">
        <ns0:f>IF(OR(A238="",B238="",C238&lt;=0),"",IF(SUMPRODUCT(('Müşteriler'!$B$2:$B$101&lt;&gt;"")*ISNUMBER(SEARCH('Müşteriler'!$B$2:$B$101,B238)))=1,IFERROR(INDEX('Müşteriler'!$A$2:$A$101,SUMPRODUCT(('Müşteriler'!$B$2:$B$101&lt;&gt;"")*ISNUMBER(SEARCH('Müşteriler'!$B$2:$B$101,B238)),ROW('Müşteriler'!$B$2:$B$101)-ROW('Müşteriler'!$B$2)+1)),""),""))</ns0:f>
        <ns0:v/>
      </ns0:c>
      <ns0:c r="G238" s="28" t="str">
        <ns0:f>IF(F238="","",IFERROR(INDEX('Müşteriler'!$C$2:$C$101,MATCH(F238,'Müşteriler'!$A$2:$A$101,0)),""))</ns0:f>
        <ns0:v/>
      </ns0:c>
      <ns0:c r="H238" s="28" t="str">
        <ns0:f>IF(A238="","",IF(C238&lt;=0,"Satış dışı",IF(OR(F238="",G238=""),"Eşleşmedi","Eşleşti")))</ns0:f>
        <ns0:v/>
      </ns0:c>
      <ns0:c r="I238" s="28">
        <ns0:f>I237+IF(AND(H238="Eşleşmedi",E238='Panel'!$B$4),1,0)</ns0:f>
        <ns0:v>3.0</ns0:v>
      </ns0:c>
    </ns0:row>
    <ns0:row r="239" ht="21" customHeight="1">
      <ns0:c r="A239" s="25" t="n"/>
      <ns0:c r="B239" s="26" t="n"/>
      <ns0:c r="C239" s="27" t="n"/>
      <ns0:c r="D239" s="27" t="n"/>
      <ns0:c r="E239" s="28" t="str">
        <ns0:f>IF(A239="","",YEAR(A239)&amp;"-"&amp;RIGHT("0"&amp;MONTH(A239),2))</ns0:f>
        <ns0:v/>
      </ns0:c>
      <ns0:c r="F239" s="28" t="str">
        <ns0:f>IF(OR(A239="",B239="",C239&lt;=0),"",IF(SUMPRODUCT(('Müşteriler'!$B$2:$B$101&lt;&gt;"")*ISNUMBER(SEARCH('Müşteriler'!$B$2:$B$101,B239)))=1,IFERROR(INDEX('Müşteriler'!$A$2:$A$101,SUMPRODUCT(('Müşteriler'!$B$2:$B$101&lt;&gt;"")*ISNUMBER(SEARCH('Müşteriler'!$B$2:$B$101,B239)),ROW('Müşteriler'!$B$2:$B$101)-ROW('Müşteriler'!$B$2)+1)),""),""))</ns0:f>
        <ns0:v/>
      </ns0:c>
      <ns0:c r="G239" s="28" t="str">
        <ns0:f>IF(F239="","",IFERROR(INDEX('Müşteriler'!$C$2:$C$101,MATCH(F239,'Müşteriler'!$A$2:$A$101,0)),""))</ns0:f>
        <ns0:v/>
      </ns0:c>
      <ns0:c r="H239" s="28" t="str">
        <ns0:f>IF(A239="","",IF(C239&lt;=0,"Satış dışı",IF(OR(F239="",G239=""),"Eşleşmedi","Eşleşti")))</ns0:f>
        <ns0:v/>
      </ns0:c>
      <ns0:c r="I239" s="28">
        <ns0:f>I238+IF(AND(H239="Eşleşmedi",E239='Panel'!$B$4),1,0)</ns0:f>
        <ns0:v>3.0</ns0:v>
      </ns0:c>
    </ns0:row>
    <ns0:row r="240" ht="21" customHeight="1">
      <ns0:c r="A240" s="25" t="n"/>
      <ns0:c r="B240" s="26" t="n"/>
      <ns0:c r="C240" s="27" t="n"/>
      <ns0:c r="D240" s="27" t="n"/>
      <ns0:c r="E240" s="28" t="str">
        <ns0:f>IF(A240="","",YEAR(A240)&amp;"-"&amp;RIGHT("0"&amp;MONTH(A240),2))</ns0:f>
        <ns0:v/>
      </ns0:c>
      <ns0:c r="F240" s="28" t="str">
        <ns0:f>IF(OR(A240="",B240="",C240&lt;=0),"",IF(SUMPRODUCT(('Müşteriler'!$B$2:$B$101&lt;&gt;"")*ISNUMBER(SEARCH('Müşteriler'!$B$2:$B$101,B240)))=1,IFERROR(INDEX('Müşteriler'!$A$2:$A$101,SUMPRODUCT(('Müşteriler'!$B$2:$B$101&lt;&gt;"")*ISNUMBER(SEARCH('Müşteriler'!$B$2:$B$101,B240)),ROW('Müşteriler'!$B$2:$B$101)-ROW('Müşteriler'!$B$2)+1)),""),""))</ns0:f>
        <ns0:v/>
      </ns0:c>
      <ns0:c r="G240" s="28" t="str">
        <ns0:f>IF(F240="","",IFERROR(INDEX('Müşteriler'!$C$2:$C$101,MATCH(F240,'Müşteriler'!$A$2:$A$101,0)),""))</ns0:f>
        <ns0:v/>
      </ns0:c>
      <ns0:c r="H240" s="28" t="str">
        <ns0:f>IF(A240="","",IF(C240&lt;=0,"Satış dışı",IF(OR(F240="",G240=""),"Eşleşmedi","Eşleşti")))</ns0:f>
        <ns0:v/>
      </ns0:c>
      <ns0:c r="I240" s="28">
        <ns0:f>I239+IF(AND(H240="Eşleşmedi",E240='Panel'!$B$4),1,0)</ns0:f>
        <ns0:v>3.0</ns0:v>
      </ns0:c>
    </ns0:row>
    <ns0:row r="241" ht="21" customHeight="1">
      <ns0:c r="A241" s="25" t="n"/>
      <ns0:c r="B241" s="26" t="n"/>
      <ns0:c r="C241" s="27" t="n"/>
      <ns0:c r="D241" s="27" t="n"/>
      <ns0:c r="E241" s="28" t="str">
        <ns0:f>IF(A241="","",YEAR(A241)&amp;"-"&amp;RIGHT("0"&amp;MONTH(A241),2))</ns0:f>
        <ns0:v/>
      </ns0:c>
      <ns0:c r="F241" s="28" t="str">
        <ns0:f>IF(OR(A241="",B241="",C241&lt;=0),"",IF(SUMPRODUCT(('Müşteriler'!$B$2:$B$101&lt;&gt;"")*ISNUMBER(SEARCH('Müşteriler'!$B$2:$B$101,B241)))=1,IFERROR(INDEX('Müşteriler'!$A$2:$A$101,SUMPRODUCT(('Müşteriler'!$B$2:$B$101&lt;&gt;"")*ISNUMBER(SEARCH('Müşteriler'!$B$2:$B$101,B241)),ROW('Müşteriler'!$B$2:$B$101)-ROW('Müşteriler'!$B$2)+1)),""),""))</ns0:f>
        <ns0:v/>
      </ns0:c>
      <ns0:c r="G241" s="28" t="str">
        <ns0:f>IF(F241="","",IFERROR(INDEX('Müşteriler'!$C$2:$C$101,MATCH(F241,'Müşteriler'!$A$2:$A$101,0)),""))</ns0:f>
        <ns0:v/>
      </ns0:c>
      <ns0:c r="H241" s="28" t="str">
        <ns0:f>IF(A241="","",IF(C241&lt;=0,"Satış dışı",IF(OR(F241="",G241=""),"Eşleşmedi","Eşleşti")))</ns0:f>
        <ns0:v/>
      </ns0:c>
      <ns0:c r="I241" s="28">
        <ns0:f>I240+IF(AND(H241="Eşleşmedi",E241='Panel'!$B$4),1,0)</ns0:f>
        <ns0:v>3.0</ns0:v>
      </ns0:c>
    </ns0:row>
    <ns0:row r="242" ht="21" customHeight="1">
      <ns0:c r="A242" s="25" t="n"/>
      <ns0:c r="B242" s="26" t="n"/>
      <ns0:c r="C242" s="27" t="n"/>
      <ns0:c r="D242" s="27" t="n"/>
      <ns0:c r="E242" s="28" t="str">
        <ns0:f>IF(A242="","",YEAR(A242)&amp;"-"&amp;RIGHT("0"&amp;MONTH(A242),2))</ns0:f>
        <ns0:v/>
      </ns0:c>
      <ns0:c r="F242" s="28" t="str">
        <ns0:f>IF(OR(A242="",B242="",C242&lt;=0),"",IF(SUMPRODUCT(('Müşteriler'!$B$2:$B$101&lt;&gt;"")*ISNUMBER(SEARCH('Müşteriler'!$B$2:$B$101,B242)))=1,IFERROR(INDEX('Müşteriler'!$A$2:$A$101,SUMPRODUCT(('Müşteriler'!$B$2:$B$101&lt;&gt;"")*ISNUMBER(SEARCH('Müşteriler'!$B$2:$B$101,B242)),ROW('Müşteriler'!$B$2:$B$101)-ROW('Müşteriler'!$B$2)+1)),""),""))</ns0:f>
        <ns0:v/>
      </ns0:c>
      <ns0:c r="G242" s="28" t="str">
        <ns0:f>IF(F242="","",IFERROR(INDEX('Müşteriler'!$C$2:$C$101,MATCH(F242,'Müşteriler'!$A$2:$A$101,0)),""))</ns0:f>
        <ns0:v/>
      </ns0:c>
      <ns0:c r="H242" s="28" t="str">
        <ns0:f>IF(A242="","",IF(C242&lt;=0,"Satış dışı",IF(OR(F242="",G242=""),"Eşleşmedi","Eşleşti")))</ns0:f>
        <ns0:v/>
      </ns0:c>
      <ns0:c r="I242" s="28">
        <ns0:f>I241+IF(AND(H242="Eşleşmedi",E242='Panel'!$B$4),1,0)</ns0:f>
        <ns0:v>3.0</ns0:v>
      </ns0:c>
    </ns0:row>
    <ns0:row r="243" ht="21" customHeight="1">
      <ns0:c r="A243" s="25" t="n"/>
      <ns0:c r="B243" s="26" t="n"/>
      <ns0:c r="C243" s="27" t="n"/>
      <ns0:c r="D243" s="27" t="n"/>
      <ns0:c r="E243" s="28" t="str">
        <ns0:f>IF(A243="","",YEAR(A243)&amp;"-"&amp;RIGHT("0"&amp;MONTH(A243),2))</ns0:f>
        <ns0:v/>
      </ns0:c>
      <ns0:c r="F243" s="28" t="str">
        <ns0:f>IF(OR(A243="",B243="",C243&lt;=0),"",IF(SUMPRODUCT(('Müşteriler'!$B$2:$B$101&lt;&gt;"")*ISNUMBER(SEARCH('Müşteriler'!$B$2:$B$101,B243)))=1,IFERROR(INDEX('Müşteriler'!$A$2:$A$101,SUMPRODUCT(('Müşteriler'!$B$2:$B$101&lt;&gt;"")*ISNUMBER(SEARCH('Müşteriler'!$B$2:$B$101,B243)),ROW('Müşteriler'!$B$2:$B$101)-ROW('Müşteriler'!$B$2)+1)),""),""))</ns0:f>
        <ns0:v/>
      </ns0:c>
      <ns0:c r="G243" s="28" t="str">
        <ns0:f>IF(F243="","",IFERROR(INDEX('Müşteriler'!$C$2:$C$101,MATCH(F243,'Müşteriler'!$A$2:$A$101,0)),""))</ns0:f>
        <ns0:v/>
      </ns0:c>
      <ns0:c r="H243" s="28" t="str">
        <ns0:f>IF(A243="","",IF(C243&lt;=0,"Satış dışı",IF(OR(F243="",G243=""),"Eşleşmedi","Eşleşti")))</ns0:f>
        <ns0:v/>
      </ns0:c>
      <ns0:c r="I243" s="28">
        <ns0:f>I242+IF(AND(H243="Eşleşmedi",E243='Panel'!$B$4),1,0)</ns0:f>
        <ns0:v>3.0</ns0:v>
      </ns0:c>
    </ns0:row>
    <ns0:row r="244" ht="21" customHeight="1">
      <ns0:c r="A244" s="25" t="n"/>
      <ns0:c r="B244" s="26" t="n"/>
      <ns0:c r="C244" s="27" t="n"/>
      <ns0:c r="D244" s="27" t="n"/>
      <ns0:c r="E244" s="28" t="str">
        <ns0:f>IF(A244="","",YEAR(A244)&amp;"-"&amp;RIGHT("0"&amp;MONTH(A244),2))</ns0:f>
        <ns0:v/>
      </ns0:c>
      <ns0:c r="F244" s="28" t="str">
        <ns0:f>IF(OR(A244="",B244="",C244&lt;=0),"",IF(SUMPRODUCT(('Müşteriler'!$B$2:$B$101&lt;&gt;"")*ISNUMBER(SEARCH('Müşteriler'!$B$2:$B$101,B244)))=1,IFERROR(INDEX('Müşteriler'!$A$2:$A$101,SUMPRODUCT(('Müşteriler'!$B$2:$B$101&lt;&gt;"")*ISNUMBER(SEARCH('Müşteriler'!$B$2:$B$101,B244)),ROW('Müşteriler'!$B$2:$B$101)-ROW('Müşteriler'!$B$2)+1)),""),""))</ns0:f>
        <ns0:v/>
      </ns0:c>
      <ns0:c r="G244" s="28" t="str">
        <ns0:f>IF(F244="","",IFERROR(INDEX('Müşteriler'!$C$2:$C$101,MATCH(F244,'Müşteriler'!$A$2:$A$101,0)),""))</ns0:f>
        <ns0:v/>
      </ns0:c>
      <ns0:c r="H244" s="28" t="str">
        <ns0:f>IF(A244="","",IF(C244&lt;=0,"Satış dışı",IF(OR(F244="",G244=""),"Eşleşmedi","Eşleşti")))</ns0:f>
        <ns0:v/>
      </ns0:c>
      <ns0:c r="I244" s="28">
        <ns0:f>I243+IF(AND(H244="Eşleşmedi",E244='Panel'!$B$4),1,0)</ns0:f>
        <ns0:v>3.0</ns0:v>
      </ns0:c>
    </ns0:row>
    <ns0:row r="245" ht="21" customHeight="1">
      <ns0:c r="A245" s="25" t="n"/>
      <ns0:c r="B245" s="26" t="n"/>
      <ns0:c r="C245" s="27" t="n"/>
      <ns0:c r="D245" s="27" t="n"/>
      <ns0:c r="E245" s="28" t="str">
        <ns0:f>IF(A245="","",YEAR(A245)&amp;"-"&amp;RIGHT("0"&amp;MONTH(A245),2))</ns0:f>
        <ns0:v/>
      </ns0:c>
      <ns0:c r="F245" s="28" t="str">
        <ns0:f>IF(OR(A245="",B245="",C245&lt;=0),"",IF(SUMPRODUCT(('Müşteriler'!$B$2:$B$101&lt;&gt;"")*ISNUMBER(SEARCH('Müşteriler'!$B$2:$B$101,B245)))=1,IFERROR(INDEX('Müşteriler'!$A$2:$A$101,SUMPRODUCT(('Müşteriler'!$B$2:$B$101&lt;&gt;"")*ISNUMBER(SEARCH('Müşteriler'!$B$2:$B$101,B245)),ROW('Müşteriler'!$B$2:$B$101)-ROW('Müşteriler'!$B$2)+1)),""),""))</ns0:f>
        <ns0:v/>
      </ns0:c>
      <ns0:c r="G245" s="28" t="str">
        <ns0:f>IF(F245="","",IFERROR(INDEX('Müşteriler'!$C$2:$C$101,MATCH(F245,'Müşteriler'!$A$2:$A$101,0)),""))</ns0:f>
        <ns0:v/>
      </ns0:c>
      <ns0:c r="H245" s="28" t="str">
        <ns0:f>IF(A245="","",IF(C245&lt;=0,"Satış dışı",IF(OR(F245="",G245=""),"Eşleşmedi","Eşleşti")))</ns0:f>
        <ns0:v/>
      </ns0:c>
      <ns0:c r="I245" s="28">
        <ns0:f>I244+IF(AND(H245="Eşleşmedi",E245='Panel'!$B$4),1,0)</ns0:f>
        <ns0:v>3.0</ns0:v>
      </ns0:c>
    </ns0:row>
    <ns0:row r="246" ht="21" customHeight="1">
      <ns0:c r="A246" s="25" t="n"/>
      <ns0:c r="B246" s="26" t="n"/>
      <ns0:c r="C246" s="27" t="n"/>
      <ns0:c r="D246" s="27" t="n"/>
      <ns0:c r="E246" s="28" t="str">
        <ns0:f>IF(A246="","",YEAR(A246)&amp;"-"&amp;RIGHT("0"&amp;MONTH(A246),2))</ns0:f>
        <ns0:v/>
      </ns0:c>
      <ns0:c r="F246" s="28" t="str">
        <ns0:f>IF(OR(A246="",B246="",C246&lt;=0),"",IF(SUMPRODUCT(('Müşteriler'!$B$2:$B$101&lt;&gt;"")*ISNUMBER(SEARCH('Müşteriler'!$B$2:$B$101,B246)))=1,IFERROR(INDEX('Müşteriler'!$A$2:$A$101,SUMPRODUCT(('Müşteriler'!$B$2:$B$101&lt;&gt;"")*ISNUMBER(SEARCH('Müşteriler'!$B$2:$B$101,B246)),ROW('Müşteriler'!$B$2:$B$101)-ROW('Müşteriler'!$B$2)+1)),""),""))</ns0:f>
        <ns0:v/>
      </ns0:c>
      <ns0:c r="G246" s="28" t="str">
        <ns0:f>IF(F246="","",IFERROR(INDEX('Müşteriler'!$C$2:$C$101,MATCH(F246,'Müşteriler'!$A$2:$A$101,0)),""))</ns0:f>
        <ns0:v/>
      </ns0:c>
      <ns0:c r="H246" s="28" t="str">
        <ns0:f>IF(A246="","",IF(C246&lt;=0,"Satış dışı",IF(OR(F246="",G246=""),"Eşleşmedi","Eşleşti")))</ns0:f>
        <ns0:v/>
      </ns0:c>
      <ns0:c r="I246" s="28">
        <ns0:f>I245+IF(AND(H246="Eşleşmedi",E246='Panel'!$B$4),1,0)</ns0:f>
        <ns0:v>3.0</ns0:v>
      </ns0:c>
    </ns0:row>
    <ns0:row r="247" ht="21" customHeight="1">
      <ns0:c r="A247" s="25" t="n"/>
      <ns0:c r="B247" s="26" t="n"/>
      <ns0:c r="C247" s="27" t="n"/>
      <ns0:c r="D247" s="27" t="n"/>
      <ns0:c r="E247" s="28" t="str">
        <ns0:f>IF(A247="","",YEAR(A247)&amp;"-"&amp;RIGHT("0"&amp;MONTH(A247),2))</ns0:f>
        <ns0:v/>
      </ns0:c>
      <ns0:c r="F247" s="28" t="str">
        <ns0:f>IF(OR(A247="",B247="",C247&lt;=0),"",IF(SUMPRODUCT(('Müşteriler'!$B$2:$B$101&lt;&gt;"")*ISNUMBER(SEARCH('Müşteriler'!$B$2:$B$101,B247)))=1,IFERROR(INDEX('Müşteriler'!$A$2:$A$101,SUMPRODUCT(('Müşteriler'!$B$2:$B$101&lt;&gt;"")*ISNUMBER(SEARCH('Müşteriler'!$B$2:$B$101,B247)),ROW('Müşteriler'!$B$2:$B$101)-ROW('Müşteriler'!$B$2)+1)),""),""))</ns0:f>
        <ns0:v/>
      </ns0:c>
      <ns0:c r="G247" s="28" t="str">
        <ns0:f>IF(F247="","",IFERROR(INDEX('Müşteriler'!$C$2:$C$101,MATCH(F247,'Müşteriler'!$A$2:$A$101,0)),""))</ns0:f>
        <ns0:v/>
      </ns0:c>
      <ns0:c r="H247" s="28" t="str">
        <ns0:f>IF(A247="","",IF(C247&lt;=0,"Satış dışı",IF(OR(F247="",G247=""),"Eşleşmedi","Eşleşti")))</ns0:f>
        <ns0:v/>
      </ns0:c>
      <ns0:c r="I247" s="28">
        <ns0:f>I246+IF(AND(H247="Eşleşmedi",E247='Panel'!$B$4),1,0)</ns0:f>
        <ns0:v>3.0</ns0:v>
      </ns0:c>
    </ns0:row>
    <ns0:row r="248" ht="21" customHeight="1">
      <ns0:c r="A248" s="25" t="n"/>
      <ns0:c r="B248" s="26" t="n"/>
      <ns0:c r="C248" s="27" t="n"/>
      <ns0:c r="D248" s="27" t="n"/>
      <ns0:c r="E248" s="28" t="str">
        <ns0:f>IF(A248="","",YEAR(A248)&amp;"-"&amp;RIGHT("0"&amp;MONTH(A248),2))</ns0:f>
        <ns0:v/>
      </ns0:c>
      <ns0:c r="F248" s="28" t="str">
        <ns0:f>IF(OR(A248="",B248="",C248&lt;=0),"",IF(SUMPRODUCT(('Müşteriler'!$B$2:$B$101&lt;&gt;"")*ISNUMBER(SEARCH('Müşteriler'!$B$2:$B$101,B248)))=1,IFERROR(INDEX('Müşteriler'!$A$2:$A$101,SUMPRODUCT(('Müşteriler'!$B$2:$B$101&lt;&gt;"")*ISNUMBER(SEARCH('Müşteriler'!$B$2:$B$101,B248)),ROW('Müşteriler'!$B$2:$B$101)-ROW('Müşteriler'!$B$2)+1)),""),""))</ns0:f>
        <ns0:v/>
      </ns0:c>
      <ns0:c r="G248" s="28" t="str">
        <ns0:f>IF(F248="","",IFERROR(INDEX('Müşteriler'!$C$2:$C$101,MATCH(F248,'Müşteriler'!$A$2:$A$101,0)),""))</ns0:f>
        <ns0:v/>
      </ns0:c>
      <ns0:c r="H248" s="28" t="str">
        <ns0:f>IF(A248="","",IF(C248&lt;=0,"Satış dışı",IF(OR(F248="",G248=""),"Eşleşmedi","Eşleşti")))</ns0:f>
        <ns0:v/>
      </ns0:c>
      <ns0:c r="I248" s="28">
        <ns0:f>I247+IF(AND(H248="Eşleşmedi",E248='Panel'!$B$4),1,0)</ns0:f>
        <ns0:v>3.0</ns0:v>
      </ns0:c>
    </ns0:row>
    <ns0:row r="249" ht="21" customHeight="1">
      <ns0:c r="A249" s="25" t="n"/>
      <ns0:c r="B249" s="26" t="n"/>
      <ns0:c r="C249" s="27" t="n"/>
      <ns0:c r="D249" s="27" t="n"/>
      <ns0:c r="E249" s="28" t="str">
        <ns0:f>IF(A249="","",YEAR(A249)&amp;"-"&amp;RIGHT("0"&amp;MONTH(A249),2))</ns0:f>
        <ns0:v/>
      </ns0:c>
      <ns0:c r="F249" s="28" t="str">
        <ns0:f>IF(OR(A249="",B249="",C249&lt;=0),"",IF(SUMPRODUCT(('Müşteriler'!$B$2:$B$101&lt;&gt;"")*ISNUMBER(SEARCH('Müşteriler'!$B$2:$B$101,B249)))=1,IFERROR(INDEX('Müşteriler'!$A$2:$A$101,SUMPRODUCT(('Müşteriler'!$B$2:$B$101&lt;&gt;"")*ISNUMBER(SEARCH('Müşteriler'!$B$2:$B$101,B249)),ROW('Müşteriler'!$B$2:$B$101)-ROW('Müşteriler'!$B$2)+1)),""),""))</ns0:f>
        <ns0:v/>
      </ns0:c>
      <ns0:c r="G249" s="28" t="str">
        <ns0:f>IF(F249="","",IFERROR(INDEX('Müşteriler'!$C$2:$C$101,MATCH(F249,'Müşteriler'!$A$2:$A$101,0)),""))</ns0:f>
        <ns0:v/>
      </ns0:c>
      <ns0:c r="H249" s="28" t="str">
        <ns0:f>IF(A249="","",IF(C249&lt;=0,"Satış dışı",IF(OR(F249="",G249=""),"Eşleşmedi","Eşleşti")))</ns0:f>
        <ns0:v/>
      </ns0:c>
      <ns0:c r="I249" s="28">
        <ns0:f>I248+IF(AND(H249="Eşleşmedi",E249='Panel'!$B$4),1,0)</ns0:f>
        <ns0:v>3.0</ns0:v>
      </ns0:c>
    </ns0:row>
    <ns0:row r="250" ht="21" customHeight="1">
      <ns0:c r="A250" s="25" t="n"/>
      <ns0:c r="B250" s="26" t="n"/>
      <ns0:c r="C250" s="27" t="n"/>
      <ns0:c r="D250" s="27" t="n"/>
      <ns0:c r="E250" s="28" t="str">
        <ns0:f>IF(A250="","",YEAR(A250)&amp;"-"&amp;RIGHT("0"&amp;MONTH(A250),2))</ns0:f>
        <ns0:v/>
      </ns0:c>
      <ns0:c r="F250" s="28" t="str">
        <ns0:f>IF(OR(A250="",B250="",C250&lt;=0),"",IF(SUMPRODUCT(('Müşteriler'!$B$2:$B$101&lt;&gt;"")*ISNUMBER(SEARCH('Müşteriler'!$B$2:$B$101,B250)))=1,IFERROR(INDEX('Müşteriler'!$A$2:$A$101,SUMPRODUCT(('Müşteriler'!$B$2:$B$101&lt;&gt;"")*ISNUMBER(SEARCH('Müşteriler'!$B$2:$B$101,B250)),ROW('Müşteriler'!$B$2:$B$101)-ROW('Müşteriler'!$B$2)+1)),""),""))</ns0:f>
        <ns0:v/>
      </ns0:c>
      <ns0:c r="G250" s="28" t="str">
        <ns0:f>IF(F250="","",IFERROR(INDEX('Müşteriler'!$C$2:$C$101,MATCH(F250,'Müşteriler'!$A$2:$A$101,0)),""))</ns0:f>
        <ns0:v/>
      </ns0:c>
      <ns0:c r="H250" s="28" t="str">
        <ns0:f>IF(A250="","",IF(C250&lt;=0,"Satış dışı",IF(OR(F250="",G250=""),"Eşleşmedi","Eşleşti")))</ns0:f>
        <ns0:v/>
      </ns0:c>
      <ns0:c r="I250" s="28">
        <ns0:f>I249+IF(AND(H250="Eşleşmedi",E250='Panel'!$B$4),1,0)</ns0:f>
        <ns0:v>3.0</ns0:v>
      </ns0:c>
    </ns0:row>
    <ns0:row r="251" ht="21" customHeight="1">
      <ns0:c r="A251" s="25" t="n"/>
      <ns0:c r="B251" s="26" t="n"/>
      <ns0:c r="C251" s="27" t="n"/>
      <ns0:c r="D251" s="27" t="n"/>
      <ns0:c r="E251" s="28" t="str">
        <ns0:f>IF(A251="","",YEAR(A251)&amp;"-"&amp;RIGHT("0"&amp;MONTH(A251),2))</ns0:f>
        <ns0:v/>
      </ns0:c>
      <ns0:c r="F251" s="28" t="str">
        <ns0:f>IF(OR(A251="",B251="",C251&lt;=0),"",IF(SUMPRODUCT(('Müşteriler'!$B$2:$B$101&lt;&gt;"")*ISNUMBER(SEARCH('Müşteriler'!$B$2:$B$101,B251)))=1,IFERROR(INDEX('Müşteriler'!$A$2:$A$101,SUMPRODUCT(('Müşteriler'!$B$2:$B$101&lt;&gt;"")*ISNUMBER(SEARCH('Müşteriler'!$B$2:$B$101,B251)),ROW('Müşteriler'!$B$2:$B$101)-ROW('Müşteriler'!$B$2)+1)),""),""))</ns0:f>
        <ns0:v/>
      </ns0:c>
      <ns0:c r="G251" s="28" t="str">
        <ns0:f>IF(F251="","",IFERROR(INDEX('Müşteriler'!$C$2:$C$101,MATCH(F251,'Müşteriler'!$A$2:$A$101,0)),""))</ns0:f>
        <ns0:v/>
      </ns0:c>
      <ns0:c r="H251" s="28" t="str">
        <ns0:f>IF(A251="","",IF(C251&lt;=0,"Satış dışı",IF(OR(F251="",G251=""),"Eşleşmedi","Eşleşti")))</ns0:f>
        <ns0:v/>
      </ns0:c>
      <ns0:c r="I251" s="28">
        <ns0:f>I250+IF(AND(H251="Eşleşmedi",E251='Panel'!$B$4),1,0)</ns0:f>
        <ns0:v>3.0</ns0:v>
      </ns0:c>
    </ns0:row>
    <ns0:row r="252" ht="21" customHeight="1">
      <ns0:c r="A252" s="25" t="n"/>
      <ns0:c r="B252" s="26" t="n"/>
      <ns0:c r="C252" s="27" t="n"/>
      <ns0:c r="D252" s="27" t="n"/>
      <ns0:c r="E252" s="28" t="str">
        <ns0:f>IF(A252="","",YEAR(A252)&amp;"-"&amp;RIGHT("0"&amp;MONTH(A252),2))</ns0:f>
        <ns0:v/>
      </ns0:c>
      <ns0:c r="F252" s="28" t="str">
        <ns0:f>IF(OR(A252="",B252="",C252&lt;=0),"",IF(SUMPRODUCT(('Müşteriler'!$B$2:$B$101&lt;&gt;"")*ISNUMBER(SEARCH('Müşteriler'!$B$2:$B$101,B252)))=1,IFERROR(INDEX('Müşteriler'!$A$2:$A$101,SUMPRODUCT(('Müşteriler'!$B$2:$B$101&lt;&gt;"")*ISNUMBER(SEARCH('Müşteriler'!$B$2:$B$101,B252)),ROW('Müşteriler'!$B$2:$B$101)-ROW('Müşteriler'!$B$2)+1)),""),""))</ns0:f>
        <ns0:v/>
      </ns0:c>
      <ns0:c r="G252" s="28" t="str">
        <ns0:f>IF(F252="","",IFERROR(INDEX('Müşteriler'!$C$2:$C$101,MATCH(F252,'Müşteriler'!$A$2:$A$101,0)),""))</ns0:f>
        <ns0:v/>
      </ns0:c>
      <ns0:c r="H252" s="28" t="str">
        <ns0:f>IF(A252="","",IF(C252&lt;=0,"Satış dışı",IF(OR(F252="",G252=""),"Eşleşmedi","Eşleşti")))</ns0:f>
        <ns0:v/>
      </ns0:c>
      <ns0:c r="I252" s="28">
        <ns0:f>I251+IF(AND(H252="Eşleşmedi",E252='Panel'!$B$4),1,0)</ns0:f>
        <ns0:v>3.0</ns0:v>
      </ns0:c>
    </ns0:row>
    <ns0:row r="253" ht="21" customHeight="1">
      <ns0:c r="A253" s="25" t="n"/>
      <ns0:c r="B253" s="26" t="n"/>
      <ns0:c r="C253" s="27" t="n"/>
      <ns0:c r="D253" s="27" t="n"/>
      <ns0:c r="E253" s="28" t="str">
        <ns0:f>IF(A253="","",YEAR(A253)&amp;"-"&amp;RIGHT("0"&amp;MONTH(A253),2))</ns0:f>
        <ns0:v/>
      </ns0:c>
      <ns0:c r="F253" s="28" t="str">
        <ns0:f>IF(OR(A253="",B253="",C253&lt;=0),"",IF(SUMPRODUCT(('Müşteriler'!$B$2:$B$101&lt;&gt;"")*ISNUMBER(SEARCH('Müşteriler'!$B$2:$B$101,B253)))=1,IFERROR(INDEX('Müşteriler'!$A$2:$A$101,SUMPRODUCT(('Müşteriler'!$B$2:$B$101&lt;&gt;"")*ISNUMBER(SEARCH('Müşteriler'!$B$2:$B$101,B253)),ROW('Müşteriler'!$B$2:$B$101)-ROW('Müşteriler'!$B$2)+1)),""),""))</ns0:f>
        <ns0:v/>
      </ns0:c>
      <ns0:c r="G253" s="28" t="str">
        <ns0:f>IF(F253="","",IFERROR(INDEX('Müşteriler'!$C$2:$C$101,MATCH(F253,'Müşteriler'!$A$2:$A$101,0)),""))</ns0:f>
        <ns0:v/>
      </ns0:c>
      <ns0:c r="H253" s="28" t="str">
        <ns0:f>IF(A253="","",IF(C253&lt;=0,"Satış dışı",IF(OR(F253="",G253=""),"Eşleşmedi","Eşleşti")))</ns0:f>
        <ns0:v/>
      </ns0:c>
      <ns0:c r="I253" s="28">
        <ns0:f>I252+IF(AND(H253="Eşleşmedi",E253='Panel'!$B$4),1,0)</ns0:f>
        <ns0:v>3.0</ns0:v>
      </ns0:c>
    </ns0:row>
    <ns0:row r="254" ht="21" customHeight="1">
      <ns0:c r="A254" s="25" t="n"/>
      <ns0:c r="B254" s="26" t="n"/>
      <ns0:c r="C254" s="27" t="n"/>
      <ns0:c r="D254" s="27" t="n"/>
      <ns0:c r="E254" s="28" t="str">
        <ns0:f>IF(A254="","",YEAR(A254)&amp;"-"&amp;RIGHT("0"&amp;MONTH(A254),2))</ns0:f>
        <ns0:v/>
      </ns0:c>
      <ns0:c r="F254" s="28" t="str">
        <ns0:f>IF(OR(A254="",B254="",C254&lt;=0),"",IF(SUMPRODUCT(('Müşteriler'!$B$2:$B$101&lt;&gt;"")*ISNUMBER(SEARCH('Müşteriler'!$B$2:$B$101,B254)))=1,IFERROR(INDEX('Müşteriler'!$A$2:$A$101,SUMPRODUCT(('Müşteriler'!$B$2:$B$101&lt;&gt;"")*ISNUMBER(SEARCH('Müşteriler'!$B$2:$B$101,B254)),ROW('Müşteriler'!$B$2:$B$101)-ROW('Müşteriler'!$B$2)+1)),""),""))</ns0:f>
        <ns0:v/>
      </ns0:c>
      <ns0:c r="G254" s="28" t="str">
        <ns0:f>IF(F254="","",IFERROR(INDEX('Müşteriler'!$C$2:$C$101,MATCH(F254,'Müşteriler'!$A$2:$A$101,0)),""))</ns0:f>
        <ns0:v/>
      </ns0:c>
      <ns0:c r="H254" s="28" t="str">
        <ns0:f>IF(A254="","",IF(C254&lt;=0,"Satış dışı",IF(OR(F254="",G254=""),"Eşleşmedi","Eşleşti")))</ns0:f>
        <ns0:v/>
      </ns0:c>
      <ns0:c r="I254" s="28">
        <ns0:f>I253+IF(AND(H254="Eşleşmedi",E254='Panel'!$B$4),1,0)</ns0:f>
        <ns0:v>3.0</ns0:v>
      </ns0:c>
    </ns0:row>
    <ns0:row r="255" ht="21" customHeight="1">
      <ns0:c r="A255" s="25" t="n"/>
      <ns0:c r="B255" s="26" t="n"/>
      <ns0:c r="C255" s="27" t="n"/>
      <ns0:c r="D255" s="27" t="n"/>
      <ns0:c r="E255" s="28" t="str">
        <ns0:f>IF(A255="","",YEAR(A255)&amp;"-"&amp;RIGHT("0"&amp;MONTH(A255),2))</ns0:f>
        <ns0:v/>
      </ns0:c>
      <ns0:c r="F255" s="28" t="str">
        <ns0:f>IF(OR(A255="",B255="",C255&lt;=0),"",IF(SUMPRODUCT(('Müşteriler'!$B$2:$B$101&lt;&gt;"")*ISNUMBER(SEARCH('Müşteriler'!$B$2:$B$101,B255)))=1,IFERROR(INDEX('Müşteriler'!$A$2:$A$101,SUMPRODUCT(('Müşteriler'!$B$2:$B$101&lt;&gt;"")*ISNUMBER(SEARCH('Müşteriler'!$B$2:$B$101,B255)),ROW('Müşteriler'!$B$2:$B$101)-ROW('Müşteriler'!$B$2)+1)),""),""))</ns0:f>
        <ns0:v/>
      </ns0:c>
      <ns0:c r="G255" s="28" t="str">
        <ns0:f>IF(F255="","",IFERROR(INDEX('Müşteriler'!$C$2:$C$101,MATCH(F255,'Müşteriler'!$A$2:$A$101,0)),""))</ns0:f>
        <ns0:v/>
      </ns0:c>
      <ns0:c r="H255" s="28" t="str">
        <ns0:f>IF(A255="","",IF(C255&lt;=0,"Satış dışı",IF(OR(F255="",G255=""),"Eşleşmedi","Eşleşti")))</ns0:f>
        <ns0:v/>
      </ns0:c>
      <ns0:c r="I255" s="28">
        <ns0:f>I254+IF(AND(H255="Eşleşmedi",E255='Panel'!$B$4),1,0)</ns0:f>
        <ns0:v>3.0</ns0:v>
      </ns0:c>
    </ns0:row>
    <ns0:row r="256" ht="21" customHeight="1">
      <ns0:c r="A256" s="25" t="n"/>
      <ns0:c r="B256" s="26" t="n"/>
      <ns0:c r="C256" s="27" t="n"/>
      <ns0:c r="D256" s="27" t="n"/>
      <ns0:c r="E256" s="28" t="str">
        <ns0:f>IF(A256="","",YEAR(A256)&amp;"-"&amp;RIGHT("0"&amp;MONTH(A256),2))</ns0:f>
        <ns0:v/>
      </ns0:c>
      <ns0:c r="F256" s="28" t="str">
        <ns0:f>IF(OR(A256="",B256="",C256&lt;=0),"",IF(SUMPRODUCT(('Müşteriler'!$B$2:$B$101&lt;&gt;"")*ISNUMBER(SEARCH('Müşteriler'!$B$2:$B$101,B256)))=1,IFERROR(INDEX('Müşteriler'!$A$2:$A$101,SUMPRODUCT(('Müşteriler'!$B$2:$B$101&lt;&gt;"")*ISNUMBER(SEARCH('Müşteriler'!$B$2:$B$101,B256)),ROW('Müşteriler'!$B$2:$B$101)-ROW('Müşteriler'!$B$2)+1)),""),""))</ns0:f>
        <ns0:v/>
      </ns0:c>
      <ns0:c r="G256" s="28" t="str">
        <ns0:f>IF(F256="","",IFERROR(INDEX('Müşteriler'!$C$2:$C$101,MATCH(F256,'Müşteriler'!$A$2:$A$101,0)),""))</ns0:f>
        <ns0:v/>
      </ns0:c>
      <ns0:c r="H256" s="28" t="str">
        <ns0:f>IF(A256="","",IF(C256&lt;=0,"Satış dışı",IF(OR(F256="",G256=""),"Eşleşmedi","Eşleşti")))</ns0:f>
        <ns0:v/>
      </ns0:c>
      <ns0:c r="I256" s="28">
        <ns0:f>I255+IF(AND(H256="Eşleşmedi",E256='Panel'!$B$4),1,0)</ns0:f>
        <ns0:v>3.0</ns0:v>
      </ns0:c>
    </ns0:row>
    <ns0:row r="257" ht="21" customHeight="1">
      <ns0:c r="A257" s="25" t="n"/>
      <ns0:c r="B257" s="26" t="n"/>
      <ns0:c r="C257" s="27" t="n"/>
      <ns0:c r="D257" s="27" t="n"/>
      <ns0:c r="E257" s="28" t="str">
        <ns0:f>IF(A257="","",YEAR(A257)&amp;"-"&amp;RIGHT("0"&amp;MONTH(A257),2))</ns0:f>
        <ns0:v/>
      </ns0:c>
      <ns0:c r="F257" s="28" t="str">
        <ns0:f>IF(OR(A257="",B257="",C257&lt;=0),"",IF(SUMPRODUCT(('Müşteriler'!$B$2:$B$101&lt;&gt;"")*ISNUMBER(SEARCH('Müşteriler'!$B$2:$B$101,B257)))=1,IFERROR(INDEX('Müşteriler'!$A$2:$A$101,SUMPRODUCT(('Müşteriler'!$B$2:$B$101&lt;&gt;"")*ISNUMBER(SEARCH('Müşteriler'!$B$2:$B$101,B257)),ROW('Müşteriler'!$B$2:$B$101)-ROW('Müşteriler'!$B$2)+1)),""),""))</ns0:f>
        <ns0:v/>
      </ns0:c>
      <ns0:c r="G257" s="28" t="str">
        <ns0:f>IF(F257="","",IFERROR(INDEX('Müşteriler'!$C$2:$C$101,MATCH(F257,'Müşteriler'!$A$2:$A$101,0)),""))</ns0:f>
        <ns0:v/>
      </ns0:c>
      <ns0:c r="H257" s="28" t="str">
        <ns0:f>IF(A257="","",IF(C257&lt;=0,"Satış dışı",IF(OR(F257="",G257=""),"Eşleşmedi","Eşleşti")))</ns0:f>
        <ns0:v/>
      </ns0:c>
      <ns0:c r="I257" s="28">
        <ns0:f>I256+IF(AND(H257="Eşleşmedi",E257='Panel'!$B$4),1,0)</ns0:f>
        <ns0:v>3.0</ns0:v>
      </ns0:c>
    </ns0:row>
    <ns0:row r="258" ht="21" customHeight="1">
      <ns0:c r="A258" s="25" t="n"/>
      <ns0:c r="B258" s="26" t="n"/>
      <ns0:c r="C258" s="27" t="n"/>
      <ns0:c r="D258" s="27" t="n"/>
      <ns0:c r="E258" s="28" t="str">
        <ns0:f>IF(A258="","",YEAR(A258)&amp;"-"&amp;RIGHT("0"&amp;MONTH(A258),2))</ns0:f>
        <ns0:v/>
      </ns0:c>
      <ns0:c r="F258" s="28" t="str">
        <ns0:f>IF(OR(A258="",B258="",C258&lt;=0),"",IF(SUMPRODUCT(('Müşteriler'!$B$2:$B$101&lt;&gt;"")*ISNUMBER(SEARCH('Müşteriler'!$B$2:$B$101,B258)))=1,IFERROR(INDEX('Müşteriler'!$A$2:$A$101,SUMPRODUCT(('Müşteriler'!$B$2:$B$101&lt;&gt;"")*ISNUMBER(SEARCH('Müşteriler'!$B$2:$B$101,B258)),ROW('Müşteriler'!$B$2:$B$101)-ROW('Müşteriler'!$B$2)+1)),""),""))</ns0:f>
        <ns0:v/>
      </ns0:c>
      <ns0:c r="G258" s="28" t="str">
        <ns0:f>IF(F258="","",IFERROR(INDEX('Müşteriler'!$C$2:$C$101,MATCH(F258,'Müşteriler'!$A$2:$A$101,0)),""))</ns0:f>
        <ns0:v/>
      </ns0:c>
      <ns0:c r="H258" s="28" t="str">
        <ns0:f>IF(A258="","",IF(C258&lt;=0,"Satış dışı",IF(OR(F258="",G258=""),"Eşleşmedi","Eşleşti")))</ns0:f>
        <ns0:v/>
      </ns0:c>
      <ns0:c r="I258" s="28">
        <ns0:f>I257+IF(AND(H258="Eşleşmedi",E258='Panel'!$B$4),1,0)</ns0:f>
        <ns0:v>3.0</ns0:v>
      </ns0:c>
    </ns0:row>
    <ns0:row r="259" ht="21" customHeight="1">
      <ns0:c r="A259" s="25" t="n"/>
      <ns0:c r="B259" s="26" t="n"/>
      <ns0:c r="C259" s="27" t="n"/>
      <ns0:c r="D259" s="27" t="n"/>
      <ns0:c r="E259" s="28" t="str">
        <ns0:f>IF(A259="","",YEAR(A259)&amp;"-"&amp;RIGHT("0"&amp;MONTH(A259),2))</ns0:f>
        <ns0:v/>
      </ns0:c>
      <ns0:c r="F259" s="28" t="str">
        <ns0:f>IF(OR(A259="",B259="",C259&lt;=0),"",IF(SUMPRODUCT(('Müşteriler'!$B$2:$B$101&lt;&gt;"")*ISNUMBER(SEARCH('Müşteriler'!$B$2:$B$101,B259)))=1,IFERROR(INDEX('Müşteriler'!$A$2:$A$101,SUMPRODUCT(('Müşteriler'!$B$2:$B$101&lt;&gt;"")*ISNUMBER(SEARCH('Müşteriler'!$B$2:$B$101,B259)),ROW('Müşteriler'!$B$2:$B$101)-ROW('Müşteriler'!$B$2)+1)),""),""))</ns0:f>
        <ns0:v/>
      </ns0:c>
      <ns0:c r="G259" s="28" t="str">
        <ns0:f>IF(F259="","",IFERROR(INDEX('Müşteriler'!$C$2:$C$101,MATCH(F259,'Müşteriler'!$A$2:$A$101,0)),""))</ns0:f>
        <ns0:v/>
      </ns0:c>
      <ns0:c r="H259" s="28" t="str">
        <ns0:f>IF(A259="","",IF(C259&lt;=0,"Satış dışı",IF(OR(F259="",G259=""),"Eşleşmedi","Eşleşti")))</ns0:f>
        <ns0:v/>
      </ns0:c>
      <ns0:c r="I259" s="28">
        <ns0:f>I258+IF(AND(H259="Eşleşmedi",E259='Panel'!$B$4),1,0)</ns0:f>
        <ns0:v>3.0</ns0:v>
      </ns0:c>
    </ns0:row>
    <ns0:row r="260" ht="21" customHeight="1">
      <ns0:c r="A260" s="25" t="n"/>
      <ns0:c r="B260" s="26" t="n"/>
      <ns0:c r="C260" s="27" t="n"/>
      <ns0:c r="D260" s="27" t="n"/>
      <ns0:c r="E260" s="28" t="str">
        <ns0:f>IF(A260="","",YEAR(A260)&amp;"-"&amp;RIGHT("0"&amp;MONTH(A260),2))</ns0:f>
        <ns0:v/>
      </ns0:c>
      <ns0:c r="F260" s="28" t="str">
        <ns0:f>IF(OR(A260="",B260="",C260&lt;=0),"",IF(SUMPRODUCT(('Müşteriler'!$B$2:$B$101&lt;&gt;"")*ISNUMBER(SEARCH('Müşteriler'!$B$2:$B$101,B260)))=1,IFERROR(INDEX('Müşteriler'!$A$2:$A$101,SUMPRODUCT(('Müşteriler'!$B$2:$B$101&lt;&gt;"")*ISNUMBER(SEARCH('Müşteriler'!$B$2:$B$101,B260)),ROW('Müşteriler'!$B$2:$B$101)-ROW('Müşteriler'!$B$2)+1)),""),""))</ns0:f>
        <ns0:v/>
      </ns0:c>
      <ns0:c r="G260" s="28" t="str">
        <ns0:f>IF(F260="","",IFERROR(INDEX('Müşteriler'!$C$2:$C$101,MATCH(F260,'Müşteriler'!$A$2:$A$101,0)),""))</ns0:f>
        <ns0:v/>
      </ns0:c>
      <ns0:c r="H260" s="28" t="str">
        <ns0:f>IF(A260="","",IF(C260&lt;=0,"Satış dışı",IF(OR(F260="",G260=""),"Eşleşmedi","Eşleşti")))</ns0:f>
        <ns0:v/>
      </ns0:c>
      <ns0:c r="I260" s="28">
        <ns0:f>I259+IF(AND(H260="Eşleşmedi",E260='Panel'!$B$4),1,0)</ns0:f>
        <ns0:v>3.0</ns0:v>
      </ns0:c>
    </ns0:row>
    <ns0:row r="261" ht="21" customHeight="1">
      <ns0:c r="A261" s="25" t="n"/>
      <ns0:c r="B261" s="26" t="n"/>
      <ns0:c r="C261" s="27" t="n"/>
      <ns0:c r="D261" s="27" t="n"/>
      <ns0:c r="E261" s="28" t="str">
        <ns0:f>IF(A261="","",YEAR(A261)&amp;"-"&amp;RIGHT("0"&amp;MONTH(A261),2))</ns0:f>
        <ns0:v/>
      </ns0:c>
      <ns0:c r="F261" s="28" t="str">
        <ns0:f>IF(OR(A261="",B261="",C261&lt;=0),"",IF(SUMPRODUCT(('Müşteriler'!$B$2:$B$101&lt;&gt;"")*ISNUMBER(SEARCH('Müşteriler'!$B$2:$B$101,B261)))=1,IFERROR(INDEX('Müşteriler'!$A$2:$A$101,SUMPRODUCT(('Müşteriler'!$B$2:$B$101&lt;&gt;"")*ISNUMBER(SEARCH('Müşteriler'!$B$2:$B$101,B261)),ROW('Müşteriler'!$B$2:$B$101)-ROW('Müşteriler'!$B$2)+1)),""),""))</ns0:f>
        <ns0:v/>
      </ns0:c>
      <ns0:c r="G261" s="28" t="str">
        <ns0:f>IF(F261="","",IFERROR(INDEX('Müşteriler'!$C$2:$C$101,MATCH(F261,'Müşteriler'!$A$2:$A$101,0)),""))</ns0:f>
        <ns0:v/>
      </ns0:c>
      <ns0:c r="H261" s="28" t="str">
        <ns0:f>IF(A261="","",IF(C261&lt;=0,"Satış dışı",IF(OR(F261="",G261=""),"Eşleşmedi","Eşleşti")))</ns0:f>
        <ns0:v/>
      </ns0:c>
      <ns0:c r="I261" s="28">
        <ns0:f>I260+IF(AND(H261="Eşleşmedi",E261='Panel'!$B$4),1,0)</ns0:f>
        <ns0:v>3.0</ns0:v>
      </ns0:c>
    </ns0:row>
    <ns0:row r="262" ht="21" customHeight="1">
      <ns0:c r="A262" s="25" t="n"/>
      <ns0:c r="B262" s="26" t="n"/>
      <ns0:c r="C262" s="27" t="n"/>
      <ns0:c r="D262" s="27" t="n"/>
      <ns0:c r="E262" s="28" t="str">
        <ns0:f>IF(A262="","",YEAR(A262)&amp;"-"&amp;RIGHT("0"&amp;MONTH(A262),2))</ns0:f>
        <ns0:v/>
      </ns0:c>
      <ns0:c r="F262" s="28" t="str">
        <ns0:f>IF(OR(A262="",B262="",C262&lt;=0),"",IF(SUMPRODUCT(('Müşteriler'!$B$2:$B$101&lt;&gt;"")*ISNUMBER(SEARCH('Müşteriler'!$B$2:$B$101,B262)))=1,IFERROR(INDEX('Müşteriler'!$A$2:$A$101,SUMPRODUCT(('Müşteriler'!$B$2:$B$101&lt;&gt;"")*ISNUMBER(SEARCH('Müşteriler'!$B$2:$B$101,B262)),ROW('Müşteriler'!$B$2:$B$101)-ROW('Müşteriler'!$B$2)+1)),""),""))</ns0:f>
        <ns0:v/>
      </ns0:c>
      <ns0:c r="G262" s="28" t="str">
        <ns0:f>IF(F262="","",IFERROR(INDEX('Müşteriler'!$C$2:$C$101,MATCH(F262,'Müşteriler'!$A$2:$A$101,0)),""))</ns0:f>
        <ns0:v/>
      </ns0:c>
      <ns0:c r="H262" s="28" t="str">
        <ns0:f>IF(A262="","",IF(C262&lt;=0,"Satış dışı",IF(OR(F262="",G262=""),"Eşleşmedi","Eşleşti")))</ns0:f>
        <ns0:v/>
      </ns0:c>
      <ns0:c r="I262" s="28">
        <ns0:f>I261+IF(AND(H262="Eşleşmedi",E262='Panel'!$B$4),1,0)</ns0:f>
        <ns0:v>3.0</ns0:v>
      </ns0:c>
    </ns0:row>
    <ns0:row r="263" ht="21" customHeight="1">
      <ns0:c r="A263" s="25" t="n"/>
      <ns0:c r="B263" s="26" t="n"/>
      <ns0:c r="C263" s="27" t="n"/>
      <ns0:c r="D263" s="27" t="n"/>
      <ns0:c r="E263" s="28" t="str">
        <ns0:f>IF(A263="","",YEAR(A263)&amp;"-"&amp;RIGHT("0"&amp;MONTH(A263),2))</ns0:f>
        <ns0:v/>
      </ns0:c>
      <ns0:c r="F263" s="28" t="str">
        <ns0:f>IF(OR(A263="",B263="",C263&lt;=0),"",IF(SUMPRODUCT(('Müşteriler'!$B$2:$B$101&lt;&gt;"")*ISNUMBER(SEARCH('Müşteriler'!$B$2:$B$101,B263)))=1,IFERROR(INDEX('Müşteriler'!$A$2:$A$101,SUMPRODUCT(('Müşteriler'!$B$2:$B$101&lt;&gt;"")*ISNUMBER(SEARCH('Müşteriler'!$B$2:$B$101,B263)),ROW('Müşteriler'!$B$2:$B$101)-ROW('Müşteriler'!$B$2)+1)),""),""))</ns0:f>
        <ns0:v/>
      </ns0:c>
      <ns0:c r="G263" s="28" t="str">
        <ns0:f>IF(F263="","",IFERROR(INDEX('Müşteriler'!$C$2:$C$101,MATCH(F263,'Müşteriler'!$A$2:$A$101,0)),""))</ns0:f>
        <ns0:v/>
      </ns0:c>
      <ns0:c r="H263" s="28" t="str">
        <ns0:f>IF(A263="","",IF(C263&lt;=0,"Satış dışı",IF(OR(F263="",G263=""),"Eşleşmedi","Eşleşti")))</ns0:f>
        <ns0:v/>
      </ns0:c>
      <ns0:c r="I263" s="28">
        <ns0:f>I262+IF(AND(H263="Eşleşmedi",E263='Panel'!$B$4),1,0)</ns0:f>
        <ns0:v>3.0</ns0:v>
      </ns0:c>
    </ns0:row>
    <ns0:row r="264" ht="21" customHeight="1">
      <ns0:c r="A264" s="25" t="n"/>
      <ns0:c r="B264" s="26" t="n"/>
      <ns0:c r="C264" s="27" t="n"/>
      <ns0:c r="D264" s="27" t="n"/>
      <ns0:c r="E264" s="28" t="str">
        <ns0:f>IF(A264="","",YEAR(A264)&amp;"-"&amp;RIGHT("0"&amp;MONTH(A264),2))</ns0:f>
        <ns0:v/>
      </ns0:c>
      <ns0:c r="F264" s="28" t="str">
        <ns0:f>IF(OR(A264="",B264="",C264&lt;=0),"",IF(SUMPRODUCT(('Müşteriler'!$B$2:$B$101&lt;&gt;"")*ISNUMBER(SEARCH('Müşteriler'!$B$2:$B$101,B264)))=1,IFERROR(INDEX('Müşteriler'!$A$2:$A$101,SUMPRODUCT(('Müşteriler'!$B$2:$B$101&lt;&gt;"")*ISNUMBER(SEARCH('Müşteriler'!$B$2:$B$101,B264)),ROW('Müşteriler'!$B$2:$B$101)-ROW('Müşteriler'!$B$2)+1)),""),""))</ns0:f>
        <ns0:v/>
      </ns0:c>
      <ns0:c r="G264" s="28" t="str">
        <ns0:f>IF(F264="","",IFERROR(INDEX('Müşteriler'!$C$2:$C$101,MATCH(F264,'Müşteriler'!$A$2:$A$101,0)),""))</ns0:f>
        <ns0:v/>
      </ns0:c>
      <ns0:c r="H264" s="28" t="str">
        <ns0:f>IF(A264="","",IF(C264&lt;=0,"Satış dışı",IF(OR(F264="",G264=""),"Eşleşmedi","Eşleşti")))</ns0:f>
        <ns0:v/>
      </ns0:c>
      <ns0:c r="I264" s="28">
        <ns0:f>I263+IF(AND(H264="Eşleşmedi",E264='Panel'!$B$4),1,0)</ns0:f>
        <ns0:v>3.0</ns0:v>
      </ns0:c>
    </ns0:row>
    <ns0:row r="265" ht="21" customHeight="1">
      <ns0:c r="A265" s="25" t="n"/>
      <ns0:c r="B265" s="26" t="n"/>
      <ns0:c r="C265" s="27" t="n"/>
      <ns0:c r="D265" s="27" t="n"/>
      <ns0:c r="E265" s="28" t="str">
        <ns0:f>IF(A265="","",YEAR(A265)&amp;"-"&amp;RIGHT("0"&amp;MONTH(A265),2))</ns0:f>
        <ns0:v/>
      </ns0:c>
      <ns0:c r="F265" s="28" t="str">
        <ns0:f>IF(OR(A265="",B265="",C265&lt;=0),"",IF(SUMPRODUCT(('Müşteriler'!$B$2:$B$101&lt;&gt;"")*ISNUMBER(SEARCH('Müşteriler'!$B$2:$B$101,B265)))=1,IFERROR(INDEX('Müşteriler'!$A$2:$A$101,SUMPRODUCT(('Müşteriler'!$B$2:$B$101&lt;&gt;"")*ISNUMBER(SEARCH('Müşteriler'!$B$2:$B$101,B265)),ROW('Müşteriler'!$B$2:$B$101)-ROW('Müşteriler'!$B$2)+1)),""),""))</ns0:f>
        <ns0:v/>
      </ns0:c>
      <ns0:c r="G265" s="28" t="str">
        <ns0:f>IF(F265="","",IFERROR(INDEX('Müşteriler'!$C$2:$C$101,MATCH(F265,'Müşteriler'!$A$2:$A$101,0)),""))</ns0:f>
        <ns0:v/>
      </ns0:c>
      <ns0:c r="H265" s="28" t="str">
        <ns0:f>IF(A265="","",IF(C265&lt;=0,"Satış dışı",IF(OR(F265="",G265=""),"Eşleşmedi","Eşleşti")))</ns0:f>
        <ns0:v/>
      </ns0:c>
      <ns0:c r="I265" s="28">
        <ns0:f>I264+IF(AND(H265="Eşleşmedi",E265='Panel'!$B$4),1,0)</ns0:f>
        <ns0:v>3.0</ns0:v>
      </ns0:c>
    </ns0:row>
    <ns0:row r="266" ht="21" customHeight="1">
      <ns0:c r="A266" s="25" t="n"/>
      <ns0:c r="B266" s="26" t="n"/>
      <ns0:c r="C266" s="27" t="n"/>
      <ns0:c r="D266" s="27" t="n"/>
      <ns0:c r="E266" s="28" t="str">
        <ns0:f>IF(A266="","",YEAR(A266)&amp;"-"&amp;RIGHT("0"&amp;MONTH(A266),2))</ns0:f>
        <ns0:v/>
      </ns0:c>
      <ns0:c r="F266" s="28" t="str">
        <ns0:f>IF(OR(A266="",B266="",C266&lt;=0),"",IF(SUMPRODUCT(('Müşteriler'!$B$2:$B$101&lt;&gt;"")*ISNUMBER(SEARCH('Müşteriler'!$B$2:$B$101,B266)))=1,IFERROR(INDEX('Müşteriler'!$A$2:$A$101,SUMPRODUCT(('Müşteriler'!$B$2:$B$101&lt;&gt;"")*ISNUMBER(SEARCH('Müşteriler'!$B$2:$B$101,B266)),ROW('Müşteriler'!$B$2:$B$101)-ROW('Müşteriler'!$B$2)+1)),""),""))</ns0:f>
        <ns0:v/>
      </ns0:c>
      <ns0:c r="G266" s="28" t="str">
        <ns0:f>IF(F266="","",IFERROR(INDEX('Müşteriler'!$C$2:$C$101,MATCH(F266,'Müşteriler'!$A$2:$A$101,0)),""))</ns0:f>
        <ns0:v/>
      </ns0:c>
      <ns0:c r="H266" s="28" t="str">
        <ns0:f>IF(A266="","",IF(C266&lt;=0,"Satış dışı",IF(OR(F266="",G266=""),"Eşleşmedi","Eşleşti")))</ns0:f>
        <ns0:v/>
      </ns0:c>
      <ns0:c r="I266" s="28">
        <ns0:f>I265+IF(AND(H266="Eşleşmedi",E266='Panel'!$B$4),1,0)</ns0:f>
        <ns0:v>3.0</ns0:v>
      </ns0:c>
    </ns0:row>
    <ns0:row r="267" ht="21" customHeight="1">
      <ns0:c r="A267" s="25" t="n"/>
      <ns0:c r="B267" s="26" t="n"/>
      <ns0:c r="C267" s="27" t="n"/>
      <ns0:c r="D267" s="27" t="n"/>
      <ns0:c r="E267" s="28" t="str">
        <ns0:f>IF(A267="","",YEAR(A267)&amp;"-"&amp;RIGHT("0"&amp;MONTH(A267),2))</ns0:f>
        <ns0:v/>
      </ns0:c>
      <ns0:c r="F267" s="28" t="str">
        <ns0:f>IF(OR(A267="",B267="",C267&lt;=0),"",IF(SUMPRODUCT(('Müşteriler'!$B$2:$B$101&lt;&gt;"")*ISNUMBER(SEARCH('Müşteriler'!$B$2:$B$101,B267)))=1,IFERROR(INDEX('Müşteriler'!$A$2:$A$101,SUMPRODUCT(('Müşteriler'!$B$2:$B$101&lt;&gt;"")*ISNUMBER(SEARCH('Müşteriler'!$B$2:$B$101,B267)),ROW('Müşteriler'!$B$2:$B$101)-ROW('Müşteriler'!$B$2)+1)),""),""))</ns0:f>
        <ns0:v/>
      </ns0:c>
      <ns0:c r="G267" s="28" t="str">
        <ns0:f>IF(F267="","",IFERROR(INDEX('Müşteriler'!$C$2:$C$101,MATCH(F267,'Müşteriler'!$A$2:$A$101,0)),""))</ns0:f>
        <ns0:v/>
      </ns0:c>
      <ns0:c r="H267" s="28" t="str">
        <ns0:f>IF(A267="","",IF(C267&lt;=0,"Satış dışı",IF(OR(F267="",G267=""),"Eşleşmedi","Eşleşti")))</ns0:f>
        <ns0:v/>
      </ns0:c>
      <ns0:c r="I267" s="28">
        <ns0:f>I266+IF(AND(H267="Eşleşmedi",E267='Panel'!$B$4),1,0)</ns0:f>
        <ns0:v>3.0</ns0:v>
      </ns0:c>
    </ns0:row>
    <ns0:row r="268" ht="21" customHeight="1">
      <ns0:c r="A268" s="25" t="n"/>
      <ns0:c r="B268" s="26" t="n"/>
      <ns0:c r="C268" s="27" t="n"/>
      <ns0:c r="D268" s="27" t="n"/>
      <ns0:c r="E268" s="28" t="str">
        <ns0:f>IF(A268="","",YEAR(A268)&amp;"-"&amp;RIGHT("0"&amp;MONTH(A268),2))</ns0:f>
        <ns0:v/>
      </ns0:c>
      <ns0:c r="F268" s="28" t="str">
        <ns0:f>IF(OR(A268="",B268="",C268&lt;=0),"",IF(SUMPRODUCT(('Müşteriler'!$B$2:$B$101&lt;&gt;"")*ISNUMBER(SEARCH('Müşteriler'!$B$2:$B$101,B268)))=1,IFERROR(INDEX('Müşteriler'!$A$2:$A$101,SUMPRODUCT(('Müşteriler'!$B$2:$B$101&lt;&gt;"")*ISNUMBER(SEARCH('Müşteriler'!$B$2:$B$101,B268)),ROW('Müşteriler'!$B$2:$B$101)-ROW('Müşteriler'!$B$2)+1)),""),""))</ns0:f>
        <ns0:v/>
      </ns0:c>
      <ns0:c r="G268" s="28" t="str">
        <ns0:f>IF(F268="","",IFERROR(INDEX('Müşteriler'!$C$2:$C$101,MATCH(F268,'Müşteriler'!$A$2:$A$101,0)),""))</ns0:f>
        <ns0:v/>
      </ns0:c>
      <ns0:c r="H268" s="28" t="str">
        <ns0:f>IF(A268="","",IF(C268&lt;=0,"Satış dışı",IF(OR(F268="",G268=""),"Eşleşmedi","Eşleşti")))</ns0:f>
        <ns0:v/>
      </ns0:c>
      <ns0:c r="I268" s="28">
        <ns0:f>I267+IF(AND(H268="Eşleşmedi",E268='Panel'!$B$4),1,0)</ns0:f>
        <ns0:v>3.0</ns0:v>
      </ns0:c>
    </ns0:row>
    <ns0:row r="269" ht="21" customHeight="1">
      <ns0:c r="A269" s="25" t="n"/>
      <ns0:c r="B269" s="26" t="n"/>
      <ns0:c r="C269" s="27" t="n"/>
      <ns0:c r="D269" s="27" t="n"/>
      <ns0:c r="E269" s="28" t="str">
        <ns0:f>IF(A269="","",YEAR(A269)&amp;"-"&amp;RIGHT("0"&amp;MONTH(A269),2))</ns0:f>
        <ns0:v/>
      </ns0:c>
      <ns0:c r="F269" s="28" t="str">
        <ns0:f>IF(OR(A269="",B269="",C269&lt;=0),"",IF(SUMPRODUCT(('Müşteriler'!$B$2:$B$101&lt;&gt;"")*ISNUMBER(SEARCH('Müşteriler'!$B$2:$B$101,B269)))=1,IFERROR(INDEX('Müşteriler'!$A$2:$A$101,SUMPRODUCT(('Müşteriler'!$B$2:$B$101&lt;&gt;"")*ISNUMBER(SEARCH('Müşteriler'!$B$2:$B$101,B269)),ROW('Müşteriler'!$B$2:$B$101)-ROW('Müşteriler'!$B$2)+1)),""),""))</ns0:f>
        <ns0:v/>
      </ns0:c>
      <ns0:c r="G269" s="28" t="str">
        <ns0:f>IF(F269="","",IFERROR(INDEX('Müşteriler'!$C$2:$C$101,MATCH(F269,'Müşteriler'!$A$2:$A$101,0)),""))</ns0:f>
        <ns0:v/>
      </ns0:c>
      <ns0:c r="H269" s="28" t="str">
        <ns0:f>IF(A269="","",IF(C269&lt;=0,"Satış dışı",IF(OR(F269="",G269=""),"Eşleşmedi","Eşleşti")))</ns0:f>
        <ns0:v/>
      </ns0:c>
      <ns0:c r="I269" s="28">
        <ns0:f>I268+IF(AND(H269="Eşleşmedi",E269='Panel'!$B$4),1,0)</ns0:f>
        <ns0:v>3.0</ns0:v>
      </ns0:c>
    </ns0:row>
    <ns0:row r="270" ht="21" customHeight="1">
      <ns0:c r="A270" s="25" t="n"/>
      <ns0:c r="B270" s="26" t="n"/>
      <ns0:c r="C270" s="27" t="n"/>
      <ns0:c r="D270" s="27" t="n"/>
      <ns0:c r="E270" s="28" t="str">
        <ns0:f>IF(A270="","",YEAR(A270)&amp;"-"&amp;RIGHT("0"&amp;MONTH(A270),2))</ns0:f>
        <ns0:v/>
      </ns0:c>
      <ns0:c r="F270" s="28" t="str">
        <ns0:f>IF(OR(A270="",B270="",C270&lt;=0),"",IF(SUMPRODUCT(('Müşteriler'!$B$2:$B$101&lt;&gt;"")*ISNUMBER(SEARCH('Müşteriler'!$B$2:$B$101,B270)))=1,IFERROR(INDEX('Müşteriler'!$A$2:$A$101,SUMPRODUCT(('Müşteriler'!$B$2:$B$101&lt;&gt;"")*ISNUMBER(SEARCH('Müşteriler'!$B$2:$B$101,B270)),ROW('Müşteriler'!$B$2:$B$101)-ROW('Müşteriler'!$B$2)+1)),""),""))</ns0:f>
        <ns0:v/>
      </ns0:c>
      <ns0:c r="G270" s="28" t="str">
        <ns0:f>IF(F270="","",IFERROR(INDEX('Müşteriler'!$C$2:$C$101,MATCH(F270,'Müşteriler'!$A$2:$A$101,0)),""))</ns0:f>
        <ns0:v/>
      </ns0:c>
      <ns0:c r="H270" s="28" t="str">
        <ns0:f>IF(A270="","",IF(C270&lt;=0,"Satış dışı",IF(OR(F270="",G270=""),"Eşleşmedi","Eşleşti")))</ns0:f>
        <ns0:v/>
      </ns0:c>
      <ns0:c r="I270" s="28">
        <ns0:f>I269+IF(AND(H270="Eşleşmedi",E270='Panel'!$B$4),1,0)</ns0:f>
        <ns0:v>3.0</ns0:v>
      </ns0:c>
    </ns0:row>
    <ns0:row r="271" ht="21" customHeight="1">
      <ns0:c r="A271" s="25" t="n"/>
      <ns0:c r="B271" s="26" t="n"/>
      <ns0:c r="C271" s="27" t="n"/>
      <ns0:c r="D271" s="27" t="n"/>
      <ns0:c r="E271" s="28" t="str">
        <ns0:f>IF(A271="","",YEAR(A271)&amp;"-"&amp;RIGHT("0"&amp;MONTH(A271),2))</ns0:f>
        <ns0:v/>
      </ns0:c>
      <ns0:c r="F271" s="28" t="str">
        <ns0:f>IF(OR(A271="",B271="",C271&lt;=0),"",IF(SUMPRODUCT(('Müşteriler'!$B$2:$B$101&lt;&gt;"")*ISNUMBER(SEARCH('Müşteriler'!$B$2:$B$101,B271)))=1,IFERROR(INDEX('Müşteriler'!$A$2:$A$101,SUMPRODUCT(('Müşteriler'!$B$2:$B$101&lt;&gt;"")*ISNUMBER(SEARCH('Müşteriler'!$B$2:$B$101,B271)),ROW('Müşteriler'!$B$2:$B$101)-ROW('Müşteriler'!$B$2)+1)),""),""))</ns0:f>
        <ns0:v/>
      </ns0:c>
      <ns0:c r="G271" s="28" t="str">
        <ns0:f>IF(F271="","",IFERROR(INDEX('Müşteriler'!$C$2:$C$101,MATCH(F271,'Müşteriler'!$A$2:$A$101,0)),""))</ns0:f>
        <ns0:v/>
      </ns0:c>
      <ns0:c r="H271" s="28" t="str">
        <ns0:f>IF(A271="","",IF(C271&lt;=0,"Satış dışı",IF(OR(F271="",G271=""),"Eşleşmedi","Eşleşti")))</ns0:f>
        <ns0:v/>
      </ns0:c>
      <ns0:c r="I271" s="28">
        <ns0:f>I270+IF(AND(H271="Eşleşmedi",E271='Panel'!$B$4),1,0)</ns0:f>
        <ns0:v>3.0</ns0:v>
      </ns0:c>
    </ns0:row>
    <ns0:row r="272" ht="21" customHeight="1">
      <ns0:c r="A272" s="25" t="n"/>
      <ns0:c r="B272" s="26" t="n"/>
      <ns0:c r="C272" s="27" t="n"/>
      <ns0:c r="D272" s="27" t="n"/>
      <ns0:c r="E272" s="28" t="str">
        <ns0:f>IF(A272="","",YEAR(A272)&amp;"-"&amp;RIGHT("0"&amp;MONTH(A272),2))</ns0:f>
        <ns0:v/>
      </ns0:c>
      <ns0:c r="F272" s="28" t="str">
        <ns0:f>IF(OR(A272="",B272="",C272&lt;=0),"",IF(SUMPRODUCT(('Müşteriler'!$B$2:$B$101&lt;&gt;"")*ISNUMBER(SEARCH('Müşteriler'!$B$2:$B$101,B272)))=1,IFERROR(INDEX('Müşteriler'!$A$2:$A$101,SUMPRODUCT(('Müşteriler'!$B$2:$B$101&lt;&gt;"")*ISNUMBER(SEARCH('Müşteriler'!$B$2:$B$101,B272)),ROW('Müşteriler'!$B$2:$B$101)-ROW('Müşteriler'!$B$2)+1)),""),""))</ns0:f>
        <ns0:v/>
      </ns0:c>
      <ns0:c r="G272" s="28" t="str">
        <ns0:f>IF(F272="","",IFERROR(INDEX('Müşteriler'!$C$2:$C$101,MATCH(F272,'Müşteriler'!$A$2:$A$101,0)),""))</ns0:f>
        <ns0:v/>
      </ns0:c>
      <ns0:c r="H272" s="28" t="str">
        <ns0:f>IF(A272="","",IF(C272&lt;=0,"Satış dışı",IF(OR(F272="",G272=""),"Eşleşmedi","Eşleşti")))</ns0:f>
        <ns0:v/>
      </ns0:c>
      <ns0:c r="I272" s="28">
        <ns0:f>I271+IF(AND(H272="Eşleşmedi",E272='Panel'!$B$4),1,0)</ns0:f>
        <ns0:v>3.0</ns0:v>
      </ns0:c>
    </ns0:row>
    <ns0:row r="273" ht="21" customHeight="1">
      <ns0:c r="A273" s="25" t="n"/>
      <ns0:c r="B273" s="26" t="n"/>
      <ns0:c r="C273" s="27" t="n"/>
      <ns0:c r="D273" s="27" t="n"/>
      <ns0:c r="E273" s="28" t="str">
        <ns0:f>IF(A273="","",YEAR(A273)&amp;"-"&amp;RIGHT("0"&amp;MONTH(A273),2))</ns0:f>
        <ns0:v/>
      </ns0:c>
      <ns0:c r="F273" s="28" t="str">
        <ns0:f>IF(OR(A273="",B273="",C273&lt;=0),"",IF(SUMPRODUCT(('Müşteriler'!$B$2:$B$101&lt;&gt;"")*ISNUMBER(SEARCH('Müşteriler'!$B$2:$B$101,B273)))=1,IFERROR(INDEX('Müşteriler'!$A$2:$A$101,SUMPRODUCT(('Müşteriler'!$B$2:$B$101&lt;&gt;"")*ISNUMBER(SEARCH('Müşteriler'!$B$2:$B$101,B273)),ROW('Müşteriler'!$B$2:$B$101)-ROW('Müşteriler'!$B$2)+1)),""),""))</ns0:f>
        <ns0:v/>
      </ns0:c>
      <ns0:c r="G273" s="28" t="str">
        <ns0:f>IF(F273="","",IFERROR(INDEX('Müşteriler'!$C$2:$C$101,MATCH(F273,'Müşteriler'!$A$2:$A$101,0)),""))</ns0:f>
        <ns0:v/>
      </ns0:c>
      <ns0:c r="H273" s="28" t="str">
        <ns0:f>IF(A273="","",IF(C273&lt;=0,"Satış dışı",IF(OR(F273="",G273=""),"Eşleşmedi","Eşleşti")))</ns0:f>
        <ns0:v/>
      </ns0:c>
      <ns0:c r="I273" s="28">
        <ns0:f>I272+IF(AND(H273="Eşleşmedi",E273='Panel'!$B$4),1,0)</ns0:f>
        <ns0:v>3.0</ns0:v>
      </ns0:c>
    </ns0:row>
    <ns0:row r="274" ht="21" customHeight="1">
      <ns0:c r="A274" s="25" t="n"/>
      <ns0:c r="B274" s="26" t="n"/>
      <ns0:c r="C274" s="27" t="n"/>
      <ns0:c r="D274" s="27" t="n"/>
      <ns0:c r="E274" s="28" t="str">
        <ns0:f>IF(A274="","",YEAR(A274)&amp;"-"&amp;RIGHT("0"&amp;MONTH(A274),2))</ns0:f>
        <ns0:v/>
      </ns0:c>
      <ns0:c r="F274" s="28" t="str">
        <ns0:f>IF(OR(A274="",B274="",C274&lt;=0),"",IF(SUMPRODUCT(('Müşteriler'!$B$2:$B$101&lt;&gt;"")*ISNUMBER(SEARCH('Müşteriler'!$B$2:$B$101,B274)))=1,IFERROR(INDEX('Müşteriler'!$A$2:$A$101,SUMPRODUCT(('Müşteriler'!$B$2:$B$101&lt;&gt;"")*ISNUMBER(SEARCH('Müşteriler'!$B$2:$B$101,B274)),ROW('Müşteriler'!$B$2:$B$101)-ROW('Müşteriler'!$B$2)+1)),""),""))</ns0:f>
        <ns0:v/>
      </ns0:c>
      <ns0:c r="G274" s="28" t="str">
        <ns0:f>IF(F274="","",IFERROR(INDEX('Müşteriler'!$C$2:$C$101,MATCH(F274,'Müşteriler'!$A$2:$A$101,0)),""))</ns0:f>
        <ns0:v/>
      </ns0:c>
      <ns0:c r="H274" s="28" t="str">
        <ns0:f>IF(A274="","",IF(C274&lt;=0,"Satış dışı",IF(OR(F274="",G274=""),"Eşleşmedi","Eşleşti")))</ns0:f>
        <ns0:v/>
      </ns0:c>
      <ns0:c r="I274" s="28">
        <ns0:f>I273+IF(AND(H274="Eşleşmedi",E274='Panel'!$B$4),1,0)</ns0:f>
        <ns0:v>3.0</ns0:v>
      </ns0:c>
    </ns0:row>
    <ns0:row r="275" ht="21" customHeight="1">
      <ns0:c r="A275" s="25" t="n"/>
      <ns0:c r="B275" s="26" t="n"/>
      <ns0:c r="C275" s="27" t="n"/>
      <ns0:c r="D275" s="27" t="n"/>
      <ns0:c r="E275" s="28" t="str">
        <ns0:f>IF(A275="","",YEAR(A275)&amp;"-"&amp;RIGHT("0"&amp;MONTH(A275),2))</ns0:f>
        <ns0:v/>
      </ns0:c>
      <ns0:c r="F275" s="28" t="str">
        <ns0:f>IF(OR(A275="",B275="",C275&lt;=0),"",IF(SUMPRODUCT(('Müşteriler'!$B$2:$B$101&lt;&gt;"")*ISNUMBER(SEARCH('Müşteriler'!$B$2:$B$101,B275)))=1,IFERROR(INDEX('Müşteriler'!$A$2:$A$101,SUMPRODUCT(('Müşteriler'!$B$2:$B$101&lt;&gt;"")*ISNUMBER(SEARCH('Müşteriler'!$B$2:$B$101,B275)),ROW('Müşteriler'!$B$2:$B$101)-ROW('Müşteriler'!$B$2)+1)),""),""))</ns0:f>
        <ns0:v/>
      </ns0:c>
      <ns0:c r="G275" s="28" t="str">
        <ns0:f>IF(F275="","",IFERROR(INDEX('Müşteriler'!$C$2:$C$101,MATCH(F275,'Müşteriler'!$A$2:$A$101,0)),""))</ns0:f>
        <ns0:v/>
      </ns0:c>
      <ns0:c r="H275" s="28" t="str">
        <ns0:f>IF(A275="","",IF(C275&lt;=0,"Satış dışı",IF(OR(F275="",G275=""),"Eşleşmedi","Eşleşti")))</ns0:f>
        <ns0:v/>
      </ns0:c>
      <ns0:c r="I275" s="28">
        <ns0:f>I274+IF(AND(H275="Eşleşmedi",E275='Panel'!$B$4),1,0)</ns0:f>
        <ns0:v>3.0</ns0:v>
      </ns0:c>
    </ns0:row>
    <ns0:row r="276" ht="21" customHeight="1">
      <ns0:c r="A276" s="25" t="n"/>
      <ns0:c r="B276" s="26" t="n"/>
      <ns0:c r="C276" s="27" t="n"/>
      <ns0:c r="D276" s="27" t="n"/>
      <ns0:c r="E276" s="28" t="str">
        <ns0:f>IF(A276="","",YEAR(A276)&amp;"-"&amp;RIGHT("0"&amp;MONTH(A276),2))</ns0:f>
        <ns0:v/>
      </ns0:c>
      <ns0:c r="F276" s="28" t="str">
        <ns0:f>IF(OR(A276="",B276="",C276&lt;=0),"",IF(SUMPRODUCT(('Müşteriler'!$B$2:$B$101&lt;&gt;"")*ISNUMBER(SEARCH('Müşteriler'!$B$2:$B$101,B276)))=1,IFERROR(INDEX('Müşteriler'!$A$2:$A$101,SUMPRODUCT(('Müşteriler'!$B$2:$B$101&lt;&gt;"")*ISNUMBER(SEARCH('Müşteriler'!$B$2:$B$101,B276)),ROW('Müşteriler'!$B$2:$B$101)-ROW('Müşteriler'!$B$2)+1)),""),""))</ns0:f>
        <ns0:v/>
      </ns0:c>
      <ns0:c r="G276" s="28" t="str">
        <ns0:f>IF(F276="","",IFERROR(INDEX('Müşteriler'!$C$2:$C$101,MATCH(F276,'Müşteriler'!$A$2:$A$101,0)),""))</ns0:f>
        <ns0:v/>
      </ns0:c>
      <ns0:c r="H276" s="28" t="str">
        <ns0:f>IF(A276="","",IF(C276&lt;=0,"Satış dışı",IF(OR(F276="",G276=""),"Eşleşmedi","Eşleşti")))</ns0:f>
        <ns0:v/>
      </ns0:c>
      <ns0:c r="I276" s="28">
        <ns0:f>I275+IF(AND(H276="Eşleşmedi",E276='Panel'!$B$4),1,0)</ns0:f>
        <ns0:v>3.0</ns0:v>
      </ns0:c>
    </ns0:row>
    <ns0:row r="277" ht="21" customHeight="1">
      <ns0:c r="A277" s="25" t="n"/>
      <ns0:c r="B277" s="26" t="n"/>
      <ns0:c r="C277" s="27" t="n"/>
      <ns0:c r="D277" s="27" t="n"/>
      <ns0:c r="E277" s="28" t="str">
        <ns0:f>IF(A277="","",YEAR(A277)&amp;"-"&amp;RIGHT("0"&amp;MONTH(A277),2))</ns0:f>
        <ns0:v/>
      </ns0:c>
      <ns0:c r="F277" s="28" t="str">
        <ns0:f>IF(OR(A277="",B277="",C277&lt;=0),"",IF(SUMPRODUCT(('Müşteriler'!$B$2:$B$101&lt;&gt;"")*ISNUMBER(SEARCH('Müşteriler'!$B$2:$B$101,B277)))=1,IFERROR(INDEX('Müşteriler'!$A$2:$A$101,SUMPRODUCT(('Müşteriler'!$B$2:$B$101&lt;&gt;"")*ISNUMBER(SEARCH('Müşteriler'!$B$2:$B$101,B277)),ROW('Müşteriler'!$B$2:$B$101)-ROW('Müşteriler'!$B$2)+1)),""),""))</ns0:f>
        <ns0:v/>
      </ns0:c>
      <ns0:c r="G277" s="28" t="str">
        <ns0:f>IF(F277="","",IFERROR(INDEX('Müşteriler'!$C$2:$C$101,MATCH(F277,'Müşteriler'!$A$2:$A$101,0)),""))</ns0:f>
        <ns0:v/>
      </ns0:c>
      <ns0:c r="H277" s="28" t="str">
        <ns0:f>IF(A277="","",IF(C277&lt;=0,"Satış dışı",IF(OR(F277="",G277=""),"Eşleşmedi","Eşleşti")))</ns0:f>
        <ns0:v/>
      </ns0:c>
      <ns0:c r="I277" s="28">
        <ns0:f>I276+IF(AND(H277="Eşleşmedi",E277='Panel'!$B$4),1,0)</ns0:f>
        <ns0:v>3.0</ns0:v>
      </ns0:c>
    </ns0:row>
    <ns0:row r="278" ht="21" customHeight="1">
      <ns0:c r="A278" s="25" t="n"/>
      <ns0:c r="B278" s="26" t="n"/>
      <ns0:c r="C278" s="27" t="n"/>
      <ns0:c r="D278" s="27" t="n"/>
      <ns0:c r="E278" s="28" t="str">
        <ns0:f>IF(A278="","",YEAR(A278)&amp;"-"&amp;RIGHT("0"&amp;MONTH(A278),2))</ns0:f>
        <ns0:v/>
      </ns0:c>
      <ns0:c r="F278" s="28" t="str">
        <ns0:f>IF(OR(A278="",B278="",C278&lt;=0),"",IF(SUMPRODUCT(('Müşteriler'!$B$2:$B$101&lt;&gt;"")*ISNUMBER(SEARCH('Müşteriler'!$B$2:$B$101,B278)))=1,IFERROR(INDEX('Müşteriler'!$A$2:$A$101,SUMPRODUCT(('Müşteriler'!$B$2:$B$101&lt;&gt;"")*ISNUMBER(SEARCH('Müşteriler'!$B$2:$B$101,B278)),ROW('Müşteriler'!$B$2:$B$101)-ROW('Müşteriler'!$B$2)+1)),""),""))</ns0:f>
        <ns0:v/>
      </ns0:c>
      <ns0:c r="G278" s="28" t="str">
        <ns0:f>IF(F278="","",IFERROR(INDEX('Müşteriler'!$C$2:$C$101,MATCH(F278,'Müşteriler'!$A$2:$A$101,0)),""))</ns0:f>
        <ns0:v/>
      </ns0:c>
      <ns0:c r="H278" s="28" t="str">
        <ns0:f>IF(A278="","",IF(C278&lt;=0,"Satış dışı",IF(OR(F278="",G278=""),"Eşleşmedi","Eşleşti")))</ns0:f>
        <ns0:v/>
      </ns0:c>
      <ns0:c r="I278" s="28">
        <ns0:f>I277+IF(AND(H278="Eşleşmedi",E278='Panel'!$B$4),1,0)</ns0:f>
        <ns0:v>3.0</ns0:v>
      </ns0:c>
    </ns0:row>
    <ns0:row r="279" ht="21" customHeight="1">
      <ns0:c r="A279" s="25" t="n"/>
      <ns0:c r="B279" s="26" t="n"/>
      <ns0:c r="C279" s="27" t="n"/>
      <ns0:c r="D279" s="27" t="n"/>
      <ns0:c r="E279" s="28" t="str">
        <ns0:f>IF(A279="","",YEAR(A279)&amp;"-"&amp;RIGHT("0"&amp;MONTH(A279),2))</ns0:f>
        <ns0:v/>
      </ns0:c>
      <ns0:c r="F279" s="28" t="str">
        <ns0:f>IF(OR(A279="",B279="",C279&lt;=0),"",IF(SUMPRODUCT(('Müşteriler'!$B$2:$B$101&lt;&gt;"")*ISNUMBER(SEARCH('Müşteriler'!$B$2:$B$101,B279)))=1,IFERROR(INDEX('Müşteriler'!$A$2:$A$101,SUMPRODUCT(('Müşteriler'!$B$2:$B$101&lt;&gt;"")*ISNUMBER(SEARCH('Müşteriler'!$B$2:$B$101,B279)),ROW('Müşteriler'!$B$2:$B$101)-ROW('Müşteriler'!$B$2)+1)),""),""))</ns0:f>
        <ns0:v/>
      </ns0:c>
      <ns0:c r="G279" s="28" t="str">
        <ns0:f>IF(F279="","",IFERROR(INDEX('Müşteriler'!$C$2:$C$101,MATCH(F279,'Müşteriler'!$A$2:$A$101,0)),""))</ns0:f>
        <ns0:v/>
      </ns0:c>
      <ns0:c r="H279" s="28" t="str">
        <ns0:f>IF(A279="","",IF(C279&lt;=0,"Satış dışı",IF(OR(F279="",G279=""),"Eşleşmedi","Eşleşti")))</ns0:f>
        <ns0:v/>
      </ns0:c>
      <ns0:c r="I279" s="28">
        <ns0:f>I278+IF(AND(H279="Eşleşmedi",E279='Panel'!$B$4),1,0)</ns0:f>
        <ns0:v>3.0</ns0:v>
      </ns0:c>
    </ns0:row>
    <ns0:row r="280" ht="21" customHeight="1">
      <ns0:c r="A280" s="25" t="n"/>
      <ns0:c r="B280" s="26" t="n"/>
      <ns0:c r="C280" s="27" t="n"/>
      <ns0:c r="D280" s="27" t="n"/>
      <ns0:c r="E280" s="28" t="str">
        <ns0:f>IF(A280="","",YEAR(A280)&amp;"-"&amp;RIGHT("0"&amp;MONTH(A280),2))</ns0:f>
        <ns0:v/>
      </ns0:c>
      <ns0:c r="F280" s="28" t="str">
        <ns0:f>IF(OR(A280="",B280="",C280&lt;=0),"",IF(SUMPRODUCT(('Müşteriler'!$B$2:$B$101&lt;&gt;"")*ISNUMBER(SEARCH('Müşteriler'!$B$2:$B$101,B280)))=1,IFERROR(INDEX('Müşteriler'!$A$2:$A$101,SUMPRODUCT(('Müşteriler'!$B$2:$B$101&lt;&gt;"")*ISNUMBER(SEARCH('Müşteriler'!$B$2:$B$101,B280)),ROW('Müşteriler'!$B$2:$B$101)-ROW('Müşteriler'!$B$2)+1)),""),""))</ns0:f>
        <ns0:v/>
      </ns0:c>
      <ns0:c r="G280" s="28" t="str">
        <ns0:f>IF(F280="","",IFERROR(INDEX('Müşteriler'!$C$2:$C$101,MATCH(F280,'Müşteriler'!$A$2:$A$101,0)),""))</ns0:f>
        <ns0:v/>
      </ns0:c>
      <ns0:c r="H280" s="28" t="str">
        <ns0:f>IF(A280="","",IF(C280&lt;=0,"Satış dışı",IF(OR(F280="",G280=""),"Eşleşmedi","Eşleşti")))</ns0:f>
        <ns0:v/>
      </ns0:c>
      <ns0:c r="I280" s="28">
        <ns0:f>I279+IF(AND(H280="Eşleşmedi",E280='Panel'!$B$4),1,0)</ns0:f>
        <ns0:v>3.0</ns0:v>
      </ns0:c>
    </ns0:row>
    <ns0:row r="281" ht="21" customHeight="1">
      <ns0:c r="A281" s="25" t="n"/>
      <ns0:c r="B281" s="26" t="n"/>
      <ns0:c r="C281" s="27" t="n"/>
      <ns0:c r="D281" s="27" t="n"/>
      <ns0:c r="E281" s="28" t="str">
        <ns0:f>IF(A281="","",YEAR(A281)&amp;"-"&amp;RIGHT("0"&amp;MONTH(A281),2))</ns0:f>
        <ns0:v/>
      </ns0:c>
      <ns0:c r="F281" s="28" t="str">
        <ns0:f>IF(OR(A281="",B281="",C281&lt;=0),"",IF(SUMPRODUCT(('Müşteriler'!$B$2:$B$101&lt;&gt;"")*ISNUMBER(SEARCH('Müşteriler'!$B$2:$B$101,B281)))=1,IFERROR(INDEX('Müşteriler'!$A$2:$A$101,SUMPRODUCT(('Müşteriler'!$B$2:$B$101&lt;&gt;"")*ISNUMBER(SEARCH('Müşteriler'!$B$2:$B$101,B281)),ROW('Müşteriler'!$B$2:$B$101)-ROW('Müşteriler'!$B$2)+1)),""),""))</ns0:f>
        <ns0:v/>
      </ns0:c>
      <ns0:c r="G281" s="28" t="str">
        <ns0:f>IF(F281="","",IFERROR(INDEX('Müşteriler'!$C$2:$C$101,MATCH(F281,'Müşteriler'!$A$2:$A$101,0)),""))</ns0:f>
        <ns0:v/>
      </ns0:c>
      <ns0:c r="H281" s="28" t="str">
        <ns0:f>IF(A281="","",IF(C281&lt;=0,"Satış dışı",IF(OR(F281="",G281=""),"Eşleşmedi","Eşleşti")))</ns0:f>
        <ns0:v/>
      </ns0:c>
      <ns0:c r="I281" s="28">
        <ns0:f>I280+IF(AND(H281="Eşleşmedi",E281='Panel'!$B$4),1,0)</ns0:f>
        <ns0:v>3.0</ns0:v>
      </ns0:c>
    </ns0:row>
    <ns0:row r="282" ht="21" customHeight="1">
      <ns0:c r="A282" s="25" t="n"/>
      <ns0:c r="B282" s="26" t="n"/>
      <ns0:c r="C282" s="27" t="n"/>
      <ns0:c r="D282" s="27" t="n"/>
      <ns0:c r="E282" s="28" t="str">
        <ns0:f>IF(A282="","",YEAR(A282)&amp;"-"&amp;RIGHT("0"&amp;MONTH(A282),2))</ns0:f>
        <ns0:v/>
      </ns0:c>
      <ns0:c r="F282" s="28" t="str">
        <ns0:f>IF(OR(A282="",B282="",C282&lt;=0),"",IF(SUMPRODUCT(('Müşteriler'!$B$2:$B$101&lt;&gt;"")*ISNUMBER(SEARCH('Müşteriler'!$B$2:$B$101,B282)))=1,IFERROR(INDEX('Müşteriler'!$A$2:$A$101,SUMPRODUCT(('Müşteriler'!$B$2:$B$101&lt;&gt;"")*ISNUMBER(SEARCH('Müşteriler'!$B$2:$B$101,B282)),ROW('Müşteriler'!$B$2:$B$101)-ROW('Müşteriler'!$B$2)+1)),""),""))</ns0:f>
        <ns0:v/>
      </ns0:c>
      <ns0:c r="G282" s="28" t="str">
        <ns0:f>IF(F282="","",IFERROR(INDEX('Müşteriler'!$C$2:$C$101,MATCH(F282,'Müşteriler'!$A$2:$A$101,0)),""))</ns0:f>
        <ns0:v/>
      </ns0:c>
      <ns0:c r="H282" s="28" t="str">
        <ns0:f>IF(A282="","",IF(C282&lt;=0,"Satış dışı",IF(OR(F282="",G282=""),"Eşleşmedi","Eşleşti")))</ns0:f>
        <ns0:v/>
      </ns0:c>
      <ns0:c r="I282" s="28">
        <ns0:f>I281+IF(AND(H282="Eşleşmedi",E282='Panel'!$B$4),1,0)</ns0:f>
        <ns0:v>3.0</ns0:v>
      </ns0:c>
    </ns0:row>
    <ns0:row r="283" ht="21" customHeight="1">
      <ns0:c r="A283" s="25" t="n"/>
      <ns0:c r="B283" s="26" t="n"/>
      <ns0:c r="C283" s="27" t="n"/>
      <ns0:c r="D283" s="27" t="n"/>
      <ns0:c r="E283" s="28" t="str">
        <ns0:f>IF(A283="","",YEAR(A283)&amp;"-"&amp;RIGHT("0"&amp;MONTH(A283),2))</ns0:f>
        <ns0:v/>
      </ns0:c>
      <ns0:c r="F283" s="28" t="str">
        <ns0:f>IF(OR(A283="",B283="",C283&lt;=0),"",IF(SUMPRODUCT(('Müşteriler'!$B$2:$B$101&lt;&gt;"")*ISNUMBER(SEARCH('Müşteriler'!$B$2:$B$101,B283)))=1,IFERROR(INDEX('Müşteriler'!$A$2:$A$101,SUMPRODUCT(('Müşteriler'!$B$2:$B$101&lt;&gt;"")*ISNUMBER(SEARCH('Müşteriler'!$B$2:$B$101,B283)),ROW('Müşteriler'!$B$2:$B$101)-ROW('Müşteriler'!$B$2)+1)),""),""))</ns0:f>
        <ns0:v/>
      </ns0:c>
      <ns0:c r="G283" s="28" t="str">
        <ns0:f>IF(F283="","",IFERROR(INDEX('Müşteriler'!$C$2:$C$101,MATCH(F283,'Müşteriler'!$A$2:$A$101,0)),""))</ns0:f>
        <ns0:v/>
      </ns0:c>
      <ns0:c r="H283" s="28" t="str">
        <ns0:f>IF(A283="","",IF(C283&lt;=0,"Satış dışı",IF(OR(F283="",G283=""),"Eşleşmedi","Eşleşti")))</ns0:f>
        <ns0:v/>
      </ns0:c>
      <ns0:c r="I283" s="28">
        <ns0:f>I282+IF(AND(H283="Eşleşmedi",E283='Panel'!$B$4),1,0)</ns0:f>
        <ns0:v>3.0</ns0:v>
      </ns0:c>
    </ns0:row>
    <ns0:row r="284" ht="21" customHeight="1">
      <ns0:c r="A284" s="25" t="n"/>
      <ns0:c r="B284" s="26" t="n"/>
      <ns0:c r="C284" s="27" t="n"/>
      <ns0:c r="D284" s="27" t="n"/>
      <ns0:c r="E284" s="28" t="str">
        <ns0:f>IF(A284="","",YEAR(A284)&amp;"-"&amp;RIGHT("0"&amp;MONTH(A284),2))</ns0:f>
        <ns0:v/>
      </ns0:c>
      <ns0:c r="F284" s="28" t="str">
        <ns0:f>IF(OR(A284="",B284="",C284&lt;=0),"",IF(SUMPRODUCT(('Müşteriler'!$B$2:$B$101&lt;&gt;"")*ISNUMBER(SEARCH('Müşteriler'!$B$2:$B$101,B284)))=1,IFERROR(INDEX('Müşteriler'!$A$2:$A$101,SUMPRODUCT(('Müşteriler'!$B$2:$B$101&lt;&gt;"")*ISNUMBER(SEARCH('Müşteriler'!$B$2:$B$101,B284)),ROW('Müşteriler'!$B$2:$B$101)-ROW('Müşteriler'!$B$2)+1)),""),""))</ns0:f>
        <ns0:v/>
      </ns0:c>
      <ns0:c r="G284" s="28" t="str">
        <ns0:f>IF(F284="","",IFERROR(INDEX('Müşteriler'!$C$2:$C$101,MATCH(F284,'Müşteriler'!$A$2:$A$101,0)),""))</ns0:f>
        <ns0:v/>
      </ns0:c>
      <ns0:c r="H284" s="28" t="str">
        <ns0:f>IF(A284="","",IF(C284&lt;=0,"Satış dışı",IF(OR(F284="",G284=""),"Eşleşmedi","Eşleşti")))</ns0:f>
        <ns0:v/>
      </ns0:c>
      <ns0:c r="I284" s="28">
        <ns0:f>I283+IF(AND(H284="Eşleşmedi",E284='Panel'!$B$4),1,0)</ns0:f>
        <ns0:v>3.0</ns0:v>
      </ns0:c>
    </ns0:row>
    <ns0:row r="285" ht="21" customHeight="1">
      <ns0:c r="A285" s="25" t="n"/>
      <ns0:c r="B285" s="26" t="n"/>
      <ns0:c r="C285" s="27" t="n"/>
      <ns0:c r="D285" s="27" t="n"/>
      <ns0:c r="E285" s="28" t="str">
        <ns0:f>IF(A285="","",YEAR(A285)&amp;"-"&amp;RIGHT("0"&amp;MONTH(A285),2))</ns0:f>
        <ns0:v/>
      </ns0:c>
      <ns0:c r="F285" s="28" t="str">
        <ns0:f>IF(OR(A285="",B285="",C285&lt;=0),"",IF(SUMPRODUCT(('Müşteriler'!$B$2:$B$101&lt;&gt;"")*ISNUMBER(SEARCH('Müşteriler'!$B$2:$B$101,B285)))=1,IFERROR(INDEX('Müşteriler'!$A$2:$A$101,SUMPRODUCT(('Müşteriler'!$B$2:$B$101&lt;&gt;"")*ISNUMBER(SEARCH('Müşteriler'!$B$2:$B$101,B285)),ROW('Müşteriler'!$B$2:$B$101)-ROW('Müşteriler'!$B$2)+1)),""),""))</ns0:f>
        <ns0:v/>
      </ns0:c>
      <ns0:c r="G285" s="28" t="str">
        <ns0:f>IF(F285="","",IFERROR(INDEX('Müşteriler'!$C$2:$C$101,MATCH(F285,'Müşteriler'!$A$2:$A$101,0)),""))</ns0:f>
        <ns0:v/>
      </ns0:c>
      <ns0:c r="H285" s="28" t="str">
        <ns0:f>IF(A285="","",IF(C285&lt;=0,"Satış dışı",IF(OR(F285="",G285=""),"Eşleşmedi","Eşleşti")))</ns0:f>
        <ns0:v/>
      </ns0:c>
      <ns0:c r="I285" s="28">
        <ns0:f>I284+IF(AND(H285="Eşleşmedi",E285='Panel'!$B$4),1,0)</ns0:f>
        <ns0:v>3.0</ns0:v>
      </ns0:c>
    </ns0:row>
    <ns0:row r="286" ht="21" customHeight="1">
      <ns0:c r="A286" s="25" t="n"/>
      <ns0:c r="B286" s="26" t="n"/>
      <ns0:c r="C286" s="27" t="n"/>
      <ns0:c r="D286" s="27" t="n"/>
      <ns0:c r="E286" s="28" t="str">
        <ns0:f>IF(A286="","",YEAR(A286)&amp;"-"&amp;RIGHT("0"&amp;MONTH(A286),2))</ns0:f>
        <ns0:v/>
      </ns0:c>
      <ns0:c r="F286" s="28" t="str">
        <ns0:f>IF(OR(A286="",B286="",C286&lt;=0),"",IF(SUMPRODUCT(('Müşteriler'!$B$2:$B$101&lt;&gt;"")*ISNUMBER(SEARCH('Müşteriler'!$B$2:$B$101,B286)))=1,IFERROR(INDEX('Müşteriler'!$A$2:$A$101,SUMPRODUCT(('Müşteriler'!$B$2:$B$101&lt;&gt;"")*ISNUMBER(SEARCH('Müşteriler'!$B$2:$B$101,B286)),ROW('Müşteriler'!$B$2:$B$101)-ROW('Müşteriler'!$B$2)+1)),""),""))</ns0:f>
        <ns0:v/>
      </ns0:c>
      <ns0:c r="G286" s="28" t="str">
        <ns0:f>IF(F286="","",IFERROR(INDEX('Müşteriler'!$C$2:$C$101,MATCH(F286,'Müşteriler'!$A$2:$A$101,0)),""))</ns0:f>
        <ns0:v/>
      </ns0:c>
      <ns0:c r="H286" s="28" t="str">
        <ns0:f>IF(A286="","",IF(C286&lt;=0,"Satış dışı",IF(OR(F286="",G286=""),"Eşleşmedi","Eşleşti")))</ns0:f>
        <ns0:v/>
      </ns0:c>
      <ns0:c r="I286" s="28">
        <ns0:f>I285+IF(AND(H286="Eşleşmedi",E286='Panel'!$B$4),1,0)</ns0:f>
        <ns0:v>3.0</ns0:v>
      </ns0:c>
    </ns0:row>
    <ns0:row r="287" ht="21" customHeight="1">
      <ns0:c r="A287" s="25" t="n"/>
      <ns0:c r="B287" s="26" t="n"/>
      <ns0:c r="C287" s="27" t="n"/>
      <ns0:c r="D287" s="27" t="n"/>
      <ns0:c r="E287" s="28" t="str">
        <ns0:f>IF(A287="","",YEAR(A287)&amp;"-"&amp;RIGHT("0"&amp;MONTH(A287),2))</ns0:f>
        <ns0:v/>
      </ns0:c>
      <ns0:c r="F287" s="28" t="str">
        <ns0:f>IF(OR(A287="",B287="",C287&lt;=0),"",IF(SUMPRODUCT(('Müşteriler'!$B$2:$B$101&lt;&gt;"")*ISNUMBER(SEARCH('Müşteriler'!$B$2:$B$101,B287)))=1,IFERROR(INDEX('Müşteriler'!$A$2:$A$101,SUMPRODUCT(('Müşteriler'!$B$2:$B$101&lt;&gt;"")*ISNUMBER(SEARCH('Müşteriler'!$B$2:$B$101,B287)),ROW('Müşteriler'!$B$2:$B$101)-ROW('Müşteriler'!$B$2)+1)),""),""))</ns0:f>
        <ns0:v/>
      </ns0:c>
      <ns0:c r="G287" s="28" t="str">
        <ns0:f>IF(F287="","",IFERROR(INDEX('Müşteriler'!$C$2:$C$101,MATCH(F287,'Müşteriler'!$A$2:$A$101,0)),""))</ns0:f>
        <ns0:v/>
      </ns0:c>
      <ns0:c r="H287" s="28" t="str">
        <ns0:f>IF(A287="","",IF(C287&lt;=0,"Satış dışı",IF(OR(F287="",G287=""),"Eşleşmedi","Eşleşti")))</ns0:f>
        <ns0:v/>
      </ns0:c>
      <ns0:c r="I287" s="28">
        <ns0:f>I286+IF(AND(H287="Eşleşmedi",E287='Panel'!$B$4),1,0)</ns0:f>
        <ns0:v>3.0</ns0:v>
      </ns0:c>
    </ns0:row>
    <ns0:row r="288" ht="21" customHeight="1">
      <ns0:c r="A288" s="25" t="n"/>
      <ns0:c r="B288" s="26" t="n"/>
      <ns0:c r="C288" s="27" t="n"/>
      <ns0:c r="D288" s="27" t="n"/>
      <ns0:c r="E288" s="28" t="str">
        <ns0:f>IF(A288="","",YEAR(A288)&amp;"-"&amp;RIGHT("0"&amp;MONTH(A288),2))</ns0:f>
        <ns0:v/>
      </ns0:c>
      <ns0:c r="F288" s="28" t="str">
        <ns0:f>IF(OR(A288="",B288="",C288&lt;=0),"",IF(SUMPRODUCT(('Müşteriler'!$B$2:$B$101&lt;&gt;"")*ISNUMBER(SEARCH('Müşteriler'!$B$2:$B$101,B288)))=1,IFERROR(INDEX('Müşteriler'!$A$2:$A$101,SUMPRODUCT(('Müşteriler'!$B$2:$B$101&lt;&gt;"")*ISNUMBER(SEARCH('Müşteriler'!$B$2:$B$101,B288)),ROW('Müşteriler'!$B$2:$B$101)-ROW('Müşteriler'!$B$2)+1)),""),""))</ns0:f>
        <ns0:v/>
      </ns0:c>
      <ns0:c r="G288" s="28" t="str">
        <ns0:f>IF(F288="","",IFERROR(INDEX('Müşteriler'!$C$2:$C$101,MATCH(F288,'Müşteriler'!$A$2:$A$101,0)),""))</ns0:f>
        <ns0:v/>
      </ns0:c>
      <ns0:c r="H288" s="28" t="str">
        <ns0:f>IF(A288="","",IF(C288&lt;=0,"Satış dışı",IF(OR(F288="",G288=""),"Eşleşmedi","Eşleşti")))</ns0:f>
        <ns0:v/>
      </ns0:c>
      <ns0:c r="I288" s="28">
        <ns0:f>I287+IF(AND(H288="Eşleşmedi",E288='Panel'!$B$4),1,0)</ns0:f>
        <ns0:v>3.0</ns0:v>
      </ns0:c>
    </ns0:row>
    <ns0:row r="289" ht="21" customHeight="1">
      <ns0:c r="A289" s="25" t="n"/>
      <ns0:c r="B289" s="26" t="n"/>
      <ns0:c r="C289" s="27" t="n"/>
      <ns0:c r="D289" s="27" t="n"/>
      <ns0:c r="E289" s="28" t="str">
        <ns0:f>IF(A289="","",YEAR(A289)&amp;"-"&amp;RIGHT("0"&amp;MONTH(A289),2))</ns0:f>
        <ns0:v/>
      </ns0:c>
      <ns0:c r="F289" s="28" t="str">
        <ns0:f>IF(OR(A289="",B289="",C289&lt;=0),"",IF(SUMPRODUCT(('Müşteriler'!$B$2:$B$101&lt;&gt;"")*ISNUMBER(SEARCH('Müşteriler'!$B$2:$B$101,B289)))=1,IFERROR(INDEX('Müşteriler'!$A$2:$A$101,SUMPRODUCT(('Müşteriler'!$B$2:$B$101&lt;&gt;"")*ISNUMBER(SEARCH('Müşteriler'!$B$2:$B$101,B289)),ROW('Müşteriler'!$B$2:$B$101)-ROW('Müşteriler'!$B$2)+1)),""),""))</ns0:f>
        <ns0:v/>
      </ns0:c>
      <ns0:c r="G289" s="28" t="str">
        <ns0:f>IF(F289="","",IFERROR(INDEX('Müşteriler'!$C$2:$C$101,MATCH(F289,'Müşteriler'!$A$2:$A$101,0)),""))</ns0:f>
        <ns0:v/>
      </ns0:c>
      <ns0:c r="H289" s="28" t="str">
        <ns0:f>IF(A289="","",IF(C289&lt;=0,"Satış dışı",IF(OR(F289="",G289=""),"Eşleşmedi","Eşleşti")))</ns0:f>
        <ns0:v/>
      </ns0:c>
      <ns0:c r="I289" s="28">
        <ns0:f>I288+IF(AND(H289="Eşleşmedi",E289='Panel'!$B$4),1,0)</ns0:f>
        <ns0:v>3.0</ns0:v>
      </ns0:c>
    </ns0:row>
    <ns0:row r="290" ht="21" customHeight="1">
      <ns0:c r="A290" s="25" t="n"/>
      <ns0:c r="B290" s="26" t="n"/>
      <ns0:c r="C290" s="27" t="n"/>
      <ns0:c r="D290" s="27" t="n"/>
      <ns0:c r="E290" s="28" t="str">
        <ns0:f>IF(A290="","",YEAR(A290)&amp;"-"&amp;RIGHT("0"&amp;MONTH(A290),2))</ns0:f>
        <ns0:v/>
      </ns0:c>
      <ns0:c r="F290" s="28" t="str">
        <ns0:f>IF(OR(A290="",B290="",C290&lt;=0),"",IF(SUMPRODUCT(('Müşteriler'!$B$2:$B$101&lt;&gt;"")*ISNUMBER(SEARCH('Müşteriler'!$B$2:$B$101,B290)))=1,IFERROR(INDEX('Müşteriler'!$A$2:$A$101,SUMPRODUCT(('Müşteriler'!$B$2:$B$101&lt;&gt;"")*ISNUMBER(SEARCH('Müşteriler'!$B$2:$B$101,B290)),ROW('Müşteriler'!$B$2:$B$101)-ROW('Müşteriler'!$B$2)+1)),""),""))</ns0:f>
        <ns0:v/>
      </ns0:c>
      <ns0:c r="G290" s="28" t="str">
        <ns0:f>IF(F290="","",IFERROR(INDEX('Müşteriler'!$C$2:$C$101,MATCH(F290,'Müşteriler'!$A$2:$A$101,0)),""))</ns0:f>
        <ns0:v/>
      </ns0:c>
      <ns0:c r="H290" s="28" t="str">
        <ns0:f>IF(A290="","",IF(C290&lt;=0,"Satış dışı",IF(OR(F290="",G290=""),"Eşleşmedi","Eşleşti")))</ns0:f>
        <ns0:v/>
      </ns0:c>
      <ns0:c r="I290" s="28">
        <ns0:f>I289+IF(AND(H290="Eşleşmedi",E290='Panel'!$B$4),1,0)</ns0:f>
        <ns0:v>3.0</ns0:v>
      </ns0:c>
    </ns0:row>
    <ns0:row r="291" ht="21" customHeight="1">
      <ns0:c r="A291" s="25" t="n"/>
      <ns0:c r="B291" s="26" t="n"/>
      <ns0:c r="C291" s="27" t="n"/>
      <ns0:c r="D291" s="27" t="n"/>
      <ns0:c r="E291" s="28" t="str">
        <ns0:f>IF(A291="","",YEAR(A291)&amp;"-"&amp;RIGHT("0"&amp;MONTH(A291),2))</ns0:f>
        <ns0:v/>
      </ns0:c>
      <ns0:c r="F291" s="28" t="str">
        <ns0:f>IF(OR(A291="",B291="",C291&lt;=0),"",IF(SUMPRODUCT(('Müşteriler'!$B$2:$B$101&lt;&gt;"")*ISNUMBER(SEARCH('Müşteriler'!$B$2:$B$101,B291)))=1,IFERROR(INDEX('Müşteriler'!$A$2:$A$101,SUMPRODUCT(('Müşteriler'!$B$2:$B$101&lt;&gt;"")*ISNUMBER(SEARCH('Müşteriler'!$B$2:$B$101,B291)),ROW('Müşteriler'!$B$2:$B$101)-ROW('Müşteriler'!$B$2)+1)),""),""))</ns0:f>
        <ns0:v/>
      </ns0:c>
      <ns0:c r="G291" s="28" t="str">
        <ns0:f>IF(F291="","",IFERROR(INDEX('Müşteriler'!$C$2:$C$101,MATCH(F291,'Müşteriler'!$A$2:$A$101,0)),""))</ns0:f>
        <ns0:v/>
      </ns0:c>
      <ns0:c r="H291" s="28" t="str">
        <ns0:f>IF(A291="","",IF(C291&lt;=0,"Satış dışı",IF(OR(F291="",G291=""),"Eşleşmedi","Eşleşti")))</ns0:f>
        <ns0:v/>
      </ns0:c>
      <ns0:c r="I291" s="28">
        <ns0:f>I290+IF(AND(H291="Eşleşmedi",E291='Panel'!$B$4),1,0)</ns0:f>
        <ns0:v>3.0</ns0:v>
      </ns0:c>
    </ns0:row>
    <ns0:row r="292" ht="21" customHeight="1">
      <ns0:c r="A292" s="25" t="n"/>
      <ns0:c r="B292" s="26" t="n"/>
      <ns0:c r="C292" s="27" t="n"/>
      <ns0:c r="D292" s="27" t="n"/>
      <ns0:c r="E292" s="28" t="str">
        <ns0:f>IF(A292="","",YEAR(A292)&amp;"-"&amp;RIGHT("0"&amp;MONTH(A292),2))</ns0:f>
        <ns0:v/>
      </ns0:c>
      <ns0:c r="F292" s="28" t="str">
        <ns0:f>IF(OR(A292="",B292="",C292&lt;=0),"",IF(SUMPRODUCT(('Müşteriler'!$B$2:$B$101&lt;&gt;"")*ISNUMBER(SEARCH('Müşteriler'!$B$2:$B$101,B292)))=1,IFERROR(INDEX('Müşteriler'!$A$2:$A$101,SUMPRODUCT(('Müşteriler'!$B$2:$B$101&lt;&gt;"")*ISNUMBER(SEARCH('Müşteriler'!$B$2:$B$101,B292)),ROW('Müşteriler'!$B$2:$B$101)-ROW('Müşteriler'!$B$2)+1)),""),""))</ns0:f>
        <ns0:v/>
      </ns0:c>
      <ns0:c r="G292" s="28" t="str">
        <ns0:f>IF(F292="","",IFERROR(INDEX('Müşteriler'!$C$2:$C$101,MATCH(F292,'Müşteriler'!$A$2:$A$101,0)),""))</ns0:f>
        <ns0:v/>
      </ns0:c>
      <ns0:c r="H292" s="28" t="str">
        <ns0:f>IF(A292="","",IF(C292&lt;=0,"Satış dışı",IF(OR(F292="",G292=""),"Eşleşmedi","Eşleşti")))</ns0:f>
        <ns0:v/>
      </ns0:c>
      <ns0:c r="I292" s="28">
        <ns0:f>I291+IF(AND(H292="Eşleşmedi",E292='Panel'!$B$4),1,0)</ns0:f>
        <ns0:v>3.0</ns0:v>
      </ns0:c>
    </ns0:row>
    <ns0:row r="293" ht="21" customHeight="1">
      <ns0:c r="A293" s="25" t="n"/>
      <ns0:c r="B293" s="26" t="n"/>
      <ns0:c r="C293" s="27" t="n"/>
      <ns0:c r="D293" s="27" t="n"/>
      <ns0:c r="E293" s="28" t="str">
        <ns0:f>IF(A293="","",YEAR(A293)&amp;"-"&amp;RIGHT("0"&amp;MONTH(A293),2))</ns0:f>
        <ns0:v/>
      </ns0:c>
      <ns0:c r="F293" s="28" t="str">
        <ns0:f>IF(OR(A293="",B293="",C293&lt;=0),"",IF(SUMPRODUCT(('Müşteriler'!$B$2:$B$101&lt;&gt;"")*ISNUMBER(SEARCH('Müşteriler'!$B$2:$B$101,B293)))=1,IFERROR(INDEX('Müşteriler'!$A$2:$A$101,SUMPRODUCT(('Müşteriler'!$B$2:$B$101&lt;&gt;"")*ISNUMBER(SEARCH('Müşteriler'!$B$2:$B$101,B293)),ROW('Müşteriler'!$B$2:$B$101)-ROW('Müşteriler'!$B$2)+1)),""),""))</ns0:f>
        <ns0:v/>
      </ns0:c>
      <ns0:c r="G293" s="28" t="str">
        <ns0:f>IF(F293="","",IFERROR(INDEX('Müşteriler'!$C$2:$C$101,MATCH(F293,'Müşteriler'!$A$2:$A$101,0)),""))</ns0:f>
        <ns0:v/>
      </ns0:c>
      <ns0:c r="H293" s="28" t="str">
        <ns0:f>IF(A293="","",IF(C293&lt;=0,"Satış dışı",IF(OR(F293="",G293=""),"Eşleşmedi","Eşleşti")))</ns0:f>
        <ns0:v/>
      </ns0:c>
      <ns0:c r="I293" s="28">
        <ns0:f>I292+IF(AND(H293="Eşleşmedi",E293='Panel'!$B$4),1,0)</ns0:f>
        <ns0:v>3.0</ns0:v>
      </ns0:c>
    </ns0:row>
    <ns0:row r="294" ht="21" customHeight="1">
      <ns0:c r="A294" s="25" t="n"/>
      <ns0:c r="B294" s="26" t="n"/>
      <ns0:c r="C294" s="27" t="n"/>
      <ns0:c r="D294" s="27" t="n"/>
      <ns0:c r="E294" s="28" t="str">
        <ns0:f>IF(A294="","",YEAR(A294)&amp;"-"&amp;RIGHT("0"&amp;MONTH(A294),2))</ns0:f>
        <ns0:v/>
      </ns0:c>
      <ns0:c r="F294" s="28" t="str">
        <ns0:f>IF(OR(A294="",B294="",C294&lt;=0),"",IF(SUMPRODUCT(('Müşteriler'!$B$2:$B$101&lt;&gt;"")*ISNUMBER(SEARCH('Müşteriler'!$B$2:$B$101,B294)))=1,IFERROR(INDEX('Müşteriler'!$A$2:$A$101,SUMPRODUCT(('Müşteriler'!$B$2:$B$101&lt;&gt;"")*ISNUMBER(SEARCH('Müşteriler'!$B$2:$B$101,B294)),ROW('Müşteriler'!$B$2:$B$101)-ROW('Müşteriler'!$B$2)+1)),""),""))</ns0:f>
        <ns0:v/>
      </ns0:c>
      <ns0:c r="G294" s="28" t="str">
        <ns0:f>IF(F294="","",IFERROR(INDEX('Müşteriler'!$C$2:$C$101,MATCH(F294,'Müşteriler'!$A$2:$A$101,0)),""))</ns0:f>
        <ns0:v/>
      </ns0:c>
      <ns0:c r="H294" s="28" t="str">
        <ns0:f>IF(A294="","",IF(C294&lt;=0,"Satış dışı",IF(OR(F294="",G294=""),"Eşleşmedi","Eşleşti")))</ns0:f>
        <ns0:v/>
      </ns0:c>
      <ns0:c r="I294" s="28">
        <ns0:f>I293+IF(AND(H294="Eşleşmedi",E294='Panel'!$B$4),1,0)</ns0:f>
        <ns0:v>3.0</ns0:v>
      </ns0:c>
    </ns0:row>
    <ns0:row r="295" ht="21" customHeight="1">
      <ns0:c r="A295" s="25" t="n"/>
      <ns0:c r="B295" s="26" t="n"/>
      <ns0:c r="C295" s="27" t="n"/>
      <ns0:c r="D295" s="27" t="n"/>
      <ns0:c r="E295" s="28" t="str">
        <ns0:f>IF(A295="","",YEAR(A295)&amp;"-"&amp;RIGHT("0"&amp;MONTH(A295),2))</ns0:f>
        <ns0:v/>
      </ns0:c>
      <ns0:c r="F295" s="28" t="str">
        <ns0:f>IF(OR(A295="",B295="",C295&lt;=0),"",IF(SUMPRODUCT(('Müşteriler'!$B$2:$B$101&lt;&gt;"")*ISNUMBER(SEARCH('Müşteriler'!$B$2:$B$101,B295)))=1,IFERROR(INDEX('Müşteriler'!$A$2:$A$101,SUMPRODUCT(('Müşteriler'!$B$2:$B$101&lt;&gt;"")*ISNUMBER(SEARCH('Müşteriler'!$B$2:$B$101,B295)),ROW('Müşteriler'!$B$2:$B$101)-ROW('Müşteriler'!$B$2)+1)),""),""))</ns0:f>
        <ns0:v/>
      </ns0:c>
      <ns0:c r="G295" s="28" t="str">
        <ns0:f>IF(F295="","",IFERROR(INDEX('Müşteriler'!$C$2:$C$101,MATCH(F295,'Müşteriler'!$A$2:$A$101,0)),""))</ns0:f>
        <ns0:v/>
      </ns0:c>
      <ns0:c r="H295" s="28" t="str">
        <ns0:f>IF(A295="","",IF(C295&lt;=0,"Satış dışı",IF(OR(F295="",G295=""),"Eşleşmedi","Eşleşti")))</ns0:f>
        <ns0:v/>
      </ns0:c>
      <ns0:c r="I295" s="28">
        <ns0:f>I294+IF(AND(H295="Eşleşmedi",E295='Panel'!$B$4),1,0)</ns0:f>
        <ns0:v>3.0</ns0:v>
      </ns0:c>
    </ns0:row>
    <ns0:row r="296" ht="21" customHeight="1">
      <ns0:c r="A296" s="25" t="n"/>
      <ns0:c r="B296" s="26" t="n"/>
      <ns0:c r="C296" s="27" t="n"/>
      <ns0:c r="D296" s="27" t="n"/>
      <ns0:c r="E296" s="28" t="str">
        <ns0:f>IF(A296="","",YEAR(A296)&amp;"-"&amp;RIGHT("0"&amp;MONTH(A296),2))</ns0:f>
        <ns0:v/>
      </ns0:c>
      <ns0:c r="F296" s="28" t="str">
        <ns0:f>IF(OR(A296="",B296="",C296&lt;=0),"",IF(SUMPRODUCT(('Müşteriler'!$B$2:$B$101&lt;&gt;"")*ISNUMBER(SEARCH('Müşteriler'!$B$2:$B$101,B296)))=1,IFERROR(INDEX('Müşteriler'!$A$2:$A$101,SUMPRODUCT(('Müşteriler'!$B$2:$B$101&lt;&gt;"")*ISNUMBER(SEARCH('Müşteriler'!$B$2:$B$101,B296)),ROW('Müşteriler'!$B$2:$B$101)-ROW('Müşteriler'!$B$2)+1)),""),""))</ns0:f>
        <ns0:v/>
      </ns0:c>
      <ns0:c r="G296" s="28" t="str">
        <ns0:f>IF(F296="","",IFERROR(INDEX('Müşteriler'!$C$2:$C$101,MATCH(F296,'Müşteriler'!$A$2:$A$101,0)),""))</ns0:f>
        <ns0:v/>
      </ns0:c>
      <ns0:c r="H296" s="28" t="str">
        <ns0:f>IF(A296="","",IF(C296&lt;=0,"Satış dışı",IF(OR(F296="",G296=""),"Eşleşmedi","Eşleşti")))</ns0:f>
        <ns0:v/>
      </ns0:c>
      <ns0:c r="I296" s="28">
        <ns0:f>I295+IF(AND(H296="Eşleşmedi",E296='Panel'!$B$4),1,0)</ns0:f>
        <ns0:v>3.0</ns0:v>
      </ns0:c>
    </ns0:row>
    <ns0:row r="297" ht="21" customHeight="1">
      <ns0:c r="A297" s="25" t="n"/>
      <ns0:c r="B297" s="26" t="n"/>
      <ns0:c r="C297" s="27" t="n"/>
      <ns0:c r="D297" s="27" t="n"/>
      <ns0:c r="E297" s="28" t="str">
        <ns0:f>IF(A297="","",YEAR(A297)&amp;"-"&amp;RIGHT("0"&amp;MONTH(A297),2))</ns0:f>
        <ns0:v/>
      </ns0:c>
      <ns0:c r="F297" s="28" t="str">
        <ns0:f>IF(OR(A297="",B297="",C297&lt;=0),"",IF(SUMPRODUCT(('Müşteriler'!$B$2:$B$101&lt;&gt;"")*ISNUMBER(SEARCH('Müşteriler'!$B$2:$B$101,B297)))=1,IFERROR(INDEX('Müşteriler'!$A$2:$A$101,SUMPRODUCT(('Müşteriler'!$B$2:$B$101&lt;&gt;"")*ISNUMBER(SEARCH('Müşteriler'!$B$2:$B$101,B297)),ROW('Müşteriler'!$B$2:$B$101)-ROW('Müşteriler'!$B$2)+1)),""),""))</ns0:f>
        <ns0:v/>
      </ns0:c>
      <ns0:c r="G297" s="28" t="str">
        <ns0:f>IF(F297="","",IFERROR(INDEX('Müşteriler'!$C$2:$C$101,MATCH(F297,'Müşteriler'!$A$2:$A$101,0)),""))</ns0:f>
        <ns0:v/>
      </ns0:c>
      <ns0:c r="H297" s="28" t="str">
        <ns0:f>IF(A297="","",IF(C297&lt;=0,"Satış dışı",IF(OR(F297="",G297=""),"Eşleşmedi","Eşleşti")))</ns0:f>
        <ns0:v/>
      </ns0:c>
      <ns0:c r="I297" s="28">
        <ns0:f>I296+IF(AND(H297="Eşleşmedi",E297='Panel'!$B$4),1,0)</ns0:f>
        <ns0:v>3.0</ns0:v>
      </ns0:c>
    </ns0:row>
    <ns0:row r="298" ht="21" customHeight="1">
      <ns0:c r="A298" s="25" t="n"/>
      <ns0:c r="B298" s="26" t="n"/>
      <ns0:c r="C298" s="27" t="n"/>
      <ns0:c r="D298" s="27" t="n"/>
      <ns0:c r="E298" s="28" t="str">
        <ns0:f>IF(A298="","",YEAR(A298)&amp;"-"&amp;RIGHT("0"&amp;MONTH(A298),2))</ns0:f>
        <ns0:v/>
      </ns0:c>
      <ns0:c r="F298" s="28" t="str">
        <ns0:f>IF(OR(A298="",B298="",C298&lt;=0),"",IF(SUMPRODUCT(('Müşteriler'!$B$2:$B$101&lt;&gt;"")*ISNUMBER(SEARCH('Müşteriler'!$B$2:$B$101,B298)))=1,IFERROR(INDEX('Müşteriler'!$A$2:$A$101,SUMPRODUCT(('Müşteriler'!$B$2:$B$101&lt;&gt;"")*ISNUMBER(SEARCH('Müşteriler'!$B$2:$B$101,B298)),ROW('Müşteriler'!$B$2:$B$101)-ROW('Müşteriler'!$B$2)+1)),""),""))</ns0:f>
        <ns0:v/>
      </ns0:c>
      <ns0:c r="G298" s="28" t="str">
        <ns0:f>IF(F298="","",IFERROR(INDEX('Müşteriler'!$C$2:$C$101,MATCH(F298,'Müşteriler'!$A$2:$A$101,0)),""))</ns0:f>
        <ns0:v/>
      </ns0:c>
      <ns0:c r="H298" s="28" t="str">
        <ns0:f>IF(A298="","",IF(C298&lt;=0,"Satış dışı",IF(OR(F298="",G298=""),"Eşleşmedi","Eşleşti")))</ns0:f>
        <ns0:v/>
      </ns0:c>
      <ns0:c r="I298" s="28">
        <ns0:f>I297+IF(AND(H298="Eşleşmedi",E298='Panel'!$B$4),1,0)</ns0:f>
        <ns0:v>3.0</ns0:v>
      </ns0:c>
    </ns0:row>
    <ns0:row r="299" ht="21" customHeight="1">
      <ns0:c r="A299" s="25" t="n"/>
      <ns0:c r="B299" s="26" t="n"/>
      <ns0:c r="C299" s="27" t="n"/>
      <ns0:c r="D299" s="27" t="n"/>
      <ns0:c r="E299" s="28" t="str">
        <ns0:f>IF(A299="","",YEAR(A299)&amp;"-"&amp;RIGHT("0"&amp;MONTH(A299),2))</ns0:f>
        <ns0:v/>
      </ns0:c>
      <ns0:c r="F299" s="28" t="str">
        <ns0:f>IF(OR(A299="",B299="",C299&lt;=0),"",IF(SUMPRODUCT(('Müşteriler'!$B$2:$B$101&lt;&gt;"")*ISNUMBER(SEARCH('Müşteriler'!$B$2:$B$101,B299)))=1,IFERROR(INDEX('Müşteriler'!$A$2:$A$101,SUMPRODUCT(('Müşteriler'!$B$2:$B$101&lt;&gt;"")*ISNUMBER(SEARCH('Müşteriler'!$B$2:$B$101,B299)),ROW('Müşteriler'!$B$2:$B$101)-ROW('Müşteriler'!$B$2)+1)),""),""))</ns0:f>
        <ns0:v/>
      </ns0:c>
      <ns0:c r="G299" s="28" t="str">
        <ns0:f>IF(F299="","",IFERROR(INDEX('Müşteriler'!$C$2:$C$101,MATCH(F299,'Müşteriler'!$A$2:$A$101,0)),""))</ns0:f>
        <ns0:v/>
      </ns0:c>
      <ns0:c r="H299" s="28" t="str">
        <ns0:f>IF(A299="","",IF(C299&lt;=0,"Satış dışı",IF(OR(F299="",G299=""),"Eşleşmedi","Eşleşti")))</ns0:f>
        <ns0:v/>
      </ns0:c>
      <ns0:c r="I299" s="28">
        <ns0:f>I298+IF(AND(H299="Eşleşmedi",E299='Panel'!$B$4),1,0)</ns0:f>
        <ns0:v>3.0</ns0:v>
      </ns0:c>
    </ns0:row>
    <ns0:row r="300" ht="21" customHeight="1">
      <ns0:c r="A300" s="25" t="n"/>
      <ns0:c r="B300" s="26" t="n"/>
      <ns0:c r="C300" s="27" t="n"/>
      <ns0:c r="D300" s="27" t="n"/>
      <ns0:c r="E300" s="28" t="str">
        <ns0:f>IF(A300="","",YEAR(A300)&amp;"-"&amp;RIGHT("0"&amp;MONTH(A300),2))</ns0:f>
        <ns0:v/>
      </ns0:c>
      <ns0:c r="F300" s="28" t="str">
        <ns0:f>IF(OR(A300="",B300="",C300&lt;=0),"",IF(SUMPRODUCT(('Müşteriler'!$B$2:$B$101&lt;&gt;"")*ISNUMBER(SEARCH('Müşteriler'!$B$2:$B$101,B300)))=1,IFERROR(INDEX('Müşteriler'!$A$2:$A$101,SUMPRODUCT(('Müşteriler'!$B$2:$B$101&lt;&gt;"")*ISNUMBER(SEARCH('Müşteriler'!$B$2:$B$101,B300)),ROW('Müşteriler'!$B$2:$B$101)-ROW('Müşteriler'!$B$2)+1)),""),""))</ns0:f>
        <ns0:v/>
      </ns0:c>
      <ns0:c r="G300" s="28" t="str">
        <ns0:f>IF(F300="","",IFERROR(INDEX('Müşteriler'!$C$2:$C$101,MATCH(F300,'Müşteriler'!$A$2:$A$101,0)),""))</ns0:f>
        <ns0:v/>
      </ns0:c>
      <ns0:c r="H300" s="28" t="str">
        <ns0:f>IF(A300="","",IF(C300&lt;=0,"Satış dışı",IF(OR(F300="",G300=""),"Eşleşmedi","Eşleşti")))</ns0:f>
        <ns0:v/>
      </ns0:c>
      <ns0:c r="I300" s="28">
        <ns0:f>I299+IF(AND(H300="Eşleşmedi",E300='Panel'!$B$4),1,0)</ns0:f>
        <ns0:v>3.0</ns0:v>
      </ns0:c>
    </ns0:row>
    <ns0:row r="301" ht="21" customHeight="1">
      <ns0:c r="A301" s="25" t="n"/>
      <ns0:c r="B301" s="26" t="n"/>
      <ns0:c r="C301" s="27" t="n"/>
      <ns0:c r="D301" s="27" t="n"/>
      <ns0:c r="E301" s="28" t="str">
        <ns0:f>IF(A301="","",YEAR(A301)&amp;"-"&amp;RIGHT("0"&amp;MONTH(A301),2))</ns0:f>
        <ns0:v/>
      </ns0:c>
      <ns0:c r="F301" s="28" t="str">
        <ns0:f>IF(OR(A301="",B301="",C301&lt;=0),"",IF(SUMPRODUCT(('Müşteriler'!$B$2:$B$101&lt;&gt;"")*ISNUMBER(SEARCH('Müşteriler'!$B$2:$B$101,B301)))=1,IFERROR(INDEX('Müşteriler'!$A$2:$A$101,SUMPRODUCT(('Müşteriler'!$B$2:$B$101&lt;&gt;"")*ISNUMBER(SEARCH('Müşteriler'!$B$2:$B$101,B301)),ROW('Müşteriler'!$B$2:$B$101)-ROW('Müşteriler'!$B$2)+1)),""),""))</ns0:f>
        <ns0:v/>
      </ns0:c>
      <ns0:c r="G301" s="28" t="str">
        <ns0:f>IF(F301="","",IFERROR(INDEX('Müşteriler'!$C$2:$C$101,MATCH(F301,'Müşteriler'!$A$2:$A$101,0)),""))</ns0:f>
        <ns0:v/>
      </ns0:c>
      <ns0:c r="H301" s="28" t="str">
        <ns0:f>IF(A301="","",IF(C301&lt;=0,"Satış dışı",IF(OR(F301="",G301=""),"Eşleşmedi","Eşleşti")))</ns0:f>
        <ns0:v/>
      </ns0:c>
      <ns0:c r="I301" s="28">
        <ns0:f>I300+IF(AND(H301="Eşleşmedi",E301='Panel'!$B$4),1,0)</ns0:f>
        <ns0:v>3.0</ns0:v>
      </ns0:c>
    </ns0:row>
    <ns0:row r="302" ht="21" customHeight="1">
      <ns0:c r="A302" s="25" t="n"/>
      <ns0:c r="B302" s="26" t="n"/>
      <ns0:c r="C302" s="27" t="n"/>
      <ns0:c r="D302" s="27" t="n"/>
      <ns0:c r="E302" s="28" t="str">
        <ns0:f>IF(A302="","",YEAR(A302)&amp;"-"&amp;RIGHT("0"&amp;MONTH(A302),2))</ns0:f>
        <ns0:v/>
      </ns0:c>
      <ns0:c r="F302" s="28" t="str">
        <ns0:f>IF(OR(A302="",B302="",C302&lt;=0),"",IF(SUMPRODUCT(('Müşteriler'!$B$2:$B$101&lt;&gt;"")*ISNUMBER(SEARCH('Müşteriler'!$B$2:$B$101,B302)))=1,IFERROR(INDEX('Müşteriler'!$A$2:$A$101,SUMPRODUCT(('Müşteriler'!$B$2:$B$101&lt;&gt;"")*ISNUMBER(SEARCH('Müşteriler'!$B$2:$B$101,B302)),ROW('Müşteriler'!$B$2:$B$101)-ROW('Müşteriler'!$B$2)+1)),""),""))</ns0:f>
        <ns0:v/>
      </ns0:c>
      <ns0:c r="G302" s="28" t="str">
        <ns0:f>IF(F302="","",IFERROR(INDEX('Müşteriler'!$C$2:$C$101,MATCH(F302,'Müşteriler'!$A$2:$A$101,0)),""))</ns0:f>
        <ns0:v/>
      </ns0:c>
      <ns0:c r="H302" s="28" t="str">
        <ns0:f>IF(A302="","",IF(C302&lt;=0,"Satış dışı",IF(OR(F302="",G302=""),"Eşleşmedi","Eşleşti")))</ns0:f>
        <ns0:v/>
      </ns0:c>
      <ns0:c r="I302" s="28">
        <ns0:f>I301+IF(AND(H302="Eşleşmedi",E302='Panel'!$B$4),1,0)</ns0:f>
        <ns0:v>3.0</ns0:v>
      </ns0:c>
    </ns0:row>
    <ns0:row r="303" ht="21" customHeight="1">
      <ns0:c r="A303" s="25" t="n"/>
      <ns0:c r="B303" s="26" t="n"/>
      <ns0:c r="C303" s="27" t="n"/>
      <ns0:c r="D303" s="27" t="n"/>
      <ns0:c r="E303" s="28" t="str">
        <ns0:f>IF(A303="","",YEAR(A303)&amp;"-"&amp;RIGHT("0"&amp;MONTH(A303),2))</ns0:f>
        <ns0:v/>
      </ns0:c>
      <ns0:c r="F303" s="28" t="str">
        <ns0:f>IF(OR(A303="",B303="",C303&lt;=0),"",IF(SUMPRODUCT(('Müşteriler'!$B$2:$B$101&lt;&gt;"")*ISNUMBER(SEARCH('Müşteriler'!$B$2:$B$101,B303)))=1,IFERROR(INDEX('Müşteriler'!$A$2:$A$101,SUMPRODUCT(('Müşteriler'!$B$2:$B$101&lt;&gt;"")*ISNUMBER(SEARCH('Müşteriler'!$B$2:$B$101,B303)),ROW('Müşteriler'!$B$2:$B$101)-ROW('Müşteriler'!$B$2)+1)),""),""))</ns0:f>
        <ns0:v/>
      </ns0:c>
      <ns0:c r="G303" s="28" t="str">
        <ns0:f>IF(F303="","",IFERROR(INDEX('Müşteriler'!$C$2:$C$101,MATCH(F303,'Müşteriler'!$A$2:$A$101,0)),""))</ns0:f>
        <ns0:v/>
      </ns0:c>
      <ns0:c r="H303" s="28" t="str">
        <ns0:f>IF(A303="","",IF(C303&lt;=0,"Satış dışı",IF(OR(F303="",G303=""),"Eşleşmedi","Eşleşti")))</ns0:f>
        <ns0:v/>
      </ns0:c>
      <ns0:c r="I303" s="28">
        <ns0:f>I302+IF(AND(H303="Eşleşmedi",E303='Panel'!$B$4),1,0)</ns0:f>
        <ns0:v>3.0</ns0:v>
      </ns0:c>
    </ns0:row>
    <ns0:row r="304" ht="21" customHeight="1">
      <ns0:c r="A304" s="25" t="n"/>
      <ns0:c r="B304" s="26" t="n"/>
      <ns0:c r="C304" s="27" t="n"/>
      <ns0:c r="D304" s="27" t="n"/>
      <ns0:c r="E304" s="28" t="str">
        <ns0:f>IF(A304="","",YEAR(A304)&amp;"-"&amp;RIGHT("0"&amp;MONTH(A304),2))</ns0:f>
        <ns0:v/>
      </ns0:c>
      <ns0:c r="F304" s="28" t="str">
        <ns0:f>IF(OR(A304="",B304="",C304&lt;=0),"",IF(SUMPRODUCT(('Müşteriler'!$B$2:$B$101&lt;&gt;"")*ISNUMBER(SEARCH('Müşteriler'!$B$2:$B$101,B304)))=1,IFERROR(INDEX('Müşteriler'!$A$2:$A$101,SUMPRODUCT(('Müşteriler'!$B$2:$B$101&lt;&gt;"")*ISNUMBER(SEARCH('Müşteriler'!$B$2:$B$101,B304)),ROW('Müşteriler'!$B$2:$B$101)-ROW('Müşteriler'!$B$2)+1)),""),""))</ns0:f>
        <ns0:v/>
      </ns0:c>
      <ns0:c r="G304" s="28" t="str">
        <ns0:f>IF(F304="","",IFERROR(INDEX('Müşteriler'!$C$2:$C$101,MATCH(F304,'Müşteriler'!$A$2:$A$101,0)),""))</ns0:f>
        <ns0:v/>
      </ns0:c>
      <ns0:c r="H304" s="28" t="str">
        <ns0:f>IF(A304="","",IF(C304&lt;=0,"Satış dışı",IF(OR(F304="",G304=""),"Eşleşmedi","Eşleşti")))</ns0:f>
        <ns0:v/>
      </ns0:c>
      <ns0:c r="I304" s="28">
        <ns0:f>I303+IF(AND(H304="Eşleşmedi",E304='Panel'!$B$4),1,0)</ns0:f>
        <ns0:v>3.0</ns0:v>
      </ns0:c>
    </ns0:row>
    <ns0:row r="305" ht="21" customHeight="1">
      <ns0:c r="A305" s="25" t="n"/>
      <ns0:c r="B305" s="26" t="n"/>
      <ns0:c r="C305" s="27" t="n"/>
      <ns0:c r="D305" s="27" t="n"/>
      <ns0:c r="E305" s="28" t="str">
        <ns0:f>IF(A305="","",YEAR(A305)&amp;"-"&amp;RIGHT("0"&amp;MONTH(A305),2))</ns0:f>
        <ns0:v/>
      </ns0:c>
      <ns0:c r="F305" s="28" t="str">
        <ns0:f>IF(OR(A305="",B305="",C305&lt;=0),"",IF(SUMPRODUCT(('Müşteriler'!$B$2:$B$101&lt;&gt;"")*ISNUMBER(SEARCH('Müşteriler'!$B$2:$B$101,B305)))=1,IFERROR(INDEX('Müşteriler'!$A$2:$A$101,SUMPRODUCT(('Müşteriler'!$B$2:$B$101&lt;&gt;"")*ISNUMBER(SEARCH('Müşteriler'!$B$2:$B$101,B305)),ROW('Müşteriler'!$B$2:$B$101)-ROW('Müşteriler'!$B$2)+1)),""),""))</ns0:f>
        <ns0:v/>
      </ns0:c>
      <ns0:c r="G305" s="28" t="str">
        <ns0:f>IF(F305="","",IFERROR(INDEX('Müşteriler'!$C$2:$C$101,MATCH(F305,'Müşteriler'!$A$2:$A$101,0)),""))</ns0:f>
        <ns0:v/>
      </ns0:c>
      <ns0:c r="H305" s="28" t="str">
        <ns0:f>IF(A305="","",IF(C305&lt;=0,"Satış dışı",IF(OR(F305="",G305=""),"Eşleşmedi","Eşleşti")))</ns0:f>
        <ns0:v/>
      </ns0:c>
      <ns0:c r="I305" s="28">
        <ns0:f>I304+IF(AND(H305="Eşleşmedi",E305='Panel'!$B$4),1,0)</ns0:f>
        <ns0:v>3.0</ns0:v>
      </ns0:c>
    </ns0:row>
    <ns0:row r="306" ht="21" customHeight="1">
      <ns0:c r="A306" s="25" t="n"/>
      <ns0:c r="B306" s="26" t="n"/>
      <ns0:c r="C306" s="27" t="n"/>
      <ns0:c r="D306" s="27" t="n"/>
      <ns0:c r="E306" s="28" t="str">
        <ns0:f>IF(A306="","",YEAR(A306)&amp;"-"&amp;RIGHT("0"&amp;MONTH(A306),2))</ns0:f>
        <ns0:v/>
      </ns0:c>
      <ns0:c r="F306" s="28" t="str">
        <ns0:f>IF(OR(A306="",B306="",C306&lt;=0),"",IF(SUMPRODUCT(('Müşteriler'!$B$2:$B$101&lt;&gt;"")*ISNUMBER(SEARCH('Müşteriler'!$B$2:$B$101,B306)))=1,IFERROR(INDEX('Müşteriler'!$A$2:$A$101,SUMPRODUCT(('Müşteriler'!$B$2:$B$101&lt;&gt;"")*ISNUMBER(SEARCH('Müşteriler'!$B$2:$B$101,B306)),ROW('Müşteriler'!$B$2:$B$101)-ROW('Müşteriler'!$B$2)+1)),""),""))</ns0:f>
        <ns0:v/>
      </ns0:c>
      <ns0:c r="G306" s="28" t="str">
        <ns0:f>IF(F306="","",IFERROR(INDEX('Müşteriler'!$C$2:$C$101,MATCH(F306,'Müşteriler'!$A$2:$A$101,0)),""))</ns0:f>
        <ns0:v/>
      </ns0:c>
      <ns0:c r="H306" s="28" t="str">
        <ns0:f>IF(A306="","",IF(C306&lt;=0,"Satış dışı",IF(OR(F306="",G306=""),"Eşleşmedi","Eşleşti")))</ns0:f>
        <ns0:v/>
      </ns0:c>
      <ns0:c r="I306" s="28">
        <ns0:f>I305+IF(AND(H306="Eşleşmedi",E306='Panel'!$B$4),1,0)</ns0:f>
        <ns0:v>3.0</ns0:v>
      </ns0:c>
    </ns0:row>
    <ns0:row r="307" ht="21" customHeight="1">
      <ns0:c r="A307" s="25" t="n"/>
      <ns0:c r="B307" s="26" t="n"/>
      <ns0:c r="C307" s="27" t="n"/>
      <ns0:c r="D307" s="27" t="n"/>
      <ns0:c r="E307" s="28" t="str">
        <ns0:f>IF(A307="","",YEAR(A307)&amp;"-"&amp;RIGHT("0"&amp;MONTH(A307),2))</ns0:f>
        <ns0:v/>
      </ns0:c>
      <ns0:c r="F307" s="28" t="str">
        <ns0:f>IF(OR(A307="",B307="",C307&lt;=0),"",IF(SUMPRODUCT(('Müşteriler'!$B$2:$B$101&lt;&gt;"")*ISNUMBER(SEARCH('Müşteriler'!$B$2:$B$101,B307)))=1,IFERROR(INDEX('Müşteriler'!$A$2:$A$101,SUMPRODUCT(('Müşteriler'!$B$2:$B$101&lt;&gt;"")*ISNUMBER(SEARCH('Müşteriler'!$B$2:$B$101,B307)),ROW('Müşteriler'!$B$2:$B$101)-ROW('Müşteriler'!$B$2)+1)),""),""))</ns0:f>
        <ns0:v/>
      </ns0:c>
      <ns0:c r="G307" s="28" t="str">
        <ns0:f>IF(F307="","",IFERROR(INDEX('Müşteriler'!$C$2:$C$101,MATCH(F307,'Müşteriler'!$A$2:$A$101,0)),""))</ns0:f>
        <ns0:v/>
      </ns0:c>
      <ns0:c r="H307" s="28" t="str">
        <ns0:f>IF(A307="","",IF(C307&lt;=0,"Satış dışı",IF(OR(F307="",G307=""),"Eşleşmedi","Eşleşti")))</ns0:f>
        <ns0:v/>
      </ns0:c>
      <ns0:c r="I307" s="28">
        <ns0:f>I306+IF(AND(H307="Eşleşmedi",E307='Panel'!$B$4),1,0)</ns0:f>
        <ns0:v>3.0</ns0:v>
      </ns0:c>
    </ns0:row>
    <ns0:row r="308" ht="21" customHeight="1">
      <ns0:c r="A308" s="25" t="n"/>
      <ns0:c r="B308" s="26" t="n"/>
      <ns0:c r="C308" s="27" t="n"/>
      <ns0:c r="D308" s="27" t="n"/>
      <ns0:c r="E308" s="28" t="str">
        <ns0:f>IF(A308="","",YEAR(A308)&amp;"-"&amp;RIGHT("0"&amp;MONTH(A308),2))</ns0:f>
        <ns0:v/>
      </ns0:c>
      <ns0:c r="F308" s="28" t="str">
        <ns0:f>IF(OR(A308="",B308="",C308&lt;=0),"",IF(SUMPRODUCT(('Müşteriler'!$B$2:$B$101&lt;&gt;"")*ISNUMBER(SEARCH('Müşteriler'!$B$2:$B$101,B308)))=1,IFERROR(INDEX('Müşteriler'!$A$2:$A$101,SUMPRODUCT(('Müşteriler'!$B$2:$B$101&lt;&gt;"")*ISNUMBER(SEARCH('Müşteriler'!$B$2:$B$101,B308)),ROW('Müşteriler'!$B$2:$B$101)-ROW('Müşteriler'!$B$2)+1)),""),""))</ns0:f>
        <ns0:v/>
      </ns0:c>
      <ns0:c r="G308" s="28" t="str">
        <ns0:f>IF(F308="","",IFERROR(INDEX('Müşteriler'!$C$2:$C$101,MATCH(F308,'Müşteriler'!$A$2:$A$101,0)),""))</ns0:f>
        <ns0:v/>
      </ns0:c>
      <ns0:c r="H308" s="28" t="str">
        <ns0:f>IF(A308="","",IF(C308&lt;=0,"Satış dışı",IF(OR(F308="",G308=""),"Eşleşmedi","Eşleşti")))</ns0:f>
        <ns0:v/>
      </ns0:c>
      <ns0:c r="I308" s="28">
        <ns0:f>I307+IF(AND(H308="Eşleşmedi",E308='Panel'!$B$4),1,0)</ns0:f>
        <ns0:v>3.0</ns0:v>
      </ns0:c>
    </ns0:row>
    <ns0:row r="309" ht="21" customHeight="1">
      <ns0:c r="A309" s="25" t="n"/>
      <ns0:c r="B309" s="26" t="n"/>
      <ns0:c r="C309" s="27" t="n"/>
      <ns0:c r="D309" s="27" t="n"/>
      <ns0:c r="E309" s="28" t="str">
        <ns0:f>IF(A309="","",YEAR(A309)&amp;"-"&amp;RIGHT("0"&amp;MONTH(A309),2))</ns0:f>
        <ns0:v/>
      </ns0:c>
      <ns0:c r="F309" s="28" t="str">
        <ns0:f>IF(OR(A309="",B309="",C309&lt;=0),"",IF(SUMPRODUCT(('Müşteriler'!$B$2:$B$101&lt;&gt;"")*ISNUMBER(SEARCH('Müşteriler'!$B$2:$B$101,B309)))=1,IFERROR(INDEX('Müşteriler'!$A$2:$A$101,SUMPRODUCT(('Müşteriler'!$B$2:$B$101&lt;&gt;"")*ISNUMBER(SEARCH('Müşteriler'!$B$2:$B$101,B309)),ROW('Müşteriler'!$B$2:$B$101)-ROW('Müşteriler'!$B$2)+1)),""),""))</ns0:f>
        <ns0:v/>
      </ns0:c>
      <ns0:c r="G309" s="28" t="str">
        <ns0:f>IF(F309="","",IFERROR(INDEX('Müşteriler'!$C$2:$C$101,MATCH(F309,'Müşteriler'!$A$2:$A$101,0)),""))</ns0:f>
        <ns0:v/>
      </ns0:c>
      <ns0:c r="H309" s="28" t="str">
        <ns0:f>IF(A309="","",IF(C309&lt;=0,"Satış dışı",IF(OR(F309="",G309=""),"Eşleşmedi","Eşleşti")))</ns0:f>
        <ns0:v/>
      </ns0:c>
      <ns0:c r="I309" s="28">
        <ns0:f>I308+IF(AND(H309="Eşleşmedi",E309='Panel'!$B$4),1,0)</ns0:f>
        <ns0:v>3.0</ns0:v>
      </ns0:c>
    </ns0:row>
    <ns0:row r="310" ht="21" customHeight="1">
      <ns0:c r="A310" s="25" t="n"/>
      <ns0:c r="B310" s="26" t="n"/>
      <ns0:c r="C310" s="27" t="n"/>
      <ns0:c r="D310" s="27" t="n"/>
      <ns0:c r="E310" s="28" t="str">
        <ns0:f>IF(A310="","",YEAR(A310)&amp;"-"&amp;RIGHT("0"&amp;MONTH(A310),2))</ns0:f>
        <ns0:v/>
      </ns0:c>
      <ns0:c r="F310" s="28" t="str">
        <ns0:f>IF(OR(A310="",B310="",C310&lt;=0),"",IF(SUMPRODUCT(('Müşteriler'!$B$2:$B$101&lt;&gt;"")*ISNUMBER(SEARCH('Müşteriler'!$B$2:$B$101,B310)))=1,IFERROR(INDEX('Müşteriler'!$A$2:$A$101,SUMPRODUCT(('Müşteriler'!$B$2:$B$101&lt;&gt;"")*ISNUMBER(SEARCH('Müşteriler'!$B$2:$B$101,B310)),ROW('Müşteriler'!$B$2:$B$101)-ROW('Müşteriler'!$B$2)+1)),""),""))</ns0:f>
        <ns0:v/>
      </ns0:c>
      <ns0:c r="G310" s="28" t="str">
        <ns0:f>IF(F310="","",IFERROR(INDEX('Müşteriler'!$C$2:$C$101,MATCH(F310,'Müşteriler'!$A$2:$A$101,0)),""))</ns0:f>
        <ns0:v/>
      </ns0:c>
      <ns0:c r="H310" s="28" t="str">
        <ns0:f>IF(A310="","",IF(C310&lt;=0,"Satış dışı",IF(OR(F310="",G310=""),"Eşleşmedi","Eşleşti")))</ns0:f>
        <ns0:v/>
      </ns0:c>
      <ns0:c r="I310" s="28">
        <ns0:f>I309+IF(AND(H310="Eşleşmedi",E310='Panel'!$B$4),1,0)</ns0:f>
        <ns0:v>3.0</ns0:v>
      </ns0:c>
    </ns0:row>
    <ns0:row r="311" ht="21" customHeight="1">
      <ns0:c r="A311" s="25" t="n"/>
      <ns0:c r="B311" s="26" t="n"/>
      <ns0:c r="C311" s="27" t="n"/>
      <ns0:c r="D311" s="27" t="n"/>
      <ns0:c r="E311" s="28" t="str">
        <ns0:f>IF(A311="","",YEAR(A311)&amp;"-"&amp;RIGHT("0"&amp;MONTH(A311),2))</ns0:f>
        <ns0:v/>
      </ns0:c>
      <ns0:c r="F311" s="28" t="str">
        <ns0:f>IF(OR(A311="",B311="",C311&lt;=0),"",IF(SUMPRODUCT(('Müşteriler'!$B$2:$B$101&lt;&gt;"")*ISNUMBER(SEARCH('Müşteriler'!$B$2:$B$101,B311)))=1,IFERROR(INDEX('Müşteriler'!$A$2:$A$101,SUMPRODUCT(('Müşteriler'!$B$2:$B$101&lt;&gt;"")*ISNUMBER(SEARCH('Müşteriler'!$B$2:$B$101,B311)),ROW('Müşteriler'!$B$2:$B$101)-ROW('Müşteriler'!$B$2)+1)),""),""))</ns0:f>
        <ns0:v/>
      </ns0:c>
      <ns0:c r="G311" s="28" t="str">
        <ns0:f>IF(F311="","",IFERROR(INDEX('Müşteriler'!$C$2:$C$101,MATCH(F311,'Müşteriler'!$A$2:$A$101,0)),""))</ns0:f>
        <ns0:v/>
      </ns0:c>
      <ns0:c r="H311" s="28" t="str">
        <ns0:f>IF(A311="","",IF(C311&lt;=0,"Satış dışı",IF(OR(F311="",G311=""),"Eşleşmedi","Eşleşti")))</ns0:f>
        <ns0:v/>
      </ns0:c>
      <ns0:c r="I311" s="28">
        <ns0:f>I310+IF(AND(H311="Eşleşmedi",E311='Panel'!$B$4),1,0)</ns0:f>
        <ns0:v>3.0</ns0:v>
      </ns0:c>
    </ns0:row>
    <ns0:row r="312" ht="21" customHeight="1">
      <ns0:c r="A312" s="25" t="n"/>
      <ns0:c r="B312" s="26" t="n"/>
      <ns0:c r="C312" s="27" t="n"/>
      <ns0:c r="D312" s="27" t="n"/>
      <ns0:c r="E312" s="28" t="str">
        <ns0:f>IF(A312="","",YEAR(A312)&amp;"-"&amp;RIGHT("0"&amp;MONTH(A312),2))</ns0:f>
        <ns0:v/>
      </ns0:c>
      <ns0:c r="F312" s="28" t="str">
        <ns0:f>IF(OR(A312="",B312="",C312&lt;=0),"",IF(SUMPRODUCT(('Müşteriler'!$B$2:$B$101&lt;&gt;"")*ISNUMBER(SEARCH('Müşteriler'!$B$2:$B$101,B312)))=1,IFERROR(INDEX('Müşteriler'!$A$2:$A$101,SUMPRODUCT(('Müşteriler'!$B$2:$B$101&lt;&gt;"")*ISNUMBER(SEARCH('Müşteriler'!$B$2:$B$101,B312)),ROW('Müşteriler'!$B$2:$B$101)-ROW('Müşteriler'!$B$2)+1)),""),""))</ns0:f>
        <ns0:v/>
      </ns0:c>
      <ns0:c r="G312" s="28" t="str">
        <ns0:f>IF(F312="","",IFERROR(INDEX('Müşteriler'!$C$2:$C$101,MATCH(F312,'Müşteriler'!$A$2:$A$101,0)),""))</ns0:f>
        <ns0:v/>
      </ns0:c>
      <ns0:c r="H312" s="28" t="str">
        <ns0:f>IF(A312="","",IF(C312&lt;=0,"Satış dışı",IF(OR(F312="",G312=""),"Eşleşmedi","Eşleşti")))</ns0:f>
        <ns0:v/>
      </ns0:c>
      <ns0:c r="I312" s="28">
        <ns0:f>I311+IF(AND(H312="Eşleşmedi",E312='Panel'!$B$4),1,0)</ns0:f>
        <ns0:v>3.0</ns0:v>
      </ns0:c>
    </ns0:row>
    <ns0:row r="313" ht="21" customHeight="1">
      <ns0:c r="A313" s="25" t="n"/>
      <ns0:c r="B313" s="26" t="n"/>
      <ns0:c r="C313" s="27" t="n"/>
      <ns0:c r="D313" s="27" t="n"/>
      <ns0:c r="E313" s="28" t="str">
        <ns0:f>IF(A313="","",YEAR(A313)&amp;"-"&amp;RIGHT("0"&amp;MONTH(A313),2))</ns0:f>
        <ns0:v/>
      </ns0:c>
      <ns0:c r="F313" s="28" t="str">
        <ns0:f>IF(OR(A313="",B313="",C313&lt;=0),"",IF(SUMPRODUCT(('Müşteriler'!$B$2:$B$101&lt;&gt;"")*ISNUMBER(SEARCH('Müşteriler'!$B$2:$B$101,B313)))=1,IFERROR(INDEX('Müşteriler'!$A$2:$A$101,SUMPRODUCT(('Müşteriler'!$B$2:$B$101&lt;&gt;"")*ISNUMBER(SEARCH('Müşteriler'!$B$2:$B$101,B313)),ROW('Müşteriler'!$B$2:$B$101)-ROW('Müşteriler'!$B$2)+1)),""),""))</ns0:f>
        <ns0:v/>
      </ns0:c>
      <ns0:c r="G313" s="28" t="str">
        <ns0:f>IF(F313="","",IFERROR(INDEX('Müşteriler'!$C$2:$C$101,MATCH(F313,'Müşteriler'!$A$2:$A$101,0)),""))</ns0:f>
        <ns0:v/>
      </ns0:c>
      <ns0:c r="H313" s="28" t="str">
        <ns0:f>IF(A313="","",IF(C313&lt;=0,"Satış dışı",IF(OR(F313="",G313=""),"Eşleşmedi","Eşleşti")))</ns0:f>
        <ns0:v/>
      </ns0:c>
      <ns0:c r="I313" s="28">
        <ns0:f>I312+IF(AND(H313="Eşleşmedi",E313='Panel'!$B$4),1,0)</ns0:f>
        <ns0:v>3.0</ns0:v>
      </ns0:c>
    </ns0:row>
    <ns0:row r="314" ht="21" customHeight="1">
      <ns0:c r="A314" s="25" t="n"/>
      <ns0:c r="B314" s="26" t="n"/>
      <ns0:c r="C314" s="27" t="n"/>
      <ns0:c r="D314" s="27" t="n"/>
      <ns0:c r="E314" s="28" t="str">
        <ns0:f>IF(A314="","",YEAR(A314)&amp;"-"&amp;RIGHT("0"&amp;MONTH(A314),2))</ns0:f>
        <ns0:v/>
      </ns0:c>
      <ns0:c r="F314" s="28" t="str">
        <ns0:f>IF(OR(A314="",B314="",C314&lt;=0),"",IF(SUMPRODUCT(('Müşteriler'!$B$2:$B$101&lt;&gt;"")*ISNUMBER(SEARCH('Müşteriler'!$B$2:$B$101,B314)))=1,IFERROR(INDEX('Müşteriler'!$A$2:$A$101,SUMPRODUCT(('Müşteriler'!$B$2:$B$101&lt;&gt;"")*ISNUMBER(SEARCH('Müşteriler'!$B$2:$B$101,B314)),ROW('Müşteriler'!$B$2:$B$101)-ROW('Müşteriler'!$B$2)+1)),""),""))</ns0:f>
        <ns0:v/>
      </ns0:c>
      <ns0:c r="G314" s="28" t="str">
        <ns0:f>IF(F314="","",IFERROR(INDEX('Müşteriler'!$C$2:$C$101,MATCH(F314,'Müşteriler'!$A$2:$A$101,0)),""))</ns0:f>
        <ns0:v/>
      </ns0:c>
      <ns0:c r="H314" s="28" t="str">
        <ns0:f>IF(A314="","",IF(C314&lt;=0,"Satış dışı",IF(OR(F314="",G314=""),"Eşleşmedi","Eşleşti")))</ns0:f>
        <ns0:v/>
      </ns0:c>
      <ns0:c r="I314" s="28">
        <ns0:f>I313+IF(AND(H314="Eşleşmedi",E314='Panel'!$B$4),1,0)</ns0:f>
        <ns0:v>3.0</ns0:v>
      </ns0:c>
    </ns0:row>
    <ns0:row r="315" ht="21" customHeight="1">
      <ns0:c r="A315" s="25" t="n"/>
      <ns0:c r="B315" s="26" t="n"/>
      <ns0:c r="C315" s="27" t="n"/>
      <ns0:c r="D315" s="27" t="n"/>
      <ns0:c r="E315" s="28" t="str">
        <ns0:f>IF(A315="","",YEAR(A315)&amp;"-"&amp;RIGHT("0"&amp;MONTH(A315),2))</ns0:f>
        <ns0:v/>
      </ns0:c>
      <ns0:c r="F315" s="28" t="str">
        <ns0:f>IF(OR(A315="",B315="",C315&lt;=0),"",IF(SUMPRODUCT(('Müşteriler'!$B$2:$B$101&lt;&gt;"")*ISNUMBER(SEARCH('Müşteriler'!$B$2:$B$101,B315)))=1,IFERROR(INDEX('Müşteriler'!$A$2:$A$101,SUMPRODUCT(('Müşteriler'!$B$2:$B$101&lt;&gt;"")*ISNUMBER(SEARCH('Müşteriler'!$B$2:$B$101,B315)),ROW('Müşteriler'!$B$2:$B$101)-ROW('Müşteriler'!$B$2)+1)),""),""))</ns0:f>
        <ns0:v/>
      </ns0:c>
      <ns0:c r="G315" s="28" t="str">
        <ns0:f>IF(F315="","",IFERROR(INDEX('Müşteriler'!$C$2:$C$101,MATCH(F315,'Müşteriler'!$A$2:$A$101,0)),""))</ns0:f>
        <ns0:v/>
      </ns0:c>
      <ns0:c r="H315" s="28" t="str">
        <ns0:f>IF(A315="","",IF(C315&lt;=0,"Satış dışı",IF(OR(F315="",G315=""),"Eşleşmedi","Eşleşti")))</ns0:f>
        <ns0:v/>
      </ns0:c>
      <ns0:c r="I315" s="28">
        <ns0:f>I314+IF(AND(H315="Eşleşmedi",E315='Panel'!$B$4),1,0)</ns0:f>
        <ns0:v>3.0</ns0:v>
      </ns0:c>
    </ns0:row>
    <ns0:row r="316" ht="21" customHeight="1">
      <ns0:c r="A316" s="25" t="n"/>
      <ns0:c r="B316" s="26" t="n"/>
      <ns0:c r="C316" s="27" t="n"/>
      <ns0:c r="D316" s="27" t="n"/>
      <ns0:c r="E316" s="28" t="str">
        <ns0:f>IF(A316="","",YEAR(A316)&amp;"-"&amp;RIGHT("0"&amp;MONTH(A316),2))</ns0:f>
        <ns0:v/>
      </ns0:c>
      <ns0:c r="F316" s="28" t="str">
        <ns0:f>IF(OR(A316="",B316="",C316&lt;=0),"",IF(SUMPRODUCT(('Müşteriler'!$B$2:$B$101&lt;&gt;"")*ISNUMBER(SEARCH('Müşteriler'!$B$2:$B$101,B316)))=1,IFERROR(INDEX('Müşteriler'!$A$2:$A$101,SUMPRODUCT(('Müşteriler'!$B$2:$B$101&lt;&gt;"")*ISNUMBER(SEARCH('Müşteriler'!$B$2:$B$101,B316)),ROW('Müşteriler'!$B$2:$B$101)-ROW('Müşteriler'!$B$2)+1)),""),""))</ns0:f>
        <ns0:v/>
      </ns0:c>
      <ns0:c r="G316" s="28" t="str">
        <ns0:f>IF(F316="","",IFERROR(INDEX('Müşteriler'!$C$2:$C$101,MATCH(F316,'Müşteriler'!$A$2:$A$101,0)),""))</ns0:f>
        <ns0:v/>
      </ns0:c>
      <ns0:c r="H316" s="28" t="str">
        <ns0:f>IF(A316="","",IF(C316&lt;=0,"Satış dışı",IF(OR(F316="",G316=""),"Eşleşmedi","Eşleşti")))</ns0:f>
        <ns0:v/>
      </ns0:c>
      <ns0:c r="I316" s="28">
        <ns0:f>I315+IF(AND(H316="Eşleşmedi",E316='Panel'!$B$4),1,0)</ns0:f>
        <ns0:v>3.0</ns0:v>
      </ns0:c>
    </ns0:row>
    <ns0:row r="317" ht="21" customHeight="1">
      <ns0:c r="A317" s="25" t="n"/>
      <ns0:c r="B317" s="26" t="n"/>
      <ns0:c r="C317" s="27" t="n"/>
      <ns0:c r="D317" s="27" t="n"/>
      <ns0:c r="E317" s="28" t="str">
        <ns0:f>IF(A317="","",YEAR(A317)&amp;"-"&amp;RIGHT("0"&amp;MONTH(A317),2))</ns0:f>
        <ns0:v/>
      </ns0:c>
      <ns0:c r="F317" s="28" t="str">
        <ns0:f>IF(OR(A317="",B317="",C317&lt;=0),"",IF(SUMPRODUCT(('Müşteriler'!$B$2:$B$101&lt;&gt;"")*ISNUMBER(SEARCH('Müşteriler'!$B$2:$B$101,B317)))=1,IFERROR(INDEX('Müşteriler'!$A$2:$A$101,SUMPRODUCT(('Müşteriler'!$B$2:$B$101&lt;&gt;"")*ISNUMBER(SEARCH('Müşteriler'!$B$2:$B$101,B317)),ROW('Müşteriler'!$B$2:$B$101)-ROW('Müşteriler'!$B$2)+1)),""),""))</ns0:f>
        <ns0:v/>
      </ns0:c>
      <ns0:c r="G317" s="28" t="str">
        <ns0:f>IF(F317="","",IFERROR(INDEX('Müşteriler'!$C$2:$C$101,MATCH(F317,'Müşteriler'!$A$2:$A$101,0)),""))</ns0:f>
        <ns0:v/>
      </ns0:c>
      <ns0:c r="H317" s="28" t="str">
        <ns0:f>IF(A317="","",IF(C317&lt;=0,"Satış dışı",IF(OR(F317="",G317=""),"Eşleşmedi","Eşleşti")))</ns0:f>
        <ns0:v/>
      </ns0:c>
      <ns0:c r="I317" s="28">
        <ns0:f>I316+IF(AND(H317="Eşleşmedi",E317='Panel'!$B$4),1,0)</ns0:f>
        <ns0:v>3.0</ns0:v>
      </ns0:c>
    </ns0:row>
    <ns0:row r="318" ht="21" customHeight="1">
      <ns0:c r="A318" s="25" t="n"/>
      <ns0:c r="B318" s="26" t="n"/>
      <ns0:c r="C318" s="27" t="n"/>
      <ns0:c r="D318" s="27" t="n"/>
      <ns0:c r="E318" s="28" t="str">
        <ns0:f>IF(A318="","",YEAR(A318)&amp;"-"&amp;RIGHT("0"&amp;MONTH(A318),2))</ns0:f>
        <ns0:v/>
      </ns0:c>
      <ns0:c r="F318" s="28" t="str">
        <ns0:f>IF(OR(A318="",B318="",C318&lt;=0),"",IF(SUMPRODUCT(('Müşteriler'!$B$2:$B$101&lt;&gt;"")*ISNUMBER(SEARCH('Müşteriler'!$B$2:$B$101,B318)))=1,IFERROR(INDEX('Müşteriler'!$A$2:$A$101,SUMPRODUCT(('Müşteriler'!$B$2:$B$101&lt;&gt;"")*ISNUMBER(SEARCH('Müşteriler'!$B$2:$B$101,B318)),ROW('Müşteriler'!$B$2:$B$101)-ROW('Müşteriler'!$B$2)+1)),""),""))</ns0:f>
        <ns0:v/>
      </ns0:c>
      <ns0:c r="G318" s="28" t="str">
        <ns0:f>IF(F318="","",IFERROR(INDEX('Müşteriler'!$C$2:$C$101,MATCH(F318,'Müşteriler'!$A$2:$A$101,0)),""))</ns0:f>
        <ns0:v/>
      </ns0:c>
      <ns0:c r="H318" s="28" t="str">
        <ns0:f>IF(A318="","",IF(C318&lt;=0,"Satış dışı",IF(OR(F318="",G318=""),"Eşleşmedi","Eşleşti")))</ns0:f>
        <ns0:v/>
      </ns0:c>
      <ns0:c r="I318" s="28">
        <ns0:f>I317+IF(AND(H318="Eşleşmedi",E318='Panel'!$B$4),1,0)</ns0:f>
        <ns0:v>3.0</ns0:v>
      </ns0:c>
    </ns0:row>
    <ns0:row r="319" ht="21" customHeight="1">
      <ns0:c r="A319" s="25" t="n"/>
      <ns0:c r="B319" s="26" t="n"/>
      <ns0:c r="C319" s="27" t="n"/>
      <ns0:c r="D319" s="27" t="n"/>
      <ns0:c r="E319" s="28" t="str">
        <ns0:f>IF(A319="","",YEAR(A319)&amp;"-"&amp;RIGHT("0"&amp;MONTH(A319),2))</ns0:f>
        <ns0:v/>
      </ns0:c>
      <ns0:c r="F319" s="28" t="str">
        <ns0:f>IF(OR(A319="",B319="",C319&lt;=0),"",IF(SUMPRODUCT(('Müşteriler'!$B$2:$B$101&lt;&gt;"")*ISNUMBER(SEARCH('Müşteriler'!$B$2:$B$101,B319)))=1,IFERROR(INDEX('Müşteriler'!$A$2:$A$101,SUMPRODUCT(('Müşteriler'!$B$2:$B$101&lt;&gt;"")*ISNUMBER(SEARCH('Müşteriler'!$B$2:$B$101,B319)),ROW('Müşteriler'!$B$2:$B$101)-ROW('Müşteriler'!$B$2)+1)),""),""))</ns0:f>
        <ns0:v/>
      </ns0:c>
      <ns0:c r="G319" s="28" t="str">
        <ns0:f>IF(F319="","",IFERROR(INDEX('Müşteriler'!$C$2:$C$101,MATCH(F319,'Müşteriler'!$A$2:$A$101,0)),""))</ns0:f>
        <ns0:v/>
      </ns0:c>
      <ns0:c r="H319" s="28" t="str">
        <ns0:f>IF(A319="","",IF(C319&lt;=0,"Satış dışı",IF(OR(F319="",G319=""),"Eşleşmedi","Eşleşti")))</ns0:f>
        <ns0:v/>
      </ns0:c>
      <ns0:c r="I319" s="28">
        <ns0:f>I318+IF(AND(H319="Eşleşmedi",E319='Panel'!$B$4),1,0)</ns0:f>
        <ns0:v>3.0</ns0:v>
      </ns0:c>
    </ns0:row>
    <ns0:row r="320" ht="21" customHeight="1">
      <ns0:c r="A320" s="25" t="n"/>
      <ns0:c r="B320" s="26" t="n"/>
      <ns0:c r="C320" s="27" t="n"/>
      <ns0:c r="D320" s="27" t="n"/>
      <ns0:c r="E320" s="28" t="str">
        <ns0:f>IF(A320="","",YEAR(A320)&amp;"-"&amp;RIGHT("0"&amp;MONTH(A320),2))</ns0:f>
        <ns0:v/>
      </ns0:c>
      <ns0:c r="F320" s="28" t="str">
        <ns0:f>IF(OR(A320="",B320="",C320&lt;=0),"",IF(SUMPRODUCT(('Müşteriler'!$B$2:$B$101&lt;&gt;"")*ISNUMBER(SEARCH('Müşteriler'!$B$2:$B$101,B320)))=1,IFERROR(INDEX('Müşteriler'!$A$2:$A$101,SUMPRODUCT(('Müşteriler'!$B$2:$B$101&lt;&gt;"")*ISNUMBER(SEARCH('Müşteriler'!$B$2:$B$101,B320)),ROW('Müşteriler'!$B$2:$B$101)-ROW('Müşteriler'!$B$2)+1)),""),""))</ns0:f>
        <ns0:v/>
      </ns0:c>
      <ns0:c r="G320" s="28" t="str">
        <ns0:f>IF(F320="","",IFERROR(INDEX('Müşteriler'!$C$2:$C$101,MATCH(F320,'Müşteriler'!$A$2:$A$101,0)),""))</ns0:f>
        <ns0:v/>
      </ns0:c>
      <ns0:c r="H320" s="28" t="str">
        <ns0:f>IF(A320="","",IF(C320&lt;=0,"Satış dışı",IF(OR(F320="",G320=""),"Eşleşmedi","Eşleşti")))</ns0:f>
        <ns0:v/>
      </ns0:c>
      <ns0:c r="I320" s="28">
        <ns0:f>I319+IF(AND(H320="Eşleşmedi",E320='Panel'!$B$4),1,0)</ns0:f>
        <ns0:v>3.0</ns0:v>
      </ns0:c>
    </ns0:row>
    <ns0:row r="321" ht="21" customHeight="1">
      <ns0:c r="A321" s="25" t="n"/>
      <ns0:c r="B321" s="26" t="n"/>
      <ns0:c r="C321" s="27" t="n"/>
      <ns0:c r="D321" s="27" t="n"/>
      <ns0:c r="E321" s="28" t="str">
        <ns0:f>IF(A321="","",YEAR(A321)&amp;"-"&amp;RIGHT("0"&amp;MONTH(A321),2))</ns0:f>
        <ns0:v/>
      </ns0:c>
      <ns0:c r="F321" s="28" t="str">
        <ns0:f>IF(OR(A321="",B321="",C321&lt;=0),"",IF(SUMPRODUCT(('Müşteriler'!$B$2:$B$101&lt;&gt;"")*ISNUMBER(SEARCH('Müşteriler'!$B$2:$B$101,B321)))=1,IFERROR(INDEX('Müşteriler'!$A$2:$A$101,SUMPRODUCT(('Müşteriler'!$B$2:$B$101&lt;&gt;"")*ISNUMBER(SEARCH('Müşteriler'!$B$2:$B$101,B321)),ROW('Müşteriler'!$B$2:$B$101)-ROW('Müşteriler'!$B$2)+1)),""),""))</ns0:f>
        <ns0:v/>
      </ns0:c>
      <ns0:c r="G321" s="28" t="str">
        <ns0:f>IF(F321="","",IFERROR(INDEX('Müşteriler'!$C$2:$C$101,MATCH(F321,'Müşteriler'!$A$2:$A$101,0)),""))</ns0:f>
        <ns0:v/>
      </ns0:c>
      <ns0:c r="H321" s="28" t="str">
        <ns0:f>IF(A321="","",IF(C321&lt;=0,"Satış dışı",IF(OR(F321="",G321=""),"Eşleşmedi","Eşleşti")))</ns0:f>
        <ns0:v/>
      </ns0:c>
      <ns0:c r="I321" s="28">
        <ns0:f>I320+IF(AND(H321="Eşleşmedi",E321='Panel'!$B$4),1,0)</ns0:f>
        <ns0:v>3.0</ns0:v>
      </ns0:c>
    </ns0:row>
    <ns0:row r="322" ht="21" customHeight="1">
      <ns0:c r="A322" s="25" t="n"/>
      <ns0:c r="B322" s="26" t="n"/>
      <ns0:c r="C322" s="27" t="n"/>
      <ns0:c r="D322" s="27" t="n"/>
      <ns0:c r="E322" s="28" t="str">
        <ns0:f>IF(A322="","",YEAR(A322)&amp;"-"&amp;RIGHT("0"&amp;MONTH(A322),2))</ns0:f>
        <ns0:v/>
      </ns0:c>
      <ns0:c r="F322" s="28" t="str">
        <ns0:f>IF(OR(A322="",B322="",C322&lt;=0),"",IF(SUMPRODUCT(('Müşteriler'!$B$2:$B$101&lt;&gt;"")*ISNUMBER(SEARCH('Müşteriler'!$B$2:$B$101,B322)))=1,IFERROR(INDEX('Müşteriler'!$A$2:$A$101,SUMPRODUCT(('Müşteriler'!$B$2:$B$101&lt;&gt;"")*ISNUMBER(SEARCH('Müşteriler'!$B$2:$B$101,B322)),ROW('Müşteriler'!$B$2:$B$101)-ROW('Müşteriler'!$B$2)+1)),""),""))</ns0:f>
        <ns0:v/>
      </ns0:c>
      <ns0:c r="G322" s="28" t="str">
        <ns0:f>IF(F322="","",IFERROR(INDEX('Müşteriler'!$C$2:$C$101,MATCH(F322,'Müşteriler'!$A$2:$A$101,0)),""))</ns0:f>
        <ns0:v/>
      </ns0:c>
      <ns0:c r="H322" s="28" t="str">
        <ns0:f>IF(A322="","",IF(C322&lt;=0,"Satış dışı",IF(OR(F322="",G322=""),"Eşleşmedi","Eşleşti")))</ns0:f>
        <ns0:v/>
      </ns0:c>
      <ns0:c r="I322" s="28">
        <ns0:f>I321+IF(AND(H322="Eşleşmedi",E322='Panel'!$B$4),1,0)</ns0:f>
        <ns0:v>3.0</ns0:v>
      </ns0:c>
    </ns0:row>
    <ns0:row r="323" ht="21" customHeight="1">
      <ns0:c r="A323" s="25" t="n"/>
      <ns0:c r="B323" s="26" t="n"/>
      <ns0:c r="C323" s="27" t="n"/>
      <ns0:c r="D323" s="27" t="n"/>
      <ns0:c r="E323" s="28" t="str">
        <ns0:f>IF(A323="","",YEAR(A323)&amp;"-"&amp;RIGHT("0"&amp;MONTH(A323),2))</ns0:f>
        <ns0:v/>
      </ns0:c>
      <ns0:c r="F323" s="28" t="str">
        <ns0:f>IF(OR(A323="",B323="",C323&lt;=0),"",IF(SUMPRODUCT(('Müşteriler'!$B$2:$B$101&lt;&gt;"")*ISNUMBER(SEARCH('Müşteriler'!$B$2:$B$101,B323)))=1,IFERROR(INDEX('Müşteriler'!$A$2:$A$101,SUMPRODUCT(('Müşteriler'!$B$2:$B$101&lt;&gt;"")*ISNUMBER(SEARCH('Müşteriler'!$B$2:$B$101,B323)),ROW('Müşteriler'!$B$2:$B$101)-ROW('Müşteriler'!$B$2)+1)),""),""))</ns0:f>
        <ns0:v/>
      </ns0:c>
      <ns0:c r="G323" s="28" t="str">
        <ns0:f>IF(F323="","",IFERROR(INDEX('Müşteriler'!$C$2:$C$101,MATCH(F323,'Müşteriler'!$A$2:$A$101,0)),""))</ns0:f>
        <ns0:v/>
      </ns0:c>
      <ns0:c r="H323" s="28" t="str">
        <ns0:f>IF(A323="","",IF(C323&lt;=0,"Satış dışı",IF(OR(F323="",G323=""),"Eşleşmedi","Eşleşti")))</ns0:f>
        <ns0:v/>
      </ns0:c>
      <ns0:c r="I323" s="28">
        <ns0:f>I322+IF(AND(H323="Eşleşmedi",E323='Panel'!$B$4),1,0)</ns0:f>
        <ns0:v>3.0</ns0:v>
      </ns0:c>
    </ns0:row>
    <ns0:row r="324" ht="21" customHeight="1">
      <ns0:c r="A324" s="25" t="n"/>
      <ns0:c r="B324" s="26" t="n"/>
      <ns0:c r="C324" s="27" t="n"/>
      <ns0:c r="D324" s="27" t="n"/>
      <ns0:c r="E324" s="28" t="str">
        <ns0:f>IF(A324="","",YEAR(A324)&amp;"-"&amp;RIGHT("0"&amp;MONTH(A324),2))</ns0:f>
        <ns0:v/>
      </ns0:c>
      <ns0:c r="F324" s="28" t="str">
        <ns0:f>IF(OR(A324="",B324="",C324&lt;=0),"",IF(SUMPRODUCT(('Müşteriler'!$B$2:$B$101&lt;&gt;"")*ISNUMBER(SEARCH('Müşteriler'!$B$2:$B$101,B324)))=1,IFERROR(INDEX('Müşteriler'!$A$2:$A$101,SUMPRODUCT(('Müşteriler'!$B$2:$B$101&lt;&gt;"")*ISNUMBER(SEARCH('Müşteriler'!$B$2:$B$101,B324)),ROW('Müşteriler'!$B$2:$B$101)-ROW('Müşteriler'!$B$2)+1)),""),""))</ns0:f>
        <ns0:v/>
      </ns0:c>
      <ns0:c r="G324" s="28" t="str">
        <ns0:f>IF(F324="","",IFERROR(INDEX('Müşteriler'!$C$2:$C$101,MATCH(F324,'Müşteriler'!$A$2:$A$101,0)),""))</ns0:f>
        <ns0:v/>
      </ns0:c>
      <ns0:c r="H324" s="28" t="str">
        <ns0:f>IF(A324="","",IF(C324&lt;=0,"Satış dışı",IF(OR(F324="",G324=""),"Eşleşmedi","Eşleşti")))</ns0:f>
        <ns0:v/>
      </ns0:c>
      <ns0:c r="I324" s="28">
        <ns0:f>I323+IF(AND(H324="Eşleşmedi",E324='Panel'!$B$4),1,0)</ns0:f>
        <ns0:v>3.0</ns0:v>
      </ns0:c>
    </ns0:row>
    <ns0:row r="325" ht="21" customHeight="1">
      <ns0:c r="A325" s="25" t="n"/>
      <ns0:c r="B325" s="26" t="n"/>
      <ns0:c r="C325" s="27" t="n"/>
      <ns0:c r="D325" s="27" t="n"/>
      <ns0:c r="E325" s="28" t="str">
        <ns0:f>IF(A325="","",YEAR(A325)&amp;"-"&amp;RIGHT("0"&amp;MONTH(A325),2))</ns0:f>
        <ns0:v/>
      </ns0:c>
      <ns0:c r="F325" s="28" t="str">
        <ns0:f>IF(OR(A325="",B325="",C325&lt;=0),"",IF(SUMPRODUCT(('Müşteriler'!$B$2:$B$101&lt;&gt;"")*ISNUMBER(SEARCH('Müşteriler'!$B$2:$B$101,B325)))=1,IFERROR(INDEX('Müşteriler'!$A$2:$A$101,SUMPRODUCT(('Müşteriler'!$B$2:$B$101&lt;&gt;"")*ISNUMBER(SEARCH('Müşteriler'!$B$2:$B$101,B325)),ROW('Müşteriler'!$B$2:$B$101)-ROW('Müşteriler'!$B$2)+1)),""),""))</ns0:f>
        <ns0:v/>
      </ns0:c>
      <ns0:c r="G325" s="28" t="str">
        <ns0:f>IF(F325="","",IFERROR(INDEX('Müşteriler'!$C$2:$C$101,MATCH(F325,'Müşteriler'!$A$2:$A$101,0)),""))</ns0:f>
        <ns0:v/>
      </ns0:c>
      <ns0:c r="H325" s="28" t="str">
        <ns0:f>IF(A325="","",IF(C325&lt;=0,"Satış dışı",IF(OR(F325="",G325=""),"Eşleşmedi","Eşleşti")))</ns0:f>
        <ns0:v/>
      </ns0:c>
      <ns0:c r="I325" s="28">
        <ns0:f>I324+IF(AND(H325="Eşleşmedi",E325='Panel'!$B$4),1,0)</ns0:f>
        <ns0:v>3.0</ns0:v>
      </ns0:c>
    </ns0:row>
    <ns0:row r="326" ht="21" customHeight="1">
      <ns0:c r="A326" s="25" t="n"/>
      <ns0:c r="B326" s="26" t="n"/>
      <ns0:c r="C326" s="27" t="n"/>
      <ns0:c r="D326" s="27" t="n"/>
      <ns0:c r="E326" s="28" t="str">
        <ns0:f>IF(A326="","",YEAR(A326)&amp;"-"&amp;RIGHT("0"&amp;MONTH(A326),2))</ns0:f>
        <ns0:v/>
      </ns0:c>
      <ns0:c r="F326" s="28" t="str">
        <ns0:f>IF(OR(A326="",B326="",C326&lt;=0),"",IF(SUMPRODUCT(('Müşteriler'!$B$2:$B$101&lt;&gt;"")*ISNUMBER(SEARCH('Müşteriler'!$B$2:$B$101,B326)))=1,IFERROR(INDEX('Müşteriler'!$A$2:$A$101,SUMPRODUCT(('Müşteriler'!$B$2:$B$101&lt;&gt;"")*ISNUMBER(SEARCH('Müşteriler'!$B$2:$B$101,B326)),ROW('Müşteriler'!$B$2:$B$101)-ROW('Müşteriler'!$B$2)+1)),""),""))</ns0:f>
        <ns0:v/>
      </ns0:c>
      <ns0:c r="G326" s="28" t="str">
        <ns0:f>IF(F326="","",IFERROR(INDEX('Müşteriler'!$C$2:$C$101,MATCH(F326,'Müşteriler'!$A$2:$A$101,0)),""))</ns0:f>
        <ns0:v/>
      </ns0:c>
      <ns0:c r="H326" s="28" t="str">
        <ns0:f>IF(A326="","",IF(C326&lt;=0,"Satış dışı",IF(OR(F326="",G326=""),"Eşleşmedi","Eşleşti")))</ns0:f>
        <ns0:v/>
      </ns0:c>
      <ns0:c r="I326" s="28">
        <ns0:f>I325+IF(AND(H326="Eşleşmedi",E326='Panel'!$B$4),1,0)</ns0:f>
        <ns0:v>3.0</ns0:v>
      </ns0:c>
    </ns0:row>
    <ns0:row r="327" ht="21" customHeight="1">
      <ns0:c r="A327" s="25" t="n"/>
      <ns0:c r="B327" s="26" t="n"/>
      <ns0:c r="C327" s="27" t="n"/>
      <ns0:c r="D327" s="27" t="n"/>
      <ns0:c r="E327" s="28" t="str">
        <ns0:f>IF(A327="","",YEAR(A327)&amp;"-"&amp;RIGHT("0"&amp;MONTH(A327),2))</ns0:f>
        <ns0:v/>
      </ns0:c>
      <ns0:c r="F327" s="28" t="str">
        <ns0:f>IF(OR(A327="",B327="",C327&lt;=0),"",IF(SUMPRODUCT(('Müşteriler'!$B$2:$B$101&lt;&gt;"")*ISNUMBER(SEARCH('Müşteriler'!$B$2:$B$101,B327)))=1,IFERROR(INDEX('Müşteriler'!$A$2:$A$101,SUMPRODUCT(('Müşteriler'!$B$2:$B$101&lt;&gt;"")*ISNUMBER(SEARCH('Müşteriler'!$B$2:$B$101,B327)),ROW('Müşteriler'!$B$2:$B$101)-ROW('Müşteriler'!$B$2)+1)),""),""))</ns0:f>
        <ns0:v/>
      </ns0:c>
      <ns0:c r="G327" s="28" t="str">
        <ns0:f>IF(F327="","",IFERROR(INDEX('Müşteriler'!$C$2:$C$101,MATCH(F327,'Müşteriler'!$A$2:$A$101,0)),""))</ns0:f>
        <ns0:v/>
      </ns0:c>
      <ns0:c r="H327" s="28" t="str">
        <ns0:f>IF(A327="","",IF(C327&lt;=0,"Satış dışı",IF(OR(F327="",G327=""),"Eşleşmedi","Eşleşti")))</ns0:f>
        <ns0:v/>
      </ns0:c>
      <ns0:c r="I327" s="28">
        <ns0:f>I326+IF(AND(H327="Eşleşmedi",E327='Panel'!$B$4),1,0)</ns0:f>
        <ns0:v>3.0</ns0:v>
      </ns0:c>
    </ns0:row>
    <ns0:row r="328" ht="21" customHeight="1">
      <ns0:c r="A328" s="25" t="n"/>
      <ns0:c r="B328" s="26" t="n"/>
      <ns0:c r="C328" s="27" t="n"/>
      <ns0:c r="D328" s="27" t="n"/>
      <ns0:c r="E328" s="28" t="str">
        <ns0:f>IF(A328="","",YEAR(A328)&amp;"-"&amp;RIGHT("0"&amp;MONTH(A328),2))</ns0:f>
        <ns0:v/>
      </ns0:c>
      <ns0:c r="F328" s="28" t="str">
        <ns0:f>IF(OR(A328="",B328="",C328&lt;=0),"",IF(SUMPRODUCT(('Müşteriler'!$B$2:$B$101&lt;&gt;"")*ISNUMBER(SEARCH('Müşteriler'!$B$2:$B$101,B328)))=1,IFERROR(INDEX('Müşteriler'!$A$2:$A$101,SUMPRODUCT(('Müşteriler'!$B$2:$B$101&lt;&gt;"")*ISNUMBER(SEARCH('Müşteriler'!$B$2:$B$101,B328)),ROW('Müşteriler'!$B$2:$B$101)-ROW('Müşteriler'!$B$2)+1)),""),""))</ns0:f>
        <ns0:v/>
      </ns0:c>
      <ns0:c r="G328" s="28" t="str">
        <ns0:f>IF(F328="","",IFERROR(INDEX('Müşteriler'!$C$2:$C$101,MATCH(F328,'Müşteriler'!$A$2:$A$101,0)),""))</ns0:f>
        <ns0:v/>
      </ns0:c>
      <ns0:c r="H328" s="28" t="str">
        <ns0:f>IF(A328="","",IF(C328&lt;=0,"Satış dışı",IF(OR(F328="",G328=""),"Eşleşmedi","Eşleşti")))</ns0:f>
        <ns0:v/>
      </ns0:c>
      <ns0:c r="I328" s="28">
        <ns0:f>I327+IF(AND(H328="Eşleşmedi",E328='Panel'!$B$4),1,0)</ns0:f>
        <ns0:v>3.0</ns0:v>
      </ns0:c>
    </ns0:row>
    <ns0:row r="329" ht="21" customHeight="1">
      <ns0:c r="A329" s="25" t="n"/>
      <ns0:c r="B329" s="26" t="n"/>
      <ns0:c r="C329" s="27" t="n"/>
      <ns0:c r="D329" s="27" t="n"/>
      <ns0:c r="E329" s="28" t="str">
        <ns0:f>IF(A329="","",YEAR(A329)&amp;"-"&amp;RIGHT("0"&amp;MONTH(A329),2))</ns0:f>
        <ns0:v/>
      </ns0:c>
      <ns0:c r="F329" s="28" t="str">
        <ns0:f>IF(OR(A329="",B329="",C329&lt;=0),"",IF(SUMPRODUCT(('Müşteriler'!$B$2:$B$101&lt;&gt;"")*ISNUMBER(SEARCH('Müşteriler'!$B$2:$B$101,B329)))=1,IFERROR(INDEX('Müşteriler'!$A$2:$A$101,SUMPRODUCT(('Müşteriler'!$B$2:$B$101&lt;&gt;"")*ISNUMBER(SEARCH('Müşteriler'!$B$2:$B$101,B329)),ROW('Müşteriler'!$B$2:$B$101)-ROW('Müşteriler'!$B$2)+1)),""),""))</ns0:f>
        <ns0:v/>
      </ns0:c>
      <ns0:c r="G329" s="28" t="str">
        <ns0:f>IF(F329="","",IFERROR(INDEX('Müşteriler'!$C$2:$C$101,MATCH(F329,'Müşteriler'!$A$2:$A$101,0)),""))</ns0:f>
        <ns0:v/>
      </ns0:c>
      <ns0:c r="H329" s="28" t="str">
        <ns0:f>IF(A329="","",IF(C329&lt;=0,"Satış dışı",IF(OR(F329="",G329=""),"Eşleşmedi","Eşleşti")))</ns0:f>
        <ns0:v/>
      </ns0:c>
      <ns0:c r="I329" s="28">
        <ns0:f>I328+IF(AND(H329="Eşleşmedi",E329='Panel'!$B$4),1,0)</ns0:f>
        <ns0:v>3.0</ns0:v>
      </ns0:c>
    </ns0:row>
    <ns0:row r="330" ht="21" customHeight="1">
      <ns0:c r="A330" s="25" t="n"/>
      <ns0:c r="B330" s="26" t="n"/>
      <ns0:c r="C330" s="27" t="n"/>
      <ns0:c r="D330" s="27" t="n"/>
      <ns0:c r="E330" s="28" t="str">
        <ns0:f>IF(A330="","",YEAR(A330)&amp;"-"&amp;RIGHT("0"&amp;MONTH(A330),2))</ns0:f>
        <ns0:v/>
      </ns0:c>
      <ns0:c r="F330" s="28" t="str">
        <ns0:f>IF(OR(A330="",B330="",C330&lt;=0),"",IF(SUMPRODUCT(('Müşteriler'!$B$2:$B$101&lt;&gt;"")*ISNUMBER(SEARCH('Müşteriler'!$B$2:$B$101,B330)))=1,IFERROR(INDEX('Müşteriler'!$A$2:$A$101,SUMPRODUCT(('Müşteriler'!$B$2:$B$101&lt;&gt;"")*ISNUMBER(SEARCH('Müşteriler'!$B$2:$B$101,B330)),ROW('Müşteriler'!$B$2:$B$101)-ROW('Müşteriler'!$B$2)+1)),""),""))</ns0:f>
        <ns0:v/>
      </ns0:c>
      <ns0:c r="G330" s="28" t="str">
        <ns0:f>IF(F330="","",IFERROR(INDEX('Müşteriler'!$C$2:$C$101,MATCH(F330,'Müşteriler'!$A$2:$A$101,0)),""))</ns0:f>
        <ns0:v/>
      </ns0:c>
      <ns0:c r="H330" s="28" t="str">
        <ns0:f>IF(A330="","",IF(C330&lt;=0,"Satış dışı",IF(OR(F330="",G330=""),"Eşleşmedi","Eşleşti")))</ns0:f>
        <ns0:v/>
      </ns0:c>
      <ns0:c r="I330" s="28">
        <ns0:f>I329+IF(AND(H330="Eşleşmedi",E330='Panel'!$B$4),1,0)</ns0:f>
        <ns0:v>3.0</ns0:v>
      </ns0:c>
    </ns0:row>
    <ns0:row r="331" ht="21" customHeight="1">
      <ns0:c r="A331" s="25" t="n"/>
      <ns0:c r="B331" s="26" t="n"/>
      <ns0:c r="C331" s="27" t="n"/>
      <ns0:c r="D331" s="27" t="n"/>
      <ns0:c r="E331" s="28" t="str">
        <ns0:f>IF(A331="","",YEAR(A331)&amp;"-"&amp;RIGHT("0"&amp;MONTH(A331),2))</ns0:f>
        <ns0:v/>
      </ns0:c>
      <ns0:c r="F331" s="28" t="str">
        <ns0:f>IF(OR(A331="",B331="",C331&lt;=0),"",IF(SUMPRODUCT(('Müşteriler'!$B$2:$B$101&lt;&gt;"")*ISNUMBER(SEARCH('Müşteriler'!$B$2:$B$101,B331)))=1,IFERROR(INDEX('Müşteriler'!$A$2:$A$101,SUMPRODUCT(('Müşteriler'!$B$2:$B$101&lt;&gt;"")*ISNUMBER(SEARCH('Müşteriler'!$B$2:$B$101,B331)),ROW('Müşteriler'!$B$2:$B$101)-ROW('Müşteriler'!$B$2)+1)),""),""))</ns0:f>
        <ns0:v/>
      </ns0:c>
      <ns0:c r="G331" s="28" t="str">
        <ns0:f>IF(F331="","",IFERROR(INDEX('Müşteriler'!$C$2:$C$101,MATCH(F331,'Müşteriler'!$A$2:$A$101,0)),""))</ns0:f>
        <ns0:v/>
      </ns0:c>
      <ns0:c r="H331" s="28" t="str">
        <ns0:f>IF(A331="","",IF(C331&lt;=0,"Satış dışı",IF(OR(F331="",G331=""),"Eşleşmedi","Eşleşti")))</ns0:f>
        <ns0:v/>
      </ns0:c>
      <ns0:c r="I331" s="28">
        <ns0:f>I330+IF(AND(H331="Eşleşmedi",E331='Panel'!$B$4),1,0)</ns0:f>
        <ns0:v>3.0</ns0:v>
      </ns0:c>
    </ns0:row>
    <ns0:row r="332" ht="21" customHeight="1">
      <ns0:c r="A332" s="25" t="n"/>
      <ns0:c r="B332" s="26" t="n"/>
      <ns0:c r="C332" s="27" t="n"/>
      <ns0:c r="D332" s="27" t="n"/>
      <ns0:c r="E332" s="28" t="str">
        <ns0:f>IF(A332="","",YEAR(A332)&amp;"-"&amp;RIGHT("0"&amp;MONTH(A332),2))</ns0:f>
        <ns0:v/>
      </ns0:c>
      <ns0:c r="F332" s="28" t="str">
        <ns0:f>IF(OR(A332="",B332="",C332&lt;=0),"",IF(SUMPRODUCT(('Müşteriler'!$B$2:$B$101&lt;&gt;"")*ISNUMBER(SEARCH('Müşteriler'!$B$2:$B$101,B332)))=1,IFERROR(INDEX('Müşteriler'!$A$2:$A$101,SUMPRODUCT(('Müşteriler'!$B$2:$B$101&lt;&gt;"")*ISNUMBER(SEARCH('Müşteriler'!$B$2:$B$101,B332)),ROW('Müşteriler'!$B$2:$B$101)-ROW('Müşteriler'!$B$2)+1)),""),""))</ns0:f>
        <ns0:v/>
      </ns0:c>
      <ns0:c r="G332" s="28" t="str">
        <ns0:f>IF(F332="","",IFERROR(INDEX('Müşteriler'!$C$2:$C$101,MATCH(F332,'Müşteriler'!$A$2:$A$101,0)),""))</ns0:f>
        <ns0:v/>
      </ns0:c>
      <ns0:c r="H332" s="28" t="str">
        <ns0:f>IF(A332="","",IF(C332&lt;=0,"Satış dışı",IF(OR(F332="",G332=""),"Eşleşmedi","Eşleşti")))</ns0:f>
        <ns0:v/>
      </ns0:c>
      <ns0:c r="I332" s="28">
        <ns0:f>I331+IF(AND(H332="Eşleşmedi",E332='Panel'!$B$4),1,0)</ns0:f>
        <ns0:v>3.0</ns0:v>
      </ns0:c>
    </ns0:row>
    <ns0:row r="333" ht="21" customHeight="1">
      <ns0:c r="A333" s="25" t="n"/>
      <ns0:c r="B333" s="26" t="n"/>
      <ns0:c r="C333" s="27" t="n"/>
      <ns0:c r="D333" s="27" t="n"/>
      <ns0:c r="E333" s="28" t="str">
        <ns0:f>IF(A333="","",YEAR(A333)&amp;"-"&amp;RIGHT("0"&amp;MONTH(A333),2))</ns0:f>
        <ns0:v/>
      </ns0:c>
      <ns0:c r="F333" s="28" t="str">
        <ns0:f>IF(OR(A333="",B333="",C333&lt;=0),"",IF(SUMPRODUCT(('Müşteriler'!$B$2:$B$101&lt;&gt;"")*ISNUMBER(SEARCH('Müşteriler'!$B$2:$B$101,B333)))=1,IFERROR(INDEX('Müşteriler'!$A$2:$A$101,SUMPRODUCT(('Müşteriler'!$B$2:$B$101&lt;&gt;"")*ISNUMBER(SEARCH('Müşteriler'!$B$2:$B$101,B333)),ROW('Müşteriler'!$B$2:$B$101)-ROW('Müşteriler'!$B$2)+1)),""),""))</ns0:f>
        <ns0:v/>
      </ns0:c>
      <ns0:c r="G333" s="28" t="str">
        <ns0:f>IF(F333="","",IFERROR(INDEX('Müşteriler'!$C$2:$C$101,MATCH(F333,'Müşteriler'!$A$2:$A$101,0)),""))</ns0:f>
        <ns0:v/>
      </ns0:c>
      <ns0:c r="H333" s="28" t="str">
        <ns0:f>IF(A333="","",IF(C333&lt;=0,"Satış dışı",IF(OR(F333="",G333=""),"Eşleşmedi","Eşleşti")))</ns0:f>
        <ns0:v/>
      </ns0:c>
      <ns0:c r="I333" s="28">
        <ns0:f>I332+IF(AND(H333="Eşleşmedi",E333='Panel'!$B$4),1,0)</ns0:f>
        <ns0:v>3.0</ns0:v>
      </ns0:c>
    </ns0:row>
    <ns0:row r="334" ht="21" customHeight="1">
      <ns0:c r="A334" s="25" t="n"/>
      <ns0:c r="B334" s="26" t="n"/>
      <ns0:c r="C334" s="27" t="n"/>
      <ns0:c r="D334" s="27" t="n"/>
      <ns0:c r="E334" s="28" t="str">
        <ns0:f>IF(A334="","",YEAR(A334)&amp;"-"&amp;RIGHT("0"&amp;MONTH(A334),2))</ns0:f>
        <ns0:v/>
      </ns0:c>
      <ns0:c r="F334" s="28" t="str">
        <ns0:f>IF(OR(A334="",B334="",C334&lt;=0),"",IF(SUMPRODUCT(('Müşteriler'!$B$2:$B$101&lt;&gt;"")*ISNUMBER(SEARCH('Müşteriler'!$B$2:$B$101,B334)))=1,IFERROR(INDEX('Müşteriler'!$A$2:$A$101,SUMPRODUCT(('Müşteriler'!$B$2:$B$101&lt;&gt;"")*ISNUMBER(SEARCH('Müşteriler'!$B$2:$B$101,B334)),ROW('Müşteriler'!$B$2:$B$101)-ROW('Müşteriler'!$B$2)+1)),""),""))</ns0:f>
        <ns0:v/>
      </ns0:c>
      <ns0:c r="G334" s="28" t="str">
        <ns0:f>IF(F334="","",IFERROR(INDEX('Müşteriler'!$C$2:$C$101,MATCH(F334,'Müşteriler'!$A$2:$A$101,0)),""))</ns0:f>
        <ns0:v/>
      </ns0:c>
      <ns0:c r="H334" s="28" t="str">
        <ns0:f>IF(A334="","",IF(C334&lt;=0,"Satış dışı",IF(OR(F334="",G334=""),"Eşleşmedi","Eşleşti")))</ns0:f>
        <ns0:v/>
      </ns0:c>
      <ns0:c r="I334" s="28">
        <ns0:f>I333+IF(AND(H334="Eşleşmedi",E334='Panel'!$B$4),1,0)</ns0:f>
        <ns0:v>3.0</ns0:v>
      </ns0:c>
    </ns0:row>
    <ns0:row r="335" ht="21" customHeight="1">
      <ns0:c r="A335" s="25" t="n"/>
      <ns0:c r="B335" s="26" t="n"/>
      <ns0:c r="C335" s="27" t="n"/>
      <ns0:c r="D335" s="27" t="n"/>
      <ns0:c r="E335" s="28" t="str">
        <ns0:f>IF(A335="","",YEAR(A335)&amp;"-"&amp;RIGHT("0"&amp;MONTH(A335),2))</ns0:f>
        <ns0:v/>
      </ns0:c>
      <ns0:c r="F335" s="28" t="str">
        <ns0:f>IF(OR(A335="",B335="",C335&lt;=0),"",IF(SUMPRODUCT(('Müşteriler'!$B$2:$B$101&lt;&gt;"")*ISNUMBER(SEARCH('Müşteriler'!$B$2:$B$101,B335)))=1,IFERROR(INDEX('Müşteriler'!$A$2:$A$101,SUMPRODUCT(('Müşteriler'!$B$2:$B$101&lt;&gt;"")*ISNUMBER(SEARCH('Müşteriler'!$B$2:$B$101,B335)),ROW('Müşteriler'!$B$2:$B$101)-ROW('Müşteriler'!$B$2)+1)),""),""))</ns0:f>
        <ns0:v/>
      </ns0:c>
      <ns0:c r="G335" s="28" t="str">
        <ns0:f>IF(F335="","",IFERROR(INDEX('Müşteriler'!$C$2:$C$101,MATCH(F335,'Müşteriler'!$A$2:$A$101,0)),""))</ns0:f>
        <ns0:v/>
      </ns0:c>
      <ns0:c r="H335" s="28" t="str">
        <ns0:f>IF(A335="","",IF(C335&lt;=0,"Satış dışı",IF(OR(F335="",G335=""),"Eşleşmedi","Eşleşti")))</ns0:f>
        <ns0:v/>
      </ns0:c>
      <ns0:c r="I335" s="28">
        <ns0:f>I334+IF(AND(H335="Eşleşmedi",E335='Panel'!$B$4),1,0)</ns0:f>
        <ns0:v>3.0</ns0:v>
      </ns0:c>
    </ns0:row>
    <ns0:row r="336" ht="21" customHeight="1">
      <ns0:c r="A336" s="25" t="n"/>
      <ns0:c r="B336" s="26" t="n"/>
      <ns0:c r="C336" s="27" t="n"/>
      <ns0:c r="D336" s="27" t="n"/>
      <ns0:c r="E336" s="28" t="str">
        <ns0:f>IF(A336="","",YEAR(A336)&amp;"-"&amp;RIGHT("0"&amp;MONTH(A336),2))</ns0:f>
        <ns0:v/>
      </ns0:c>
      <ns0:c r="F336" s="28" t="str">
        <ns0:f>IF(OR(A336="",B336="",C336&lt;=0),"",IF(SUMPRODUCT(('Müşteriler'!$B$2:$B$101&lt;&gt;"")*ISNUMBER(SEARCH('Müşteriler'!$B$2:$B$101,B336)))=1,IFERROR(INDEX('Müşteriler'!$A$2:$A$101,SUMPRODUCT(('Müşteriler'!$B$2:$B$101&lt;&gt;"")*ISNUMBER(SEARCH('Müşteriler'!$B$2:$B$101,B336)),ROW('Müşteriler'!$B$2:$B$101)-ROW('Müşteriler'!$B$2)+1)),""),""))</ns0:f>
        <ns0:v/>
      </ns0:c>
      <ns0:c r="G336" s="28" t="str">
        <ns0:f>IF(F336="","",IFERROR(INDEX('Müşteriler'!$C$2:$C$101,MATCH(F336,'Müşteriler'!$A$2:$A$101,0)),""))</ns0:f>
        <ns0:v/>
      </ns0:c>
      <ns0:c r="H336" s="28" t="str">
        <ns0:f>IF(A336="","",IF(C336&lt;=0,"Satış dışı",IF(OR(F336="",G336=""),"Eşleşmedi","Eşleşti")))</ns0:f>
        <ns0:v/>
      </ns0:c>
      <ns0:c r="I336" s="28">
        <ns0:f>I335+IF(AND(H336="Eşleşmedi",E336='Panel'!$B$4),1,0)</ns0:f>
        <ns0:v>3.0</ns0:v>
      </ns0:c>
    </ns0:row>
    <ns0:row r="337" ht="21" customHeight="1">
      <ns0:c r="A337" s="25" t="n"/>
      <ns0:c r="B337" s="26" t="n"/>
      <ns0:c r="C337" s="27" t="n"/>
      <ns0:c r="D337" s="27" t="n"/>
      <ns0:c r="E337" s="28" t="str">
        <ns0:f>IF(A337="","",YEAR(A337)&amp;"-"&amp;RIGHT("0"&amp;MONTH(A337),2))</ns0:f>
        <ns0:v/>
      </ns0:c>
      <ns0:c r="F337" s="28" t="str">
        <ns0:f>IF(OR(A337="",B337="",C337&lt;=0),"",IF(SUMPRODUCT(('Müşteriler'!$B$2:$B$101&lt;&gt;"")*ISNUMBER(SEARCH('Müşteriler'!$B$2:$B$101,B337)))=1,IFERROR(INDEX('Müşteriler'!$A$2:$A$101,SUMPRODUCT(('Müşteriler'!$B$2:$B$101&lt;&gt;"")*ISNUMBER(SEARCH('Müşteriler'!$B$2:$B$101,B337)),ROW('Müşteriler'!$B$2:$B$101)-ROW('Müşteriler'!$B$2)+1)),""),""))</ns0:f>
        <ns0:v/>
      </ns0:c>
      <ns0:c r="G337" s="28" t="str">
        <ns0:f>IF(F337="","",IFERROR(INDEX('Müşteriler'!$C$2:$C$101,MATCH(F337,'Müşteriler'!$A$2:$A$101,0)),""))</ns0:f>
        <ns0:v/>
      </ns0:c>
      <ns0:c r="H337" s="28" t="str">
        <ns0:f>IF(A337="","",IF(C337&lt;=0,"Satış dışı",IF(OR(F337="",G337=""),"Eşleşmedi","Eşleşti")))</ns0:f>
        <ns0:v/>
      </ns0:c>
      <ns0:c r="I337" s="28">
        <ns0:f>I336+IF(AND(H337="Eşleşmedi",E337='Panel'!$B$4),1,0)</ns0:f>
        <ns0:v>3.0</ns0:v>
      </ns0:c>
    </ns0:row>
    <ns0:row r="338" ht="21" customHeight="1">
      <ns0:c r="A338" s="25" t="n"/>
      <ns0:c r="B338" s="26" t="n"/>
      <ns0:c r="C338" s="27" t="n"/>
      <ns0:c r="D338" s="27" t="n"/>
      <ns0:c r="E338" s="28" t="str">
        <ns0:f>IF(A338="","",YEAR(A338)&amp;"-"&amp;RIGHT("0"&amp;MONTH(A338),2))</ns0:f>
        <ns0:v/>
      </ns0:c>
      <ns0:c r="F338" s="28" t="str">
        <ns0:f>IF(OR(A338="",B338="",C338&lt;=0),"",IF(SUMPRODUCT(('Müşteriler'!$B$2:$B$101&lt;&gt;"")*ISNUMBER(SEARCH('Müşteriler'!$B$2:$B$101,B338)))=1,IFERROR(INDEX('Müşteriler'!$A$2:$A$101,SUMPRODUCT(('Müşteriler'!$B$2:$B$101&lt;&gt;"")*ISNUMBER(SEARCH('Müşteriler'!$B$2:$B$101,B338)),ROW('Müşteriler'!$B$2:$B$101)-ROW('Müşteriler'!$B$2)+1)),""),""))</ns0:f>
        <ns0:v/>
      </ns0:c>
      <ns0:c r="G338" s="28" t="str">
        <ns0:f>IF(F338="","",IFERROR(INDEX('Müşteriler'!$C$2:$C$101,MATCH(F338,'Müşteriler'!$A$2:$A$101,0)),""))</ns0:f>
        <ns0:v/>
      </ns0:c>
      <ns0:c r="H338" s="28" t="str">
        <ns0:f>IF(A338="","",IF(C338&lt;=0,"Satış dışı",IF(OR(F338="",G338=""),"Eşleşmedi","Eşleşti")))</ns0:f>
        <ns0:v/>
      </ns0:c>
      <ns0:c r="I338" s="28">
        <ns0:f>I337+IF(AND(H338="Eşleşmedi",E338='Panel'!$B$4),1,0)</ns0:f>
        <ns0:v>3.0</ns0:v>
      </ns0:c>
    </ns0:row>
    <ns0:row r="339" ht="21" customHeight="1">
      <ns0:c r="A339" s="25" t="n"/>
      <ns0:c r="B339" s="26" t="n"/>
      <ns0:c r="C339" s="27" t="n"/>
      <ns0:c r="D339" s="27" t="n"/>
      <ns0:c r="E339" s="28" t="str">
        <ns0:f>IF(A339="","",YEAR(A339)&amp;"-"&amp;RIGHT("0"&amp;MONTH(A339),2))</ns0:f>
        <ns0:v/>
      </ns0:c>
      <ns0:c r="F339" s="28" t="str">
        <ns0:f>IF(OR(A339="",B339="",C339&lt;=0),"",IF(SUMPRODUCT(('Müşteriler'!$B$2:$B$101&lt;&gt;"")*ISNUMBER(SEARCH('Müşteriler'!$B$2:$B$101,B339)))=1,IFERROR(INDEX('Müşteriler'!$A$2:$A$101,SUMPRODUCT(('Müşteriler'!$B$2:$B$101&lt;&gt;"")*ISNUMBER(SEARCH('Müşteriler'!$B$2:$B$101,B339)),ROW('Müşteriler'!$B$2:$B$101)-ROW('Müşteriler'!$B$2)+1)),""),""))</ns0:f>
        <ns0:v/>
      </ns0:c>
      <ns0:c r="G339" s="28" t="str">
        <ns0:f>IF(F339="","",IFERROR(INDEX('Müşteriler'!$C$2:$C$101,MATCH(F339,'Müşteriler'!$A$2:$A$101,0)),""))</ns0:f>
        <ns0:v/>
      </ns0:c>
      <ns0:c r="H339" s="28" t="str">
        <ns0:f>IF(A339="","",IF(C339&lt;=0,"Satış dışı",IF(OR(F339="",G339=""),"Eşleşmedi","Eşleşti")))</ns0:f>
        <ns0:v/>
      </ns0:c>
      <ns0:c r="I339" s="28">
        <ns0:f>I338+IF(AND(H339="Eşleşmedi",E339='Panel'!$B$4),1,0)</ns0:f>
        <ns0:v>3.0</ns0:v>
      </ns0:c>
    </ns0:row>
    <ns0:row r="340" ht="21" customHeight="1">
      <ns0:c r="A340" s="25" t="n"/>
      <ns0:c r="B340" s="26" t="n"/>
      <ns0:c r="C340" s="27" t="n"/>
      <ns0:c r="D340" s="27" t="n"/>
      <ns0:c r="E340" s="28" t="str">
        <ns0:f>IF(A340="","",YEAR(A340)&amp;"-"&amp;RIGHT("0"&amp;MONTH(A340),2))</ns0:f>
        <ns0:v/>
      </ns0:c>
      <ns0:c r="F340" s="28" t="str">
        <ns0:f>IF(OR(A340="",B340="",C340&lt;=0),"",IF(SUMPRODUCT(('Müşteriler'!$B$2:$B$101&lt;&gt;"")*ISNUMBER(SEARCH('Müşteriler'!$B$2:$B$101,B340)))=1,IFERROR(INDEX('Müşteriler'!$A$2:$A$101,SUMPRODUCT(('Müşteriler'!$B$2:$B$101&lt;&gt;"")*ISNUMBER(SEARCH('Müşteriler'!$B$2:$B$101,B340)),ROW('Müşteriler'!$B$2:$B$101)-ROW('Müşteriler'!$B$2)+1)),""),""))</ns0:f>
        <ns0:v/>
      </ns0:c>
      <ns0:c r="G340" s="28" t="str">
        <ns0:f>IF(F340="","",IFERROR(INDEX('Müşteriler'!$C$2:$C$101,MATCH(F340,'Müşteriler'!$A$2:$A$101,0)),""))</ns0:f>
        <ns0:v/>
      </ns0:c>
      <ns0:c r="H340" s="28" t="str">
        <ns0:f>IF(A340="","",IF(C340&lt;=0,"Satış dışı",IF(OR(F340="",G340=""),"Eşleşmedi","Eşleşti")))</ns0:f>
        <ns0:v/>
      </ns0:c>
      <ns0:c r="I340" s="28">
        <ns0:f>I339+IF(AND(H340="Eşleşmedi",E340='Panel'!$B$4),1,0)</ns0:f>
        <ns0:v>3.0</ns0:v>
      </ns0:c>
    </ns0:row>
    <ns0:row r="341" ht="21" customHeight="1">
      <ns0:c r="A341" s="25" t="n"/>
      <ns0:c r="B341" s="26" t="n"/>
      <ns0:c r="C341" s="27" t="n"/>
      <ns0:c r="D341" s="27" t="n"/>
      <ns0:c r="E341" s="28" t="str">
        <ns0:f>IF(A341="","",YEAR(A341)&amp;"-"&amp;RIGHT("0"&amp;MONTH(A341),2))</ns0:f>
        <ns0:v/>
      </ns0:c>
      <ns0:c r="F341" s="28" t="str">
        <ns0:f>IF(OR(A341="",B341="",C341&lt;=0),"",IF(SUMPRODUCT(('Müşteriler'!$B$2:$B$101&lt;&gt;"")*ISNUMBER(SEARCH('Müşteriler'!$B$2:$B$101,B341)))=1,IFERROR(INDEX('Müşteriler'!$A$2:$A$101,SUMPRODUCT(('Müşteriler'!$B$2:$B$101&lt;&gt;"")*ISNUMBER(SEARCH('Müşteriler'!$B$2:$B$101,B341)),ROW('Müşteriler'!$B$2:$B$101)-ROW('Müşteriler'!$B$2)+1)),""),""))</ns0:f>
        <ns0:v/>
      </ns0:c>
      <ns0:c r="G341" s="28" t="str">
        <ns0:f>IF(F341="","",IFERROR(INDEX('Müşteriler'!$C$2:$C$101,MATCH(F341,'Müşteriler'!$A$2:$A$101,0)),""))</ns0:f>
        <ns0:v/>
      </ns0:c>
      <ns0:c r="H341" s="28" t="str">
        <ns0:f>IF(A341="","",IF(C341&lt;=0,"Satış dışı",IF(OR(F341="",G341=""),"Eşleşmedi","Eşleşti")))</ns0:f>
        <ns0:v/>
      </ns0:c>
      <ns0:c r="I341" s="28">
        <ns0:f>I340+IF(AND(H341="Eşleşmedi",E341='Panel'!$B$4),1,0)</ns0:f>
        <ns0:v>3.0</ns0:v>
      </ns0:c>
    </ns0:row>
    <ns0:row r="342" ht="21" customHeight="1">
      <ns0:c r="A342" s="25" t="n"/>
      <ns0:c r="B342" s="26" t="n"/>
      <ns0:c r="C342" s="27" t="n"/>
      <ns0:c r="D342" s="27" t="n"/>
      <ns0:c r="E342" s="28" t="str">
        <ns0:f>IF(A342="","",YEAR(A342)&amp;"-"&amp;RIGHT("0"&amp;MONTH(A342),2))</ns0:f>
        <ns0:v/>
      </ns0:c>
      <ns0:c r="F342" s="28" t="str">
        <ns0:f>IF(OR(A342="",B342="",C342&lt;=0),"",IF(SUMPRODUCT(('Müşteriler'!$B$2:$B$101&lt;&gt;"")*ISNUMBER(SEARCH('Müşteriler'!$B$2:$B$101,B342)))=1,IFERROR(INDEX('Müşteriler'!$A$2:$A$101,SUMPRODUCT(('Müşteriler'!$B$2:$B$101&lt;&gt;"")*ISNUMBER(SEARCH('Müşteriler'!$B$2:$B$101,B342)),ROW('Müşteriler'!$B$2:$B$101)-ROW('Müşteriler'!$B$2)+1)),""),""))</ns0:f>
        <ns0:v/>
      </ns0:c>
      <ns0:c r="G342" s="28" t="str">
        <ns0:f>IF(F342="","",IFERROR(INDEX('Müşteriler'!$C$2:$C$101,MATCH(F342,'Müşteriler'!$A$2:$A$101,0)),""))</ns0:f>
        <ns0:v/>
      </ns0:c>
      <ns0:c r="H342" s="28" t="str">
        <ns0:f>IF(A342="","",IF(C342&lt;=0,"Satış dışı",IF(OR(F342="",G342=""),"Eşleşmedi","Eşleşti")))</ns0:f>
        <ns0:v/>
      </ns0:c>
      <ns0:c r="I342" s="28">
        <ns0:f>I341+IF(AND(H342="Eşleşmedi",E342='Panel'!$B$4),1,0)</ns0:f>
        <ns0:v>3.0</ns0:v>
      </ns0:c>
    </ns0:row>
    <ns0:row r="343" ht="21" customHeight="1">
      <ns0:c r="A343" s="25" t="n"/>
      <ns0:c r="B343" s="26" t="n"/>
      <ns0:c r="C343" s="27" t="n"/>
      <ns0:c r="D343" s="27" t="n"/>
      <ns0:c r="E343" s="28" t="str">
        <ns0:f>IF(A343="","",YEAR(A343)&amp;"-"&amp;RIGHT("0"&amp;MONTH(A343),2))</ns0:f>
        <ns0:v/>
      </ns0:c>
      <ns0:c r="F343" s="28" t="str">
        <ns0:f>IF(OR(A343="",B343="",C343&lt;=0),"",IF(SUMPRODUCT(('Müşteriler'!$B$2:$B$101&lt;&gt;"")*ISNUMBER(SEARCH('Müşteriler'!$B$2:$B$101,B343)))=1,IFERROR(INDEX('Müşteriler'!$A$2:$A$101,SUMPRODUCT(('Müşteriler'!$B$2:$B$101&lt;&gt;"")*ISNUMBER(SEARCH('Müşteriler'!$B$2:$B$101,B343)),ROW('Müşteriler'!$B$2:$B$101)-ROW('Müşteriler'!$B$2)+1)),""),""))</ns0:f>
        <ns0:v/>
      </ns0:c>
      <ns0:c r="G343" s="28" t="str">
        <ns0:f>IF(F343="","",IFERROR(INDEX('Müşteriler'!$C$2:$C$101,MATCH(F343,'Müşteriler'!$A$2:$A$101,0)),""))</ns0:f>
        <ns0:v/>
      </ns0:c>
      <ns0:c r="H343" s="28" t="str">
        <ns0:f>IF(A343="","",IF(C343&lt;=0,"Satış dışı",IF(OR(F343="",G343=""),"Eşleşmedi","Eşleşti")))</ns0:f>
        <ns0:v/>
      </ns0:c>
      <ns0:c r="I343" s="28">
        <ns0:f>I342+IF(AND(H343="Eşleşmedi",E343='Panel'!$B$4),1,0)</ns0:f>
        <ns0:v>3.0</ns0:v>
      </ns0:c>
    </ns0:row>
    <ns0:row r="344" ht="21" customHeight="1">
      <ns0:c r="A344" s="25" t="n"/>
      <ns0:c r="B344" s="26" t="n"/>
      <ns0:c r="C344" s="27" t="n"/>
      <ns0:c r="D344" s="27" t="n"/>
      <ns0:c r="E344" s="28" t="str">
        <ns0:f>IF(A344="","",YEAR(A344)&amp;"-"&amp;RIGHT("0"&amp;MONTH(A344),2))</ns0:f>
        <ns0:v/>
      </ns0:c>
      <ns0:c r="F344" s="28" t="str">
        <ns0:f>IF(OR(A344="",B344="",C344&lt;=0),"",IF(SUMPRODUCT(('Müşteriler'!$B$2:$B$101&lt;&gt;"")*ISNUMBER(SEARCH('Müşteriler'!$B$2:$B$101,B344)))=1,IFERROR(INDEX('Müşteriler'!$A$2:$A$101,SUMPRODUCT(('Müşteriler'!$B$2:$B$101&lt;&gt;"")*ISNUMBER(SEARCH('Müşteriler'!$B$2:$B$101,B344)),ROW('Müşteriler'!$B$2:$B$101)-ROW('Müşteriler'!$B$2)+1)),""),""))</ns0:f>
        <ns0:v/>
      </ns0:c>
      <ns0:c r="G344" s="28" t="str">
        <ns0:f>IF(F344="","",IFERROR(INDEX('Müşteriler'!$C$2:$C$101,MATCH(F344,'Müşteriler'!$A$2:$A$101,0)),""))</ns0:f>
        <ns0:v/>
      </ns0:c>
      <ns0:c r="H344" s="28" t="str">
        <ns0:f>IF(A344="","",IF(C344&lt;=0,"Satış dışı",IF(OR(F344="",G344=""),"Eşleşmedi","Eşleşti")))</ns0:f>
        <ns0:v/>
      </ns0:c>
      <ns0:c r="I344" s="28">
        <ns0:f>I343+IF(AND(H344="Eşleşmedi",E344='Panel'!$B$4),1,0)</ns0:f>
        <ns0:v>3.0</ns0:v>
      </ns0:c>
    </ns0:row>
    <ns0:row r="345" ht="21" customHeight="1">
      <ns0:c r="A345" s="25" t="n"/>
      <ns0:c r="B345" s="26" t="n"/>
      <ns0:c r="C345" s="27" t="n"/>
      <ns0:c r="D345" s="27" t="n"/>
      <ns0:c r="E345" s="28" t="str">
        <ns0:f>IF(A345="","",YEAR(A345)&amp;"-"&amp;RIGHT("0"&amp;MONTH(A345),2))</ns0:f>
        <ns0:v/>
      </ns0:c>
      <ns0:c r="F345" s="28" t="str">
        <ns0:f>IF(OR(A345="",B345="",C345&lt;=0),"",IF(SUMPRODUCT(('Müşteriler'!$B$2:$B$101&lt;&gt;"")*ISNUMBER(SEARCH('Müşteriler'!$B$2:$B$101,B345)))=1,IFERROR(INDEX('Müşteriler'!$A$2:$A$101,SUMPRODUCT(('Müşteriler'!$B$2:$B$101&lt;&gt;"")*ISNUMBER(SEARCH('Müşteriler'!$B$2:$B$101,B345)),ROW('Müşteriler'!$B$2:$B$101)-ROW('Müşteriler'!$B$2)+1)),""),""))</ns0:f>
        <ns0:v/>
      </ns0:c>
      <ns0:c r="G345" s="28" t="str">
        <ns0:f>IF(F345="","",IFERROR(INDEX('Müşteriler'!$C$2:$C$101,MATCH(F345,'Müşteriler'!$A$2:$A$101,0)),""))</ns0:f>
        <ns0:v/>
      </ns0:c>
      <ns0:c r="H345" s="28" t="str">
        <ns0:f>IF(A345="","",IF(C345&lt;=0,"Satış dışı",IF(OR(F345="",G345=""),"Eşleşmedi","Eşleşti")))</ns0:f>
        <ns0:v/>
      </ns0:c>
      <ns0:c r="I345" s="28">
        <ns0:f>I344+IF(AND(H345="Eşleşmedi",E345='Panel'!$B$4),1,0)</ns0:f>
        <ns0:v>3.0</ns0:v>
      </ns0:c>
    </ns0:row>
    <ns0:row r="346" ht="21" customHeight="1">
      <ns0:c r="A346" s="25" t="n"/>
      <ns0:c r="B346" s="26" t="n"/>
      <ns0:c r="C346" s="27" t="n"/>
      <ns0:c r="D346" s="27" t="n"/>
      <ns0:c r="E346" s="28" t="str">
        <ns0:f>IF(A346="","",YEAR(A346)&amp;"-"&amp;RIGHT("0"&amp;MONTH(A346),2))</ns0:f>
        <ns0:v/>
      </ns0:c>
      <ns0:c r="F346" s="28" t="str">
        <ns0:f>IF(OR(A346="",B346="",C346&lt;=0),"",IF(SUMPRODUCT(('Müşteriler'!$B$2:$B$101&lt;&gt;"")*ISNUMBER(SEARCH('Müşteriler'!$B$2:$B$101,B346)))=1,IFERROR(INDEX('Müşteriler'!$A$2:$A$101,SUMPRODUCT(('Müşteriler'!$B$2:$B$101&lt;&gt;"")*ISNUMBER(SEARCH('Müşteriler'!$B$2:$B$101,B346)),ROW('Müşteriler'!$B$2:$B$101)-ROW('Müşteriler'!$B$2)+1)),""),""))</ns0:f>
        <ns0:v/>
      </ns0:c>
      <ns0:c r="G346" s="28" t="str">
        <ns0:f>IF(F346="","",IFERROR(INDEX('Müşteriler'!$C$2:$C$101,MATCH(F346,'Müşteriler'!$A$2:$A$101,0)),""))</ns0:f>
        <ns0:v/>
      </ns0:c>
      <ns0:c r="H346" s="28" t="str">
        <ns0:f>IF(A346="","",IF(C346&lt;=0,"Satış dışı",IF(OR(F346="",G346=""),"Eşleşmedi","Eşleşti")))</ns0:f>
        <ns0:v/>
      </ns0:c>
      <ns0:c r="I346" s="28">
        <ns0:f>I345+IF(AND(H346="Eşleşmedi",E346='Panel'!$B$4),1,0)</ns0:f>
        <ns0:v>3.0</ns0:v>
      </ns0:c>
    </ns0:row>
    <ns0:row r="347" ht="21" customHeight="1">
      <ns0:c r="A347" s="25" t="n"/>
      <ns0:c r="B347" s="26" t="n"/>
      <ns0:c r="C347" s="27" t="n"/>
      <ns0:c r="D347" s="27" t="n"/>
      <ns0:c r="E347" s="28" t="str">
        <ns0:f>IF(A347="","",YEAR(A347)&amp;"-"&amp;RIGHT("0"&amp;MONTH(A347),2))</ns0:f>
        <ns0:v/>
      </ns0:c>
      <ns0:c r="F347" s="28" t="str">
        <ns0:f>IF(OR(A347="",B347="",C347&lt;=0),"",IF(SUMPRODUCT(('Müşteriler'!$B$2:$B$101&lt;&gt;"")*ISNUMBER(SEARCH('Müşteriler'!$B$2:$B$101,B347)))=1,IFERROR(INDEX('Müşteriler'!$A$2:$A$101,SUMPRODUCT(('Müşteriler'!$B$2:$B$101&lt;&gt;"")*ISNUMBER(SEARCH('Müşteriler'!$B$2:$B$101,B347)),ROW('Müşteriler'!$B$2:$B$101)-ROW('Müşteriler'!$B$2)+1)),""),""))</ns0:f>
        <ns0:v/>
      </ns0:c>
      <ns0:c r="G347" s="28" t="str">
        <ns0:f>IF(F347="","",IFERROR(INDEX('Müşteriler'!$C$2:$C$101,MATCH(F347,'Müşteriler'!$A$2:$A$101,0)),""))</ns0:f>
        <ns0:v/>
      </ns0:c>
      <ns0:c r="H347" s="28" t="str">
        <ns0:f>IF(A347="","",IF(C347&lt;=0,"Satış dışı",IF(OR(F347="",G347=""),"Eşleşmedi","Eşleşti")))</ns0:f>
        <ns0:v/>
      </ns0:c>
      <ns0:c r="I347" s="28">
        <ns0:f>I346+IF(AND(H347="Eşleşmedi",E347='Panel'!$B$4),1,0)</ns0:f>
        <ns0:v>3.0</ns0:v>
      </ns0:c>
    </ns0:row>
    <ns0:row r="348" ht="21" customHeight="1">
      <ns0:c r="A348" s="25" t="n"/>
      <ns0:c r="B348" s="26" t="n"/>
      <ns0:c r="C348" s="27" t="n"/>
      <ns0:c r="D348" s="27" t="n"/>
      <ns0:c r="E348" s="28" t="str">
        <ns0:f>IF(A348="","",YEAR(A348)&amp;"-"&amp;RIGHT("0"&amp;MONTH(A348),2))</ns0:f>
        <ns0:v/>
      </ns0:c>
      <ns0:c r="F348" s="28" t="str">
        <ns0:f>IF(OR(A348="",B348="",C348&lt;=0),"",IF(SUMPRODUCT(('Müşteriler'!$B$2:$B$101&lt;&gt;"")*ISNUMBER(SEARCH('Müşteriler'!$B$2:$B$101,B348)))=1,IFERROR(INDEX('Müşteriler'!$A$2:$A$101,SUMPRODUCT(('Müşteriler'!$B$2:$B$101&lt;&gt;"")*ISNUMBER(SEARCH('Müşteriler'!$B$2:$B$101,B348)),ROW('Müşteriler'!$B$2:$B$101)-ROW('Müşteriler'!$B$2)+1)),""),""))</ns0:f>
        <ns0:v/>
      </ns0:c>
      <ns0:c r="G348" s="28" t="str">
        <ns0:f>IF(F348="","",IFERROR(INDEX('Müşteriler'!$C$2:$C$101,MATCH(F348,'Müşteriler'!$A$2:$A$101,0)),""))</ns0:f>
        <ns0:v/>
      </ns0:c>
      <ns0:c r="H348" s="28" t="str">
        <ns0:f>IF(A348="","",IF(C348&lt;=0,"Satış dışı",IF(OR(F348="",G348=""),"Eşleşmedi","Eşleşti")))</ns0:f>
        <ns0:v/>
      </ns0:c>
      <ns0:c r="I348" s="28">
        <ns0:f>I347+IF(AND(H348="Eşleşmedi",E348='Panel'!$B$4),1,0)</ns0:f>
        <ns0:v>3.0</ns0:v>
      </ns0:c>
    </ns0:row>
    <ns0:row r="349" ht="21" customHeight="1">
      <ns0:c r="A349" s="25" t="n"/>
      <ns0:c r="B349" s="26" t="n"/>
      <ns0:c r="C349" s="27" t="n"/>
      <ns0:c r="D349" s="27" t="n"/>
      <ns0:c r="E349" s="28" t="str">
        <ns0:f>IF(A349="","",YEAR(A349)&amp;"-"&amp;RIGHT("0"&amp;MONTH(A349),2))</ns0:f>
        <ns0:v/>
      </ns0:c>
      <ns0:c r="F349" s="28" t="str">
        <ns0:f>IF(OR(A349="",B349="",C349&lt;=0),"",IF(SUMPRODUCT(('Müşteriler'!$B$2:$B$101&lt;&gt;"")*ISNUMBER(SEARCH('Müşteriler'!$B$2:$B$101,B349)))=1,IFERROR(INDEX('Müşteriler'!$A$2:$A$101,SUMPRODUCT(('Müşteriler'!$B$2:$B$101&lt;&gt;"")*ISNUMBER(SEARCH('Müşteriler'!$B$2:$B$101,B349)),ROW('Müşteriler'!$B$2:$B$101)-ROW('Müşteriler'!$B$2)+1)),""),""))</ns0:f>
        <ns0:v/>
      </ns0:c>
      <ns0:c r="G349" s="28" t="str">
        <ns0:f>IF(F349="","",IFERROR(INDEX('Müşteriler'!$C$2:$C$101,MATCH(F349,'Müşteriler'!$A$2:$A$101,0)),""))</ns0:f>
        <ns0:v/>
      </ns0:c>
      <ns0:c r="H349" s="28" t="str">
        <ns0:f>IF(A349="","",IF(C349&lt;=0,"Satış dışı",IF(OR(F349="",G349=""),"Eşleşmedi","Eşleşti")))</ns0:f>
        <ns0:v/>
      </ns0:c>
      <ns0:c r="I349" s="28">
        <ns0:f>I348+IF(AND(H349="Eşleşmedi",E349='Panel'!$B$4),1,0)</ns0:f>
        <ns0:v>3.0</ns0:v>
      </ns0:c>
    </ns0:row>
    <ns0:row r="350" ht="21" customHeight="1">
      <ns0:c r="A350" s="25" t="n"/>
      <ns0:c r="B350" s="26" t="n"/>
      <ns0:c r="C350" s="27" t="n"/>
      <ns0:c r="D350" s="27" t="n"/>
      <ns0:c r="E350" s="28" t="str">
        <ns0:f>IF(A350="","",YEAR(A350)&amp;"-"&amp;RIGHT("0"&amp;MONTH(A350),2))</ns0:f>
        <ns0:v/>
      </ns0:c>
      <ns0:c r="F350" s="28" t="str">
        <ns0:f>IF(OR(A350="",B350="",C350&lt;=0),"",IF(SUMPRODUCT(('Müşteriler'!$B$2:$B$101&lt;&gt;"")*ISNUMBER(SEARCH('Müşteriler'!$B$2:$B$101,B350)))=1,IFERROR(INDEX('Müşteriler'!$A$2:$A$101,SUMPRODUCT(('Müşteriler'!$B$2:$B$101&lt;&gt;"")*ISNUMBER(SEARCH('Müşteriler'!$B$2:$B$101,B350)),ROW('Müşteriler'!$B$2:$B$101)-ROW('Müşteriler'!$B$2)+1)),""),""))</ns0:f>
        <ns0:v/>
      </ns0:c>
      <ns0:c r="G350" s="28" t="str">
        <ns0:f>IF(F350="","",IFERROR(INDEX('Müşteriler'!$C$2:$C$101,MATCH(F350,'Müşteriler'!$A$2:$A$101,0)),""))</ns0:f>
        <ns0:v/>
      </ns0:c>
      <ns0:c r="H350" s="28" t="str">
        <ns0:f>IF(A350="","",IF(C350&lt;=0,"Satış dışı",IF(OR(F350="",G350=""),"Eşleşmedi","Eşleşti")))</ns0:f>
        <ns0:v/>
      </ns0:c>
      <ns0:c r="I350" s="28">
        <ns0:f>I349+IF(AND(H350="Eşleşmedi",E350='Panel'!$B$4),1,0)</ns0:f>
        <ns0:v>3.0</ns0:v>
      </ns0:c>
    </ns0:row>
    <ns0:row r="351" ht="21" customHeight="1">
      <ns0:c r="A351" s="25" t="n"/>
      <ns0:c r="B351" s="26" t="n"/>
      <ns0:c r="C351" s="27" t="n"/>
      <ns0:c r="D351" s="27" t="n"/>
      <ns0:c r="E351" s="28" t="str">
        <ns0:f>IF(A351="","",YEAR(A351)&amp;"-"&amp;RIGHT("0"&amp;MONTH(A351),2))</ns0:f>
        <ns0:v/>
      </ns0:c>
      <ns0:c r="F351" s="28" t="str">
        <ns0:f>IF(OR(A351="",B351="",C351&lt;=0),"",IF(SUMPRODUCT(('Müşteriler'!$B$2:$B$101&lt;&gt;"")*ISNUMBER(SEARCH('Müşteriler'!$B$2:$B$101,B351)))=1,IFERROR(INDEX('Müşteriler'!$A$2:$A$101,SUMPRODUCT(('Müşteriler'!$B$2:$B$101&lt;&gt;"")*ISNUMBER(SEARCH('Müşteriler'!$B$2:$B$101,B351)),ROW('Müşteriler'!$B$2:$B$101)-ROW('Müşteriler'!$B$2)+1)),""),""))</ns0:f>
        <ns0:v/>
      </ns0:c>
      <ns0:c r="G351" s="28" t="str">
        <ns0:f>IF(F351="","",IFERROR(INDEX('Müşteriler'!$C$2:$C$101,MATCH(F351,'Müşteriler'!$A$2:$A$101,0)),""))</ns0:f>
        <ns0:v/>
      </ns0:c>
      <ns0:c r="H351" s="28" t="str">
        <ns0:f>IF(A351="","",IF(C351&lt;=0,"Satış dışı",IF(OR(F351="",G351=""),"Eşleşmedi","Eşleşti")))</ns0:f>
        <ns0:v/>
      </ns0:c>
      <ns0:c r="I351" s="28">
        <ns0:f>I350+IF(AND(H351="Eşleşmedi",E351='Panel'!$B$4),1,0)</ns0:f>
        <ns0:v>3.0</ns0:v>
      </ns0:c>
    </ns0:row>
    <ns0:row r="352" ht="21" customHeight="1">
      <ns0:c r="A352" s="25" t="n"/>
      <ns0:c r="B352" s="26" t="n"/>
      <ns0:c r="C352" s="27" t="n"/>
      <ns0:c r="D352" s="27" t="n"/>
      <ns0:c r="E352" s="28" t="str">
        <ns0:f>IF(A352="","",YEAR(A352)&amp;"-"&amp;RIGHT("0"&amp;MONTH(A352),2))</ns0:f>
        <ns0:v/>
      </ns0:c>
      <ns0:c r="F352" s="28" t="str">
        <ns0:f>IF(OR(A352="",B352="",C352&lt;=0),"",IF(SUMPRODUCT(('Müşteriler'!$B$2:$B$101&lt;&gt;"")*ISNUMBER(SEARCH('Müşteriler'!$B$2:$B$101,B352)))=1,IFERROR(INDEX('Müşteriler'!$A$2:$A$101,SUMPRODUCT(('Müşteriler'!$B$2:$B$101&lt;&gt;"")*ISNUMBER(SEARCH('Müşteriler'!$B$2:$B$101,B352)),ROW('Müşteriler'!$B$2:$B$101)-ROW('Müşteriler'!$B$2)+1)),""),""))</ns0:f>
        <ns0:v/>
      </ns0:c>
      <ns0:c r="G352" s="28" t="str">
        <ns0:f>IF(F352="","",IFERROR(INDEX('Müşteriler'!$C$2:$C$101,MATCH(F352,'Müşteriler'!$A$2:$A$101,0)),""))</ns0:f>
        <ns0:v/>
      </ns0:c>
      <ns0:c r="H352" s="28" t="str">
        <ns0:f>IF(A352="","",IF(C352&lt;=0,"Satış dışı",IF(OR(F352="",G352=""),"Eşleşmedi","Eşleşti")))</ns0:f>
        <ns0:v/>
      </ns0:c>
      <ns0:c r="I352" s="28">
        <ns0:f>I351+IF(AND(H352="Eşleşmedi",E352='Panel'!$B$4),1,0)</ns0:f>
        <ns0:v>3.0</ns0:v>
      </ns0:c>
    </ns0:row>
    <ns0:row r="353" ht="21" customHeight="1">
      <ns0:c r="A353" s="25" t="n"/>
      <ns0:c r="B353" s="26" t="n"/>
      <ns0:c r="C353" s="27" t="n"/>
      <ns0:c r="D353" s="27" t="n"/>
      <ns0:c r="E353" s="28" t="str">
        <ns0:f>IF(A353="","",YEAR(A353)&amp;"-"&amp;RIGHT("0"&amp;MONTH(A353),2))</ns0:f>
        <ns0:v/>
      </ns0:c>
      <ns0:c r="F353" s="28" t="str">
        <ns0:f>IF(OR(A353="",B353="",C353&lt;=0),"",IF(SUMPRODUCT(('Müşteriler'!$B$2:$B$101&lt;&gt;"")*ISNUMBER(SEARCH('Müşteriler'!$B$2:$B$101,B353)))=1,IFERROR(INDEX('Müşteriler'!$A$2:$A$101,SUMPRODUCT(('Müşteriler'!$B$2:$B$101&lt;&gt;"")*ISNUMBER(SEARCH('Müşteriler'!$B$2:$B$101,B353)),ROW('Müşteriler'!$B$2:$B$101)-ROW('Müşteriler'!$B$2)+1)),""),""))</ns0:f>
        <ns0:v/>
      </ns0:c>
      <ns0:c r="G353" s="28" t="str">
        <ns0:f>IF(F353="","",IFERROR(INDEX('Müşteriler'!$C$2:$C$101,MATCH(F353,'Müşteriler'!$A$2:$A$101,0)),""))</ns0:f>
        <ns0:v/>
      </ns0:c>
      <ns0:c r="H353" s="28" t="str">
        <ns0:f>IF(A353="","",IF(C353&lt;=0,"Satış dışı",IF(OR(F353="",G353=""),"Eşleşmedi","Eşleşti")))</ns0:f>
        <ns0:v/>
      </ns0:c>
      <ns0:c r="I353" s="28">
        <ns0:f>I352+IF(AND(H353="Eşleşmedi",E353='Panel'!$B$4),1,0)</ns0:f>
        <ns0:v>3.0</ns0:v>
      </ns0:c>
    </ns0:row>
    <ns0:row r="354" ht="21" customHeight="1">
      <ns0:c r="A354" s="25" t="n"/>
      <ns0:c r="B354" s="26" t="n"/>
      <ns0:c r="C354" s="27" t="n"/>
      <ns0:c r="D354" s="27" t="n"/>
      <ns0:c r="E354" s="28" t="str">
        <ns0:f>IF(A354="","",YEAR(A354)&amp;"-"&amp;RIGHT("0"&amp;MONTH(A354),2))</ns0:f>
        <ns0:v/>
      </ns0:c>
      <ns0:c r="F354" s="28" t="str">
        <ns0:f>IF(OR(A354="",B354="",C354&lt;=0),"",IF(SUMPRODUCT(('Müşteriler'!$B$2:$B$101&lt;&gt;"")*ISNUMBER(SEARCH('Müşteriler'!$B$2:$B$101,B354)))=1,IFERROR(INDEX('Müşteriler'!$A$2:$A$101,SUMPRODUCT(('Müşteriler'!$B$2:$B$101&lt;&gt;"")*ISNUMBER(SEARCH('Müşteriler'!$B$2:$B$101,B354)),ROW('Müşteriler'!$B$2:$B$101)-ROW('Müşteriler'!$B$2)+1)),""),""))</ns0:f>
        <ns0:v/>
      </ns0:c>
      <ns0:c r="G354" s="28" t="str">
        <ns0:f>IF(F354="","",IFERROR(INDEX('Müşteriler'!$C$2:$C$101,MATCH(F354,'Müşteriler'!$A$2:$A$101,0)),""))</ns0:f>
        <ns0:v/>
      </ns0:c>
      <ns0:c r="H354" s="28" t="str">
        <ns0:f>IF(A354="","",IF(C354&lt;=0,"Satış dışı",IF(OR(F354="",G354=""),"Eşleşmedi","Eşleşti")))</ns0:f>
        <ns0:v/>
      </ns0:c>
      <ns0:c r="I354" s="28">
        <ns0:f>I353+IF(AND(H354="Eşleşmedi",E354='Panel'!$B$4),1,0)</ns0:f>
        <ns0:v>3.0</ns0:v>
      </ns0:c>
    </ns0:row>
    <ns0:row r="355" ht="21" customHeight="1">
      <ns0:c r="A355" s="25" t="n"/>
      <ns0:c r="B355" s="26" t="n"/>
      <ns0:c r="C355" s="27" t="n"/>
      <ns0:c r="D355" s="27" t="n"/>
      <ns0:c r="E355" s="28" t="str">
        <ns0:f>IF(A355="","",YEAR(A355)&amp;"-"&amp;RIGHT("0"&amp;MONTH(A355),2))</ns0:f>
        <ns0:v/>
      </ns0:c>
      <ns0:c r="F355" s="28" t="str">
        <ns0:f>IF(OR(A355="",B355="",C355&lt;=0),"",IF(SUMPRODUCT(('Müşteriler'!$B$2:$B$101&lt;&gt;"")*ISNUMBER(SEARCH('Müşteriler'!$B$2:$B$101,B355)))=1,IFERROR(INDEX('Müşteriler'!$A$2:$A$101,SUMPRODUCT(('Müşteriler'!$B$2:$B$101&lt;&gt;"")*ISNUMBER(SEARCH('Müşteriler'!$B$2:$B$101,B355)),ROW('Müşteriler'!$B$2:$B$101)-ROW('Müşteriler'!$B$2)+1)),""),""))</ns0:f>
        <ns0:v/>
      </ns0:c>
      <ns0:c r="G355" s="28" t="str">
        <ns0:f>IF(F355="","",IFERROR(INDEX('Müşteriler'!$C$2:$C$101,MATCH(F355,'Müşteriler'!$A$2:$A$101,0)),""))</ns0:f>
        <ns0:v/>
      </ns0:c>
      <ns0:c r="H355" s="28" t="str">
        <ns0:f>IF(A355="","",IF(C355&lt;=0,"Satış dışı",IF(OR(F355="",G355=""),"Eşleşmedi","Eşleşti")))</ns0:f>
        <ns0:v/>
      </ns0:c>
      <ns0:c r="I355" s="28">
        <ns0:f>I354+IF(AND(H355="Eşleşmedi",E355='Panel'!$B$4),1,0)</ns0:f>
        <ns0:v>3.0</ns0:v>
      </ns0:c>
    </ns0:row>
    <ns0:row r="356" ht="21" customHeight="1">
      <ns0:c r="A356" s="25" t="n"/>
      <ns0:c r="B356" s="26" t="n"/>
      <ns0:c r="C356" s="27" t="n"/>
      <ns0:c r="D356" s="27" t="n"/>
      <ns0:c r="E356" s="28" t="str">
        <ns0:f>IF(A356="","",YEAR(A356)&amp;"-"&amp;RIGHT("0"&amp;MONTH(A356),2))</ns0:f>
        <ns0:v/>
      </ns0:c>
      <ns0:c r="F356" s="28" t="str">
        <ns0:f>IF(OR(A356="",B356="",C356&lt;=0),"",IF(SUMPRODUCT(('Müşteriler'!$B$2:$B$101&lt;&gt;"")*ISNUMBER(SEARCH('Müşteriler'!$B$2:$B$101,B356)))=1,IFERROR(INDEX('Müşteriler'!$A$2:$A$101,SUMPRODUCT(('Müşteriler'!$B$2:$B$101&lt;&gt;"")*ISNUMBER(SEARCH('Müşteriler'!$B$2:$B$101,B356)),ROW('Müşteriler'!$B$2:$B$101)-ROW('Müşteriler'!$B$2)+1)),""),""))</ns0:f>
        <ns0:v/>
      </ns0:c>
      <ns0:c r="G356" s="28" t="str">
        <ns0:f>IF(F356="","",IFERROR(INDEX('Müşteriler'!$C$2:$C$101,MATCH(F356,'Müşteriler'!$A$2:$A$101,0)),""))</ns0:f>
        <ns0:v/>
      </ns0:c>
      <ns0:c r="H356" s="28" t="str">
        <ns0:f>IF(A356="","",IF(C356&lt;=0,"Satış dışı",IF(OR(F356="",G356=""),"Eşleşmedi","Eşleşti")))</ns0:f>
        <ns0:v/>
      </ns0:c>
      <ns0:c r="I356" s="28">
        <ns0:f>I355+IF(AND(H356="Eşleşmedi",E356='Panel'!$B$4),1,0)</ns0:f>
        <ns0:v>3.0</ns0:v>
      </ns0:c>
    </ns0:row>
    <ns0:row r="357" ht="21" customHeight="1">
      <ns0:c r="A357" s="25" t="n"/>
      <ns0:c r="B357" s="26" t="n"/>
      <ns0:c r="C357" s="27" t="n"/>
      <ns0:c r="D357" s="27" t="n"/>
      <ns0:c r="E357" s="28" t="str">
        <ns0:f>IF(A357="","",YEAR(A357)&amp;"-"&amp;RIGHT("0"&amp;MONTH(A357),2))</ns0:f>
        <ns0:v/>
      </ns0:c>
      <ns0:c r="F357" s="28" t="str">
        <ns0:f>IF(OR(A357="",B357="",C357&lt;=0),"",IF(SUMPRODUCT(('Müşteriler'!$B$2:$B$101&lt;&gt;"")*ISNUMBER(SEARCH('Müşteriler'!$B$2:$B$101,B357)))=1,IFERROR(INDEX('Müşteriler'!$A$2:$A$101,SUMPRODUCT(('Müşteriler'!$B$2:$B$101&lt;&gt;"")*ISNUMBER(SEARCH('Müşteriler'!$B$2:$B$101,B357)),ROW('Müşteriler'!$B$2:$B$101)-ROW('Müşteriler'!$B$2)+1)),""),""))</ns0:f>
        <ns0:v/>
      </ns0:c>
      <ns0:c r="G357" s="28" t="str">
        <ns0:f>IF(F357="","",IFERROR(INDEX('Müşteriler'!$C$2:$C$101,MATCH(F357,'Müşteriler'!$A$2:$A$101,0)),""))</ns0:f>
        <ns0:v/>
      </ns0:c>
      <ns0:c r="H357" s="28" t="str">
        <ns0:f>IF(A357="","",IF(C357&lt;=0,"Satış dışı",IF(OR(F357="",G357=""),"Eşleşmedi","Eşleşti")))</ns0:f>
        <ns0:v/>
      </ns0:c>
      <ns0:c r="I357" s="28">
        <ns0:f>I356+IF(AND(H357="Eşleşmedi",E357='Panel'!$B$4),1,0)</ns0:f>
        <ns0:v>3.0</ns0:v>
      </ns0:c>
    </ns0:row>
    <ns0:row r="358" ht="21" customHeight="1">
      <ns0:c r="A358" s="25" t="n"/>
      <ns0:c r="B358" s="26" t="n"/>
      <ns0:c r="C358" s="27" t="n"/>
      <ns0:c r="D358" s="27" t="n"/>
      <ns0:c r="E358" s="28" t="str">
        <ns0:f>IF(A358="","",YEAR(A358)&amp;"-"&amp;RIGHT("0"&amp;MONTH(A358),2))</ns0:f>
        <ns0:v/>
      </ns0:c>
      <ns0:c r="F358" s="28" t="str">
        <ns0:f>IF(OR(A358="",B358="",C358&lt;=0),"",IF(SUMPRODUCT(('Müşteriler'!$B$2:$B$101&lt;&gt;"")*ISNUMBER(SEARCH('Müşteriler'!$B$2:$B$101,B358)))=1,IFERROR(INDEX('Müşteriler'!$A$2:$A$101,SUMPRODUCT(('Müşteriler'!$B$2:$B$101&lt;&gt;"")*ISNUMBER(SEARCH('Müşteriler'!$B$2:$B$101,B358)),ROW('Müşteriler'!$B$2:$B$101)-ROW('Müşteriler'!$B$2)+1)),""),""))</ns0:f>
        <ns0:v/>
      </ns0:c>
      <ns0:c r="G358" s="28" t="str">
        <ns0:f>IF(F358="","",IFERROR(INDEX('Müşteriler'!$C$2:$C$101,MATCH(F358,'Müşteriler'!$A$2:$A$101,0)),""))</ns0:f>
        <ns0:v/>
      </ns0:c>
      <ns0:c r="H358" s="28" t="str">
        <ns0:f>IF(A358="","",IF(C358&lt;=0,"Satış dışı",IF(OR(F358="",G358=""),"Eşleşmedi","Eşleşti")))</ns0:f>
        <ns0:v/>
      </ns0:c>
      <ns0:c r="I358" s="28">
        <ns0:f>I357+IF(AND(H358="Eşleşmedi",E358='Panel'!$B$4),1,0)</ns0:f>
        <ns0:v>3.0</ns0:v>
      </ns0:c>
    </ns0:row>
    <ns0:row r="359" ht="21" customHeight="1">
      <ns0:c r="A359" s="25" t="n"/>
      <ns0:c r="B359" s="26" t="n"/>
      <ns0:c r="C359" s="27" t="n"/>
      <ns0:c r="D359" s="27" t="n"/>
      <ns0:c r="E359" s="28" t="str">
        <ns0:f>IF(A359="","",YEAR(A359)&amp;"-"&amp;RIGHT("0"&amp;MONTH(A359),2))</ns0:f>
        <ns0:v/>
      </ns0:c>
      <ns0:c r="F359" s="28" t="str">
        <ns0:f>IF(OR(A359="",B359="",C359&lt;=0),"",IF(SUMPRODUCT(('Müşteriler'!$B$2:$B$101&lt;&gt;"")*ISNUMBER(SEARCH('Müşteriler'!$B$2:$B$101,B359)))=1,IFERROR(INDEX('Müşteriler'!$A$2:$A$101,SUMPRODUCT(('Müşteriler'!$B$2:$B$101&lt;&gt;"")*ISNUMBER(SEARCH('Müşteriler'!$B$2:$B$101,B359)),ROW('Müşteriler'!$B$2:$B$101)-ROW('Müşteriler'!$B$2)+1)),""),""))</ns0:f>
        <ns0:v/>
      </ns0:c>
      <ns0:c r="G359" s="28" t="str">
        <ns0:f>IF(F359="","",IFERROR(INDEX('Müşteriler'!$C$2:$C$101,MATCH(F359,'Müşteriler'!$A$2:$A$101,0)),""))</ns0:f>
        <ns0:v/>
      </ns0:c>
      <ns0:c r="H359" s="28" t="str">
        <ns0:f>IF(A359="","",IF(C359&lt;=0,"Satış dışı",IF(OR(F359="",G359=""),"Eşleşmedi","Eşleşti")))</ns0:f>
        <ns0:v/>
      </ns0:c>
      <ns0:c r="I359" s="28">
        <ns0:f>I358+IF(AND(H359="Eşleşmedi",E359='Panel'!$B$4),1,0)</ns0:f>
        <ns0:v>3.0</ns0:v>
      </ns0:c>
    </ns0:row>
    <ns0:row r="360" ht="21" customHeight="1">
      <ns0:c r="A360" s="25" t="n"/>
      <ns0:c r="B360" s="26" t="n"/>
      <ns0:c r="C360" s="27" t="n"/>
      <ns0:c r="D360" s="27" t="n"/>
      <ns0:c r="E360" s="28" t="str">
        <ns0:f>IF(A360="","",YEAR(A360)&amp;"-"&amp;RIGHT("0"&amp;MONTH(A360),2))</ns0:f>
        <ns0:v/>
      </ns0:c>
      <ns0:c r="F360" s="28" t="str">
        <ns0:f>IF(OR(A360="",B360="",C360&lt;=0),"",IF(SUMPRODUCT(('Müşteriler'!$B$2:$B$101&lt;&gt;"")*ISNUMBER(SEARCH('Müşteriler'!$B$2:$B$101,B360)))=1,IFERROR(INDEX('Müşteriler'!$A$2:$A$101,SUMPRODUCT(('Müşteriler'!$B$2:$B$101&lt;&gt;"")*ISNUMBER(SEARCH('Müşteriler'!$B$2:$B$101,B360)),ROW('Müşteriler'!$B$2:$B$101)-ROW('Müşteriler'!$B$2)+1)),""),""))</ns0:f>
        <ns0:v/>
      </ns0:c>
      <ns0:c r="G360" s="28" t="str">
        <ns0:f>IF(F360="","",IFERROR(INDEX('Müşteriler'!$C$2:$C$101,MATCH(F360,'Müşteriler'!$A$2:$A$101,0)),""))</ns0:f>
        <ns0:v/>
      </ns0:c>
      <ns0:c r="H360" s="28" t="str">
        <ns0:f>IF(A360="","",IF(C360&lt;=0,"Satış dışı",IF(OR(F360="",G360=""),"Eşleşmedi","Eşleşti")))</ns0:f>
        <ns0:v/>
      </ns0:c>
      <ns0:c r="I360" s="28">
        <ns0:f>I359+IF(AND(H360="Eşleşmedi",E360='Panel'!$B$4),1,0)</ns0:f>
        <ns0:v>3.0</ns0:v>
      </ns0:c>
    </ns0:row>
    <ns0:row r="361" ht="21" customHeight="1">
      <ns0:c r="A361" s="25" t="n"/>
      <ns0:c r="B361" s="26" t="n"/>
      <ns0:c r="C361" s="27" t="n"/>
      <ns0:c r="D361" s="27" t="n"/>
      <ns0:c r="E361" s="28" t="str">
        <ns0:f>IF(A361="","",YEAR(A361)&amp;"-"&amp;RIGHT("0"&amp;MONTH(A361),2))</ns0:f>
        <ns0:v/>
      </ns0:c>
      <ns0:c r="F361" s="28" t="str">
        <ns0:f>IF(OR(A361="",B361="",C361&lt;=0),"",IF(SUMPRODUCT(('Müşteriler'!$B$2:$B$101&lt;&gt;"")*ISNUMBER(SEARCH('Müşteriler'!$B$2:$B$101,B361)))=1,IFERROR(INDEX('Müşteriler'!$A$2:$A$101,SUMPRODUCT(('Müşteriler'!$B$2:$B$101&lt;&gt;"")*ISNUMBER(SEARCH('Müşteriler'!$B$2:$B$101,B361)),ROW('Müşteriler'!$B$2:$B$101)-ROW('Müşteriler'!$B$2)+1)),""),""))</ns0:f>
        <ns0:v/>
      </ns0:c>
      <ns0:c r="G361" s="28" t="str">
        <ns0:f>IF(F361="","",IFERROR(INDEX('Müşteriler'!$C$2:$C$101,MATCH(F361,'Müşteriler'!$A$2:$A$101,0)),""))</ns0:f>
        <ns0:v/>
      </ns0:c>
      <ns0:c r="H361" s="28" t="str">
        <ns0:f>IF(A361="","",IF(C361&lt;=0,"Satış dışı",IF(OR(F361="",G361=""),"Eşleşmedi","Eşleşti")))</ns0:f>
        <ns0:v/>
      </ns0:c>
      <ns0:c r="I361" s="28">
        <ns0:f>I360+IF(AND(H361="Eşleşmedi",E361='Panel'!$B$4),1,0)</ns0:f>
        <ns0:v>3.0</ns0:v>
      </ns0:c>
    </ns0:row>
    <ns0:row r="362" ht="21" customHeight="1">
      <ns0:c r="A362" s="25" t="n"/>
      <ns0:c r="B362" s="26" t="n"/>
      <ns0:c r="C362" s="27" t="n"/>
      <ns0:c r="D362" s="27" t="n"/>
      <ns0:c r="E362" s="28" t="str">
        <ns0:f>IF(A362="","",YEAR(A362)&amp;"-"&amp;RIGHT("0"&amp;MONTH(A362),2))</ns0:f>
        <ns0:v/>
      </ns0:c>
      <ns0:c r="F362" s="28" t="str">
        <ns0:f>IF(OR(A362="",B362="",C362&lt;=0),"",IF(SUMPRODUCT(('Müşteriler'!$B$2:$B$101&lt;&gt;"")*ISNUMBER(SEARCH('Müşteriler'!$B$2:$B$101,B362)))=1,IFERROR(INDEX('Müşteriler'!$A$2:$A$101,SUMPRODUCT(('Müşteriler'!$B$2:$B$101&lt;&gt;"")*ISNUMBER(SEARCH('Müşteriler'!$B$2:$B$101,B362)),ROW('Müşteriler'!$B$2:$B$101)-ROW('Müşteriler'!$B$2)+1)),""),""))</ns0:f>
        <ns0:v/>
      </ns0:c>
      <ns0:c r="G362" s="28" t="str">
        <ns0:f>IF(F362="","",IFERROR(INDEX('Müşteriler'!$C$2:$C$101,MATCH(F362,'Müşteriler'!$A$2:$A$101,0)),""))</ns0:f>
        <ns0:v/>
      </ns0:c>
      <ns0:c r="H362" s="28" t="str">
        <ns0:f>IF(A362="","",IF(C362&lt;=0,"Satış dışı",IF(OR(F362="",G362=""),"Eşleşmedi","Eşleşti")))</ns0:f>
        <ns0:v/>
      </ns0:c>
      <ns0:c r="I362" s="28">
        <ns0:f>I361+IF(AND(H362="Eşleşmedi",E362='Panel'!$B$4),1,0)</ns0:f>
        <ns0:v>3.0</ns0:v>
      </ns0:c>
    </ns0:row>
    <ns0:row r="363" ht="21" customHeight="1">
      <ns0:c r="A363" s="25" t="n"/>
      <ns0:c r="B363" s="26" t="n"/>
      <ns0:c r="C363" s="27" t="n"/>
      <ns0:c r="D363" s="27" t="n"/>
      <ns0:c r="E363" s="28" t="str">
        <ns0:f>IF(A363="","",YEAR(A363)&amp;"-"&amp;RIGHT("0"&amp;MONTH(A363),2))</ns0:f>
        <ns0:v/>
      </ns0:c>
      <ns0:c r="F363" s="28" t="str">
        <ns0:f>IF(OR(A363="",B363="",C363&lt;=0),"",IF(SUMPRODUCT(('Müşteriler'!$B$2:$B$101&lt;&gt;"")*ISNUMBER(SEARCH('Müşteriler'!$B$2:$B$101,B363)))=1,IFERROR(INDEX('Müşteriler'!$A$2:$A$101,SUMPRODUCT(('Müşteriler'!$B$2:$B$101&lt;&gt;"")*ISNUMBER(SEARCH('Müşteriler'!$B$2:$B$101,B363)),ROW('Müşteriler'!$B$2:$B$101)-ROW('Müşteriler'!$B$2)+1)),""),""))</ns0:f>
        <ns0:v/>
      </ns0:c>
      <ns0:c r="G363" s="28" t="str">
        <ns0:f>IF(F363="","",IFERROR(INDEX('Müşteriler'!$C$2:$C$101,MATCH(F363,'Müşteriler'!$A$2:$A$101,0)),""))</ns0:f>
        <ns0:v/>
      </ns0:c>
      <ns0:c r="H363" s="28" t="str">
        <ns0:f>IF(A363="","",IF(C363&lt;=0,"Satış dışı",IF(OR(F363="",G363=""),"Eşleşmedi","Eşleşti")))</ns0:f>
        <ns0:v/>
      </ns0:c>
      <ns0:c r="I363" s="28">
        <ns0:f>I362+IF(AND(H363="Eşleşmedi",E363='Panel'!$B$4),1,0)</ns0:f>
        <ns0:v>3.0</ns0:v>
      </ns0:c>
    </ns0:row>
    <ns0:row r="364" ht="21" customHeight="1">
      <ns0:c r="A364" s="25" t="n"/>
      <ns0:c r="B364" s="26" t="n"/>
      <ns0:c r="C364" s="27" t="n"/>
      <ns0:c r="D364" s="27" t="n"/>
      <ns0:c r="E364" s="28" t="str">
        <ns0:f>IF(A364="","",YEAR(A364)&amp;"-"&amp;RIGHT("0"&amp;MONTH(A364),2))</ns0:f>
        <ns0:v/>
      </ns0:c>
      <ns0:c r="F364" s="28" t="str">
        <ns0:f>IF(OR(A364="",B364="",C364&lt;=0),"",IF(SUMPRODUCT(('Müşteriler'!$B$2:$B$101&lt;&gt;"")*ISNUMBER(SEARCH('Müşteriler'!$B$2:$B$101,B364)))=1,IFERROR(INDEX('Müşteriler'!$A$2:$A$101,SUMPRODUCT(('Müşteriler'!$B$2:$B$101&lt;&gt;"")*ISNUMBER(SEARCH('Müşteriler'!$B$2:$B$101,B364)),ROW('Müşteriler'!$B$2:$B$101)-ROW('Müşteriler'!$B$2)+1)),""),""))</ns0:f>
        <ns0:v/>
      </ns0:c>
      <ns0:c r="G364" s="28" t="str">
        <ns0:f>IF(F364="","",IFERROR(INDEX('Müşteriler'!$C$2:$C$101,MATCH(F364,'Müşteriler'!$A$2:$A$101,0)),""))</ns0:f>
        <ns0:v/>
      </ns0:c>
      <ns0:c r="H364" s="28" t="str">
        <ns0:f>IF(A364="","",IF(C364&lt;=0,"Satış dışı",IF(OR(F364="",G364=""),"Eşleşmedi","Eşleşti")))</ns0:f>
        <ns0:v/>
      </ns0:c>
      <ns0:c r="I364" s="28">
        <ns0:f>I363+IF(AND(H364="Eşleşmedi",E364='Panel'!$B$4),1,0)</ns0:f>
        <ns0:v>3.0</ns0:v>
      </ns0:c>
    </ns0:row>
    <ns0:row r="365" ht="21" customHeight="1">
      <ns0:c r="A365" s="25" t="n"/>
      <ns0:c r="B365" s="26" t="n"/>
      <ns0:c r="C365" s="27" t="n"/>
      <ns0:c r="D365" s="27" t="n"/>
      <ns0:c r="E365" s="28" t="str">
        <ns0:f>IF(A365="","",YEAR(A365)&amp;"-"&amp;RIGHT("0"&amp;MONTH(A365),2))</ns0:f>
        <ns0:v/>
      </ns0:c>
      <ns0:c r="F365" s="28" t="str">
        <ns0:f>IF(OR(A365="",B365="",C365&lt;=0),"",IF(SUMPRODUCT(('Müşteriler'!$B$2:$B$101&lt;&gt;"")*ISNUMBER(SEARCH('Müşteriler'!$B$2:$B$101,B365)))=1,IFERROR(INDEX('Müşteriler'!$A$2:$A$101,SUMPRODUCT(('Müşteriler'!$B$2:$B$101&lt;&gt;"")*ISNUMBER(SEARCH('Müşteriler'!$B$2:$B$101,B365)),ROW('Müşteriler'!$B$2:$B$101)-ROW('Müşteriler'!$B$2)+1)),""),""))</ns0:f>
        <ns0:v/>
      </ns0:c>
      <ns0:c r="G365" s="28" t="str">
        <ns0:f>IF(F365="","",IFERROR(INDEX('Müşteriler'!$C$2:$C$101,MATCH(F365,'Müşteriler'!$A$2:$A$101,0)),""))</ns0:f>
        <ns0:v/>
      </ns0:c>
      <ns0:c r="H365" s="28" t="str">
        <ns0:f>IF(A365="","",IF(C365&lt;=0,"Satış dışı",IF(OR(F365="",G365=""),"Eşleşmedi","Eşleşti")))</ns0:f>
        <ns0:v/>
      </ns0:c>
      <ns0:c r="I365" s="28">
        <ns0:f>I364+IF(AND(H365="Eşleşmedi",E365='Panel'!$B$4),1,0)</ns0:f>
        <ns0:v>3.0</ns0:v>
      </ns0:c>
    </ns0:row>
    <ns0:row r="366" ht="21" customHeight="1">
      <ns0:c r="A366" s="25" t="n"/>
      <ns0:c r="B366" s="26" t="n"/>
      <ns0:c r="C366" s="27" t="n"/>
      <ns0:c r="D366" s="27" t="n"/>
      <ns0:c r="E366" s="28" t="str">
        <ns0:f>IF(A366="","",YEAR(A366)&amp;"-"&amp;RIGHT("0"&amp;MONTH(A366),2))</ns0:f>
        <ns0:v/>
      </ns0:c>
      <ns0:c r="F366" s="28" t="str">
        <ns0:f>IF(OR(A366="",B366="",C366&lt;=0),"",IF(SUMPRODUCT(('Müşteriler'!$B$2:$B$101&lt;&gt;"")*ISNUMBER(SEARCH('Müşteriler'!$B$2:$B$101,B366)))=1,IFERROR(INDEX('Müşteriler'!$A$2:$A$101,SUMPRODUCT(('Müşteriler'!$B$2:$B$101&lt;&gt;"")*ISNUMBER(SEARCH('Müşteriler'!$B$2:$B$101,B366)),ROW('Müşteriler'!$B$2:$B$101)-ROW('Müşteriler'!$B$2)+1)),""),""))</ns0:f>
        <ns0:v/>
      </ns0:c>
      <ns0:c r="G366" s="28" t="str">
        <ns0:f>IF(F366="","",IFERROR(INDEX('Müşteriler'!$C$2:$C$101,MATCH(F366,'Müşteriler'!$A$2:$A$101,0)),""))</ns0:f>
        <ns0:v/>
      </ns0:c>
      <ns0:c r="H366" s="28" t="str">
        <ns0:f>IF(A366="","",IF(C366&lt;=0,"Satış dışı",IF(OR(F366="",G366=""),"Eşleşmedi","Eşleşti")))</ns0:f>
        <ns0:v/>
      </ns0:c>
      <ns0:c r="I366" s="28">
        <ns0:f>I365+IF(AND(H366="Eşleşmedi",E366='Panel'!$B$4),1,0)</ns0:f>
        <ns0:v>3.0</ns0:v>
      </ns0:c>
    </ns0:row>
    <ns0:row r="367" ht="21" customHeight="1">
      <ns0:c r="A367" s="25" t="n"/>
      <ns0:c r="B367" s="26" t="n"/>
      <ns0:c r="C367" s="27" t="n"/>
      <ns0:c r="D367" s="27" t="n"/>
      <ns0:c r="E367" s="28" t="str">
        <ns0:f>IF(A367="","",YEAR(A367)&amp;"-"&amp;RIGHT("0"&amp;MONTH(A367),2))</ns0:f>
        <ns0:v/>
      </ns0:c>
      <ns0:c r="F367" s="28" t="str">
        <ns0:f>IF(OR(A367="",B367="",C367&lt;=0),"",IF(SUMPRODUCT(('Müşteriler'!$B$2:$B$101&lt;&gt;"")*ISNUMBER(SEARCH('Müşteriler'!$B$2:$B$101,B367)))=1,IFERROR(INDEX('Müşteriler'!$A$2:$A$101,SUMPRODUCT(('Müşteriler'!$B$2:$B$101&lt;&gt;"")*ISNUMBER(SEARCH('Müşteriler'!$B$2:$B$101,B367)),ROW('Müşteriler'!$B$2:$B$101)-ROW('Müşteriler'!$B$2)+1)),""),""))</ns0:f>
        <ns0:v/>
      </ns0:c>
      <ns0:c r="G367" s="28" t="str">
        <ns0:f>IF(F367="","",IFERROR(INDEX('Müşteriler'!$C$2:$C$101,MATCH(F367,'Müşteriler'!$A$2:$A$101,0)),""))</ns0:f>
        <ns0:v/>
      </ns0:c>
      <ns0:c r="H367" s="28" t="str">
        <ns0:f>IF(A367="","",IF(C367&lt;=0,"Satış dışı",IF(OR(F367="",G367=""),"Eşleşmedi","Eşleşti")))</ns0:f>
        <ns0:v/>
      </ns0:c>
      <ns0:c r="I367" s="28">
        <ns0:f>I366+IF(AND(H367="Eşleşmedi",E367='Panel'!$B$4),1,0)</ns0:f>
        <ns0:v>3.0</ns0:v>
      </ns0:c>
    </ns0:row>
    <ns0:row r="368" ht="21" customHeight="1">
      <ns0:c r="A368" s="25" t="n"/>
      <ns0:c r="B368" s="26" t="n"/>
      <ns0:c r="C368" s="27" t="n"/>
      <ns0:c r="D368" s="27" t="n"/>
      <ns0:c r="E368" s="28" t="str">
        <ns0:f>IF(A368="","",YEAR(A368)&amp;"-"&amp;RIGHT("0"&amp;MONTH(A368),2))</ns0:f>
        <ns0:v/>
      </ns0:c>
      <ns0:c r="F368" s="28" t="str">
        <ns0:f>IF(OR(A368="",B368="",C368&lt;=0),"",IF(SUMPRODUCT(('Müşteriler'!$B$2:$B$101&lt;&gt;"")*ISNUMBER(SEARCH('Müşteriler'!$B$2:$B$101,B368)))=1,IFERROR(INDEX('Müşteriler'!$A$2:$A$101,SUMPRODUCT(('Müşteriler'!$B$2:$B$101&lt;&gt;"")*ISNUMBER(SEARCH('Müşteriler'!$B$2:$B$101,B368)),ROW('Müşteriler'!$B$2:$B$101)-ROW('Müşteriler'!$B$2)+1)),""),""))</ns0:f>
        <ns0:v/>
      </ns0:c>
      <ns0:c r="G368" s="28" t="str">
        <ns0:f>IF(F368="","",IFERROR(INDEX('Müşteriler'!$C$2:$C$101,MATCH(F368,'Müşteriler'!$A$2:$A$101,0)),""))</ns0:f>
        <ns0:v/>
      </ns0:c>
      <ns0:c r="H368" s="28" t="str">
        <ns0:f>IF(A368="","",IF(C368&lt;=0,"Satış dışı",IF(OR(F368="",G368=""),"Eşleşmedi","Eşleşti")))</ns0:f>
        <ns0:v/>
      </ns0:c>
      <ns0:c r="I368" s="28">
        <ns0:f>I367+IF(AND(H368="Eşleşmedi",E368='Panel'!$B$4),1,0)</ns0:f>
        <ns0:v>3.0</ns0:v>
      </ns0:c>
    </ns0:row>
    <ns0:row r="369" ht="21" customHeight="1">
      <ns0:c r="A369" s="25" t="n"/>
      <ns0:c r="B369" s="26" t="n"/>
      <ns0:c r="C369" s="27" t="n"/>
      <ns0:c r="D369" s="27" t="n"/>
      <ns0:c r="E369" s="28" t="str">
        <ns0:f>IF(A369="","",YEAR(A369)&amp;"-"&amp;RIGHT("0"&amp;MONTH(A369),2))</ns0:f>
        <ns0:v/>
      </ns0:c>
      <ns0:c r="F369" s="28" t="str">
        <ns0:f>IF(OR(A369="",B369="",C369&lt;=0),"",IF(SUMPRODUCT(('Müşteriler'!$B$2:$B$101&lt;&gt;"")*ISNUMBER(SEARCH('Müşteriler'!$B$2:$B$101,B369)))=1,IFERROR(INDEX('Müşteriler'!$A$2:$A$101,SUMPRODUCT(('Müşteriler'!$B$2:$B$101&lt;&gt;"")*ISNUMBER(SEARCH('Müşteriler'!$B$2:$B$101,B369)),ROW('Müşteriler'!$B$2:$B$101)-ROW('Müşteriler'!$B$2)+1)),""),""))</ns0:f>
        <ns0:v/>
      </ns0:c>
      <ns0:c r="G369" s="28" t="str">
        <ns0:f>IF(F369="","",IFERROR(INDEX('Müşteriler'!$C$2:$C$101,MATCH(F369,'Müşteriler'!$A$2:$A$101,0)),""))</ns0:f>
        <ns0:v/>
      </ns0:c>
      <ns0:c r="H369" s="28" t="str">
        <ns0:f>IF(A369="","",IF(C369&lt;=0,"Satış dışı",IF(OR(F369="",G369=""),"Eşleşmedi","Eşleşti")))</ns0:f>
        <ns0:v/>
      </ns0:c>
      <ns0:c r="I369" s="28">
        <ns0:f>I368+IF(AND(H369="Eşleşmedi",E369='Panel'!$B$4),1,0)</ns0:f>
        <ns0:v>3.0</ns0:v>
      </ns0:c>
    </ns0:row>
    <ns0:row r="370" ht="21" customHeight="1">
      <ns0:c r="A370" s="25" t="n"/>
      <ns0:c r="B370" s="26" t="n"/>
      <ns0:c r="C370" s="27" t="n"/>
      <ns0:c r="D370" s="27" t="n"/>
      <ns0:c r="E370" s="28" t="str">
        <ns0:f>IF(A370="","",YEAR(A370)&amp;"-"&amp;RIGHT("0"&amp;MONTH(A370),2))</ns0:f>
        <ns0:v/>
      </ns0:c>
      <ns0:c r="F370" s="28" t="str">
        <ns0:f>IF(OR(A370="",B370="",C370&lt;=0),"",IF(SUMPRODUCT(('Müşteriler'!$B$2:$B$101&lt;&gt;"")*ISNUMBER(SEARCH('Müşteriler'!$B$2:$B$101,B370)))=1,IFERROR(INDEX('Müşteriler'!$A$2:$A$101,SUMPRODUCT(('Müşteriler'!$B$2:$B$101&lt;&gt;"")*ISNUMBER(SEARCH('Müşteriler'!$B$2:$B$101,B370)),ROW('Müşteriler'!$B$2:$B$101)-ROW('Müşteriler'!$B$2)+1)),""),""))</ns0:f>
        <ns0:v/>
      </ns0:c>
      <ns0:c r="G370" s="28" t="str">
        <ns0:f>IF(F370="","",IFERROR(INDEX('Müşteriler'!$C$2:$C$101,MATCH(F370,'Müşteriler'!$A$2:$A$101,0)),""))</ns0:f>
        <ns0:v/>
      </ns0:c>
      <ns0:c r="H370" s="28" t="str">
        <ns0:f>IF(A370="","",IF(C370&lt;=0,"Satış dışı",IF(OR(F370="",G370=""),"Eşleşmedi","Eşleşti")))</ns0:f>
        <ns0:v/>
      </ns0:c>
      <ns0:c r="I370" s="28">
        <ns0:f>I369+IF(AND(H370="Eşleşmedi",E370='Panel'!$B$4),1,0)</ns0:f>
        <ns0:v>3.0</ns0:v>
      </ns0:c>
    </ns0:row>
    <ns0:row r="371" ht="21" customHeight="1">
      <ns0:c r="A371" s="25" t="n"/>
      <ns0:c r="B371" s="26" t="n"/>
      <ns0:c r="C371" s="27" t="n"/>
      <ns0:c r="D371" s="27" t="n"/>
      <ns0:c r="E371" s="28" t="str">
        <ns0:f>IF(A371="","",YEAR(A371)&amp;"-"&amp;RIGHT("0"&amp;MONTH(A371),2))</ns0:f>
        <ns0:v/>
      </ns0:c>
      <ns0:c r="F371" s="28" t="str">
        <ns0:f>IF(OR(A371="",B371="",C371&lt;=0),"",IF(SUMPRODUCT(('Müşteriler'!$B$2:$B$101&lt;&gt;"")*ISNUMBER(SEARCH('Müşteriler'!$B$2:$B$101,B371)))=1,IFERROR(INDEX('Müşteriler'!$A$2:$A$101,SUMPRODUCT(('Müşteriler'!$B$2:$B$101&lt;&gt;"")*ISNUMBER(SEARCH('Müşteriler'!$B$2:$B$101,B371)),ROW('Müşteriler'!$B$2:$B$101)-ROW('Müşteriler'!$B$2)+1)),""),""))</ns0:f>
        <ns0:v/>
      </ns0:c>
      <ns0:c r="G371" s="28" t="str">
        <ns0:f>IF(F371="","",IFERROR(INDEX('Müşteriler'!$C$2:$C$101,MATCH(F371,'Müşteriler'!$A$2:$A$101,0)),""))</ns0:f>
        <ns0:v/>
      </ns0:c>
      <ns0:c r="H371" s="28" t="str">
        <ns0:f>IF(A371="","",IF(C371&lt;=0,"Satış dışı",IF(OR(F371="",G371=""),"Eşleşmedi","Eşleşti")))</ns0:f>
        <ns0:v/>
      </ns0:c>
      <ns0:c r="I371" s="28">
        <ns0:f>I370+IF(AND(H371="Eşleşmedi",E371='Panel'!$B$4),1,0)</ns0:f>
        <ns0:v>3.0</ns0:v>
      </ns0:c>
    </ns0:row>
    <ns0:row r="372" ht="21" customHeight="1">
      <ns0:c r="A372" s="25" t="n"/>
      <ns0:c r="B372" s="26" t="n"/>
      <ns0:c r="C372" s="27" t="n"/>
      <ns0:c r="D372" s="27" t="n"/>
      <ns0:c r="E372" s="28" t="str">
        <ns0:f>IF(A372="","",YEAR(A372)&amp;"-"&amp;RIGHT("0"&amp;MONTH(A372),2))</ns0:f>
        <ns0:v/>
      </ns0:c>
      <ns0:c r="F372" s="28" t="str">
        <ns0:f>IF(OR(A372="",B372="",C372&lt;=0),"",IF(SUMPRODUCT(('Müşteriler'!$B$2:$B$101&lt;&gt;"")*ISNUMBER(SEARCH('Müşteriler'!$B$2:$B$101,B372)))=1,IFERROR(INDEX('Müşteriler'!$A$2:$A$101,SUMPRODUCT(('Müşteriler'!$B$2:$B$101&lt;&gt;"")*ISNUMBER(SEARCH('Müşteriler'!$B$2:$B$101,B372)),ROW('Müşteriler'!$B$2:$B$101)-ROW('Müşteriler'!$B$2)+1)),""),""))</ns0:f>
        <ns0:v/>
      </ns0:c>
      <ns0:c r="G372" s="28" t="str">
        <ns0:f>IF(F372="","",IFERROR(INDEX('Müşteriler'!$C$2:$C$101,MATCH(F372,'Müşteriler'!$A$2:$A$101,0)),""))</ns0:f>
        <ns0:v/>
      </ns0:c>
      <ns0:c r="H372" s="28" t="str">
        <ns0:f>IF(A372="","",IF(C372&lt;=0,"Satış dışı",IF(OR(F372="",G372=""),"Eşleşmedi","Eşleşti")))</ns0:f>
        <ns0:v/>
      </ns0:c>
      <ns0:c r="I372" s="28">
        <ns0:f>I371+IF(AND(H372="Eşleşmedi",E372='Panel'!$B$4),1,0)</ns0:f>
        <ns0:v>3.0</ns0:v>
      </ns0:c>
    </ns0:row>
    <ns0:row r="373" ht="21" customHeight="1">
      <ns0:c r="A373" s="25" t="n"/>
      <ns0:c r="B373" s="26" t="n"/>
      <ns0:c r="C373" s="27" t="n"/>
      <ns0:c r="D373" s="27" t="n"/>
      <ns0:c r="E373" s="28" t="str">
        <ns0:f>IF(A373="","",YEAR(A373)&amp;"-"&amp;RIGHT("0"&amp;MONTH(A373),2))</ns0:f>
        <ns0:v/>
      </ns0:c>
      <ns0:c r="F373" s="28" t="str">
        <ns0:f>IF(OR(A373="",B373="",C373&lt;=0),"",IF(SUMPRODUCT(('Müşteriler'!$B$2:$B$101&lt;&gt;"")*ISNUMBER(SEARCH('Müşteriler'!$B$2:$B$101,B373)))=1,IFERROR(INDEX('Müşteriler'!$A$2:$A$101,SUMPRODUCT(('Müşteriler'!$B$2:$B$101&lt;&gt;"")*ISNUMBER(SEARCH('Müşteriler'!$B$2:$B$101,B373)),ROW('Müşteriler'!$B$2:$B$101)-ROW('Müşteriler'!$B$2)+1)),""),""))</ns0:f>
        <ns0:v/>
      </ns0:c>
      <ns0:c r="G373" s="28" t="str">
        <ns0:f>IF(F373="","",IFERROR(INDEX('Müşteriler'!$C$2:$C$101,MATCH(F373,'Müşteriler'!$A$2:$A$101,0)),""))</ns0:f>
        <ns0:v/>
      </ns0:c>
      <ns0:c r="H373" s="28" t="str">
        <ns0:f>IF(A373="","",IF(C373&lt;=0,"Satış dışı",IF(OR(F373="",G373=""),"Eşleşmedi","Eşleşti")))</ns0:f>
        <ns0:v/>
      </ns0:c>
      <ns0:c r="I373" s="28">
        <ns0:f>I372+IF(AND(H373="Eşleşmedi",E373='Panel'!$B$4),1,0)</ns0:f>
        <ns0:v>3.0</ns0:v>
      </ns0:c>
    </ns0:row>
    <ns0:row r="374" ht="21" customHeight="1">
      <ns0:c r="A374" s="25" t="n"/>
      <ns0:c r="B374" s="26" t="n"/>
      <ns0:c r="C374" s="27" t="n"/>
      <ns0:c r="D374" s="27" t="n"/>
      <ns0:c r="E374" s="28" t="str">
        <ns0:f>IF(A374="","",YEAR(A374)&amp;"-"&amp;RIGHT("0"&amp;MONTH(A374),2))</ns0:f>
        <ns0:v/>
      </ns0:c>
      <ns0:c r="F374" s="28" t="str">
        <ns0:f>IF(OR(A374="",B374="",C374&lt;=0),"",IF(SUMPRODUCT(('Müşteriler'!$B$2:$B$101&lt;&gt;"")*ISNUMBER(SEARCH('Müşteriler'!$B$2:$B$101,B374)))=1,IFERROR(INDEX('Müşteriler'!$A$2:$A$101,SUMPRODUCT(('Müşteriler'!$B$2:$B$101&lt;&gt;"")*ISNUMBER(SEARCH('Müşteriler'!$B$2:$B$101,B374)),ROW('Müşteriler'!$B$2:$B$101)-ROW('Müşteriler'!$B$2)+1)),""),""))</ns0:f>
        <ns0:v/>
      </ns0:c>
      <ns0:c r="G374" s="28" t="str">
        <ns0:f>IF(F374="","",IFERROR(INDEX('Müşteriler'!$C$2:$C$101,MATCH(F374,'Müşteriler'!$A$2:$A$101,0)),""))</ns0:f>
        <ns0:v/>
      </ns0:c>
      <ns0:c r="H374" s="28" t="str">
        <ns0:f>IF(A374="","",IF(C374&lt;=0,"Satış dışı",IF(OR(F374="",G374=""),"Eşleşmedi","Eşleşti")))</ns0:f>
        <ns0:v/>
      </ns0:c>
      <ns0:c r="I374" s="28">
        <ns0:f>I373+IF(AND(H374="Eşleşmedi",E374='Panel'!$B$4),1,0)</ns0:f>
        <ns0:v>3.0</ns0:v>
      </ns0:c>
    </ns0:row>
    <ns0:row r="375" ht="21" customHeight="1">
      <ns0:c r="A375" s="25" t="n"/>
      <ns0:c r="B375" s="26" t="n"/>
      <ns0:c r="C375" s="27" t="n"/>
      <ns0:c r="D375" s="27" t="n"/>
      <ns0:c r="E375" s="28" t="str">
        <ns0:f>IF(A375="","",YEAR(A375)&amp;"-"&amp;RIGHT("0"&amp;MONTH(A375),2))</ns0:f>
        <ns0:v/>
      </ns0:c>
      <ns0:c r="F375" s="28" t="str">
        <ns0:f>IF(OR(A375="",B375="",C375&lt;=0),"",IF(SUMPRODUCT(('Müşteriler'!$B$2:$B$101&lt;&gt;"")*ISNUMBER(SEARCH('Müşteriler'!$B$2:$B$101,B375)))=1,IFERROR(INDEX('Müşteriler'!$A$2:$A$101,SUMPRODUCT(('Müşteriler'!$B$2:$B$101&lt;&gt;"")*ISNUMBER(SEARCH('Müşteriler'!$B$2:$B$101,B375)),ROW('Müşteriler'!$B$2:$B$101)-ROW('Müşteriler'!$B$2)+1)),""),""))</ns0:f>
        <ns0:v/>
      </ns0:c>
      <ns0:c r="G375" s="28" t="str">
        <ns0:f>IF(F375="","",IFERROR(INDEX('Müşteriler'!$C$2:$C$101,MATCH(F375,'Müşteriler'!$A$2:$A$101,0)),""))</ns0:f>
        <ns0:v/>
      </ns0:c>
      <ns0:c r="H375" s="28" t="str">
        <ns0:f>IF(A375="","",IF(C375&lt;=0,"Satış dışı",IF(OR(F375="",G375=""),"Eşleşmedi","Eşleşti")))</ns0:f>
        <ns0:v/>
      </ns0:c>
      <ns0:c r="I375" s="28">
        <ns0:f>I374+IF(AND(H375="Eşleşmedi",E375='Panel'!$B$4),1,0)</ns0:f>
        <ns0:v>3.0</ns0:v>
      </ns0:c>
    </ns0:row>
    <ns0:row r="376" ht="21" customHeight="1">
      <ns0:c r="A376" s="25" t="n"/>
      <ns0:c r="B376" s="26" t="n"/>
      <ns0:c r="C376" s="27" t="n"/>
      <ns0:c r="D376" s="27" t="n"/>
      <ns0:c r="E376" s="28" t="str">
        <ns0:f>IF(A376="","",YEAR(A376)&amp;"-"&amp;RIGHT("0"&amp;MONTH(A376),2))</ns0:f>
        <ns0:v/>
      </ns0:c>
      <ns0:c r="F376" s="28" t="str">
        <ns0:f>IF(OR(A376="",B376="",C376&lt;=0),"",IF(SUMPRODUCT(('Müşteriler'!$B$2:$B$101&lt;&gt;"")*ISNUMBER(SEARCH('Müşteriler'!$B$2:$B$101,B376)))=1,IFERROR(INDEX('Müşteriler'!$A$2:$A$101,SUMPRODUCT(('Müşteriler'!$B$2:$B$101&lt;&gt;"")*ISNUMBER(SEARCH('Müşteriler'!$B$2:$B$101,B376)),ROW('Müşteriler'!$B$2:$B$101)-ROW('Müşteriler'!$B$2)+1)),""),""))</ns0:f>
        <ns0:v/>
      </ns0:c>
      <ns0:c r="G376" s="28" t="str">
        <ns0:f>IF(F376="","",IFERROR(INDEX('Müşteriler'!$C$2:$C$101,MATCH(F376,'Müşteriler'!$A$2:$A$101,0)),""))</ns0:f>
        <ns0:v/>
      </ns0:c>
      <ns0:c r="H376" s="28" t="str">
        <ns0:f>IF(A376="","",IF(C376&lt;=0,"Satış dışı",IF(OR(F376="",G376=""),"Eşleşmedi","Eşleşti")))</ns0:f>
        <ns0:v/>
      </ns0:c>
      <ns0:c r="I376" s="28">
        <ns0:f>I375+IF(AND(H376="Eşleşmedi",E376='Panel'!$B$4),1,0)</ns0:f>
        <ns0:v>3.0</ns0:v>
      </ns0:c>
    </ns0:row>
    <ns0:row r="377" ht="21" customHeight="1">
      <ns0:c r="A377" s="25" t="n"/>
      <ns0:c r="B377" s="26" t="n"/>
      <ns0:c r="C377" s="27" t="n"/>
      <ns0:c r="D377" s="27" t="n"/>
      <ns0:c r="E377" s="28" t="str">
        <ns0:f>IF(A377="","",YEAR(A377)&amp;"-"&amp;RIGHT("0"&amp;MONTH(A377),2))</ns0:f>
        <ns0:v/>
      </ns0:c>
      <ns0:c r="F377" s="28" t="str">
        <ns0:f>IF(OR(A377="",B377="",C377&lt;=0),"",IF(SUMPRODUCT(('Müşteriler'!$B$2:$B$101&lt;&gt;"")*ISNUMBER(SEARCH('Müşteriler'!$B$2:$B$101,B377)))=1,IFERROR(INDEX('Müşteriler'!$A$2:$A$101,SUMPRODUCT(('Müşteriler'!$B$2:$B$101&lt;&gt;"")*ISNUMBER(SEARCH('Müşteriler'!$B$2:$B$101,B377)),ROW('Müşteriler'!$B$2:$B$101)-ROW('Müşteriler'!$B$2)+1)),""),""))</ns0:f>
        <ns0:v/>
      </ns0:c>
      <ns0:c r="G377" s="28" t="str">
        <ns0:f>IF(F377="","",IFERROR(INDEX('Müşteriler'!$C$2:$C$101,MATCH(F377,'Müşteriler'!$A$2:$A$101,0)),""))</ns0:f>
        <ns0:v/>
      </ns0:c>
      <ns0:c r="H377" s="28" t="str">
        <ns0:f>IF(A377="","",IF(C377&lt;=0,"Satış dışı",IF(OR(F377="",G377=""),"Eşleşmedi","Eşleşti")))</ns0:f>
        <ns0:v/>
      </ns0:c>
      <ns0:c r="I377" s="28">
        <ns0:f>I376+IF(AND(H377="Eşleşmedi",E377='Panel'!$B$4),1,0)</ns0:f>
        <ns0:v>3.0</ns0:v>
      </ns0:c>
    </ns0:row>
    <ns0:row r="378" ht="21" customHeight="1">
      <ns0:c r="A378" s="25" t="n"/>
      <ns0:c r="B378" s="26" t="n"/>
      <ns0:c r="C378" s="27" t="n"/>
      <ns0:c r="D378" s="27" t="n"/>
      <ns0:c r="E378" s="28" t="str">
        <ns0:f>IF(A378="","",YEAR(A378)&amp;"-"&amp;RIGHT("0"&amp;MONTH(A378),2))</ns0:f>
        <ns0:v/>
      </ns0:c>
      <ns0:c r="F378" s="28" t="str">
        <ns0:f>IF(OR(A378="",B378="",C378&lt;=0),"",IF(SUMPRODUCT(('Müşteriler'!$B$2:$B$101&lt;&gt;"")*ISNUMBER(SEARCH('Müşteriler'!$B$2:$B$101,B378)))=1,IFERROR(INDEX('Müşteriler'!$A$2:$A$101,SUMPRODUCT(('Müşteriler'!$B$2:$B$101&lt;&gt;"")*ISNUMBER(SEARCH('Müşteriler'!$B$2:$B$101,B378)),ROW('Müşteriler'!$B$2:$B$101)-ROW('Müşteriler'!$B$2)+1)),""),""))</ns0:f>
        <ns0:v/>
      </ns0:c>
      <ns0:c r="G378" s="28" t="str">
        <ns0:f>IF(F378="","",IFERROR(INDEX('Müşteriler'!$C$2:$C$101,MATCH(F378,'Müşteriler'!$A$2:$A$101,0)),""))</ns0:f>
        <ns0:v/>
      </ns0:c>
      <ns0:c r="H378" s="28" t="str">
        <ns0:f>IF(A378="","",IF(C378&lt;=0,"Satış dışı",IF(OR(F378="",G378=""),"Eşleşmedi","Eşleşti")))</ns0:f>
        <ns0:v/>
      </ns0:c>
      <ns0:c r="I378" s="28">
        <ns0:f>I377+IF(AND(H378="Eşleşmedi",E378='Panel'!$B$4),1,0)</ns0:f>
        <ns0:v>3.0</ns0:v>
      </ns0:c>
    </ns0:row>
    <ns0:row r="379" ht="21" customHeight="1">
      <ns0:c r="A379" s="25" t="n"/>
      <ns0:c r="B379" s="26" t="n"/>
      <ns0:c r="C379" s="27" t="n"/>
      <ns0:c r="D379" s="27" t="n"/>
      <ns0:c r="E379" s="28" t="str">
        <ns0:f>IF(A379="","",YEAR(A379)&amp;"-"&amp;RIGHT("0"&amp;MONTH(A379),2))</ns0:f>
        <ns0:v/>
      </ns0:c>
      <ns0:c r="F379" s="28" t="str">
        <ns0:f>IF(OR(A379="",B379="",C379&lt;=0),"",IF(SUMPRODUCT(('Müşteriler'!$B$2:$B$101&lt;&gt;"")*ISNUMBER(SEARCH('Müşteriler'!$B$2:$B$101,B379)))=1,IFERROR(INDEX('Müşteriler'!$A$2:$A$101,SUMPRODUCT(('Müşteriler'!$B$2:$B$101&lt;&gt;"")*ISNUMBER(SEARCH('Müşteriler'!$B$2:$B$101,B379)),ROW('Müşteriler'!$B$2:$B$101)-ROW('Müşteriler'!$B$2)+1)),""),""))</ns0:f>
        <ns0:v/>
      </ns0:c>
      <ns0:c r="G379" s="28" t="str">
        <ns0:f>IF(F379="","",IFERROR(INDEX('Müşteriler'!$C$2:$C$101,MATCH(F379,'Müşteriler'!$A$2:$A$101,0)),""))</ns0:f>
        <ns0:v/>
      </ns0:c>
      <ns0:c r="H379" s="28" t="str">
        <ns0:f>IF(A379="","",IF(C379&lt;=0,"Satış dışı",IF(OR(F379="",G379=""),"Eşleşmedi","Eşleşti")))</ns0:f>
        <ns0:v/>
      </ns0:c>
      <ns0:c r="I379" s="28">
        <ns0:f>I378+IF(AND(H379="Eşleşmedi",E379='Panel'!$B$4),1,0)</ns0:f>
        <ns0:v>3.0</ns0:v>
      </ns0:c>
    </ns0:row>
    <ns0:row r="380" ht="21" customHeight="1">
      <ns0:c r="A380" s="25" t="n"/>
      <ns0:c r="B380" s="26" t="n"/>
      <ns0:c r="C380" s="27" t="n"/>
      <ns0:c r="D380" s="27" t="n"/>
      <ns0:c r="E380" s="28" t="str">
        <ns0:f>IF(A380="","",YEAR(A380)&amp;"-"&amp;RIGHT("0"&amp;MONTH(A380),2))</ns0:f>
        <ns0:v/>
      </ns0:c>
      <ns0:c r="F380" s="28" t="str">
        <ns0:f>IF(OR(A380="",B380="",C380&lt;=0),"",IF(SUMPRODUCT(('Müşteriler'!$B$2:$B$101&lt;&gt;"")*ISNUMBER(SEARCH('Müşteriler'!$B$2:$B$101,B380)))=1,IFERROR(INDEX('Müşteriler'!$A$2:$A$101,SUMPRODUCT(('Müşteriler'!$B$2:$B$101&lt;&gt;"")*ISNUMBER(SEARCH('Müşteriler'!$B$2:$B$101,B380)),ROW('Müşteriler'!$B$2:$B$101)-ROW('Müşteriler'!$B$2)+1)),""),""))</ns0:f>
        <ns0:v/>
      </ns0:c>
      <ns0:c r="G380" s="28" t="str">
        <ns0:f>IF(F380="","",IFERROR(INDEX('Müşteriler'!$C$2:$C$101,MATCH(F380,'Müşteriler'!$A$2:$A$101,0)),""))</ns0:f>
        <ns0:v/>
      </ns0:c>
      <ns0:c r="H380" s="28" t="str">
        <ns0:f>IF(A380="","",IF(C380&lt;=0,"Satış dışı",IF(OR(F380="",G380=""),"Eşleşmedi","Eşleşti")))</ns0:f>
        <ns0:v/>
      </ns0:c>
      <ns0:c r="I380" s="28">
        <ns0:f>I379+IF(AND(H380="Eşleşmedi",E380='Panel'!$B$4),1,0)</ns0:f>
        <ns0:v>3.0</ns0:v>
      </ns0:c>
    </ns0:row>
    <ns0:row r="381" ht="21" customHeight="1">
      <ns0:c r="A381" s="25" t="n"/>
      <ns0:c r="B381" s="26" t="n"/>
      <ns0:c r="C381" s="27" t="n"/>
      <ns0:c r="D381" s="27" t="n"/>
      <ns0:c r="E381" s="28" t="str">
        <ns0:f>IF(A381="","",YEAR(A381)&amp;"-"&amp;RIGHT("0"&amp;MONTH(A381),2))</ns0:f>
        <ns0:v/>
      </ns0:c>
      <ns0:c r="F381" s="28" t="str">
        <ns0:f>IF(OR(A381="",B381="",C381&lt;=0),"",IF(SUMPRODUCT(('Müşteriler'!$B$2:$B$101&lt;&gt;"")*ISNUMBER(SEARCH('Müşteriler'!$B$2:$B$101,B381)))=1,IFERROR(INDEX('Müşteriler'!$A$2:$A$101,SUMPRODUCT(('Müşteriler'!$B$2:$B$101&lt;&gt;"")*ISNUMBER(SEARCH('Müşteriler'!$B$2:$B$101,B381)),ROW('Müşteriler'!$B$2:$B$101)-ROW('Müşteriler'!$B$2)+1)),""),""))</ns0:f>
        <ns0:v/>
      </ns0:c>
      <ns0:c r="G381" s="28" t="str">
        <ns0:f>IF(F381="","",IFERROR(INDEX('Müşteriler'!$C$2:$C$101,MATCH(F381,'Müşteriler'!$A$2:$A$101,0)),""))</ns0:f>
        <ns0:v/>
      </ns0:c>
      <ns0:c r="H381" s="28" t="str">
        <ns0:f>IF(A381="","",IF(C381&lt;=0,"Satış dışı",IF(OR(F381="",G381=""),"Eşleşmedi","Eşleşti")))</ns0:f>
        <ns0:v/>
      </ns0:c>
      <ns0:c r="I381" s="28">
        <ns0:f>I380+IF(AND(H381="Eşleşmedi",E381='Panel'!$B$4),1,0)</ns0:f>
        <ns0:v>3.0</ns0:v>
      </ns0:c>
    </ns0:row>
    <ns0:row r="382" ht="21" customHeight="1">
      <ns0:c r="A382" s="25" t="n"/>
      <ns0:c r="B382" s="26" t="n"/>
      <ns0:c r="C382" s="27" t="n"/>
      <ns0:c r="D382" s="27" t="n"/>
      <ns0:c r="E382" s="28" t="str">
        <ns0:f>IF(A382="","",YEAR(A382)&amp;"-"&amp;RIGHT("0"&amp;MONTH(A382),2))</ns0:f>
        <ns0:v/>
      </ns0:c>
      <ns0:c r="F382" s="28" t="str">
        <ns0:f>IF(OR(A382="",B382="",C382&lt;=0),"",IF(SUMPRODUCT(('Müşteriler'!$B$2:$B$101&lt;&gt;"")*ISNUMBER(SEARCH('Müşteriler'!$B$2:$B$101,B382)))=1,IFERROR(INDEX('Müşteriler'!$A$2:$A$101,SUMPRODUCT(('Müşteriler'!$B$2:$B$101&lt;&gt;"")*ISNUMBER(SEARCH('Müşteriler'!$B$2:$B$101,B382)),ROW('Müşteriler'!$B$2:$B$101)-ROW('Müşteriler'!$B$2)+1)),""),""))</ns0:f>
        <ns0:v/>
      </ns0:c>
      <ns0:c r="G382" s="28" t="str">
        <ns0:f>IF(F382="","",IFERROR(INDEX('Müşteriler'!$C$2:$C$101,MATCH(F382,'Müşteriler'!$A$2:$A$101,0)),""))</ns0:f>
        <ns0:v/>
      </ns0:c>
      <ns0:c r="H382" s="28" t="str">
        <ns0:f>IF(A382="","",IF(C382&lt;=0,"Satış dışı",IF(OR(F382="",G382=""),"Eşleşmedi","Eşleşti")))</ns0:f>
        <ns0:v/>
      </ns0:c>
      <ns0:c r="I382" s="28">
        <ns0:f>I381+IF(AND(H382="Eşleşmedi",E382='Panel'!$B$4),1,0)</ns0:f>
        <ns0:v>3.0</ns0:v>
      </ns0:c>
    </ns0:row>
    <ns0:row r="383" ht="21" customHeight="1">
      <ns0:c r="A383" s="25" t="n"/>
      <ns0:c r="B383" s="26" t="n"/>
      <ns0:c r="C383" s="27" t="n"/>
      <ns0:c r="D383" s="27" t="n"/>
      <ns0:c r="E383" s="28" t="str">
        <ns0:f>IF(A383="","",YEAR(A383)&amp;"-"&amp;RIGHT("0"&amp;MONTH(A383),2))</ns0:f>
        <ns0:v/>
      </ns0:c>
      <ns0:c r="F383" s="28" t="str">
        <ns0:f>IF(OR(A383="",B383="",C383&lt;=0),"",IF(SUMPRODUCT(('Müşteriler'!$B$2:$B$101&lt;&gt;"")*ISNUMBER(SEARCH('Müşteriler'!$B$2:$B$101,B383)))=1,IFERROR(INDEX('Müşteriler'!$A$2:$A$101,SUMPRODUCT(('Müşteriler'!$B$2:$B$101&lt;&gt;"")*ISNUMBER(SEARCH('Müşteriler'!$B$2:$B$101,B383)),ROW('Müşteriler'!$B$2:$B$101)-ROW('Müşteriler'!$B$2)+1)),""),""))</ns0:f>
        <ns0:v/>
      </ns0:c>
      <ns0:c r="G383" s="28" t="str">
        <ns0:f>IF(F383="","",IFERROR(INDEX('Müşteriler'!$C$2:$C$101,MATCH(F383,'Müşteriler'!$A$2:$A$101,0)),""))</ns0:f>
        <ns0:v/>
      </ns0:c>
      <ns0:c r="H383" s="28" t="str">
        <ns0:f>IF(A383="","",IF(C383&lt;=0,"Satış dışı",IF(OR(F383="",G383=""),"Eşleşmedi","Eşleşti")))</ns0:f>
        <ns0:v/>
      </ns0:c>
      <ns0:c r="I383" s="28">
        <ns0:f>I382+IF(AND(H383="Eşleşmedi",E383='Panel'!$B$4),1,0)</ns0:f>
        <ns0:v>3.0</ns0:v>
      </ns0:c>
    </ns0:row>
    <ns0:row r="384" ht="21" customHeight="1">
      <ns0:c r="A384" s="25" t="n"/>
      <ns0:c r="B384" s="26" t="n"/>
      <ns0:c r="C384" s="27" t="n"/>
      <ns0:c r="D384" s="27" t="n"/>
      <ns0:c r="E384" s="28" t="str">
        <ns0:f>IF(A384="","",YEAR(A384)&amp;"-"&amp;RIGHT("0"&amp;MONTH(A384),2))</ns0:f>
        <ns0:v/>
      </ns0:c>
      <ns0:c r="F384" s="28" t="str">
        <ns0:f>IF(OR(A384="",B384="",C384&lt;=0),"",IF(SUMPRODUCT(('Müşteriler'!$B$2:$B$101&lt;&gt;"")*ISNUMBER(SEARCH('Müşteriler'!$B$2:$B$101,B384)))=1,IFERROR(INDEX('Müşteriler'!$A$2:$A$101,SUMPRODUCT(('Müşteriler'!$B$2:$B$101&lt;&gt;"")*ISNUMBER(SEARCH('Müşteriler'!$B$2:$B$101,B384)),ROW('Müşteriler'!$B$2:$B$101)-ROW('Müşteriler'!$B$2)+1)),""),""))</ns0:f>
        <ns0:v/>
      </ns0:c>
      <ns0:c r="G384" s="28" t="str">
        <ns0:f>IF(F384="","",IFERROR(INDEX('Müşteriler'!$C$2:$C$101,MATCH(F384,'Müşteriler'!$A$2:$A$101,0)),""))</ns0:f>
        <ns0:v/>
      </ns0:c>
      <ns0:c r="H384" s="28" t="str">
        <ns0:f>IF(A384="","",IF(C384&lt;=0,"Satış dışı",IF(OR(F384="",G384=""),"Eşleşmedi","Eşleşti")))</ns0:f>
        <ns0:v/>
      </ns0:c>
      <ns0:c r="I384" s="28">
        <ns0:f>I383+IF(AND(H384="Eşleşmedi",E384='Panel'!$B$4),1,0)</ns0:f>
        <ns0:v>3.0</ns0:v>
      </ns0:c>
    </ns0:row>
    <ns0:row r="385" ht="21" customHeight="1">
      <ns0:c r="A385" s="25" t="n"/>
      <ns0:c r="B385" s="26" t="n"/>
      <ns0:c r="C385" s="27" t="n"/>
      <ns0:c r="D385" s="27" t="n"/>
      <ns0:c r="E385" s="28" t="str">
        <ns0:f>IF(A385="","",YEAR(A385)&amp;"-"&amp;RIGHT("0"&amp;MONTH(A385),2))</ns0:f>
        <ns0:v/>
      </ns0:c>
      <ns0:c r="F385" s="28" t="str">
        <ns0:f>IF(OR(A385="",B385="",C385&lt;=0),"",IF(SUMPRODUCT(('Müşteriler'!$B$2:$B$101&lt;&gt;"")*ISNUMBER(SEARCH('Müşteriler'!$B$2:$B$101,B385)))=1,IFERROR(INDEX('Müşteriler'!$A$2:$A$101,SUMPRODUCT(('Müşteriler'!$B$2:$B$101&lt;&gt;"")*ISNUMBER(SEARCH('Müşteriler'!$B$2:$B$101,B385)),ROW('Müşteriler'!$B$2:$B$101)-ROW('Müşteriler'!$B$2)+1)),""),""))</ns0:f>
        <ns0:v/>
      </ns0:c>
      <ns0:c r="G385" s="28" t="str">
        <ns0:f>IF(F385="","",IFERROR(INDEX('Müşteriler'!$C$2:$C$101,MATCH(F385,'Müşteriler'!$A$2:$A$101,0)),""))</ns0:f>
        <ns0:v/>
      </ns0:c>
      <ns0:c r="H385" s="28" t="str">
        <ns0:f>IF(A385="","",IF(C385&lt;=0,"Satış dışı",IF(OR(F385="",G385=""),"Eşleşmedi","Eşleşti")))</ns0:f>
        <ns0:v/>
      </ns0:c>
      <ns0:c r="I385" s="28">
        <ns0:f>I384+IF(AND(H385="Eşleşmedi",E385='Panel'!$B$4),1,0)</ns0:f>
        <ns0:v>3.0</ns0:v>
      </ns0:c>
    </ns0:row>
    <ns0:row r="386" ht="21" customHeight="1">
      <ns0:c r="A386" s="25" t="n"/>
      <ns0:c r="B386" s="26" t="n"/>
      <ns0:c r="C386" s="27" t="n"/>
      <ns0:c r="D386" s="27" t="n"/>
      <ns0:c r="E386" s="28" t="str">
        <ns0:f>IF(A386="","",YEAR(A386)&amp;"-"&amp;RIGHT("0"&amp;MONTH(A386),2))</ns0:f>
        <ns0:v/>
      </ns0:c>
      <ns0:c r="F386" s="28" t="str">
        <ns0:f>IF(OR(A386="",B386="",C386&lt;=0),"",IF(SUMPRODUCT(('Müşteriler'!$B$2:$B$101&lt;&gt;"")*ISNUMBER(SEARCH('Müşteriler'!$B$2:$B$101,B386)))=1,IFERROR(INDEX('Müşteriler'!$A$2:$A$101,SUMPRODUCT(('Müşteriler'!$B$2:$B$101&lt;&gt;"")*ISNUMBER(SEARCH('Müşteriler'!$B$2:$B$101,B386)),ROW('Müşteriler'!$B$2:$B$101)-ROW('Müşteriler'!$B$2)+1)),""),""))</ns0:f>
        <ns0:v/>
      </ns0:c>
      <ns0:c r="G386" s="28" t="str">
        <ns0:f>IF(F386="","",IFERROR(INDEX('Müşteriler'!$C$2:$C$101,MATCH(F386,'Müşteriler'!$A$2:$A$101,0)),""))</ns0:f>
        <ns0:v/>
      </ns0:c>
      <ns0:c r="H386" s="28" t="str">
        <ns0:f>IF(A386="","",IF(C386&lt;=0,"Satış dışı",IF(OR(F386="",G386=""),"Eşleşmedi","Eşleşti")))</ns0:f>
        <ns0:v/>
      </ns0:c>
      <ns0:c r="I386" s="28">
        <ns0:f>I385+IF(AND(H386="Eşleşmedi",E386='Panel'!$B$4),1,0)</ns0:f>
        <ns0:v>3.0</ns0:v>
      </ns0:c>
    </ns0:row>
    <ns0:row r="387" ht="21" customHeight="1">
      <ns0:c r="A387" s="25" t="n"/>
      <ns0:c r="B387" s="26" t="n"/>
      <ns0:c r="C387" s="27" t="n"/>
      <ns0:c r="D387" s="27" t="n"/>
      <ns0:c r="E387" s="28" t="str">
        <ns0:f>IF(A387="","",YEAR(A387)&amp;"-"&amp;RIGHT("0"&amp;MONTH(A387),2))</ns0:f>
        <ns0:v/>
      </ns0:c>
      <ns0:c r="F387" s="28" t="str">
        <ns0:f>IF(OR(A387="",B387="",C387&lt;=0),"",IF(SUMPRODUCT(('Müşteriler'!$B$2:$B$101&lt;&gt;"")*ISNUMBER(SEARCH('Müşteriler'!$B$2:$B$101,B387)))=1,IFERROR(INDEX('Müşteriler'!$A$2:$A$101,SUMPRODUCT(('Müşteriler'!$B$2:$B$101&lt;&gt;"")*ISNUMBER(SEARCH('Müşteriler'!$B$2:$B$101,B387)),ROW('Müşteriler'!$B$2:$B$101)-ROW('Müşteriler'!$B$2)+1)),""),""))</ns0:f>
        <ns0:v/>
      </ns0:c>
      <ns0:c r="G387" s="28" t="str">
        <ns0:f>IF(F387="","",IFERROR(INDEX('Müşteriler'!$C$2:$C$101,MATCH(F387,'Müşteriler'!$A$2:$A$101,0)),""))</ns0:f>
        <ns0:v/>
      </ns0:c>
      <ns0:c r="H387" s="28" t="str">
        <ns0:f>IF(A387="","",IF(C387&lt;=0,"Satış dışı",IF(OR(F387="",G387=""),"Eşleşmedi","Eşleşti")))</ns0:f>
        <ns0:v/>
      </ns0:c>
      <ns0:c r="I387" s="28">
        <ns0:f>I386+IF(AND(H387="Eşleşmedi",E387='Panel'!$B$4),1,0)</ns0:f>
        <ns0:v>3.0</ns0:v>
      </ns0:c>
    </ns0:row>
    <ns0:row r="388" ht="21" customHeight="1">
      <ns0:c r="A388" s="25" t="n"/>
      <ns0:c r="B388" s="26" t="n"/>
      <ns0:c r="C388" s="27" t="n"/>
      <ns0:c r="D388" s="27" t="n"/>
      <ns0:c r="E388" s="28" t="str">
        <ns0:f>IF(A388="","",YEAR(A388)&amp;"-"&amp;RIGHT("0"&amp;MONTH(A388),2))</ns0:f>
        <ns0:v/>
      </ns0:c>
      <ns0:c r="F388" s="28" t="str">
        <ns0:f>IF(OR(A388="",B388="",C388&lt;=0),"",IF(SUMPRODUCT(('Müşteriler'!$B$2:$B$101&lt;&gt;"")*ISNUMBER(SEARCH('Müşteriler'!$B$2:$B$101,B388)))=1,IFERROR(INDEX('Müşteriler'!$A$2:$A$101,SUMPRODUCT(('Müşteriler'!$B$2:$B$101&lt;&gt;"")*ISNUMBER(SEARCH('Müşteriler'!$B$2:$B$101,B388)),ROW('Müşteriler'!$B$2:$B$101)-ROW('Müşteriler'!$B$2)+1)),""),""))</ns0:f>
        <ns0:v/>
      </ns0:c>
      <ns0:c r="G388" s="28" t="str">
        <ns0:f>IF(F388="","",IFERROR(INDEX('Müşteriler'!$C$2:$C$101,MATCH(F388,'Müşteriler'!$A$2:$A$101,0)),""))</ns0:f>
        <ns0:v/>
      </ns0:c>
      <ns0:c r="H388" s="28" t="str">
        <ns0:f>IF(A388="","",IF(C388&lt;=0,"Satış dışı",IF(OR(F388="",G388=""),"Eşleşmedi","Eşleşti")))</ns0:f>
        <ns0:v/>
      </ns0:c>
      <ns0:c r="I388" s="28">
        <ns0:f>I387+IF(AND(H388="Eşleşmedi",E388='Panel'!$B$4),1,0)</ns0:f>
        <ns0:v>3.0</ns0:v>
      </ns0:c>
    </ns0:row>
    <ns0:row r="389" ht="21" customHeight="1">
      <ns0:c r="A389" s="25" t="n"/>
      <ns0:c r="B389" s="26" t="n"/>
      <ns0:c r="C389" s="27" t="n"/>
      <ns0:c r="D389" s="27" t="n"/>
      <ns0:c r="E389" s="28" t="str">
        <ns0:f>IF(A389="","",YEAR(A389)&amp;"-"&amp;RIGHT("0"&amp;MONTH(A389),2))</ns0:f>
        <ns0:v/>
      </ns0:c>
      <ns0:c r="F389" s="28" t="str">
        <ns0:f>IF(OR(A389="",B389="",C389&lt;=0),"",IF(SUMPRODUCT(('Müşteriler'!$B$2:$B$101&lt;&gt;"")*ISNUMBER(SEARCH('Müşteriler'!$B$2:$B$101,B389)))=1,IFERROR(INDEX('Müşteriler'!$A$2:$A$101,SUMPRODUCT(('Müşteriler'!$B$2:$B$101&lt;&gt;"")*ISNUMBER(SEARCH('Müşteriler'!$B$2:$B$101,B389)),ROW('Müşteriler'!$B$2:$B$101)-ROW('Müşteriler'!$B$2)+1)),""),""))</ns0:f>
        <ns0:v/>
      </ns0:c>
      <ns0:c r="G389" s="28" t="str">
        <ns0:f>IF(F389="","",IFERROR(INDEX('Müşteriler'!$C$2:$C$101,MATCH(F389,'Müşteriler'!$A$2:$A$101,0)),""))</ns0:f>
        <ns0:v/>
      </ns0:c>
      <ns0:c r="H389" s="28" t="str">
        <ns0:f>IF(A389="","",IF(C389&lt;=0,"Satış dışı",IF(OR(F389="",G389=""),"Eşleşmedi","Eşleşti")))</ns0:f>
        <ns0:v/>
      </ns0:c>
      <ns0:c r="I389" s="28">
        <ns0:f>I388+IF(AND(H389="Eşleşmedi",E389='Panel'!$B$4),1,0)</ns0:f>
        <ns0:v>3.0</ns0:v>
      </ns0:c>
    </ns0:row>
    <ns0:row r="390" ht="21" customHeight="1">
      <ns0:c r="A390" s="25" t="n"/>
      <ns0:c r="B390" s="26" t="n"/>
      <ns0:c r="C390" s="27" t="n"/>
      <ns0:c r="D390" s="27" t="n"/>
      <ns0:c r="E390" s="28" t="str">
        <ns0:f>IF(A390="","",YEAR(A390)&amp;"-"&amp;RIGHT("0"&amp;MONTH(A390),2))</ns0:f>
        <ns0:v/>
      </ns0:c>
      <ns0:c r="F390" s="28" t="str">
        <ns0:f>IF(OR(A390="",B390="",C390&lt;=0),"",IF(SUMPRODUCT(('Müşteriler'!$B$2:$B$101&lt;&gt;"")*ISNUMBER(SEARCH('Müşteriler'!$B$2:$B$101,B390)))=1,IFERROR(INDEX('Müşteriler'!$A$2:$A$101,SUMPRODUCT(('Müşteriler'!$B$2:$B$101&lt;&gt;"")*ISNUMBER(SEARCH('Müşteriler'!$B$2:$B$101,B390)),ROW('Müşteriler'!$B$2:$B$101)-ROW('Müşteriler'!$B$2)+1)),""),""))</ns0:f>
        <ns0:v/>
      </ns0:c>
      <ns0:c r="G390" s="28" t="str">
        <ns0:f>IF(F390="","",IFERROR(INDEX('Müşteriler'!$C$2:$C$101,MATCH(F390,'Müşteriler'!$A$2:$A$101,0)),""))</ns0:f>
        <ns0:v/>
      </ns0:c>
      <ns0:c r="H390" s="28" t="str">
        <ns0:f>IF(A390="","",IF(C390&lt;=0,"Satış dışı",IF(OR(F390="",G390=""),"Eşleşmedi","Eşleşti")))</ns0:f>
        <ns0:v/>
      </ns0:c>
      <ns0:c r="I390" s="28">
        <ns0:f>I389+IF(AND(H390="Eşleşmedi",E390='Panel'!$B$4),1,0)</ns0:f>
        <ns0:v>3.0</ns0:v>
      </ns0:c>
    </ns0:row>
    <ns0:row r="391" ht="21" customHeight="1">
      <ns0:c r="A391" s="25" t="n"/>
      <ns0:c r="B391" s="26" t="n"/>
      <ns0:c r="C391" s="27" t="n"/>
      <ns0:c r="D391" s="27" t="n"/>
      <ns0:c r="E391" s="28" t="str">
        <ns0:f>IF(A391="","",YEAR(A391)&amp;"-"&amp;RIGHT("0"&amp;MONTH(A391),2))</ns0:f>
        <ns0:v/>
      </ns0:c>
      <ns0:c r="F391" s="28" t="str">
        <ns0:f>IF(OR(A391="",B391="",C391&lt;=0),"",IF(SUMPRODUCT(('Müşteriler'!$B$2:$B$101&lt;&gt;"")*ISNUMBER(SEARCH('Müşteriler'!$B$2:$B$101,B391)))=1,IFERROR(INDEX('Müşteriler'!$A$2:$A$101,SUMPRODUCT(('Müşteriler'!$B$2:$B$101&lt;&gt;"")*ISNUMBER(SEARCH('Müşteriler'!$B$2:$B$101,B391)),ROW('Müşteriler'!$B$2:$B$101)-ROW('Müşteriler'!$B$2)+1)),""),""))</ns0:f>
        <ns0:v/>
      </ns0:c>
      <ns0:c r="G391" s="28" t="str">
        <ns0:f>IF(F391="","",IFERROR(INDEX('Müşteriler'!$C$2:$C$101,MATCH(F391,'Müşteriler'!$A$2:$A$101,0)),""))</ns0:f>
        <ns0:v/>
      </ns0:c>
      <ns0:c r="H391" s="28" t="str">
        <ns0:f>IF(A391="","",IF(C391&lt;=0,"Satış dışı",IF(OR(F391="",G391=""),"Eşleşmedi","Eşleşti")))</ns0:f>
        <ns0:v/>
      </ns0:c>
      <ns0:c r="I391" s="28">
        <ns0:f>I390+IF(AND(H391="Eşleşmedi",E391='Panel'!$B$4),1,0)</ns0:f>
        <ns0:v>3.0</ns0:v>
      </ns0:c>
    </ns0:row>
    <ns0:row r="392" ht="21" customHeight="1">
      <ns0:c r="A392" s="25" t="n"/>
      <ns0:c r="B392" s="26" t="n"/>
      <ns0:c r="C392" s="27" t="n"/>
      <ns0:c r="D392" s="27" t="n"/>
      <ns0:c r="E392" s="28" t="str">
        <ns0:f>IF(A392="","",YEAR(A392)&amp;"-"&amp;RIGHT("0"&amp;MONTH(A392),2))</ns0:f>
        <ns0:v/>
      </ns0:c>
      <ns0:c r="F392" s="28" t="str">
        <ns0:f>IF(OR(A392="",B392="",C392&lt;=0),"",IF(SUMPRODUCT(('Müşteriler'!$B$2:$B$101&lt;&gt;"")*ISNUMBER(SEARCH('Müşteriler'!$B$2:$B$101,B392)))=1,IFERROR(INDEX('Müşteriler'!$A$2:$A$101,SUMPRODUCT(('Müşteriler'!$B$2:$B$101&lt;&gt;"")*ISNUMBER(SEARCH('Müşteriler'!$B$2:$B$101,B392)),ROW('Müşteriler'!$B$2:$B$101)-ROW('Müşteriler'!$B$2)+1)),""),""))</ns0:f>
        <ns0:v/>
      </ns0:c>
      <ns0:c r="G392" s="28" t="str">
        <ns0:f>IF(F392="","",IFERROR(INDEX('Müşteriler'!$C$2:$C$101,MATCH(F392,'Müşteriler'!$A$2:$A$101,0)),""))</ns0:f>
        <ns0:v/>
      </ns0:c>
      <ns0:c r="H392" s="28" t="str">
        <ns0:f>IF(A392="","",IF(C392&lt;=0,"Satış dışı",IF(OR(F392="",G392=""),"Eşleşmedi","Eşleşti")))</ns0:f>
        <ns0:v/>
      </ns0:c>
      <ns0:c r="I392" s="28">
        <ns0:f>I391+IF(AND(H392="Eşleşmedi",E392='Panel'!$B$4),1,0)</ns0:f>
        <ns0:v>3.0</ns0:v>
      </ns0:c>
    </ns0:row>
    <ns0:row r="393" ht="21" customHeight="1">
      <ns0:c r="A393" s="25" t="n"/>
      <ns0:c r="B393" s="26" t="n"/>
      <ns0:c r="C393" s="27" t="n"/>
      <ns0:c r="D393" s="27" t="n"/>
      <ns0:c r="E393" s="28" t="str">
        <ns0:f>IF(A393="","",YEAR(A393)&amp;"-"&amp;RIGHT("0"&amp;MONTH(A393),2))</ns0:f>
        <ns0:v/>
      </ns0:c>
      <ns0:c r="F393" s="28" t="str">
        <ns0:f>IF(OR(A393="",B393="",C393&lt;=0),"",IF(SUMPRODUCT(('Müşteriler'!$B$2:$B$101&lt;&gt;"")*ISNUMBER(SEARCH('Müşteriler'!$B$2:$B$101,B393)))=1,IFERROR(INDEX('Müşteriler'!$A$2:$A$101,SUMPRODUCT(('Müşteriler'!$B$2:$B$101&lt;&gt;"")*ISNUMBER(SEARCH('Müşteriler'!$B$2:$B$101,B393)),ROW('Müşteriler'!$B$2:$B$101)-ROW('Müşteriler'!$B$2)+1)),""),""))</ns0:f>
        <ns0:v/>
      </ns0:c>
      <ns0:c r="G393" s="28" t="str">
        <ns0:f>IF(F393="","",IFERROR(INDEX('Müşteriler'!$C$2:$C$101,MATCH(F393,'Müşteriler'!$A$2:$A$101,0)),""))</ns0:f>
        <ns0:v/>
      </ns0:c>
      <ns0:c r="H393" s="28" t="str">
        <ns0:f>IF(A393="","",IF(C393&lt;=0,"Satış dışı",IF(OR(F393="",G393=""),"Eşleşmedi","Eşleşti")))</ns0:f>
        <ns0:v/>
      </ns0:c>
      <ns0:c r="I393" s="28">
        <ns0:f>I392+IF(AND(H393="Eşleşmedi",E393='Panel'!$B$4),1,0)</ns0:f>
        <ns0:v>3.0</ns0:v>
      </ns0:c>
    </ns0:row>
    <ns0:row r="394" ht="21" customHeight="1">
      <ns0:c r="A394" s="25" t="n"/>
      <ns0:c r="B394" s="26" t="n"/>
      <ns0:c r="C394" s="27" t="n"/>
      <ns0:c r="D394" s="27" t="n"/>
      <ns0:c r="E394" s="28" t="str">
        <ns0:f>IF(A394="","",YEAR(A394)&amp;"-"&amp;RIGHT("0"&amp;MONTH(A394),2))</ns0:f>
        <ns0:v/>
      </ns0:c>
      <ns0:c r="F394" s="28" t="str">
        <ns0:f>IF(OR(A394="",B394="",C394&lt;=0),"",IF(SUMPRODUCT(('Müşteriler'!$B$2:$B$101&lt;&gt;"")*ISNUMBER(SEARCH('Müşteriler'!$B$2:$B$101,B394)))=1,IFERROR(INDEX('Müşteriler'!$A$2:$A$101,SUMPRODUCT(('Müşteriler'!$B$2:$B$101&lt;&gt;"")*ISNUMBER(SEARCH('Müşteriler'!$B$2:$B$101,B394)),ROW('Müşteriler'!$B$2:$B$101)-ROW('Müşteriler'!$B$2)+1)),""),""))</ns0:f>
        <ns0:v/>
      </ns0:c>
      <ns0:c r="G394" s="28" t="str">
        <ns0:f>IF(F394="","",IFERROR(INDEX('Müşteriler'!$C$2:$C$101,MATCH(F394,'Müşteriler'!$A$2:$A$101,0)),""))</ns0:f>
        <ns0:v/>
      </ns0:c>
      <ns0:c r="H394" s="28" t="str">
        <ns0:f>IF(A394="","",IF(C394&lt;=0,"Satış dışı",IF(OR(F394="",G394=""),"Eşleşmedi","Eşleşti")))</ns0:f>
        <ns0:v/>
      </ns0:c>
      <ns0:c r="I394" s="28">
        <ns0:f>I393+IF(AND(H394="Eşleşmedi",E394='Panel'!$B$4),1,0)</ns0:f>
        <ns0:v>3.0</ns0:v>
      </ns0:c>
    </ns0:row>
    <ns0:row r="395" ht="21" customHeight="1">
      <ns0:c r="A395" s="25" t="n"/>
      <ns0:c r="B395" s="26" t="n"/>
      <ns0:c r="C395" s="27" t="n"/>
      <ns0:c r="D395" s="27" t="n"/>
      <ns0:c r="E395" s="28" t="str">
        <ns0:f>IF(A395="","",YEAR(A395)&amp;"-"&amp;RIGHT("0"&amp;MONTH(A395),2))</ns0:f>
        <ns0:v/>
      </ns0:c>
      <ns0:c r="F395" s="28" t="str">
        <ns0:f>IF(OR(A395="",B395="",C395&lt;=0),"",IF(SUMPRODUCT(('Müşteriler'!$B$2:$B$101&lt;&gt;"")*ISNUMBER(SEARCH('Müşteriler'!$B$2:$B$101,B395)))=1,IFERROR(INDEX('Müşteriler'!$A$2:$A$101,SUMPRODUCT(('Müşteriler'!$B$2:$B$101&lt;&gt;"")*ISNUMBER(SEARCH('Müşteriler'!$B$2:$B$101,B395)),ROW('Müşteriler'!$B$2:$B$101)-ROW('Müşteriler'!$B$2)+1)),""),""))</ns0:f>
        <ns0:v/>
      </ns0:c>
      <ns0:c r="G395" s="28" t="str">
        <ns0:f>IF(F395="","",IFERROR(INDEX('Müşteriler'!$C$2:$C$101,MATCH(F395,'Müşteriler'!$A$2:$A$101,0)),""))</ns0:f>
        <ns0:v/>
      </ns0:c>
      <ns0:c r="H395" s="28" t="str">
        <ns0:f>IF(A395="","",IF(C395&lt;=0,"Satış dışı",IF(OR(F395="",G395=""),"Eşleşmedi","Eşleşti")))</ns0:f>
        <ns0:v/>
      </ns0:c>
      <ns0:c r="I395" s="28">
        <ns0:f>I394+IF(AND(H395="Eşleşmedi",E395='Panel'!$B$4),1,0)</ns0:f>
        <ns0:v>3.0</ns0:v>
      </ns0:c>
    </ns0:row>
    <ns0:row r="396" ht="21" customHeight="1">
      <ns0:c r="A396" s="25" t="n"/>
      <ns0:c r="B396" s="26" t="n"/>
      <ns0:c r="C396" s="27" t="n"/>
      <ns0:c r="D396" s="27" t="n"/>
      <ns0:c r="E396" s="28" t="str">
        <ns0:f>IF(A396="","",YEAR(A396)&amp;"-"&amp;RIGHT("0"&amp;MONTH(A396),2))</ns0:f>
        <ns0:v/>
      </ns0:c>
      <ns0:c r="F396" s="28" t="str">
        <ns0:f>IF(OR(A396="",B396="",C396&lt;=0),"",IF(SUMPRODUCT(('Müşteriler'!$B$2:$B$101&lt;&gt;"")*ISNUMBER(SEARCH('Müşteriler'!$B$2:$B$101,B396)))=1,IFERROR(INDEX('Müşteriler'!$A$2:$A$101,SUMPRODUCT(('Müşteriler'!$B$2:$B$101&lt;&gt;"")*ISNUMBER(SEARCH('Müşteriler'!$B$2:$B$101,B396)),ROW('Müşteriler'!$B$2:$B$101)-ROW('Müşteriler'!$B$2)+1)),""),""))</ns0:f>
        <ns0:v/>
      </ns0:c>
      <ns0:c r="G396" s="28" t="str">
        <ns0:f>IF(F396="","",IFERROR(INDEX('Müşteriler'!$C$2:$C$101,MATCH(F396,'Müşteriler'!$A$2:$A$101,0)),""))</ns0:f>
        <ns0:v/>
      </ns0:c>
      <ns0:c r="H396" s="28" t="str">
        <ns0:f>IF(A396="","",IF(C396&lt;=0,"Satış dışı",IF(OR(F396="",G396=""),"Eşleşmedi","Eşleşti")))</ns0:f>
        <ns0:v/>
      </ns0:c>
      <ns0:c r="I396" s="28">
        <ns0:f>I395+IF(AND(H396="Eşleşmedi",E396='Panel'!$B$4),1,0)</ns0:f>
        <ns0:v>3.0</ns0:v>
      </ns0:c>
    </ns0:row>
    <ns0:row r="397" ht="21" customHeight="1">
      <ns0:c r="A397" s="25" t="n"/>
      <ns0:c r="B397" s="26" t="n"/>
      <ns0:c r="C397" s="27" t="n"/>
      <ns0:c r="D397" s="27" t="n"/>
      <ns0:c r="E397" s="28" t="str">
        <ns0:f>IF(A397="","",YEAR(A397)&amp;"-"&amp;RIGHT("0"&amp;MONTH(A397),2))</ns0:f>
        <ns0:v/>
      </ns0:c>
      <ns0:c r="F397" s="28" t="str">
        <ns0:f>IF(OR(A397="",B397="",C397&lt;=0),"",IF(SUMPRODUCT(('Müşteriler'!$B$2:$B$101&lt;&gt;"")*ISNUMBER(SEARCH('Müşteriler'!$B$2:$B$101,B397)))=1,IFERROR(INDEX('Müşteriler'!$A$2:$A$101,SUMPRODUCT(('Müşteriler'!$B$2:$B$101&lt;&gt;"")*ISNUMBER(SEARCH('Müşteriler'!$B$2:$B$101,B397)),ROW('Müşteriler'!$B$2:$B$101)-ROW('Müşteriler'!$B$2)+1)),""),""))</ns0:f>
        <ns0:v/>
      </ns0:c>
      <ns0:c r="G397" s="28" t="str">
        <ns0:f>IF(F397="","",IFERROR(INDEX('Müşteriler'!$C$2:$C$101,MATCH(F397,'Müşteriler'!$A$2:$A$101,0)),""))</ns0:f>
        <ns0:v/>
      </ns0:c>
      <ns0:c r="H397" s="28" t="str">
        <ns0:f>IF(A397="","",IF(C397&lt;=0,"Satış dışı",IF(OR(F397="",G397=""),"Eşleşmedi","Eşleşti")))</ns0:f>
        <ns0:v/>
      </ns0:c>
      <ns0:c r="I397" s="28">
        <ns0:f>I396+IF(AND(H397="Eşleşmedi",E397='Panel'!$B$4),1,0)</ns0:f>
        <ns0:v>3.0</ns0:v>
      </ns0:c>
    </ns0:row>
    <ns0:row r="398" ht="21" customHeight="1">
      <ns0:c r="A398" s="25" t="n"/>
      <ns0:c r="B398" s="26" t="n"/>
      <ns0:c r="C398" s="27" t="n"/>
      <ns0:c r="D398" s="27" t="n"/>
      <ns0:c r="E398" s="28" t="str">
        <ns0:f>IF(A398="","",YEAR(A398)&amp;"-"&amp;RIGHT("0"&amp;MONTH(A398),2))</ns0:f>
        <ns0:v/>
      </ns0:c>
      <ns0:c r="F398" s="28" t="str">
        <ns0:f>IF(OR(A398="",B398="",C398&lt;=0),"",IF(SUMPRODUCT(('Müşteriler'!$B$2:$B$101&lt;&gt;"")*ISNUMBER(SEARCH('Müşteriler'!$B$2:$B$101,B398)))=1,IFERROR(INDEX('Müşteriler'!$A$2:$A$101,SUMPRODUCT(('Müşteriler'!$B$2:$B$101&lt;&gt;"")*ISNUMBER(SEARCH('Müşteriler'!$B$2:$B$101,B398)),ROW('Müşteriler'!$B$2:$B$101)-ROW('Müşteriler'!$B$2)+1)),""),""))</ns0:f>
        <ns0:v/>
      </ns0:c>
      <ns0:c r="G398" s="28" t="str">
        <ns0:f>IF(F398="","",IFERROR(INDEX('Müşteriler'!$C$2:$C$101,MATCH(F398,'Müşteriler'!$A$2:$A$101,0)),""))</ns0:f>
        <ns0:v/>
      </ns0:c>
      <ns0:c r="H398" s="28" t="str">
        <ns0:f>IF(A398="","",IF(C398&lt;=0,"Satış dışı",IF(OR(F398="",G398=""),"Eşleşmedi","Eşleşti")))</ns0:f>
        <ns0:v/>
      </ns0:c>
      <ns0:c r="I398" s="28">
        <ns0:f>I397+IF(AND(H398="Eşleşmedi",E398='Panel'!$B$4),1,0)</ns0:f>
        <ns0:v>3.0</ns0:v>
      </ns0:c>
    </ns0:row>
    <ns0:row r="399" ht="21" customHeight="1">
      <ns0:c r="A399" s="25" t="n"/>
      <ns0:c r="B399" s="26" t="n"/>
      <ns0:c r="C399" s="27" t="n"/>
      <ns0:c r="D399" s="27" t="n"/>
      <ns0:c r="E399" s="28" t="str">
        <ns0:f>IF(A399="","",YEAR(A399)&amp;"-"&amp;RIGHT("0"&amp;MONTH(A399),2))</ns0:f>
        <ns0:v/>
      </ns0:c>
      <ns0:c r="F399" s="28" t="str">
        <ns0:f>IF(OR(A399="",B399="",C399&lt;=0),"",IF(SUMPRODUCT(('Müşteriler'!$B$2:$B$101&lt;&gt;"")*ISNUMBER(SEARCH('Müşteriler'!$B$2:$B$101,B399)))=1,IFERROR(INDEX('Müşteriler'!$A$2:$A$101,SUMPRODUCT(('Müşteriler'!$B$2:$B$101&lt;&gt;"")*ISNUMBER(SEARCH('Müşteriler'!$B$2:$B$101,B399)),ROW('Müşteriler'!$B$2:$B$101)-ROW('Müşteriler'!$B$2)+1)),""),""))</ns0:f>
        <ns0:v/>
      </ns0:c>
      <ns0:c r="G399" s="28" t="str">
        <ns0:f>IF(F399="","",IFERROR(INDEX('Müşteriler'!$C$2:$C$101,MATCH(F399,'Müşteriler'!$A$2:$A$101,0)),""))</ns0:f>
        <ns0:v/>
      </ns0:c>
      <ns0:c r="H399" s="28" t="str">
        <ns0:f>IF(A399="","",IF(C399&lt;=0,"Satış dışı",IF(OR(F399="",G399=""),"Eşleşmedi","Eşleşti")))</ns0:f>
        <ns0:v/>
      </ns0:c>
      <ns0:c r="I399" s="28">
        <ns0:f>I398+IF(AND(H399="Eşleşmedi",E399='Panel'!$B$4),1,0)</ns0:f>
        <ns0:v>3.0</ns0:v>
      </ns0:c>
    </ns0:row>
    <ns0:row r="400" ht="21" customHeight="1">
      <ns0:c r="A400" s="25" t="n"/>
      <ns0:c r="B400" s="26" t="n"/>
      <ns0:c r="C400" s="27" t="n"/>
      <ns0:c r="D400" s="27" t="n"/>
      <ns0:c r="E400" s="28" t="str">
        <ns0:f>IF(A400="","",YEAR(A400)&amp;"-"&amp;RIGHT("0"&amp;MONTH(A400),2))</ns0:f>
        <ns0:v/>
      </ns0:c>
      <ns0:c r="F400" s="28" t="str">
        <ns0:f>IF(OR(A400="",B400="",C400&lt;=0),"",IF(SUMPRODUCT(('Müşteriler'!$B$2:$B$101&lt;&gt;"")*ISNUMBER(SEARCH('Müşteriler'!$B$2:$B$101,B400)))=1,IFERROR(INDEX('Müşteriler'!$A$2:$A$101,SUMPRODUCT(('Müşteriler'!$B$2:$B$101&lt;&gt;"")*ISNUMBER(SEARCH('Müşteriler'!$B$2:$B$101,B400)),ROW('Müşteriler'!$B$2:$B$101)-ROW('Müşteriler'!$B$2)+1)),""),""))</ns0:f>
        <ns0:v/>
      </ns0:c>
      <ns0:c r="G400" s="28" t="str">
        <ns0:f>IF(F400="","",IFERROR(INDEX('Müşteriler'!$C$2:$C$101,MATCH(F400,'Müşteriler'!$A$2:$A$101,0)),""))</ns0:f>
        <ns0:v/>
      </ns0:c>
      <ns0:c r="H400" s="28" t="str">
        <ns0:f>IF(A400="","",IF(C400&lt;=0,"Satış dışı",IF(OR(F400="",G400=""),"Eşleşmedi","Eşleşti")))</ns0:f>
        <ns0:v/>
      </ns0:c>
      <ns0:c r="I400" s="28">
        <ns0:f>I399+IF(AND(H400="Eşleşmedi",E400='Panel'!$B$4),1,0)</ns0:f>
        <ns0:v>3.0</ns0:v>
      </ns0:c>
    </ns0:row>
    <ns0:row r="401" ht="21" customHeight="1">
      <ns0:c r="A401" s="25" t="n"/>
      <ns0:c r="B401" s="26" t="n"/>
      <ns0:c r="C401" s="27" t="n"/>
      <ns0:c r="D401" s="27" t="n"/>
      <ns0:c r="E401" s="28" t="str">
        <ns0:f>IF(A401="","",YEAR(A401)&amp;"-"&amp;RIGHT("0"&amp;MONTH(A401),2))</ns0:f>
        <ns0:v/>
      </ns0:c>
      <ns0:c r="F401" s="28" t="str">
        <ns0:f>IF(OR(A401="",B401="",C401&lt;=0),"",IF(SUMPRODUCT(('Müşteriler'!$B$2:$B$101&lt;&gt;"")*ISNUMBER(SEARCH('Müşteriler'!$B$2:$B$101,B401)))=1,IFERROR(INDEX('Müşteriler'!$A$2:$A$101,SUMPRODUCT(('Müşteriler'!$B$2:$B$101&lt;&gt;"")*ISNUMBER(SEARCH('Müşteriler'!$B$2:$B$101,B401)),ROW('Müşteriler'!$B$2:$B$101)-ROW('Müşteriler'!$B$2)+1)),""),""))</ns0:f>
        <ns0:v/>
      </ns0:c>
      <ns0:c r="G401" s="28" t="str">
        <ns0:f>IF(F401="","",IFERROR(INDEX('Müşteriler'!$C$2:$C$101,MATCH(F401,'Müşteriler'!$A$2:$A$101,0)),""))</ns0:f>
        <ns0:v/>
      </ns0:c>
      <ns0:c r="H401" s="28" t="str">
        <ns0:f>IF(A401="","",IF(C401&lt;=0,"Satış dışı",IF(OR(F401="",G401=""),"Eşleşmedi","Eşleşti")))</ns0:f>
        <ns0:v/>
      </ns0:c>
      <ns0:c r="I401" s="28">
        <ns0:f>I400+IF(AND(H401="Eşleşmedi",E401='Panel'!$B$4),1,0)</ns0:f>
        <ns0:v>3.0</ns0:v>
      </ns0:c>
    </ns0:row>
    <ns0:row r="402" ht="21" customHeight="1">
      <ns0:c r="A402" s="25" t="n"/>
      <ns0:c r="B402" s="26" t="n"/>
      <ns0:c r="C402" s="27" t="n"/>
      <ns0:c r="D402" s="27" t="n"/>
      <ns0:c r="E402" s="28" t="str">
        <ns0:f>IF(A402="","",YEAR(A402)&amp;"-"&amp;RIGHT("0"&amp;MONTH(A402),2))</ns0:f>
        <ns0:v/>
      </ns0:c>
      <ns0:c r="F402" s="28" t="str">
        <ns0:f>IF(OR(A402="",B402="",C402&lt;=0),"",IF(SUMPRODUCT(('Müşteriler'!$B$2:$B$101&lt;&gt;"")*ISNUMBER(SEARCH('Müşteriler'!$B$2:$B$101,B402)))=1,IFERROR(INDEX('Müşteriler'!$A$2:$A$101,SUMPRODUCT(('Müşteriler'!$B$2:$B$101&lt;&gt;"")*ISNUMBER(SEARCH('Müşteriler'!$B$2:$B$101,B402)),ROW('Müşteriler'!$B$2:$B$101)-ROW('Müşteriler'!$B$2)+1)),""),""))</ns0:f>
        <ns0:v/>
      </ns0:c>
      <ns0:c r="G402" s="28" t="str">
        <ns0:f>IF(F402="","",IFERROR(INDEX('Müşteriler'!$C$2:$C$101,MATCH(F402,'Müşteriler'!$A$2:$A$101,0)),""))</ns0:f>
        <ns0:v/>
      </ns0:c>
      <ns0:c r="H402" s="28" t="str">
        <ns0:f>IF(A402="","",IF(C402&lt;=0,"Satış dışı",IF(OR(F402="",G402=""),"Eşleşmedi","Eşleşti")))</ns0:f>
        <ns0:v/>
      </ns0:c>
      <ns0:c r="I402" s="28">
        <ns0:f>I401+IF(AND(H402="Eşleşmedi",E402='Panel'!$B$4),1,0)</ns0:f>
        <ns0:v>3.0</ns0:v>
      </ns0:c>
    </ns0:row>
    <ns0:row r="403" ht="21" customHeight="1">
      <ns0:c r="A403" s="25" t="n"/>
      <ns0:c r="B403" s="26" t="n"/>
      <ns0:c r="C403" s="27" t="n"/>
      <ns0:c r="D403" s="27" t="n"/>
      <ns0:c r="E403" s="28" t="str">
        <ns0:f>IF(A403="","",YEAR(A403)&amp;"-"&amp;RIGHT("0"&amp;MONTH(A403),2))</ns0:f>
        <ns0:v/>
      </ns0:c>
      <ns0:c r="F403" s="28" t="str">
        <ns0:f>IF(OR(A403="",B403="",C403&lt;=0),"",IF(SUMPRODUCT(('Müşteriler'!$B$2:$B$101&lt;&gt;"")*ISNUMBER(SEARCH('Müşteriler'!$B$2:$B$101,B403)))=1,IFERROR(INDEX('Müşteriler'!$A$2:$A$101,SUMPRODUCT(('Müşteriler'!$B$2:$B$101&lt;&gt;"")*ISNUMBER(SEARCH('Müşteriler'!$B$2:$B$101,B403)),ROW('Müşteriler'!$B$2:$B$101)-ROW('Müşteriler'!$B$2)+1)),""),""))</ns0:f>
        <ns0:v/>
      </ns0:c>
      <ns0:c r="G403" s="28" t="str">
        <ns0:f>IF(F403="","",IFERROR(INDEX('Müşteriler'!$C$2:$C$101,MATCH(F403,'Müşteriler'!$A$2:$A$101,0)),""))</ns0:f>
        <ns0:v/>
      </ns0:c>
      <ns0:c r="H403" s="28" t="str">
        <ns0:f>IF(A403="","",IF(C403&lt;=0,"Satış dışı",IF(OR(F403="",G403=""),"Eşleşmedi","Eşleşti")))</ns0:f>
        <ns0:v/>
      </ns0:c>
      <ns0:c r="I403" s="28">
        <ns0:f>I402+IF(AND(H403="Eşleşmedi",E403='Panel'!$B$4),1,0)</ns0:f>
        <ns0:v>3.0</ns0:v>
      </ns0:c>
    </ns0:row>
    <ns0:row r="404" ht="21" customHeight="1">
      <ns0:c r="A404" s="25" t="n"/>
      <ns0:c r="B404" s="26" t="n"/>
      <ns0:c r="C404" s="27" t="n"/>
      <ns0:c r="D404" s="27" t="n"/>
      <ns0:c r="E404" s="28" t="str">
        <ns0:f>IF(A404="","",YEAR(A404)&amp;"-"&amp;RIGHT("0"&amp;MONTH(A404),2))</ns0:f>
        <ns0:v/>
      </ns0:c>
      <ns0:c r="F404" s="28" t="str">
        <ns0:f>IF(OR(A404="",B404="",C404&lt;=0),"",IF(SUMPRODUCT(('Müşteriler'!$B$2:$B$101&lt;&gt;"")*ISNUMBER(SEARCH('Müşteriler'!$B$2:$B$101,B404)))=1,IFERROR(INDEX('Müşteriler'!$A$2:$A$101,SUMPRODUCT(('Müşteriler'!$B$2:$B$101&lt;&gt;"")*ISNUMBER(SEARCH('Müşteriler'!$B$2:$B$101,B404)),ROW('Müşteriler'!$B$2:$B$101)-ROW('Müşteriler'!$B$2)+1)),""),""))</ns0:f>
        <ns0:v/>
      </ns0:c>
      <ns0:c r="G404" s="28" t="str">
        <ns0:f>IF(F404="","",IFERROR(INDEX('Müşteriler'!$C$2:$C$101,MATCH(F404,'Müşteriler'!$A$2:$A$101,0)),""))</ns0:f>
        <ns0:v/>
      </ns0:c>
      <ns0:c r="H404" s="28" t="str">
        <ns0:f>IF(A404="","",IF(C404&lt;=0,"Satış dışı",IF(OR(F404="",G404=""),"Eşleşmedi","Eşleşti")))</ns0:f>
        <ns0:v/>
      </ns0:c>
      <ns0:c r="I404" s="28">
        <ns0:f>I403+IF(AND(H404="Eşleşmedi",E404='Panel'!$B$4),1,0)</ns0:f>
        <ns0:v>3.0</ns0:v>
      </ns0:c>
    </ns0:row>
    <ns0:row r="405" ht="21" customHeight="1">
      <ns0:c r="A405" s="25" t="n"/>
      <ns0:c r="B405" s="26" t="n"/>
      <ns0:c r="C405" s="27" t="n"/>
      <ns0:c r="D405" s="27" t="n"/>
      <ns0:c r="E405" s="28" t="str">
        <ns0:f>IF(A405="","",YEAR(A405)&amp;"-"&amp;RIGHT("0"&amp;MONTH(A405),2))</ns0:f>
        <ns0:v/>
      </ns0:c>
      <ns0:c r="F405" s="28" t="str">
        <ns0:f>IF(OR(A405="",B405="",C405&lt;=0),"",IF(SUMPRODUCT(('Müşteriler'!$B$2:$B$101&lt;&gt;"")*ISNUMBER(SEARCH('Müşteriler'!$B$2:$B$101,B405)))=1,IFERROR(INDEX('Müşteriler'!$A$2:$A$101,SUMPRODUCT(('Müşteriler'!$B$2:$B$101&lt;&gt;"")*ISNUMBER(SEARCH('Müşteriler'!$B$2:$B$101,B405)),ROW('Müşteriler'!$B$2:$B$101)-ROW('Müşteriler'!$B$2)+1)),""),""))</ns0:f>
        <ns0:v/>
      </ns0:c>
      <ns0:c r="G405" s="28" t="str">
        <ns0:f>IF(F405="","",IFERROR(INDEX('Müşteriler'!$C$2:$C$101,MATCH(F405,'Müşteriler'!$A$2:$A$101,0)),""))</ns0:f>
        <ns0:v/>
      </ns0:c>
      <ns0:c r="H405" s="28" t="str">
        <ns0:f>IF(A405="","",IF(C405&lt;=0,"Satış dışı",IF(OR(F405="",G405=""),"Eşleşmedi","Eşleşti")))</ns0:f>
        <ns0:v/>
      </ns0:c>
      <ns0:c r="I405" s="28">
        <ns0:f>I404+IF(AND(H405="Eşleşmedi",E405='Panel'!$B$4),1,0)</ns0:f>
        <ns0:v>3.0</ns0:v>
      </ns0:c>
    </ns0:row>
    <ns0:row r="406" ht="21" customHeight="1">
      <ns0:c r="A406" s="25" t="n"/>
      <ns0:c r="B406" s="26" t="n"/>
      <ns0:c r="C406" s="27" t="n"/>
      <ns0:c r="D406" s="27" t="n"/>
      <ns0:c r="E406" s="28" t="str">
        <ns0:f>IF(A406="","",YEAR(A406)&amp;"-"&amp;RIGHT("0"&amp;MONTH(A406),2))</ns0:f>
        <ns0:v/>
      </ns0:c>
      <ns0:c r="F406" s="28" t="str">
        <ns0:f>IF(OR(A406="",B406="",C406&lt;=0),"",IF(SUMPRODUCT(('Müşteriler'!$B$2:$B$101&lt;&gt;"")*ISNUMBER(SEARCH('Müşteriler'!$B$2:$B$101,B406)))=1,IFERROR(INDEX('Müşteriler'!$A$2:$A$101,SUMPRODUCT(('Müşteriler'!$B$2:$B$101&lt;&gt;"")*ISNUMBER(SEARCH('Müşteriler'!$B$2:$B$101,B406)),ROW('Müşteriler'!$B$2:$B$101)-ROW('Müşteriler'!$B$2)+1)),""),""))</ns0:f>
        <ns0:v/>
      </ns0:c>
      <ns0:c r="G406" s="28" t="str">
        <ns0:f>IF(F406="","",IFERROR(INDEX('Müşteriler'!$C$2:$C$101,MATCH(F406,'Müşteriler'!$A$2:$A$101,0)),""))</ns0:f>
        <ns0:v/>
      </ns0:c>
      <ns0:c r="H406" s="28" t="str">
        <ns0:f>IF(A406="","",IF(C406&lt;=0,"Satış dışı",IF(OR(F406="",G406=""),"Eşleşmedi","Eşleşti")))</ns0:f>
        <ns0:v/>
      </ns0:c>
      <ns0:c r="I406" s="28">
        <ns0:f>I405+IF(AND(H406="Eşleşmedi",E406='Panel'!$B$4),1,0)</ns0:f>
        <ns0:v>3.0</ns0:v>
      </ns0:c>
    </ns0:row>
    <ns0:row r="407" ht="21" customHeight="1">
      <ns0:c r="A407" s="25" t="n"/>
      <ns0:c r="B407" s="26" t="n"/>
      <ns0:c r="C407" s="27" t="n"/>
      <ns0:c r="D407" s="27" t="n"/>
      <ns0:c r="E407" s="28" t="str">
        <ns0:f>IF(A407="","",YEAR(A407)&amp;"-"&amp;RIGHT("0"&amp;MONTH(A407),2))</ns0:f>
        <ns0:v/>
      </ns0:c>
      <ns0:c r="F407" s="28" t="str">
        <ns0:f>IF(OR(A407="",B407="",C407&lt;=0),"",IF(SUMPRODUCT(('Müşteriler'!$B$2:$B$101&lt;&gt;"")*ISNUMBER(SEARCH('Müşteriler'!$B$2:$B$101,B407)))=1,IFERROR(INDEX('Müşteriler'!$A$2:$A$101,SUMPRODUCT(('Müşteriler'!$B$2:$B$101&lt;&gt;"")*ISNUMBER(SEARCH('Müşteriler'!$B$2:$B$101,B407)),ROW('Müşteriler'!$B$2:$B$101)-ROW('Müşteriler'!$B$2)+1)),""),""))</ns0:f>
        <ns0:v/>
      </ns0:c>
      <ns0:c r="G407" s="28" t="str">
        <ns0:f>IF(F407="","",IFERROR(INDEX('Müşteriler'!$C$2:$C$101,MATCH(F407,'Müşteriler'!$A$2:$A$101,0)),""))</ns0:f>
        <ns0:v/>
      </ns0:c>
      <ns0:c r="H407" s="28" t="str">
        <ns0:f>IF(A407="","",IF(C407&lt;=0,"Satış dışı",IF(OR(F407="",G407=""),"Eşleşmedi","Eşleşti")))</ns0:f>
        <ns0:v/>
      </ns0:c>
      <ns0:c r="I407" s="28">
        <ns0:f>I406+IF(AND(H407="Eşleşmedi",E407='Panel'!$B$4),1,0)</ns0:f>
        <ns0:v>3.0</ns0:v>
      </ns0:c>
    </ns0:row>
    <ns0:row r="408" ht="21" customHeight="1">
      <ns0:c r="A408" s="25" t="n"/>
      <ns0:c r="B408" s="26" t="n"/>
      <ns0:c r="C408" s="27" t="n"/>
      <ns0:c r="D408" s="27" t="n"/>
      <ns0:c r="E408" s="28" t="str">
        <ns0:f>IF(A408="","",YEAR(A408)&amp;"-"&amp;RIGHT("0"&amp;MONTH(A408),2))</ns0:f>
        <ns0:v/>
      </ns0:c>
      <ns0:c r="F408" s="28" t="str">
        <ns0:f>IF(OR(A408="",B408="",C408&lt;=0),"",IF(SUMPRODUCT(('Müşteriler'!$B$2:$B$101&lt;&gt;"")*ISNUMBER(SEARCH('Müşteriler'!$B$2:$B$101,B408)))=1,IFERROR(INDEX('Müşteriler'!$A$2:$A$101,SUMPRODUCT(('Müşteriler'!$B$2:$B$101&lt;&gt;"")*ISNUMBER(SEARCH('Müşteriler'!$B$2:$B$101,B408)),ROW('Müşteriler'!$B$2:$B$101)-ROW('Müşteriler'!$B$2)+1)),""),""))</ns0:f>
        <ns0:v/>
      </ns0:c>
      <ns0:c r="G408" s="28" t="str">
        <ns0:f>IF(F408="","",IFERROR(INDEX('Müşteriler'!$C$2:$C$101,MATCH(F408,'Müşteriler'!$A$2:$A$101,0)),""))</ns0:f>
        <ns0:v/>
      </ns0:c>
      <ns0:c r="H408" s="28" t="str">
        <ns0:f>IF(A408="","",IF(C408&lt;=0,"Satış dışı",IF(OR(F408="",G408=""),"Eşleşmedi","Eşleşti")))</ns0:f>
        <ns0:v/>
      </ns0:c>
      <ns0:c r="I408" s="28">
        <ns0:f>I407+IF(AND(H408="Eşleşmedi",E408='Panel'!$B$4),1,0)</ns0:f>
        <ns0:v>3.0</ns0:v>
      </ns0:c>
    </ns0:row>
    <ns0:row r="409" ht="21" customHeight="1">
      <ns0:c r="A409" s="25" t="n"/>
      <ns0:c r="B409" s="26" t="n"/>
      <ns0:c r="C409" s="27" t="n"/>
      <ns0:c r="D409" s="27" t="n"/>
      <ns0:c r="E409" s="28" t="str">
        <ns0:f>IF(A409="","",YEAR(A409)&amp;"-"&amp;RIGHT("0"&amp;MONTH(A409),2))</ns0:f>
        <ns0:v/>
      </ns0:c>
      <ns0:c r="F409" s="28" t="str">
        <ns0:f>IF(OR(A409="",B409="",C409&lt;=0),"",IF(SUMPRODUCT(('Müşteriler'!$B$2:$B$101&lt;&gt;"")*ISNUMBER(SEARCH('Müşteriler'!$B$2:$B$101,B409)))=1,IFERROR(INDEX('Müşteriler'!$A$2:$A$101,SUMPRODUCT(('Müşteriler'!$B$2:$B$101&lt;&gt;"")*ISNUMBER(SEARCH('Müşteriler'!$B$2:$B$101,B409)),ROW('Müşteriler'!$B$2:$B$101)-ROW('Müşteriler'!$B$2)+1)),""),""))</ns0:f>
        <ns0:v/>
      </ns0:c>
      <ns0:c r="G409" s="28" t="str">
        <ns0:f>IF(F409="","",IFERROR(INDEX('Müşteriler'!$C$2:$C$101,MATCH(F409,'Müşteriler'!$A$2:$A$101,0)),""))</ns0:f>
        <ns0:v/>
      </ns0:c>
      <ns0:c r="H409" s="28" t="str">
        <ns0:f>IF(A409="","",IF(C409&lt;=0,"Satış dışı",IF(OR(F409="",G409=""),"Eşleşmedi","Eşleşti")))</ns0:f>
        <ns0:v/>
      </ns0:c>
      <ns0:c r="I409" s="28">
        <ns0:f>I408+IF(AND(H409="Eşleşmedi",E409='Panel'!$B$4),1,0)</ns0:f>
        <ns0:v>3.0</ns0:v>
      </ns0:c>
    </ns0:row>
    <ns0:row r="410" ht="21" customHeight="1">
      <ns0:c r="A410" s="25" t="n"/>
      <ns0:c r="B410" s="26" t="n"/>
      <ns0:c r="C410" s="27" t="n"/>
      <ns0:c r="D410" s="27" t="n"/>
      <ns0:c r="E410" s="28" t="str">
        <ns0:f>IF(A410="","",YEAR(A410)&amp;"-"&amp;RIGHT("0"&amp;MONTH(A410),2))</ns0:f>
        <ns0:v/>
      </ns0:c>
      <ns0:c r="F410" s="28" t="str">
        <ns0:f>IF(OR(A410="",B410="",C410&lt;=0),"",IF(SUMPRODUCT(('Müşteriler'!$B$2:$B$101&lt;&gt;"")*ISNUMBER(SEARCH('Müşteriler'!$B$2:$B$101,B410)))=1,IFERROR(INDEX('Müşteriler'!$A$2:$A$101,SUMPRODUCT(('Müşteriler'!$B$2:$B$101&lt;&gt;"")*ISNUMBER(SEARCH('Müşteriler'!$B$2:$B$101,B410)),ROW('Müşteriler'!$B$2:$B$101)-ROW('Müşteriler'!$B$2)+1)),""),""))</ns0:f>
        <ns0:v/>
      </ns0:c>
      <ns0:c r="G410" s="28" t="str">
        <ns0:f>IF(F410="","",IFERROR(INDEX('Müşteriler'!$C$2:$C$101,MATCH(F410,'Müşteriler'!$A$2:$A$101,0)),""))</ns0:f>
        <ns0:v/>
      </ns0:c>
      <ns0:c r="H410" s="28" t="str">
        <ns0:f>IF(A410="","",IF(C410&lt;=0,"Satış dışı",IF(OR(F410="",G410=""),"Eşleşmedi","Eşleşti")))</ns0:f>
        <ns0:v/>
      </ns0:c>
      <ns0:c r="I410" s="28">
        <ns0:f>I409+IF(AND(H410="Eşleşmedi",E410='Panel'!$B$4),1,0)</ns0:f>
        <ns0:v>3.0</ns0:v>
      </ns0:c>
    </ns0:row>
    <ns0:row r="411" ht="21" customHeight="1">
      <ns0:c r="A411" s="25" t="n"/>
      <ns0:c r="B411" s="26" t="n"/>
      <ns0:c r="C411" s="27" t="n"/>
      <ns0:c r="D411" s="27" t="n"/>
      <ns0:c r="E411" s="28" t="str">
        <ns0:f>IF(A411="","",YEAR(A411)&amp;"-"&amp;RIGHT("0"&amp;MONTH(A411),2))</ns0:f>
        <ns0:v/>
      </ns0:c>
      <ns0:c r="F411" s="28" t="str">
        <ns0:f>IF(OR(A411="",B411="",C411&lt;=0),"",IF(SUMPRODUCT(('Müşteriler'!$B$2:$B$101&lt;&gt;"")*ISNUMBER(SEARCH('Müşteriler'!$B$2:$B$101,B411)))=1,IFERROR(INDEX('Müşteriler'!$A$2:$A$101,SUMPRODUCT(('Müşteriler'!$B$2:$B$101&lt;&gt;"")*ISNUMBER(SEARCH('Müşteriler'!$B$2:$B$101,B411)),ROW('Müşteriler'!$B$2:$B$101)-ROW('Müşteriler'!$B$2)+1)),""),""))</ns0:f>
        <ns0:v/>
      </ns0:c>
      <ns0:c r="G411" s="28" t="str">
        <ns0:f>IF(F411="","",IFERROR(INDEX('Müşteriler'!$C$2:$C$101,MATCH(F411,'Müşteriler'!$A$2:$A$101,0)),""))</ns0:f>
        <ns0:v/>
      </ns0:c>
      <ns0:c r="H411" s="28" t="str">
        <ns0:f>IF(A411="","",IF(C411&lt;=0,"Satış dışı",IF(OR(F411="",G411=""),"Eşleşmedi","Eşleşti")))</ns0:f>
        <ns0:v/>
      </ns0:c>
      <ns0:c r="I411" s="28">
        <ns0:f>I410+IF(AND(H411="Eşleşmedi",E411='Panel'!$B$4),1,0)</ns0:f>
        <ns0:v>3.0</ns0:v>
      </ns0:c>
    </ns0:row>
    <ns0:row r="412" ht="21" customHeight="1">
      <ns0:c r="A412" s="25" t="n"/>
      <ns0:c r="B412" s="26" t="n"/>
      <ns0:c r="C412" s="27" t="n"/>
      <ns0:c r="D412" s="27" t="n"/>
      <ns0:c r="E412" s="28" t="str">
        <ns0:f>IF(A412="","",YEAR(A412)&amp;"-"&amp;RIGHT("0"&amp;MONTH(A412),2))</ns0:f>
        <ns0:v/>
      </ns0:c>
      <ns0:c r="F412" s="28" t="str">
        <ns0:f>IF(OR(A412="",B412="",C412&lt;=0),"",IF(SUMPRODUCT(('Müşteriler'!$B$2:$B$101&lt;&gt;"")*ISNUMBER(SEARCH('Müşteriler'!$B$2:$B$101,B412)))=1,IFERROR(INDEX('Müşteriler'!$A$2:$A$101,SUMPRODUCT(('Müşteriler'!$B$2:$B$101&lt;&gt;"")*ISNUMBER(SEARCH('Müşteriler'!$B$2:$B$101,B412)),ROW('Müşteriler'!$B$2:$B$101)-ROW('Müşteriler'!$B$2)+1)),""),""))</ns0:f>
        <ns0:v/>
      </ns0:c>
      <ns0:c r="G412" s="28" t="str">
        <ns0:f>IF(F412="","",IFERROR(INDEX('Müşteriler'!$C$2:$C$101,MATCH(F412,'Müşteriler'!$A$2:$A$101,0)),""))</ns0:f>
        <ns0:v/>
      </ns0:c>
      <ns0:c r="H412" s="28" t="str">
        <ns0:f>IF(A412="","",IF(C412&lt;=0,"Satış dışı",IF(OR(F412="",G412=""),"Eşleşmedi","Eşleşti")))</ns0:f>
        <ns0:v/>
      </ns0:c>
      <ns0:c r="I412" s="28">
        <ns0:f>I411+IF(AND(H412="Eşleşmedi",E412='Panel'!$B$4),1,0)</ns0:f>
        <ns0:v>3.0</ns0:v>
      </ns0:c>
    </ns0:row>
    <ns0:row r="413" ht="21" customHeight="1">
      <ns0:c r="A413" s="25" t="n"/>
      <ns0:c r="B413" s="26" t="n"/>
      <ns0:c r="C413" s="27" t="n"/>
      <ns0:c r="D413" s="27" t="n"/>
      <ns0:c r="E413" s="28" t="str">
        <ns0:f>IF(A413="","",YEAR(A413)&amp;"-"&amp;RIGHT("0"&amp;MONTH(A413),2))</ns0:f>
        <ns0:v/>
      </ns0:c>
      <ns0:c r="F413" s="28" t="str">
        <ns0:f>IF(OR(A413="",B413="",C413&lt;=0),"",IF(SUMPRODUCT(('Müşteriler'!$B$2:$B$101&lt;&gt;"")*ISNUMBER(SEARCH('Müşteriler'!$B$2:$B$101,B413)))=1,IFERROR(INDEX('Müşteriler'!$A$2:$A$101,SUMPRODUCT(('Müşteriler'!$B$2:$B$101&lt;&gt;"")*ISNUMBER(SEARCH('Müşteriler'!$B$2:$B$101,B413)),ROW('Müşteriler'!$B$2:$B$101)-ROW('Müşteriler'!$B$2)+1)),""),""))</ns0:f>
        <ns0:v/>
      </ns0:c>
      <ns0:c r="G413" s="28" t="str">
        <ns0:f>IF(F413="","",IFERROR(INDEX('Müşteriler'!$C$2:$C$101,MATCH(F413,'Müşteriler'!$A$2:$A$101,0)),""))</ns0:f>
        <ns0:v/>
      </ns0:c>
      <ns0:c r="H413" s="28" t="str">
        <ns0:f>IF(A413="","",IF(C413&lt;=0,"Satış dışı",IF(OR(F413="",G413=""),"Eşleşmedi","Eşleşti")))</ns0:f>
        <ns0:v/>
      </ns0:c>
      <ns0:c r="I413" s="28">
        <ns0:f>I412+IF(AND(H413="Eşleşmedi",E413='Panel'!$B$4),1,0)</ns0:f>
        <ns0:v>3.0</ns0:v>
      </ns0:c>
    </ns0:row>
    <ns0:row r="414" ht="21" customHeight="1">
      <ns0:c r="A414" s="25" t="n"/>
      <ns0:c r="B414" s="26" t="n"/>
      <ns0:c r="C414" s="27" t="n"/>
      <ns0:c r="D414" s="27" t="n"/>
      <ns0:c r="E414" s="28" t="str">
        <ns0:f>IF(A414="","",YEAR(A414)&amp;"-"&amp;RIGHT("0"&amp;MONTH(A414),2))</ns0:f>
        <ns0:v/>
      </ns0:c>
      <ns0:c r="F414" s="28" t="str">
        <ns0:f>IF(OR(A414="",B414="",C414&lt;=0),"",IF(SUMPRODUCT(('Müşteriler'!$B$2:$B$101&lt;&gt;"")*ISNUMBER(SEARCH('Müşteriler'!$B$2:$B$101,B414)))=1,IFERROR(INDEX('Müşteriler'!$A$2:$A$101,SUMPRODUCT(('Müşteriler'!$B$2:$B$101&lt;&gt;"")*ISNUMBER(SEARCH('Müşteriler'!$B$2:$B$101,B414)),ROW('Müşteriler'!$B$2:$B$101)-ROW('Müşteriler'!$B$2)+1)),""),""))</ns0:f>
        <ns0:v/>
      </ns0:c>
      <ns0:c r="G414" s="28" t="str">
        <ns0:f>IF(F414="","",IFERROR(INDEX('Müşteriler'!$C$2:$C$101,MATCH(F414,'Müşteriler'!$A$2:$A$101,0)),""))</ns0:f>
        <ns0:v/>
      </ns0:c>
      <ns0:c r="H414" s="28" t="str">
        <ns0:f>IF(A414="","",IF(C414&lt;=0,"Satış dışı",IF(OR(F414="",G414=""),"Eşleşmedi","Eşleşti")))</ns0:f>
        <ns0:v/>
      </ns0:c>
      <ns0:c r="I414" s="28">
        <ns0:f>I413+IF(AND(H414="Eşleşmedi",E414='Panel'!$B$4),1,0)</ns0:f>
        <ns0:v>3.0</ns0:v>
      </ns0:c>
    </ns0:row>
    <ns0:row r="415" ht="21" customHeight="1">
      <ns0:c r="A415" s="25" t="n"/>
      <ns0:c r="B415" s="26" t="n"/>
      <ns0:c r="C415" s="27" t="n"/>
      <ns0:c r="D415" s="27" t="n"/>
      <ns0:c r="E415" s="28" t="str">
        <ns0:f>IF(A415="","",YEAR(A415)&amp;"-"&amp;RIGHT("0"&amp;MONTH(A415),2))</ns0:f>
        <ns0:v/>
      </ns0:c>
      <ns0:c r="F415" s="28" t="str">
        <ns0:f>IF(OR(A415="",B415="",C415&lt;=0),"",IF(SUMPRODUCT(('Müşteriler'!$B$2:$B$101&lt;&gt;"")*ISNUMBER(SEARCH('Müşteriler'!$B$2:$B$101,B415)))=1,IFERROR(INDEX('Müşteriler'!$A$2:$A$101,SUMPRODUCT(('Müşteriler'!$B$2:$B$101&lt;&gt;"")*ISNUMBER(SEARCH('Müşteriler'!$B$2:$B$101,B415)),ROW('Müşteriler'!$B$2:$B$101)-ROW('Müşteriler'!$B$2)+1)),""),""))</ns0:f>
        <ns0:v/>
      </ns0:c>
      <ns0:c r="G415" s="28" t="str">
        <ns0:f>IF(F415="","",IFERROR(INDEX('Müşteriler'!$C$2:$C$101,MATCH(F415,'Müşteriler'!$A$2:$A$101,0)),""))</ns0:f>
        <ns0:v/>
      </ns0:c>
      <ns0:c r="H415" s="28" t="str">
        <ns0:f>IF(A415="","",IF(C415&lt;=0,"Satış dışı",IF(OR(F415="",G415=""),"Eşleşmedi","Eşleşti")))</ns0:f>
        <ns0:v/>
      </ns0:c>
      <ns0:c r="I415" s="28">
        <ns0:f>I414+IF(AND(H415="Eşleşmedi",E415='Panel'!$B$4),1,0)</ns0:f>
        <ns0:v>3.0</ns0:v>
      </ns0:c>
    </ns0:row>
    <ns0:row r="416" ht="21" customHeight="1">
      <ns0:c r="A416" s="25" t="n"/>
      <ns0:c r="B416" s="26" t="n"/>
      <ns0:c r="C416" s="27" t="n"/>
      <ns0:c r="D416" s="27" t="n"/>
      <ns0:c r="E416" s="28" t="str">
        <ns0:f>IF(A416="","",YEAR(A416)&amp;"-"&amp;RIGHT("0"&amp;MONTH(A416),2))</ns0:f>
        <ns0:v/>
      </ns0:c>
      <ns0:c r="F416" s="28" t="str">
        <ns0:f>IF(OR(A416="",B416="",C416&lt;=0),"",IF(SUMPRODUCT(('Müşteriler'!$B$2:$B$101&lt;&gt;"")*ISNUMBER(SEARCH('Müşteriler'!$B$2:$B$101,B416)))=1,IFERROR(INDEX('Müşteriler'!$A$2:$A$101,SUMPRODUCT(('Müşteriler'!$B$2:$B$101&lt;&gt;"")*ISNUMBER(SEARCH('Müşteriler'!$B$2:$B$101,B416)),ROW('Müşteriler'!$B$2:$B$101)-ROW('Müşteriler'!$B$2)+1)),""),""))</ns0:f>
        <ns0:v/>
      </ns0:c>
      <ns0:c r="G416" s="28" t="str">
        <ns0:f>IF(F416="","",IFERROR(INDEX('Müşteriler'!$C$2:$C$101,MATCH(F416,'Müşteriler'!$A$2:$A$101,0)),""))</ns0:f>
        <ns0:v/>
      </ns0:c>
      <ns0:c r="H416" s="28" t="str">
        <ns0:f>IF(A416="","",IF(C416&lt;=0,"Satış dışı",IF(OR(F416="",G416=""),"Eşleşmedi","Eşleşti")))</ns0:f>
        <ns0:v/>
      </ns0:c>
      <ns0:c r="I416" s="28">
        <ns0:f>I415+IF(AND(H416="Eşleşmedi",E416='Panel'!$B$4),1,0)</ns0:f>
        <ns0:v>3.0</ns0:v>
      </ns0:c>
    </ns0:row>
    <ns0:row r="417" ht="21" customHeight="1">
      <ns0:c r="A417" s="25" t="n"/>
      <ns0:c r="B417" s="26" t="n"/>
      <ns0:c r="C417" s="27" t="n"/>
      <ns0:c r="D417" s="27" t="n"/>
      <ns0:c r="E417" s="28" t="str">
        <ns0:f>IF(A417="","",YEAR(A417)&amp;"-"&amp;RIGHT("0"&amp;MONTH(A417),2))</ns0:f>
        <ns0:v/>
      </ns0:c>
      <ns0:c r="F417" s="28" t="str">
        <ns0:f>IF(OR(A417="",B417="",C417&lt;=0),"",IF(SUMPRODUCT(('Müşteriler'!$B$2:$B$101&lt;&gt;"")*ISNUMBER(SEARCH('Müşteriler'!$B$2:$B$101,B417)))=1,IFERROR(INDEX('Müşteriler'!$A$2:$A$101,SUMPRODUCT(('Müşteriler'!$B$2:$B$101&lt;&gt;"")*ISNUMBER(SEARCH('Müşteriler'!$B$2:$B$101,B417)),ROW('Müşteriler'!$B$2:$B$101)-ROW('Müşteriler'!$B$2)+1)),""),""))</ns0:f>
        <ns0:v/>
      </ns0:c>
      <ns0:c r="G417" s="28" t="str">
        <ns0:f>IF(F417="","",IFERROR(INDEX('Müşteriler'!$C$2:$C$101,MATCH(F417,'Müşteriler'!$A$2:$A$101,0)),""))</ns0:f>
        <ns0:v/>
      </ns0:c>
      <ns0:c r="H417" s="28" t="str">
        <ns0:f>IF(A417="","",IF(C417&lt;=0,"Satış dışı",IF(OR(F417="",G417=""),"Eşleşmedi","Eşleşti")))</ns0:f>
        <ns0:v/>
      </ns0:c>
      <ns0:c r="I417" s="28">
        <ns0:f>I416+IF(AND(H417="Eşleşmedi",E417='Panel'!$B$4),1,0)</ns0:f>
        <ns0:v>3.0</ns0:v>
      </ns0:c>
    </ns0:row>
    <ns0:row r="418" ht="21" customHeight="1">
      <ns0:c r="A418" s="25" t="n"/>
      <ns0:c r="B418" s="26" t="n"/>
      <ns0:c r="C418" s="27" t="n"/>
      <ns0:c r="D418" s="27" t="n"/>
      <ns0:c r="E418" s="28" t="str">
        <ns0:f>IF(A418="","",YEAR(A418)&amp;"-"&amp;RIGHT("0"&amp;MONTH(A418),2))</ns0:f>
        <ns0:v/>
      </ns0:c>
      <ns0:c r="F418" s="28" t="str">
        <ns0:f>IF(OR(A418="",B418="",C418&lt;=0),"",IF(SUMPRODUCT(('Müşteriler'!$B$2:$B$101&lt;&gt;"")*ISNUMBER(SEARCH('Müşteriler'!$B$2:$B$101,B418)))=1,IFERROR(INDEX('Müşteriler'!$A$2:$A$101,SUMPRODUCT(('Müşteriler'!$B$2:$B$101&lt;&gt;"")*ISNUMBER(SEARCH('Müşteriler'!$B$2:$B$101,B418)),ROW('Müşteriler'!$B$2:$B$101)-ROW('Müşteriler'!$B$2)+1)),""),""))</ns0:f>
        <ns0:v/>
      </ns0:c>
      <ns0:c r="G418" s="28" t="str">
        <ns0:f>IF(F418="","",IFERROR(INDEX('Müşteriler'!$C$2:$C$101,MATCH(F418,'Müşteriler'!$A$2:$A$101,0)),""))</ns0:f>
        <ns0:v/>
      </ns0:c>
      <ns0:c r="H418" s="28" t="str">
        <ns0:f>IF(A418="","",IF(C418&lt;=0,"Satış dışı",IF(OR(F418="",G418=""),"Eşleşmedi","Eşleşti")))</ns0:f>
        <ns0:v/>
      </ns0:c>
      <ns0:c r="I418" s="28">
        <ns0:f>I417+IF(AND(H418="Eşleşmedi",E418='Panel'!$B$4),1,0)</ns0:f>
        <ns0:v>3.0</ns0:v>
      </ns0:c>
    </ns0:row>
    <ns0:row r="419" ht="21" customHeight="1">
      <ns0:c r="A419" s="25" t="n"/>
      <ns0:c r="B419" s="26" t="n"/>
      <ns0:c r="C419" s="27" t="n"/>
      <ns0:c r="D419" s="27" t="n"/>
      <ns0:c r="E419" s="28" t="str">
        <ns0:f>IF(A419="","",YEAR(A419)&amp;"-"&amp;RIGHT("0"&amp;MONTH(A419),2))</ns0:f>
        <ns0:v/>
      </ns0:c>
      <ns0:c r="F419" s="28" t="str">
        <ns0:f>IF(OR(A419="",B419="",C419&lt;=0),"",IF(SUMPRODUCT(('Müşteriler'!$B$2:$B$101&lt;&gt;"")*ISNUMBER(SEARCH('Müşteriler'!$B$2:$B$101,B419)))=1,IFERROR(INDEX('Müşteriler'!$A$2:$A$101,SUMPRODUCT(('Müşteriler'!$B$2:$B$101&lt;&gt;"")*ISNUMBER(SEARCH('Müşteriler'!$B$2:$B$101,B419)),ROW('Müşteriler'!$B$2:$B$101)-ROW('Müşteriler'!$B$2)+1)),""),""))</ns0:f>
        <ns0:v/>
      </ns0:c>
      <ns0:c r="G419" s="28" t="str">
        <ns0:f>IF(F419="","",IFERROR(INDEX('Müşteriler'!$C$2:$C$101,MATCH(F419,'Müşteriler'!$A$2:$A$101,0)),""))</ns0:f>
        <ns0:v/>
      </ns0:c>
      <ns0:c r="H419" s="28" t="str">
        <ns0:f>IF(A419="","",IF(C419&lt;=0,"Satış dışı",IF(OR(F419="",G419=""),"Eşleşmedi","Eşleşti")))</ns0:f>
        <ns0:v/>
      </ns0:c>
      <ns0:c r="I419" s="28">
        <ns0:f>I418+IF(AND(H419="Eşleşmedi",E419='Panel'!$B$4),1,0)</ns0:f>
        <ns0:v>3.0</ns0:v>
      </ns0:c>
    </ns0:row>
    <ns0:row r="420" ht="21" customHeight="1">
      <ns0:c r="A420" s="25" t="n"/>
      <ns0:c r="B420" s="26" t="n"/>
      <ns0:c r="C420" s="27" t="n"/>
      <ns0:c r="D420" s="27" t="n"/>
      <ns0:c r="E420" s="28" t="str">
        <ns0:f>IF(A420="","",YEAR(A420)&amp;"-"&amp;RIGHT("0"&amp;MONTH(A420),2))</ns0:f>
        <ns0:v/>
      </ns0:c>
      <ns0:c r="F420" s="28" t="str">
        <ns0:f>IF(OR(A420="",B420="",C420&lt;=0),"",IF(SUMPRODUCT(('Müşteriler'!$B$2:$B$101&lt;&gt;"")*ISNUMBER(SEARCH('Müşteriler'!$B$2:$B$101,B420)))=1,IFERROR(INDEX('Müşteriler'!$A$2:$A$101,SUMPRODUCT(('Müşteriler'!$B$2:$B$101&lt;&gt;"")*ISNUMBER(SEARCH('Müşteriler'!$B$2:$B$101,B420)),ROW('Müşteriler'!$B$2:$B$101)-ROW('Müşteriler'!$B$2)+1)),""),""))</ns0:f>
        <ns0:v/>
      </ns0:c>
      <ns0:c r="G420" s="28" t="str">
        <ns0:f>IF(F420="","",IFERROR(INDEX('Müşteriler'!$C$2:$C$101,MATCH(F420,'Müşteriler'!$A$2:$A$101,0)),""))</ns0:f>
        <ns0:v/>
      </ns0:c>
      <ns0:c r="H420" s="28" t="str">
        <ns0:f>IF(A420="","",IF(C420&lt;=0,"Satış dışı",IF(OR(F420="",G420=""),"Eşleşmedi","Eşleşti")))</ns0:f>
        <ns0:v/>
      </ns0:c>
      <ns0:c r="I420" s="28">
        <ns0:f>I419+IF(AND(H420="Eşleşmedi",E420='Panel'!$B$4),1,0)</ns0:f>
        <ns0:v>3.0</ns0:v>
      </ns0:c>
    </ns0:row>
    <ns0:row r="421" ht="21" customHeight="1">
      <ns0:c r="A421" s="25" t="n"/>
      <ns0:c r="B421" s="26" t="n"/>
      <ns0:c r="C421" s="27" t="n"/>
      <ns0:c r="D421" s="27" t="n"/>
      <ns0:c r="E421" s="28" t="str">
        <ns0:f>IF(A421="","",YEAR(A421)&amp;"-"&amp;RIGHT("0"&amp;MONTH(A421),2))</ns0:f>
        <ns0:v/>
      </ns0:c>
      <ns0:c r="F421" s="28" t="str">
        <ns0:f>IF(OR(A421="",B421="",C421&lt;=0),"",IF(SUMPRODUCT(('Müşteriler'!$B$2:$B$101&lt;&gt;"")*ISNUMBER(SEARCH('Müşteriler'!$B$2:$B$101,B421)))=1,IFERROR(INDEX('Müşteriler'!$A$2:$A$101,SUMPRODUCT(('Müşteriler'!$B$2:$B$101&lt;&gt;"")*ISNUMBER(SEARCH('Müşteriler'!$B$2:$B$101,B421)),ROW('Müşteriler'!$B$2:$B$101)-ROW('Müşteriler'!$B$2)+1)),""),""))</ns0:f>
        <ns0:v/>
      </ns0:c>
      <ns0:c r="G421" s="28" t="str">
        <ns0:f>IF(F421="","",IFERROR(INDEX('Müşteriler'!$C$2:$C$101,MATCH(F421,'Müşteriler'!$A$2:$A$101,0)),""))</ns0:f>
        <ns0:v/>
      </ns0:c>
      <ns0:c r="H421" s="28" t="str">
        <ns0:f>IF(A421="","",IF(C421&lt;=0,"Satış dışı",IF(OR(F421="",G421=""),"Eşleşmedi","Eşleşti")))</ns0:f>
        <ns0:v/>
      </ns0:c>
      <ns0:c r="I421" s="28">
        <ns0:f>I420+IF(AND(H421="Eşleşmedi",E421='Panel'!$B$4),1,0)</ns0:f>
        <ns0:v>3.0</ns0:v>
      </ns0:c>
    </ns0:row>
    <ns0:row r="422" ht="21" customHeight="1">
      <ns0:c r="A422" s="25" t="n"/>
      <ns0:c r="B422" s="26" t="n"/>
      <ns0:c r="C422" s="27" t="n"/>
      <ns0:c r="D422" s="27" t="n"/>
      <ns0:c r="E422" s="28" t="str">
        <ns0:f>IF(A422="","",YEAR(A422)&amp;"-"&amp;RIGHT("0"&amp;MONTH(A422),2))</ns0:f>
        <ns0:v/>
      </ns0:c>
      <ns0:c r="F422" s="28" t="str">
        <ns0:f>IF(OR(A422="",B422="",C422&lt;=0),"",IF(SUMPRODUCT(('Müşteriler'!$B$2:$B$101&lt;&gt;"")*ISNUMBER(SEARCH('Müşteriler'!$B$2:$B$101,B422)))=1,IFERROR(INDEX('Müşteriler'!$A$2:$A$101,SUMPRODUCT(('Müşteriler'!$B$2:$B$101&lt;&gt;"")*ISNUMBER(SEARCH('Müşteriler'!$B$2:$B$101,B422)),ROW('Müşteriler'!$B$2:$B$101)-ROW('Müşteriler'!$B$2)+1)),""),""))</ns0:f>
        <ns0:v/>
      </ns0:c>
      <ns0:c r="G422" s="28" t="str">
        <ns0:f>IF(F422="","",IFERROR(INDEX('Müşteriler'!$C$2:$C$101,MATCH(F422,'Müşteriler'!$A$2:$A$101,0)),""))</ns0:f>
        <ns0:v/>
      </ns0:c>
      <ns0:c r="H422" s="28" t="str">
        <ns0:f>IF(A422="","",IF(C422&lt;=0,"Satış dışı",IF(OR(F422="",G422=""),"Eşleşmedi","Eşleşti")))</ns0:f>
        <ns0:v/>
      </ns0:c>
      <ns0:c r="I422" s="28">
        <ns0:f>I421+IF(AND(H422="Eşleşmedi",E422='Panel'!$B$4),1,0)</ns0:f>
        <ns0:v>3.0</ns0:v>
      </ns0:c>
    </ns0:row>
    <ns0:row r="423" ht="21" customHeight="1">
      <ns0:c r="A423" s="25" t="n"/>
      <ns0:c r="B423" s="26" t="n"/>
      <ns0:c r="C423" s="27" t="n"/>
      <ns0:c r="D423" s="27" t="n"/>
      <ns0:c r="E423" s="28" t="str">
        <ns0:f>IF(A423="","",YEAR(A423)&amp;"-"&amp;RIGHT("0"&amp;MONTH(A423),2))</ns0:f>
        <ns0:v/>
      </ns0:c>
      <ns0:c r="F423" s="28" t="str">
        <ns0:f>IF(OR(A423="",B423="",C423&lt;=0),"",IF(SUMPRODUCT(('Müşteriler'!$B$2:$B$101&lt;&gt;"")*ISNUMBER(SEARCH('Müşteriler'!$B$2:$B$101,B423)))=1,IFERROR(INDEX('Müşteriler'!$A$2:$A$101,SUMPRODUCT(('Müşteriler'!$B$2:$B$101&lt;&gt;"")*ISNUMBER(SEARCH('Müşteriler'!$B$2:$B$101,B423)),ROW('Müşteriler'!$B$2:$B$101)-ROW('Müşteriler'!$B$2)+1)),""),""))</ns0:f>
        <ns0:v/>
      </ns0:c>
      <ns0:c r="G423" s="28" t="str">
        <ns0:f>IF(F423="","",IFERROR(INDEX('Müşteriler'!$C$2:$C$101,MATCH(F423,'Müşteriler'!$A$2:$A$101,0)),""))</ns0:f>
        <ns0:v/>
      </ns0:c>
      <ns0:c r="H423" s="28" t="str">
        <ns0:f>IF(A423="","",IF(C423&lt;=0,"Satış dışı",IF(OR(F423="",G423=""),"Eşleşmedi","Eşleşti")))</ns0:f>
        <ns0:v/>
      </ns0:c>
      <ns0:c r="I423" s="28">
        <ns0:f>I422+IF(AND(H423="Eşleşmedi",E423='Panel'!$B$4),1,0)</ns0:f>
        <ns0:v>3.0</ns0:v>
      </ns0:c>
    </ns0:row>
    <ns0:row r="424" ht="21" customHeight="1">
      <ns0:c r="A424" s="25" t="n"/>
      <ns0:c r="B424" s="26" t="n"/>
      <ns0:c r="C424" s="27" t="n"/>
      <ns0:c r="D424" s="27" t="n"/>
      <ns0:c r="E424" s="28" t="str">
        <ns0:f>IF(A424="","",YEAR(A424)&amp;"-"&amp;RIGHT("0"&amp;MONTH(A424),2))</ns0:f>
        <ns0:v/>
      </ns0:c>
      <ns0:c r="F424" s="28" t="str">
        <ns0:f>IF(OR(A424="",B424="",C424&lt;=0),"",IF(SUMPRODUCT(('Müşteriler'!$B$2:$B$101&lt;&gt;"")*ISNUMBER(SEARCH('Müşteriler'!$B$2:$B$101,B424)))=1,IFERROR(INDEX('Müşteriler'!$A$2:$A$101,SUMPRODUCT(('Müşteriler'!$B$2:$B$101&lt;&gt;"")*ISNUMBER(SEARCH('Müşteriler'!$B$2:$B$101,B424)),ROW('Müşteriler'!$B$2:$B$101)-ROW('Müşteriler'!$B$2)+1)),""),""))</ns0:f>
        <ns0:v/>
      </ns0:c>
      <ns0:c r="G424" s="28" t="str">
        <ns0:f>IF(F424="","",IFERROR(INDEX('Müşteriler'!$C$2:$C$101,MATCH(F424,'Müşteriler'!$A$2:$A$101,0)),""))</ns0:f>
        <ns0:v/>
      </ns0:c>
      <ns0:c r="H424" s="28" t="str">
        <ns0:f>IF(A424="","",IF(C424&lt;=0,"Satış dışı",IF(OR(F424="",G424=""),"Eşleşmedi","Eşleşti")))</ns0:f>
        <ns0:v/>
      </ns0:c>
      <ns0:c r="I424" s="28">
        <ns0:f>I423+IF(AND(H424="Eşleşmedi",E424='Panel'!$B$4),1,0)</ns0:f>
        <ns0:v>3.0</ns0:v>
      </ns0:c>
    </ns0:row>
    <ns0:row r="425" ht="21" customHeight="1">
      <ns0:c r="A425" s="25" t="n"/>
      <ns0:c r="B425" s="26" t="n"/>
      <ns0:c r="C425" s="27" t="n"/>
      <ns0:c r="D425" s="27" t="n"/>
      <ns0:c r="E425" s="28" t="str">
        <ns0:f>IF(A425="","",YEAR(A425)&amp;"-"&amp;RIGHT("0"&amp;MONTH(A425),2))</ns0:f>
        <ns0:v/>
      </ns0:c>
      <ns0:c r="F425" s="28" t="str">
        <ns0:f>IF(OR(A425="",B425="",C425&lt;=0),"",IF(SUMPRODUCT(('Müşteriler'!$B$2:$B$101&lt;&gt;"")*ISNUMBER(SEARCH('Müşteriler'!$B$2:$B$101,B425)))=1,IFERROR(INDEX('Müşteriler'!$A$2:$A$101,SUMPRODUCT(('Müşteriler'!$B$2:$B$101&lt;&gt;"")*ISNUMBER(SEARCH('Müşteriler'!$B$2:$B$101,B425)),ROW('Müşteriler'!$B$2:$B$101)-ROW('Müşteriler'!$B$2)+1)),""),""))</ns0:f>
        <ns0:v/>
      </ns0:c>
      <ns0:c r="G425" s="28" t="str">
        <ns0:f>IF(F425="","",IFERROR(INDEX('Müşteriler'!$C$2:$C$101,MATCH(F425,'Müşteriler'!$A$2:$A$101,0)),""))</ns0:f>
        <ns0:v/>
      </ns0:c>
      <ns0:c r="H425" s="28" t="str">
        <ns0:f>IF(A425="","",IF(C425&lt;=0,"Satış dışı",IF(OR(F425="",G425=""),"Eşleşmedi","Eşleşti")))</ns0:f>
        <ns0:v/>
      </ns0:c>
      <ns0:c r="I425" s="28">
        <ns0:f>I424+IF(AND(H425="Eşleşmedi",E425='Panel'!$B$4),1,0)</ns0:f>
        <ns0:v>3.0</ns0:v>
      </ns0:c>
    </ns0:row>
    <ns0:row r="426" ht="21" customHeight="1">
      <ns0:c r="A426" s="25" t="n"/>
      <ns0:c r="B426" s="26" t="n"/>
      <ns0:c r="C426" s="27" t="n"/>
      <ns0:c r="D426" s="27" t="n"/>
      <ns0:c r="E426" s="28" t="str">
        <ns0:f>IF(A426="","",YEAR(A426)&amp;"-"&amp;RIGHT("0"&amp;MONTH(A426),2))</ns0:f>
        <ns0:v/>
      </ns0:c>
      <ns0:c r="F426" s="28" t="str">
        <ns0:f>IF(OR(A426="",B426="",C426&lt;=0),"",IF(SUMPRODUCT(('Müşteriler'!$B$2:$B$101&lt;&gt;"")*ISNUMBER(SEARCH('Müşteriler'!$B$2:$B$101,B426)))=1,IFERROR(INDEX('Müşteriler'!$A$2:$A$101,SUMPRODUCT(('Müşteriler'!$B$2:$B$101&lt;&gt;"")*ISNUMBER(SEARCH('Müşteriler'!$B$2:$B$101,B426)),ROW('Müşteriler'!$B$2:$B$101)-ROW('Müşteriler'!$B$2)+1)),""),""))</ns0:f>
        <ns0:v/>
      </ns0:c>
      <ns0:c r="G426" s="28" t="str">
        <ns0:f>IF(F426="","",IFERROR(INDEX('Müşteriler'!$C$2:$C$101,MATCH(F426,'Müşteriler'!$A$2:$A$101,0)),""))</ns0:f>
        <ns0:v/>
      </ns0:c>
      <ns0:c r="H426" s="28" t="str">
        <ns0:f>IF(A426="","",IF(C426&lt;=0,"Satış dışı",IF(OR(F426="",G426=""),"Eşleşmedi","Eşleşti")))</ns0:f>
        <ns0:v/>
      </ns0:c>
      <ns0:c r="I426" s="28">
        <ns0:f>I425+IF(AND(H426="Eşleşmedi",E426='Panel'!$B$4),1,0)</ns0:f>
        <ns0:v>3.0</ns0:v>
      </ns0:c>
    </ns0:row>
    <ns0:row r="427" ht="21" customHeight="1">
      <ns0:c r="A427" s="25" t="n"/>
      <ns0:c r="B427" s="26" t="n"/>
      <ns0:c r="C427" s="27" t="n"/>
      <ns0:c r="D427" s="27" t="n"/>
      <ns0:c r="E427" s="28" t="str">
        <ns0:f>IF(A427="","",YEAR(A427)&amp;"-"&amp;RIGHT("0"&amp;MONTH(A427),2))</ns0:f>
        <ns0:v/>
      </ns0:c>
      <ns0:c r="F427" s="28" t="str">
        <ns0:f>IF(OR(A427="",B427="",C427&lt;=0),"",IF(SUMPRODUCT(('Müşteriler'!$B$2:$B$101&lt;&gt;"")*ISNUMBER(SEARCH('Müşteriler'!$B$2:$B$101,B427)))=1,IFERROR(INDEX('Müşteriler'!$A$2:$A$101,SUMPRODUCT(('Müşteriler'!$B$2:$B$101&lt;&gt;"")*ISNUMBER(SEARCH('Müşteriler'!$B$2:$B$101,B427)),ROW('Müşteriler'!$B$2:$B$101)-ROW('Müşteriler'!$B$2)+1)),""),""))</ns0:f>
        <ns0:v/>
      </ns0:c>
      <ns0:c r="G427" s="28" t="str">
        <ns0:f>IF(F427="","",IFERROR(INDEX('Müşteriler'!$C$2:$C$101,MATCH(F427,'Müşteriler'!$A$2:$A$101,0)),""))</ns0:f>
        <ns0:v/>
      </ns0:c>
      <ns0:c r="H427" s="28" t="str">
        <ns0:f>IF(A427="","",IF(C427&lt;=0,"Satış dışı",IF(OR(F427="",G427=""),"Eşleşmedi","Eşleşti")))</ns0:f>
        <ns0:v/>
      </ns0:c>
      <ns0:c r="I427" s="28">
        <ns0:f>I426+IF(AND(H427="Eşleşmedi",E427='Panel'!$B$4),1,0)</ns0:f>
        <ns0:v>3.0</ns0:v>
      </ns0:c>
    </ns0:row>
    <ns0:row r="428" ht="21" customHeight="1">
      <ns0:c r="A428" s="25" t="n"/>
      <ns0:c r="B428" s="26" t="n"/>
      <ns0:c r="C428" s="27" t="n"/>
      <ns0:c r="D428" s="27" t="n"/>
      <ns0:c r="E428" s="28" t="str">
        <ns0:f>IF(A428="","",YEAR(A428)&amp;"-"&amp;RIGHT("0"&amp;MONTH(A428),2))</ns0:f>
        <ns0:v/>
      </ns0:c>
      <ns0:c r="F428" s="28" t="str">
        <ns0:f>IF(OR(A428="",B428="",C428&lt;=0),"",IF(SUMPRODUCT(('Müşteriler'!$B$2:$B$101&lt;&gt;"")*ISNUMBER(SEARCH('Müşteriler'!$B$2:$B$101,B428)))=1,IFERROR(INDEX('Müşteriler'!$A$2:$A$101,SUMPRODUCT(('Müşteriler'!$B$2:$B$101&lt;&gt;"")*ISNUMBER(SEARCH('Müşteriler'!$B$2:$B$101,B428)),ROW('Müşteriler'!$B$2:$B$101)-ROW('Müşteriler'!$B$2)+1)),""),""))</ns0:f>
        <ns0:v/>
      </ns0:c>
      <ns0:c r="G428" s="28" t="str">
        <ns0:f>IF(F428="","",IFERROR(INDEX('Müşteriler'!$C$2:$C$101,MATCH(F428,'Müşteriler'!$A$2:$A$101,0)),""))</ns0:f>
        <ns0:v/>
      </ns0:c>
      <ns0:c r="H428" s="28" t="str">
        <ns0:f>IF(A428="","",IF(C428&lt;=0,"Satış dışı",IF(OR(F428="",G428=""),"Eşleşmedi","Eşleşti")))</ns0:f>
        <ns0:v/>
      </ns0:c>
      <ns0:c r="I428" s="28">
        <ns0:f>I427+IF(AND(H428="Eşleşmedi",E428='Panel'!$B$4),1,0)</ns0:f>
        <ns0:v>3.0</ns0:v>
      </ns0:c>
    </ns0:row>
    <ns0:row r="429" ht="21" customHeight="1">
      <ns0:c r="A429" s="25" t="n"/>
      <ns0:c r="B429" s="26" t="n"/>
      <ns0:c r="C429" s="27" t="n"/>
      <ns0:c r="D429" s="27" t="n"/>
      <ns0:c r="E429" s="28" t="str">
        <ns0:f>IF(A429="","",YEAR(A429)&amp;"-"&amp;RIGHT("0"&amp;MONTH(A429),2))</ns0:f>
        <ns0:v/>
      </ns0:c>
      <ns0:c r="F429" s="28" t="str">
        <ns0:f>IF(OR(A429="",B429="",C429&lt;=0),"",IF(SUMPRODUCT(('Müşteriler'!$B$2:$B$101&lt;&gt;"")*ISNUMBER(SEARCH('Müşteriler'!$B$2:$B$101,B429)))=1,IFERROR(INDEX('Müşteriler'!$A$2:$A$101,SUMPRODUCT(('Müşteriler'!$B$2:$B$101&lt;&gt;"")*ISNUMBER(SEARCH('Müşteriler'!$B$2:$B$101,B429)),ROW('Müşteriler'!$B$2:$B$101)-ROW('Müşteriler'!$B$2)+1)),""),""))</ns0:f>
        <ns0:v/>
      </ns0:c>
      <ns0:c r="G429" s="28" t="str">
        <ns0:f>IF(F429="","",IFERROR(INDEX('Müşteriler'!$C$2:$C$101,MATCH(F429,'Müşteriler'!$A$2:$A$101,0)),""))</ns0:f>
        <ns0:v/>
      </ns0:c>
      <ns0:c r="H429" s="28" t="str">
        <ns0:f>IF(A429="","",IF(C429&lt;=0,"Satış dışı",IF(OR(F429="",G429=""),"Eşleşmedi","Eşleşti")))</ns0:f>
        <ns0:v/>
      </ns0:c>
      <ns0:c r="I429" s="28">
        <ns0:f>I428+IF(AND(H429="Eşleşmedi",E429='Panel'!$B$4),1,0)</ns0:f>
        <ns0:v>3.0</ns0:v>
      </ns0:c>
    </ns0:row>
    <ns0:row r="430" ht="21" customHeight="1">
      <ns0:c r="A430" s="25" t="n"/>
      <ns0:c r="B430" s="26" t="n"/>
      <ns0:c r="C430" s="27" t="n"/>
      <ns0:c r="D430" s="27" t="n"/>
      <ns0:c r="E430" s="28" t="str">
        <ns0:f>IF(A430="","",YEAR(A430)&amp;"-"&amp;RIGHT("0"&amp;MONTH(A430),2))</ns0:f>
        <ns0:v/>
      </ns0:c>
      <ns0:c r="F430" s="28" t="str">
        <ns0:f>IF(OR(A430="",B430="",C430&lt;=0),"",IF(SUMPRODUCT(('Müşteriler'!$B$2:$B$101&lt;&gt;"")*ISNUMBER(SEARCH('Müşteriler'!$B$2:$B$101,B430)))=1,IFERROR(INDEX('Müşteriler'!$A$2:$A$101,SUMPRODUCT(('Müşteriler'!$B$2:$B$101&lt;&gt;"")*ISNUMBER(SEARCH('Müşteriler'!$B$2:$B$101,B430)),ROW('Müşteriler'!$B$2:$B$101)-ROW('Müşteriler'!$B$2)+1)),""),""))</ns0:f>
        <ns0:v/>
      </ns0:c>
      <ns0:c r="G430" s="28" t="str">
        <ns0:f>IF(F430="","",IFERROR(INDEX('Müşteriler'!$C$2:$C$101,MATCH(F430,'Müşteriler'!$A$2:$A$101,0)),""))</ns0:f>
        <ns0:v/>
      </ns0:c>
      <ns0:c r="H430" s="28" t="str">
        <ns0:f>IF(A430="","",IF(C430&lt;=0,"Satış dışı",IF(OR(F430="",G430=""),"Eşleşmedi","Eşleşti")))</ns0:f>
        <ns0:v/>
      </ns0:c>
      <ns0:c r="I430" s="28">
        <ns0:f>I429+IF(AND(H430="Eşleşmedi",E430='Panel'!$B$4),1,0)</ns0:f>
        <ns0:v>3.0</ns0:v>
      </ns0:c>
    </ns0:row>
    <ns0:row r="431" ht="21" customHeight="1">
      <ns0:c r="A431" s="25" t="n"/>
      <ns0:c r="B431" s="26" t="n"/>
      <ns0:c r="C431" s="27" t="n"/>
      <ns0:c r="D431" s="27" t="n"/>
      <ns0:c r="E431" s="28" t="str">
        <ns0:f>IF(A431="","",YEAR(A431)&amp;"-"&amp;RIGHT("0"&amp;MONTH(A431),2))</ns0:f>
        <ns0:v/>
      </ns0:c>
      <ns0:c r="F431" s="28" t="str">
        <ns0:f>IF(OR(A431="",B431="",C431&lt;=0),"",IF(SUMPRODUCT(('Müşteriler'!$B$2:$B$101&lt;&gt;"")*ISNUMBER(SEARCH('Müşteriler'!$B$2:$B$101,B431)))=1,IFERROR(INDEX('Müşteriler'!$A$2:$A$101,SUMPRODUCT(('Müşteriler'!$B$2:$B$101&lt;&gt;"")*ISNUMBER(SEARCH('Müşteriler'!$B$2:$B$101,B431)),ROW('Müşteriler'!$B$2:$B$101)-ROW('Müşteriler'!$B$2)+1)),""),""))</ns0:f>
        <ns0:v/>
      </ns0:c>
      <ns0:c r="G431" s="28" t="str">
        <ns0:f>IF(F431="","",IFERROR(INDEX('Müşteriler'!$C$2:$C$101,MATCH(F431,'Müşteriler'!$A$2:$A$101,0)),""))</ns0:f>
        <ns0:v/>
      </ns0:c>
      <ns0:c r="H431" s="28" t="str">
        <ns0:f>IF(A431="","",IF(C431&lt;=0,"Satış dışı",IF(OR(F431="",G431=""),"Eşleşmedi","Eşleşti")))</ns0:f>
        <ns0:v/>
      </ns0:c>
      <ns0:c r="I431" s="28">
        <ns0:f>I430+IF(AND(H431="Eşleşmedi",E431='Panel'!$B$4),1,0)</ns0:f>
        <ns0:v>3.0</ns0:v>
      </ns0:c>
    </ns0:row>
    <ns0:row r="432" ht="21" customHeight="1">
      <ns0:c r="A432" s="25" t="n"/>
      <ns0:c r="B432" s="26" t="n"/>
      <ns0:c r="C432" s="27" t="n"/>
      <ns0:c r="D432" s="27" t="n"/>
      <ns0:c r="E432" s="28" t="str">
        <ns0:f>IF(A432="","",YEAR(A432)&amp;"-"&amp;RIGHT("0"&amp;MONTH(A432),2))</ns0:f>
        <ns0:v/>
      </ns0:c>
      <ns0:c r="F432" s="28" t="str">
        <ns0:f>IF(OR(A432="",B432="",C432&lt;=0),"",IF(SUMPRODUCT(('Müşteriler'!$B$2:$B$101&lt;&gt;"")*ISNUMBER(SEARCH('Müşteriler'!$B$2:$B$101,B432)))=1,IFERROR(INDEX('Müşteriler'!$A$2:$A$101,SUMPRODUCT(('Müşteriler'!$B$2:$B$101&lt;&gt;"")*ISNUMBER(SEARCH('Müşteriler'!$B$2:$B$101,B432)),ROW('Müşteriler'!$B$2:$B$101)-ROW('Müşteriler'!$B$2)+1)),""),""))</ns0:f>
        <ns0:v/>
      </ns0:c>
      <ns0:c r="G432" s="28" t="str">
        <ns0:f>IF(F432="","",IFERROR(INDEX('Müşteriler'!$C$2:$C$101,MATCH(F432,'Müşteriler'!$A$2:$A$101,0)),""))</ns0:f>
        <ns0:v/>
      </ns0:c>
      <ns0:c r="H432" s="28" t="str">
        <ns0:f>IF(A432="","",IF(C432&lt;=0,"Satış dışı",IF(OR(F432="",G432=""),"Eşleşmedi","Eşleşti")))</ns0:f>
        <ns0:v/>
      </ns0:c>
      <ns0:c r="I432" s="28">
        <ns0:f>I431+IF(AND(H432="Eşleşmedi",E432='Panel'!$B$4),1,0)</ns0:f>
        <ns0:v>3.0</ns0:v>
      </ns0:c>
    </ns0:row>
    <ns0:row r="433" ht="21" customHeight="1">
      <ns0:c r="A433" s="25" t="n"/>
      <ns0:c r="B433" s="26" t="n"/>
      <ns0:c r="C433" s="27" t="n"/>
      <ns0:c r="D433" s="27" t="n"/>
      <ns0:c r="E433" s="28" t="str">
        <ns0:f>IF(A433="","",YEAR(A433)&amp;"-"&amp;RIGHT("0"&amp;MONTH(A433),2))</ns0:f>
        <ns0:v/>
      </ns0:c>
      <ns0:c r="F433" s="28" t="str">
        <ns0:f>IF(OR(A433="",B433="",C433&lt;=0),"",IF(SUMPRODUCT(('Müşteriler'!$B$2:$B$101&lt;&gt;"")*ISNUMBER(SEARCH('Müşteriler'!$B$2:$B$101,B433)))=1,IFERROR(INDEX('Müşteriler'!$A$2:$A$101,SUMPRODUCT(('Müşteriler'!$B$2:$B$101&lt;&gt;"")*ISNUMBER(SEARCH('Müşteriler'!$B$2:$B$101,B433)),ROW('Müşteriler'!$B$2:$B$101)-ROW('Müşteriler'!$B$2)+1)),""),""))</ns0:f>
        <ns0:v/>
      </ns0:c>
      <ns0:c r="G433" s="28" t="str">
        <ns0:f>IF(F433="","",IFERROR(INDEX('Müşteriler'!$C$2:$C$101,MATCH(F433,'Müşteriler'!$A$2:$A$101,0)),""))</ns0:f>
        <ns0:v/>
      </ns0:c>
      <ns0:c r="H433" s="28" t="str">
        <ns0:f>IF(A433="","",IF(C433&lt;=0,"Satış dışı",IF(OR(F433="",G433=""),"Eşleşmedi","Eşleşti")))</ns0:f>
        <ns0:v/>
      </ns0:c>
      <ns0:c r="I433" s="28">
        <ns0:f>I432+IF(AND(H433="Eşleşmedi",E433='Panel'!$B$4),1,0)</ns0:f>
        <ns0:v>3.0</ns0:v>
      </ns0:c>
    </ns0:row>
    <ns0:row r="434" ht="21" customHeight="1">
      <ns0:c r="A434" s="25" t="n"/>
      <ns0:c r="B434" s="26" t="n"/>
      <ns0:c r="C434" s="27" t="n"/>
      <ns0:c r="D434" s="27" t="n"/>
      <ns0:c r="E434" s="28" t="str">
        <ns0:f>IF(A434="","",YEAR(A434)&amp;"-"&amp;RIGHT("0"&amp;MONTH(A434),2))</ns0:f>
        <ns0:v/>
      </ns0:c>
      <ns0:c r="F434" s="28" t="str">
        <ns0:f>IF(OR(A434="",B434="",C434&lt;=0),"",IF(SUMPRODUCT(('Müşteriler'!$B$2:$B$101&lt;&gt;"")*ISNUMBER(SEARCH('Müşteriler'!$B$2:$B$101,B434)))=1,IFERROR(INDEX('Müşteriler'!$A$2:$A$101,SUMPRODUCT(('Müşteriler'!$B$2:$B$101&lt;&gt;"")*ISNUMBER(SEARCH('Müşteriler'!$B$2:$B$101,B434)),ROW('Müşteriler'!$B$2:$B$101)-ROW('Müşteriler'!$B$2)+1)),""),""))</ns0:f>
        <ns0:v/>
      </ns0:c>
      <ns0:c r="G434" s="28" t="str">
        <ns0:f>IF(F434="","",IFERROR(INDEX('Müşteriler'!$C$2:$C$101,MATCH(F434,'Müşteriler'!$A$2:$A$101,0)),""))</ns0:f>
        <ns0:v/>
      </ns0:c>
      <ns0:c r="H434" s="28" t="str">
        <ns0:f>IF(A434="","",IF(C434&lt;=0,"Satış dışı",IF(OR(F434="",G434=""),"Eşleşmedi","Eşleşti")))</ns0:f>
        <ns0:v/>
      </ns0:c>
      <ns0:c r="I434" s="28">
        <ns0:f>I433+IF(AND(H434="Eşleşmedi",E434='Panel'!$B$4),1,0)</ns0:f>
        <ns0:v>3.0</ns0:v>
      </ns0:c>
    </ns0:row>
    <ns0:row r="435" ht="21" customHeight="1">
      <ns0:c r="A435" s="25" t="n"/>
      <ns0:c r="B435" s="26" t="n"/>
      <ns0:c r="C435" s="27" t="n"/>
      <ns0:c r="D435" s="27" t="n"/>
      <ns0:c r="E435" s="28" t="str">
        <ns0:f>IF(A435="","",YEAR(A435)&amp;"-"&amp;RIGHT("0"&amp;MONTH(A435),2))</ns0:f>
        <ns0:v/>
      </ns0:c>
      <ns0:c r="F435" s="28" t="str">
        <ns0:f>IF(OR(A435="",B435="",C435&lt;=0),"",IF(SUMPRODUCT(('Müşteriler'!$B$2:$B$101&lt;&gt;"")*ISNUMBER(SEARCH('Müşteriler'!$B$2:$B$101,B435)))=1,IFERROR(INDEX('Müşteriler'!$A$2:$A$101,SUMPRODUCT(('Müşteriler'!$B$2:$B$101&lt;&gt;"")*ISNUMBER(SEARCH('Müşteriler'!$B$2:$B$101,B435)),ROW('Müşteriler'!$B$2:$B$101)-ROW('Müşteriler'!$B$2)+1)),""),""))</ns0:f>
        <ns0:v/>
      </ns0:c>
      <ns0:c r="G435" s="28" t="str">
        <ns0:f>IF(F435="","",IFERROR(INDEX('Müşteriler'!$C$2:$C$101,MATCH(F435,'Müşteriler'!$A$2:$A$101,0)),""))</ns0:f>
        <ns0:v/>
      </ns0:c>
      <ns0:c r="H435" s="28" t="str">
        <ns0:f>IF(A435="","",IF(C435&lt;=0,"Satış dışı",IF(OR(F435="",G435=""),"Eşleşmedi","Eşleşti")))</ns0:f>
        <ns0:v/>
      </ns0:c>
      <ns0:c r="I435" s="28">
        <ns0:f>I434+IF(AND(H435="Eşleşmedi",E435='Panel'!$B$4),1,0)</ns0:f>
        <ns0:v>3.0</ns0:v>
      </ns0:c>
    </ns0:row>
    <ns0:row r="436" ht="21" customHeight="1">
      <ns0:c r="A436" s="25" t="n"/>
      <ns0:c r="B436" s="26" t="n"/>
      <ns0:c r="C436" s="27" t="n"/>
      <ns0:c r="D436" s="27" t="n"/>
      <ns0:c r="E436" s="28" t="str">
        <ns0:f>IF(A436="","",YEAR(A436)&amp;"-"&amp;RIGHT("0"&amp;MONTH(A436),2))</ns0:f>
        <ns0:v/>
      </ns0:c>
      <ns0:c r="F436" s="28" t="str">
        <ns0:f>IF(OR(A436="",B436="",C436&lt;=0),"",IF(SUMPRODUCT(('Müşteriler'!$B$2:$B$101&lt;&gt;"")*ISNUMBER(SEARCH('Müşteriler'!$B$2:$B$101,B436)))=1,IFERROR(INDEX('Müşteriler'!$A$2:$A$101,SUMPRODUCT(('Müşteriler'!$B$2:$B$101&lt;&gt;"")*ISNUMBER(SEARCH('Müşteriler'!$B$2:$B$101,B436)),ROW('Müşteriler'!$B$2:$B$101)-ROW('Müşteriler'!$B$2)+1)),""),""))</ns0:f>
        <ns0:v/>
      </ns0:c>
      <ns0:c r="G436" s="28" t="str">
        <ns0:f>IF(F436="","",IFERROR(INDEX('Müşteriler'!$C$2:$C$101,MATCH(F436,'Müşteriler'!$A$2:$A$101,0)),""))</ns0:f>
        <ns0:v/>
      </ns0:c>
      <ns0:c r="H436" s="28" t="str">
        <ns0:f>IF(A436="","",IF(C436&lt;=0,"Satış dışı",IF(OR(F436="",G436=""),"Eşleşmedi","Eşleşti")))</ns0:f>
        <ns0:v/>
      </ns0:c>
      <ns0:c r="I436" s="28">
        <ns0:f>I435+IF(AND(H436="Eşleşmedi",E436='Panel'!$B$4),1,0)</ns0:f>
        <ns0:v>3.0</ns0:v>
      </ns0:c>
    </ns0:row>
    <ns0:row r="437" ht="21" customHeight="1">
      <ns0:c r="A437" s="25" t="n"/>
      <ns0:c r="B437" s="26" t="n"/>
      <ns0:c r="C437" s="27" t="n"/>
      <ns0:c r="D437" s="27" t="n"/>
      <ns0:c r="E437" s="28" t="str">
        <ns0:f>IF(A437="","",YEAR(A437)&amp;"-"&amp;RIGHT("0"&amp;MONTH(A437),2))</ns0:f>
        <ns0:v/>
      </ns0:c>
      <ns0:c r="F437" s="28" t="str">
        <ns0:f>IF(OR(A437="",B437="",C437&lt;=0),"",IF(SUMPRODUCT(('Müşteriler'!$B$2:$B$101&lt;&gt;"")*ISNUMBER(SEARCH('Müşteriler'!$B$2:$B$101,B437)))=1,IFERROR(INDEX('Müşteriler'!$A$2:$A$101,SUMPRODUCT(('Müşteriler'!$B$2:$B$101&lt;&gt;"")*ISNUMBER(SEARCH('Müşteriler'!$B$2:$B$101,B437)),ROW('Müşteriler'!$B$2:$B$101)-ROW('Müşteriler'!$B$2)+1)),""),""))</ns0:f>
        <ns0:v/>
      </ns0:c>
      <ns0:c r="G437" s="28" t="str">
        <ns0:f>IF(F437="","",IFERROR(INDEX('Müşteriler'!$C$2:$C$101,MATCH(F437,'Müşteriler'!$A$2:$A$101,0)),""))</ns0:f>
        <ns0:v/>
      </ns0:c>
      <ns0:c r="H437" s="28" t="str">
        <ns0:f>IF(A437="","",IF(C437&lt;=0,"Satış dışı",IF(OR(F437="",G437=""),"Eşleşmedi","Eşleşti")))</ns0:f>
        <ns0:v/>
      </ns0:c>
      <ns0:c r="I437" s="28">
        <ns0:f>I436+IF(AND(H437="Eşleşmedi",E437='Panel'!$B$4),1,0)</ns0:f>
        <ns0:v>3.0</ns0:v>
      </ns0:c>
    </ns0:row>
    <ns0:row r="438" ht="21" customHeight="1">
      <ns0:c r="A438" s="25" t="n"/>
      <ns0:c r="B438" s="26" t="n"/>
      <ns0:c r="C438" s="27" t="n"/>
      <ns0:c r="D438" s="27" t="n"/>
      <ns0:c r="E438" s="28" t="str">
        <ns0:f>IF(A438="","",YEAR(A438)&amp;"-"&amp;RIGHT("0"&amp;MONTH(A438),2))</ns0:f>
        <ns0:v/>
      </ns0:c>
      <ns0:c r="F438" s="28" t="str">
        <ns0:f>IF(OR(A438="",B438="",C438&lt;=0),"",IF(SUMPRODUCT(('Müşteriler'!$B$2:$B$101&lt;&gt;"")*ISNUMBER(SEARCH('Müşteriler'!$B$2:$B$101,B438)))=1,IFERROR(INDEX('Müşteriler'!$A$2:$A$101,SUMPRODUCT(('Müşteriler'!$B$2:$B$101&lt;&gt;"")*ISNUMBER(SEARCH('Müşteriler'!$B$2:$B$101,B438)),ROW('Müşteriler'!$B$2:$B$101)-ROW('Müşteriler'!$B$2)+1)),""),""))</ns0:f>
        <ns0:v/>
      </ns0:c>
      <ns0:c r="G438" s="28" t="str">
        <ns0:f>IF(F438="","",IFERROR(INDEX('Müşteriler'!$C$2:$C$101,MATCH(F438,'Müşteriler'!$A$2:$A$101,0)),""))</ns0:f>
        <ns0:v/>
      </ns0:c>
      <ns0:c r="H438" s="28" t="str">
        <ns0:f>IF(A438="","",IF(C438&lt;=0,"Satış dışı",IF(OR(F438="",G438=""),"Eşleşmedi","Eşleşti")))</ns0:f>
        <ns0:v/>
      </ns0:c>
      <ns0:c r="I438" s="28">
        <ns0:f>I437+IF(AND(H438="Eşleşmedi",E438='Panel'!$B$4),1,0)</ns0:f>
        <ns0:v>3.0</ns0:v>
      </ns0:c>
    </ns0:row>
    <ns0:row r="439" ht="21" customHeight="1">
      <ns0:c r="A439" s="25" t="n"/>
      <ns0:c r="B439" s="26" t="n"/>
      <ns0:c r="C439" s="27" t="n"/>
      <ns0:c r="D439" s="27" t="n"/>
      <ns0:c r="E439" s="28" t="str">
        <ns0:f>IF(A439="","",YEAR(A439)&amp;"-"&amp;RIGHT("0"&amp;MONTH(A439),2))</ns0:f>
        <ns0:v/>
      </ns0:c>
      <ns0:c r="F439" s="28" t="str">
        <ns0:f>IF(OR(A439="",B439="",C439&lt;=0),"",IF(SUMPRODUCT(('Müşteriler'!$B$2:$B$101&lt;&gt;"")*ISNUMBER(SEARCH('Müşteriler'!$B$2:$B$101,B439)))=1,IFERROR(INDEX('Müşteriler'!$A$2:$A$101,SUMPRODUCT(('Müşteriler'!$B$2:$B$101&lt;&gt;"")*ISNUMBER(SEARCH('Müşteriler'!$B$2:$B$101,B439)),ROW('Müşteriler'!$B$2:$B$101)-ROW('Müşteriler'!$B$2)+1)),""),""))</ns0:f>
        <ns0:v/>
      </ns0:c>
      <ns0:c r="G439" s="28" t="str">
        <ns0:f>IF(F439="","",IFERROR(INDEX('Müşteriler'!$C$2:$C$101,MATCH(F439,'Müşteriler'!$A$2:$A$101,0)),""))</ns0:f>
        <ns0:v/>
      </ns0:c>
      <ns0:c r="H439" s="28" t="str">
        <ns0:f>IF(A439="","",IF(C439&lt;=0,"Satış dışı",IF(OR(F439="",G439=""),"Eşleşmedi","Eşleşti")))</ns0:f>
        <ns0:v/>
      </ns0:c>
      <ns0:c r="I439" s="28">
        <ns0:f>I438+IF(AND(H439="Eşleşmedi",E439='Panel'!$B$4),1,0)</ns0:f>
        <ns0:v>3.0</ns0:v>
      </ns0:c>
    </ns0:row>
    <ns0:row r="440" ht="21" customHeight="1">
      <ns0:c r="A440" s="25" t="n"/>
      <ns0:c r="B440" s="26" t="n"/>
      <ns0:c r="C440" s="27" t="n"/>
      <ns0:c r="D440" s="27" t="n"/>
      <ns0:c r="E440" s="28" t="str">
        <ns0:f>IF(A440="","",YEAR(A440)&amp;"-"&amp;RIGHT("0"&amp;MONTH(A440),2))</ns0:f>
        <ns0:v/>
      </ns0:c>
      <ns0:c r="F440" s="28" t="str">
        <ns0:f>IF(OR(A440="",B440="",C440&lt;=0),"",IF(SUMPRODUCT(('Müşteriler'!$B$2:$B$101&lt;&gt;"")*ISNUMBER(SEARCH('Müşteriler'!$B$2:$B$101,B440)))=1,IFERROR(INDEX('Müşteriler'!$A$2:$A$101,SUMPRODUCT(('Müşteriler'!$B$2:$B$101&lt;&gt;"")*ISNUMBER(SEARCH('Müşteriler'!$B$2:$B$101,B440)),ROW('Müşteriler'!$B$2:$B$101)-ROW('Müşteriler'!$B$2)+1)),""),""))</ns0:f>
        <ns0:v/>
      </ns0:c>
      <ns0:c r="G440" s="28" t="str">
        <ns0:f>IF(F440="","",IFERROR(INDEX('Müşteriler'!$C$2:$C$101,MATCH(F440,'Müşteriler'!$A$2:$A$101,0)),""))</ns0:f>
        <ns0:v/>
      </ns0:c>
      <ns0:c r="H440" s="28" t="str">
        <ns0:f>IF(A440="","",IF(C440&lt;=0,"Satış dışı",IF(OR(F440="",G440=""),"Eşleşmedi","Eşleşti")))</ns0:f>
        <ns0:v/>
      </ns0:c>
      <ns0:c r="I440" s="28">
        <ns0:f>I439+IF(AND(H440="Eşleşmedi",E440='Panel'!$B$4),1,0)</ns0:f>
        <ns0:v>3.0</ns0:v>
      </ns0:c>
    </ns0:row>
    <ns0:row r="441" ht="21" customHeight="1">
      <ns0:c r="A441" s="25" t="n"/>
      <ns0:c r="B441" s="26" t="n"/>
      <ns0:c r="C441" s="27" t="n"/>
      <ns0:c r="D441" s="27" t="n"/>
      <ns0:c r="E441" s="28" t="str">
        <ns0:f>IF(A441="","",YEAR(A441)&amp;"-"&amp;RIGHT("0"&amp;MONTH(A441),2))</ns0:f>
        <ns0:v/>
      </ns0:c>
      <ns0:c r="F441" s="28" t="str">
        <ns0:f>IF(OR(A441="",B441="",C441&lt;=0),"",IF(SUMPRODUCT(('Müşteriler'!$B$2:$B$101&lt;&gt;"")*ISNUMBER(SEARCH('Müşteriler'!$B$2:$B$101,B441)))=1,IFERROR(INDEX('Müşteriler'!$A$2:$A$101,SUMPRODUCT(('Müşteriler'!$B$2:$B$101&lt;&gt;"")*ISNUMBER(SEARCH('Müşteriler'!$B$2:$B$101,B441)),ROW('Müşteriler'!$B$2:$B$101)-ROW('Müşteriler'!$B$2)+1)),""),""))</ns0:f>
        <ns0:v/>
      </ns0:c>
      <ns0:c r="G441" s="28" t="str">
        <ns0:f>IF(F441="","",IFERROR(INDEX('Müşteriler'!$C$2:$C$101,MATCH(F441,'Müşteriler'!$A$2:$A$101,0)),""))</ns0:f>
        <ns0:v/>
      </ns0:c>
      <ns0:c r="H441" s="28" t="str">
        <ns0:f>IF(A441="","",IF(C441&lt;=0,"Satış dışı",IF(OR(F441="",G441=""),"Eşleşmedi","Eşleşti")))</ns0:f>
        <ns0:v/>
      </ns0:c>
      <ns0:c r="I441" s="28">
        <ns0:f>I440+IF(AND(H441="Eşleşmedi",E441='Panel'!$B$4),1,0)</ns0:f>
        <ns0:v>3.0</ns0:v>
      </ns0:c>
    </ns0:row>
    <ns0:row r="442" ht="21" customHeight="1">
      <ns0:c r="A442" s="25" t="n"/>
      <ns0:c r="B442" s="26" t="n"/>
      <ns0:c r="C442" s="27" t="n"/>
      <ns0:c r="D442" s="27" t="n"/>
      <ns0:c r="E442" s="28" t="str">
        <ns0:f>IF(A442="","",YEAR(A442)&amp;"-"&amp;RIGHT("0"&amp;MONTH(A442),2))</ns0:f>
        <ns0:v/>
      </ns0:c>
      <ns0:c r="F442" s="28" t="str">
        <ns0:f>IF(OR(A442="",B442="",C442&lt;=0),"",IF(SUMPRODUCT(('Müşteriler'!$B$2:$B$101&lt;&gt;"")*ISNUMBER(SEARCH('Müşteriler'!$B$2:$B$101,B442)))=1,IFERROR(INDEX('Müşteriler'!$A$2:$A$101,SUMPRODUCT(('Müşteriler'!$B$2:$B$101&lt;&gt;"")*ISNUMBER(SEARCH('Müşteriler'!$B$2:$B$101,B442)),ROW('Müşteriler'!$B$2:$B$101)-ROW('Müşteriler'!$B$2)+1)),""),""))</ns0:f>
        <ns0:v/>
      </ns0:c>
      <ns0:c r="G442" s="28" t="str">
        <ns0:f>IF(F442="","",IFERROR(INDEX('Müşteriler'!$C$2:$C$101,MATCH(F442,'Müşteriler'!$A$2:$A$101,0)),""))</ns0:f>
        <ns0:v/>
      </ns0:c>
      <ns0:c r="H442" s="28" t="str">
        <ns0:f>IF(A442="","",IF(C442&lt;=0,"Satış dışı",IF(OR(F442="",G442=""),"Eşleşmedi","Eşleşti")))</ns0:f>
        <ns0:v/>
      </ns0:c>
      <ns0:c r="I442" s="28">
        <ns0:f>I441+IF(AND(H442="Eşleşmedi",E442='Panel'!$B$4),1,0)</ns0:f>
        <ns0:v>3.0</ns0:v>
      </ns0:c>
    </ns0:row>
    <ns0:row r="443" ht="21" customHeight="1">
      <ns0:c r="A443" s="25" t="n"/>
      <ns0:c r="B443" s="26" t="n"/>
      <ns0:c r="C443" s="27" t="n"/>
      <ns0:c r="D443" s="27" t="n"/>
      <ns0:c r="E443" s="28" t="str">
        <ns0:f>IF(A443="","",YEAR(A443)&amp;"-"&amp;RIGHT("0"&amp;MONTH(A443),2))</ns0:f>
        <ns0:v/>
      </ns0:c>
      <ns0:c r="F443" s="28" t="str">
        <ns0:f>IF(OR(A443="",B443="",C443&lt;=0),"",IF(SUMPRODUCT(('Müşteriler'!$B$2:$B$101&lt;&gt;"")*ISNUMBER(SEARCH('Müşteriler'!$B$2:$B$101,B443)))=1,IFERROR(INDEX('Müşteriler'!$A$2:$A$101,SUMPRODUCT(('Müşteriler'!$B$2:$B$101&lt;&gt;"")*ISNUMBER(SEARCH('Müşteriler'!$B$2:$B$101,B443)),ROW('Müşteriler'!$B$2:$B$101)-ROW('Müşteriler'!$B$2)+1)),""),""))</ns0:f>
        <ns0:v/>
      </ns0:c>
      <ns0:c r="G443" s="28" t="str">
        <ns0:f>IF(F443="","",IFERROR(INDEX('Müşteriler'!$C$2:$C$101,MATCH(F443,'Müşteriler'!$A$2:$A$101,0)),""))</ns0:f>
        <ns0:v/>
      </ns0:c>
      <ns0:c r="H443" s="28" t="str">
        <ns0:f>IF(A443="","",IF(C443&lt;=0,"Satış dışı",IF(OR(F443="",G443=""),"Eşleşmedi","Eşleşti")))</ns0:f>
        <ns0:v/>
      </ns0:c>
      <ns0:c r="I443" s="28">
        <ns0:f>I442+IF(AND(H443="Eşleşmedi",E443='Panel'!$B$4),1,0)</ns0:f>
        <ns0:v>3.0</ns0:v>
      </ns0:c>
    </ns0:row>
    <ns0:row r="444" ht="21" customHeight="1">
      <ns0:c r="A444" s="25" t="n"/>
      <ns0:c r="B444" s="26" t="n"/>
      <ns0:c r="C444" s="27" t="n"/>
      <ns0:c r="D444" s="27" t="n"/>
      <ns0:c r="E444" s="28" t="str">
        <ns0:f>IF(A444="","",YEAR(A444)&amp;"-"&amp;RIGHT("0"&amp;MONTH(A444),2))</ns0:f>
        <ns0:v/>
      </ns0:c>
      <ns0:c r="F444" s="28" t="str">
        <ns0:f>IF(OR(A444="",B444="",C444&lt;=0),"",IF(SUMPRODUCT(('Müşteriler'!$B$2:$B$101&lt;&gt;"")*ISNUMBER(SEARCH('Müşteriler'!$B$2:$B$101,B444)))=1,IFERROR(INDEX('Müşteriler'!$A$2:$A$101,SUMPRODUCT(('Müşteriler'!$B$2:$B$101&lt;&gt;"")*ISNUMBER(SEARCH('Müşteriler'!$B$2:$B$101,B444)),ROW('Müşteriler'!$B$2:$B$101)-ROW('Müşteriler'!$B$2)+1)),""),""))</ns0:f>
        <ns0:v/>
      </ns0:c>
      <ns0:c r="G444" s="28" t="str">
        <ns0:f>IF(F444="","",IFERROR(INDEX('Müşteriler'!$C$2:$C$101,MATCH(F444,'Müşteriler'!$A$2:$A$101,0)),""))</ns0:f>
        <ns0:v/>
      </ns0:c>
      <ns0:c r="H444" s="28" t="str">
        <ns0:f>IF(A444="","",IF(C444&lt;=0,"Satış dışı",IF(OR(F444="",G444=""),"Eşleşmedi","Eşleşti")))</ns0:f>
        <ns0:v/>
      </ns0:c>
      <ns0:c r="I444" s="28">
        <ns0:f>I443+IF(AND(H444="Eşleşmedi",E444='Panel'!$B$4),1,0)</ns0:f>
        <ns0:v>3.0</ns0:v>
      </ns0:c>
    </ns0:row>
    <ns0:row r="445" ht="21" customHeight="1">
      <ns0:c r="A445" s="25" t="n"/>
      <ns0:c r="B445" s="26" t="n"/>
      <ns0:c r="C445" s="27" t="n"/>
      <ns0:c r="D445" s="27" t="n"/>
      <ns0:c r="E445" s="28" t="str">
        <ns0:f>IF(A445="","",YEAR(A445)&amp;"-"&amp;RIGHT("0"&amp;MONTH(A445),2))</ns0:f>
        <ns0:v/>
      </ns0:c>
      <ns0:c r="F445" s="28" t="str">
        <ns0:f>IF(OR(A445="",B445="",C445&lt;=0),"",IF(SUMPRODUCT(('Müşteriler'!$B$2:$B$101&lt;&gt;"")*ISNUMBER(SEARCH('Müşteriler'!$B$2:$B$101,B445)))=1,IFERROR(INDEX('Müşteriler'!$A$2:$A$101,SUMPRODUCT(('Müşteriler'!$B$2:$B$101&lt;&gt;"")*ISNUMBER(SEARCH('Müşteriler'!$B$2:$B$101,B445)),ROW('Müşteriler'!$B$2:$B$101)-ROW('Müşteriler'!$B$2)+1)),""),""))</ns0:f>
        <ns0:v/>
      </ns0:c>
      <ns0:c r="G445" s="28" t="str">
        <ns0:f>IF(F445="","",IFERROR(INDEX('Müşteriler'!$C$2:$C$101,MATCH(F445,'Müşteriler'!$A$2:$A$101,0)),""))</ns0:f>
        <ns0:v/>
      </ns0:c>
      <ns0:c r="H445" s="28" t="str">
        <ns0:f>IF(A445="","",IF(C445&lt;=0,"Satış dışı",IF(OR(F445="",G445=""),"Eşleşmedi","Eşleşti")))</ns0:f>
        <ns0:v/>
      </ns0:c>
      <ns0:c r="I445" s="28">
        <ns0:f>I444+IF(AND(H445="Eşleşmedi",E445='Panel'!$B$4),1,0)</ns0:f>
        <ns0:v>3.0</ns0:v>
      </ns0:c>
    </ns0:row>
    <ns0:row r="446" ht="21" customHeight="1">
      <ns0:c r="A446" s="25" t="n"/>
      <ns0:c r="B446" s="26" t="n"/>
      <ns0:c r="C446" s="27" t="n"/>
      <ns0:c r="D446" s="27" t="n"/>
      <ns0:c r="E446" s="28" t="str">
        <ns0:f>IF(A446="","",YEAR(A446)&amp;"-"&amp;RIGHT("0"&amp;MONTH(A446),2))</ns0:f>
        <ns0:v/>
      </ns0:c>
      <ns0:c r="F446" s="28" t="str">
        <ns0:f>IF(OR(A446="",B446="",C446&lt;=0),"",IF(SUMPRODUCT(('Müşteriler'!$B$2:$B$101&lt;&gt;"")*ISNUMBER(SEARCH('Müşteriler'!$B$2:$B$101,B446)))=1,IFERROR(INDEX('Müşteriler'!$A$2:$A$101,SUMPRODUCT(('Müşteriler'!$B$2:$B$101&lt;&gt;"")*ISNUMBER(SEARCH('Müşteriler'!$B$2:$B$101,B446)),ROW('Müşteriler'!$B$2:$B$101)-ROW('Müşteriler'!$B$2)+1)),""),""))</ns0:f>
        <ns0:v/>
      </ns0:c>
      <ns0:c r="G446" s="28" t="str">
        <ns0:f>IF(F446="","",IFERROR(INDEX('Müşteriler'!$C$2:$C$101,MATCH(F446,'Müşteriler'!$A$2:$A$101,0)),""))</ns0:f>
        <ns0:v/>
      </ns0:c>
      <ns0:c r="H446" s="28" t="str">
        <ns0:f>IF(A446="","",IF(C446&lt;=0,"Satış dışı",IF(OR(F446="",G446=""),"Eşleşmedi","Eşleşti")))</ns0:f>
        <ns0:v/>
      </ns0:c>
      <ns0:c r="I446" s="28">
        <ns0:f>I445+IF(AND(H446="Eşleşmedi",E446='Panel'!$B$4),1,0)</ns0:f>
        <ns0:v>3.0</ns0:v>
      </ns0:c>
    </ns0:row>
    <ns0:row r="447" ht="21" customHeight="1">
      <ns0:c r="A447" s="25" t="n"/>
      <ns0:c r="B447" s="26" t="n"/>
      <ns0:c r="C447" s="27" t="n"/>
      <ns0:c r="D447" s="27" t="n"/>
      <ns0:c r="E447" s="28" t="str">
        <ns0:f>IF(A447="","",YEAR(A447)&amp;"-"&amp;RIGHT("0"&amp;MONTH(A447),2))</ns0:f>
        <ns0:v/>
      </ns0:c>
      <ns0:c r="F447" s="28" t="str">
        <ns0:f>IF(OR(A447="",B447="",C447&lt;=0),"",IF(SUMPRODUCT(('Müşteriler'!$B$2:$B$101&lt;&gt;"")*ISNUMBER(SEARCH('Müşteriler'!$B$2:$B$101,B447)))=1,IFERROR(INDEX('Müşteriler'!$A$2:$A$101,SUMPRODUCT(('Müşteriler'!$B$2:$B$101&lt;&gt;"")*ISNUMBER(SEARCH('Müşteriler'!$B$2:$B$101,B447)),ROW('Müşteriler'!$B$2:$B$101)-ROW('Müşteriler'!$B$2)+1)),""),""))</ns0:f>
        <ns0:v/>
      </ns0:c>
      <ns0:c r="G447" s="28" t="str">
        <ns0:f>IF(F447="","",IFERROR(INDEX('Müşteriler'!$C$2:$C$101,MATCH(F447,'Müşteriler'!$A$2:$A$101,0)),""))</ns0:f>
        <ns0:v/>
      </ns0:c>
      <ns0:c r="H447" s="28" t="str">
        <ns0:f>IF(A447="","",IF(C447&lt;=0,"Satış dışı",IF(OR(F447="",G447=""),"Eşleşmedi","Eşleşti")))</ns0:f>
        <ns0:v/>
      </ns0:c>
      <ns0:c r="I447" s="28">
        <ns0:f>I446+IF(AND(H447="Eşleşmedi",E447='Panel'!$B$4),1,0)</ns0:f>
        <ns0:v>3.0</ns0:v>
      </ns0:c>
    </ns0:row>
    <ns0:row r="448" ht="21" customHeight="1">
      <ns0:c r="A448" s="25" t="n"/>
      <ns0:c r="B448" s="26" t="n"/>
      <ns0:c r="C448" s="27" t="n"/>
      <ns0:c r="D448" s="27" t="n"/>
      <ns0:c r="E448" s="28" t="str">
        <ns0:f>IF(A448="","",YEAR(A448)&amp;"-"&amp;RIGHT("0"&amp;MONTH(A448),2))</ns0:f>
        <ns0:v/>
      </ns0:c>
      <ns0:c r="F448" s="28" t="str">
        <ns0:f>IF(OR(A448="",B448="",C448&lt;=0),"",IF(SUMPRODUCT(('Müşteriler'!$B$2:$B$101&lt;&gt;"")*ISNUMBER(SEARCH('Müşteriler'!$B$2:$B$101,B448)))=1,IFERROR(INDEX('Müşteriler'!$A$2:$A$101,SUMPRODUCT(('Müşteriler'!$B$2:$B$101&lt;&gt;"")*ISNUMBER(SEARCH('Müşteriler'!$B$2:$B$101,B448)),ROW('Müşteriler'!$B$2:$B$101)-ROW('Müşteriler'!$B$2)+1)),""),""))</ns0:f>
        <ns0:v/>
      </ns0:c>
      <ns0:c r="G448" s="28" t="str">
        <ns0:f>IF(F448="","",IFERROR(INDEX('Müşteriler'!$C$2:$C$101,MATCH(F448,'Müşteriler'!$A$2:$A$101,0)),""))</ns0:f>
        <ns0:v/>
      </ns0:c>
      <ns0:c r="H448" s="28" t="str">
        <ns0:f>IF(A448="","",IF(C448&lt;=0,"Satış dışı",IF(OR(F448="",G448=""),"Eşleşmedi","Eşleşti")))</ns0:f>
        <ns0:v/>
      </ns0:c>
      <ns0:c r="I448" s="28">
        <ns0:f>I447+IF(AND(H448="Eşleşmedi",E448='Panel'!$B$4),1,0)</ns0:f>
        <ns0:v>3.0</ns0:v>
      </ns0:c>
    </ns0:row>
    <ns0:row r="449" ht="21" customHeight="1">
      <ns0:c r="A449" s="25" t="n"/>
      <ns0:c r="B449" s="26" t="n"/>
      <ns0:c r="C449" s="27" t="n"/>
      <ns0:c r="D449" s="27" t="n"/>
      <ns0:c r="E449" s="28" t="str">
        <ns0:f>IF(A449="","",YEAR(A449)&amp;"-"&amp;RIGHT("0"&amp;MONTH(A449),2))</ns0:f>
        <ns0:v/>
      </ns0:c>
      <ns0:c r="F449" s="28" t="str">
        <ns0:f>IF(OR(A449="",B449="",C449&lt;=0),"",IF(SUMPRODUCT(('Müşteriler'!$B$2:$B$101&lt;&gt;"")*ISNUMBER(SEARCH('Müşteriler'!$B$2:$B$101,B449)))=1,IFERROR(INDEX('Müşteriler'!$A$2:$A$101,SUMPRODUCT(('Müşteriler'!$B$2:$B$101&lt;&gt;"")*ISNUMBER(SEARCH('Müşteriler'!$B$2:$B$101,B449)),ROW('Müşteriler'!$B$2:$B$101)-ROW('Müşteriler'!$B$2)+1)),""),""))</ns0:f>
        <ns0:v/>
      </ns0:c>
      <ns0:c r="G449" s="28" t="str">
        <ns0:f>IF(F449="","",IFERROR(INDEX('Müşteriler'!$C$2:$C$101,MATCH(F449,'Müşteriler'!$A$2:$A$101,0)),""))</ns0:f>
        <ns0:v/>
      </ns0:c>
      <ns0:c r="H449" s="28" t="str">
        <ns0:f>IF(A449="","",IF(C449&lt;=0,"Satış dışı",IF(OR(F449="",G449=""),"Eşleşmedi","Eşleşti")))</ns0:f>
        <ns0:v/>
      </ns0:c>
      <ns0:c r="I449" s="28">
        <ns0:f>I448+IF(AND(H449="Eşleşmedi",E449='Panel'!$B$4),1,0)</ns0:f>
        <ns0:v>3.0</ns0:v>
      </ns0:c>
    </ns0:row>
    <ns0:row r="450" ht="21" customHeight="1">
      <ns0:c r="A450" s="25" t="n"/>
      <ns0:c r="B450" s="26" t="n"/>
      <ns0:c r="C450" s="27" t="n"/>
      <ns0:c r="D450" s="27" t="n"/>
      <ns0:c r="E450" s="28" t="str">
        <ns0:f>IF(A450="","",YEAR(A450)&amp;"-"&amp;RIGHT("0"&amp;MONTH(A450),2))</ns0:f>
        <ns0:v/>
      </ns0:c>
      <ns0:c r="F450" s="28" t="str">
        <ns0:f>IF(OR(A450="",B450="",C450&lt;=0),"",IF(SUMPRODUCT(('Müşteriler'!$B$2:$B$101&lt;&gt;"")*ISNUMBER(SEARCH('Müşteriler'!$B$2:$B$101,B450)))=1,IFERROR(INDEX('Müşteriler'!$A$2:$A$101,SUMPRODUCT(('Müşteriler'!$B$2:$B$101&lt;&gt;"")*ISNUMBER(SEARCH('Müşteriler'!$B$2:$B$101,B450)),ROW('Müşteriler'!$B$2:$B$101)-ROW('Müşteriler'!$B$2)+1)),""),""))</ns0:f>
        <ns0:v/>
      </ns0:c>
      <ns0:c r="G450" s="28" t="str">
        <ns0:f>IF(F450="","",IFERROR(INDEX('Müşteriler'!$C$2:$C$101,MATCH(F450,'Müşteriler'!$A$2:$A$101,0)),""))</ns0:f>
        <ns0:v/>
      </ns0:c>
      <ns0:c r="H450" s="28" t="str">
        <ns0:f>IF(A450="","",IF(C450&lt;=0,"Satış dışı",IF(OR(F450="",G450=""),"Eşleşmedi","Eşleşti")))</ns0:f>
        <ns0:v/>
      </ns0:c>
      <ns0:c r="I450" s="28">
        <ns0:f>I449+IF(AND(H450="Eşleşmedi",E450='Panel'!$B$4),1,0)</ns0:f>
        <ns0:v>3.0</ns0:v>
      </ns0:c>
    </ns0:row>
    <ns0:row r="451" ht="21" customHeight="1">
      <ns0:c r="A451" s="25" t="n"/>
      <ns0:c r="B451" s="26" t="n"/>
      <ns0:c r="C451" s="27" t="n"/>
      <ns0:c r="D451" s="27" t="n"/>
      <ns0:c r="E451" s="28" t="str">
        <ns0:f>IF(A451="","",YEAR(A451)&amp;"-"&amp;RIGHT("0"&amp;MONTH(A451),2))</ns0:f>
        <ns0:v/>
      </ns0:c>
      <ns0:c r="F451" s="28" t="str">
        <ns0:f>IF(OR(A451="",B451="",C451&lt;=0),"",IF(SUMPRODUCT(('Müşteriler'!$B$2:$B$101&lt;&gt;"")*ISNUMBER(SEARCH('Müşteriler'!$B$2:$B$101,B451)))=1,IFERROR(INDEX('Müşteriler'!$A$2:$A$101,SUMPRODUCT(('Müşteriler'!$B$2:$B$101&lt;&gt;"")*ISNUMBER(SEARCH('Müşteriler'!$B$2:$B$101,B451)),ROW('Müşteriler'!$B$2:$B$101)-ROW('Müşteriler'!$B$2)+1)),""),""))</ns0:f>
        <ns0:v/>
      </ns0:c>
      <ns0:c r="G451" s="28" t="str">
        <ns0:f>IF(F451="","",IFERROR(INDEX('Müşteriler'!$C$2:$C$101,MATCH(F451,'Müşteriler'!$A$2:$A$101,0)),""))</ns0:f>
        <ns0:v/>
      </ns0:c>
      <ns0:c r="H451" s="28" t="str">
        <ns0:f>IF(A451="","",IF(C451&lt;=0,"Satış dışı",IF(OR(F451="",G451=""),"Eşleşmedi","Eşleşti")))</ns0:f>
        <ns0:v/>
      </ns0:c>
      <ns0:c r="I451" s="28">
        <ns0:f>I450+IF(AND(H451="Eşleşmedi",E451='Panel'!$B$4),1,0)</ns0:f>
        <ns0:v>3.0</ns0:v>
      </ns0:c>
    </ns0:row>
    <ns0:row r="452" ht="21" customHeight="1">
      <ns0:c r="A452" s="25" t="n"/>
      <ns0:c r="B452" s="26" t="n"/>
      <ns0:c r="C452" s="27" t="n"/>
      <ns0:c r="D452" s="27" t="n"/>
      <ns0:c r="E452" s="28" t="str">
        <ns0:f>IF(A452="","",YEAR(A452)&amp;"-"&amp;RIGHT("0"&amp;MONTH(A452),2))</ns0:f>
        <ns0:v/>
      </ns0:c>
      <ns0:c r="F452" s="28" t="str">
        <ns0:f>IF(OR(A452="",B452="",C452&lt;=0),"",IF(SUMPRODUCT(('Müşteriler'!$B$2:$B$101&lt;&gt;"")*ISNUMBER(SEARCH('Müşteriler'!$B$2:$B$101,B452)))=1,IFERROR(INDEX('Müşteriler'!$A$2:$A$101,SUMPRODUCT(('Müşteriler'!$B$2:$B$101&lt;&gt;"")*ISNUMBER(SEARCH('Müşteriler'!$B$2:$B$101,B452)),ROW('Müşteriler'!$B$2:$B$101)-ROW('Müşteriler'!$B$2)+1)),""),""))</ns0:f>
        <ns0:v/>
      </ns0:c>
      <ns0:c r="G452" s="28" t="str">
        <ns0:f>IF(F452="","",IFERROR(INDEX('Müşteriler'!$C$2:$C$101,MATCH(F452,'Müşteriler'!$A$2:$A$101,0)),""))</ns0:f>
        <ns0:v/>
      </ns0:c>
      <ns0:c r="H452" s="28" t="str">
        <ns0:f>IF(A452="","",IF(C452&lt;=0,"Satış dışı",IF(OR(F452="",G452=""),"Eşleşmedi","Eşleşti")))</ns0:f>
        <ns0:v/>
      </ns0:c>
      <ns0:c r="I452" s="28">
        <ns0:f>I451+IF(AND(H452="Eşleşmedi",E452='Panel'!$B$4),1,0)</ns0:f>
        <ns0:v>3.0</ns0:v>
      </ns0:c>
    </ns0:row>
    <ns0:row r="453" ht="21" customHeight="1">
      <ns0:c r="A453" s="25" t="n"/>
      <ns0:c r="B453" s="26" t="n"/>
      <ns0:c r="C453" s="27" t="n"/>
      <ns0:c r="D453" s="27" t="n"/>
      <ns0:c r="E453" s="28" t="str">
        <ns0:f>IF(A453="","",YEAR(A453)&amp;"-"&amp;RIGHT("0"&amp;MONTH(A453),2))</ns0:f>
        <ns0:v/>
      </ns0:c>
      <ns0:c r="F453" s="28" t="str">
        <ns0:f>IF(OR(A453="",B453="",C453&lt;=0),"",IF(SUMPRODUCT(('Müşteriler'!$B$2:$B$101&lt;&gt;"")*ISNUMBER(SEARCH('Müşteriler'!$B$2:$B$101,B453)))=1,IFERROR(INDEX('Müşteriler'!$A$2:$A$101,SUMPRODUCT(('Müşteriler'!$B$2:$B$101&lt;&gt;"")*ISNUMBER(SEARCH('Müşteriler'!$B$2:$B$101,B453)),ROW('Müşteriler'!$B$2:$B$101)-ROW('Müşteriler'!$B$2)+1)),""),""))</ns0:f>
        <ns0:v/>
      </ns0:c>
      <ns0:c r="G453" s="28" t="str">
        <ns0:f>IF(F453="","",IFERROR(INDEX('Müşteriler'!$C$2:$C$101,MATCH(F453,'Müşteriler'!$A$2:$A$101,0)),""))</ns0:f>
        <ns0:v/>
      </ns0:c>
      <ns0:c r="H453" s="28" t="str">
        <ns0:f>IF(A453="","",IF(C453&lt;=0,"Satış dışı",IF(OR(F453="",G453=""),"Eşleşmedi","Eşleşti")))</ns0:f>
        <ns0:v/>
      </ns0:c>
      <ns0:c r="I453" s="28">
        <ns0:f>I452+IF(AND(H453="Eşleşmedi",E453='Panel'!$B$4),1,0)</ns0:f>
        <ns0:v>3.0</ns0:v>
      </ns0:c>
    </ns0:row>
    <ns0:row r="454" ht="21" customHeight="1">
      <ns0:c r="A454" s="25" t="n"/>
      <ns0:c r="B454" s="26" t="n"/>
      <ns0:c r="C454" s="27" t="n"/>
      <ns0:c r="D454" s="27" t="n"/>
      <ns0:c r="E454" s="28" t="str">
        <ns0:f>IF(A454="","",YEAR(A454)&amp;"-"&amp;RIGHT("0"&amp;MONTH(A454),2))</ns0:f>
        <ns0:v/>
      </ns0:c>
      <ns0:c r="F454" s="28" t="str">
        <ns0:f>IF(OR(A454="",B454="",C454&lt;=0),"",IF(SUMPRODUCT(('Müşteriler'!$B$2:$B$101&lt;&gt;"")*ISNUMBER(SEARCH('Müşteriler'!$B$2:$B$101,B454)))=1,IFERROR(INDEX('Müşteriler'!$A$2:$A$101,SUMPRODUCT(('Müşteriler'!$B$2:$B$101&lt;&gt;"")*ISNUMBER(SEARCH('Müşteriler'!$B$2:$B$101,B454)),ROW('Müşteriler'!$B$2:$B$101)-ROW('Müşteriler'!$B$2)+1)),""),""))</ns0:f>
        <ns0:v/>
      </ns0:c>
      <ns0:c r="G454" s="28" t="str">
        <ns0:f>IF(F454="","",IFERROR(INDEX('Müşteriler'!$C$2:$C$101,MATCH(F454,'Müşteriler'!$A$2:$A$101,0)),""))</ns0:f>
        <ns0:v/>
      </ns0:c>
      <ns0:c r="H454" s="28" t="str">
        <ns0:f>IF(A454="","",IF(C454&lt;=0,"Satış dışı",IF(OR(F454="",G454=""),"Eşleşmedi","Eşleşti")))</ns0:f>
        <ns0:v/>
      </ns0:c>
      <ns0:c r="I454" s="28">
        <ns0:f>I453+IF(AND(H454="Eşleşmedi",E454='Panel'!$B$4),1,0)</ns0:f>
        <ns0:v>3.0</ns0:v>
      </ns0:c>
    </ns0:row>
    <ns0:row r="455" ht="21" customHeight="1">
      <ns0:c r="A455" s="25" t="n"/>
      <ns0:c r="B455" s="26" t="n"/>
      <ns0:c r="C455" s="27" t="n"/>
      <ns0:c r="D455" s="27" t="n"/>
      <ns0:c r="E455" s="28" t="str">
        <ns0:f>IF(A455="","",YEAR(A455)&amp;"-"&amp;RIGHT("0"&amp;MONTH(A455),2))</ns0:f>
        <ns0:v/>
      </ns0:c>
      <ns0:c r="F455" s="28" t="str">
        <ns0:f>IF(OR(A455="",B455="",C455&lt;=0),"",IF(SUMPRODUCT(('Müşteriler'!$B$2:$B$101&lt;&gt;"")*ISNUMBER(SEARCH('Müşteriler'!$B$2:$B$101,B455)))=1,IFERROR(INDEX('Müşteriler'!$A$2:$A$101,SUMPRODUCT(('Müşteriler'!$B$2:$B$101&lt;&gt;"")*ISNUMBER(SEARCH('Müşteriler'!$B$2:$B$101,B455)),ROW('Müşteriler'!$B$2:$B$101)-ROW('Müşteriler'!$B$2)+1)),""),""))</ns0:f>
        <ns0:v/>
      </ns0:c>
      <ns0:c r="G455" s="28" t="str">
        <ns0:f>IF(F455="","",IFERROR(INDEX('Müşteriler'!$C$2:$C$101,MATCH(F455,'Müşteriler'!$A$2:$A$101,0)),""))</ns0:f>
        <ns0:v/>
      </ns0:c>
      <ns0:c r="H455" s="28" t="str">
        <ns0:f>IF(A455="","",IF(C455&lt;=0,"Satış dışı",IF(OR(F455="",G455=""),"Eşleşmedi","Eşleşti")))</ns0:f>
        <ns0:v/>
      </ns0:c>
      <ns0:c r="I455" s="28">
        <ns0:f>I454+IF(AND(H455="Eşleşmedi",E455='Panel'!$B$4),1,0)</ns0:f>
        <ns0:v>3.0</ns0:v>
      </ns0:c>
    </ns0:row>
    <ns0:row r="456" ht="21" customHeight="1">
      <ns0:c r="A456" s="25" t="n"/>
      <ns0:c r="B456" s="26" t="n"/>
      <ns0:c r="C456" s="27" t="n"/>
      <ns0:c r="D456" s="27" t="n"/>
      <ns0:c r="E456" s="28" t="str">
        <ns0:f>IF(A456="","",YEAR(A456)&amp;"-"&amp;RIGHT("0"&amp;MONTH(A456),2))</ns0:f>
        <ns0:v/>
      </ns0:c>
      <ns0:c r="F456" s="28" t="str">
        <ns0:f>IF(OR(A456="",B456="",C456&lt;=0),"",IF(SUMPRODUCT(('Müşteriler'!$B$2:$B$101&lt;&gt;"")*ISNUMBER(SEARCH('Müşteriler'!$B$2:$B$101,B456)))=1,IFERROR(INDEX('Müşteriler'!$A$2:$A$101,SUMPRODUCT(('Müşteriler'!$B$2:$B$101&lt;&gt;"")*ISNUMBER(SEARCH('Müşteriler'!$B$2:$B$101,B456)),ROW('Müşteriler'!$B$2:$B$101)-ROW('Müşteriler'!$B$2)+1)),""),""))</ns0:f>
        <ns0:v/>
      </ns0:c>
      <ns0:c r="G456" s="28" t="str">
        <ns0:f>IF(F456="","",IFERROR(INDEX('Müşteriler'!$C$2:$C$101,MATCH(F456,'Müşteriler'!$A$2:$A$101,0)),""))</ns0:f>
        <ns0:v/>
      </ns0:c>
      <ns0:c r="H456" s="28" t="str">
        <ns0:f>IF(A456="","",IF(C456&lt;=0,"Satış dışı",IF(OR(F456="",G456=""),"Eşleşmedi","Eşleşti")))</ns0:f>
        <ns0:v/>
      </ns0:c>
      <ns0:c r="I456" s="28">
        <ns0:f>I455+IF(AND(H456="Eşleşmedi",E456='Panel'!$B$4),1,0)</ns0:f>
        <ns0:v>3.0</ns0:v>
      </ns0:c>
    </ns0:row>
    <ns0:row r="457" ht="21" customHeight="1">
      <ns0:c r="A457" s="25" t="n"/>
      <ns0:c r="B457" s="26" t="n"/>
      <ns0:c r="C457" s="27" t="n"/>
      <ns0:c r="D457" s="27" t="n"/>
      <ns0:c r="E457" s="28" t="str">
        <ns0:f>IF(A457="","",YEAR(A457)&amp;"-"&amp;RIGHT("0"&amp;MONTH(A457),2))</ns0:f>
        <ns0:v/>
      </ns0:c>
      <ns0:c r="F457" s="28" t="str">
        <ns0:f>IF(OR(A457="",B457="",C457&lt;=0),"",IF(SUMPRODUCT(('Müşteriler'!$B$2:$B$101&lt;&gt;"")*ISNUMBER(SEARCH('Müşteriler'!$B$2:$B$101,B457)))=1,IFERROR(INDEX('Müşteriler'!$A$2:$A$101,SUMPRODUCT(('Müşteriler'!$B$2:$B$101&lt;&gt;"")*ISNUMBER(SEARCH('Müşteriler'!$B$2:$B$101,B457)),ROW('Müşteriler'!$B$2:$B$101)-ROW('Müşteriler'!$B$2)+1)),""),""))</ns0:f>
        <ns0:v/>
      </ns0:c>
      <ns0:c r="G457" s="28" t="str">
        <ns0:f>IF(F457="","",IFERROR(INDEX('Müşteriler'!$C$2:$C$101,MATCH(F457,'Müşteriler'!$A$2:$A$101,0)),""))</ns0:f>
        <ns0:v/>
      </ns0:c>
      <ns0:c r="H457" s="28" t="str">
        <ns0:f>IF(A457="","",IF(C457&lt;=0,"Satış dışı",IF(OR(F457="",G457=""),"Eşleşmedi","Eşleşti")))</ns0:f>
        <ns0:v/>
      </ns0:c>
      <ns0:c r="I457" s="28">
        <ns0:f>I456+IF(AND(H457="Eşleşmedi",E457='Panel'!$B$4),1,0)</ns0:f>
        <ns0:v>3.0</ns0:v>
      </ns0:c>
    </ns0:row>
    <ns0:row r="458" ht="21" customHeight="1">
      <ns0:c r="A458" s="25" t="n"/>
      <ns0:c r="B458" s="26" t="n"/>
      <ns0:c r="C458" s="27" t="n"/>
      <ns0:c r="D458" s="27" t="n"/>
      <ns0:c r="E458" s="28" t="str">
        <ns0:f>IF(A458="","",YEAR(A458)&amp;"-"&amp;RIGHT("0"&amp;MONTH(A458),2))</ns0:f>
        <ns0:v/>
      </ns0:c>
      <ns0:c r="F458" s="28" t="str">
        <ns0:f>IF(OR(A458="",B458="",C458&lt;=0),"",IF(SUMPRODUCT(('Müşteriler'!$B$2:$B$101&lt;&gt;"")*ISNUMBER(SEARCH('Müşteriler'!$B$2:$B$101,B458)))=1,IFERROR(INDEX('Müşteriler'!$A$2:$A$101,SUMPRODUCT(('Müşteriler'!$B$2:$B$101&lt;&gt;"")*ISNUMBER(SEARCH('Müşteriler'!$B$2:$B$101,B458)),ROW('Müşteriler'!$B$2:$B$101)-ROW('Müşteriler'!$B$2)+1)),""),""))</ns0:f>
        <ns0:v/>
      </ns0:c>
      <ns0:c r="G458" s="28" t="str">
        <ns0:f>IF(F458="","",IFERROR(INDEX('Müşteriler'!$C$2:$C$101,MATCH(F458,'Müşteriler'!$A$2:$A$101,0)),""))</ns0:f>
        <ns0:v/>
      </ns0:c>
      <ns0:c r="H458" s="28" t="str">
        <ns0:f>IF(A458="","",IF(C458&lt;=0,"Satış dışı",IF(OR(F458="",G458=""),"Eşleşmedi","Eşleşti")))</ns0:f>
        <ns0:v/>
      </ns0:c>
      <ns0:c r="I458" s="28">
        <ns0:f>I457+IF(AND(H458="Eşleşmedi",E458='Panel'!$B$4),1,0)</ns0:f>
        <ns0:v>3.0</ns0:v>
      </ns0:c>
    </ns0:row>
    <ns0:row r="459" ht="21" customHeight="1">
      <ns0:c r="A459" s="25" t="n"/>
      <ns0:c r="B459" s="26" t="n"/>
      <ns0:c r="C459" s="27" t="n"/>
      <ns0:c r="D459" s="27" t="n"/>
      <ns0:c r="E459" s="28" t="str">
        <ns0:f>IF(A459="","",YEAR(A459)&amp;"-"&amp;RIGHT("0"&amp;MONTH(A459),2))</ns0:f>
        <ns0:v/>
      </ns0:c>
      <ns0:c r="F459" s="28" t="str">
        <ns0:f>IF(OR(A459="",B459="",C459&lt;=0),"",IF(SUMPRODUCT(('Müşteriler'!$B$2:$B$101&lt;&gt;"")*ISNUMBER(SEARCH('Müşteriler'!$B$2:$B$101,B459)))=1,IFERROR(INDEX('Müşteriler'!$A$2:$A$101,SUMPRODUCT(('Müşteriler'!$B$2:$B$101&lt;&gt;"")*ISNUMBER(SEARCH('Müşteriler'!$B$2:$B$101,B459)),ROW('Müşteriler'!$B$2:$B$101)-ROW('Müşteriler'!$B$2)+1)),""),""))</ns0:f>
        <ns0:v/>
      </ns0:c>
      <ns0:c r="G459" s="28" t="str">
        <ns0:f>IF(F459="","",IFERROR(INDEX('Müşteriler'!$C$2:$C$101,MATCH(F459,'Müşteriler'!$A$2:$A$101,0)),""))</ns0:f>
        <ns0:v/>
      </ns0:c>
      <ns0:c r="H459" s="28" t="str">
        <ns0:f>IF(A459="","",IF(C459&lt;=0,"Satış dışı",IF(OR(F459="",G459=""),"Eşleşmedi","Eşleşti")))</ns0:f>
        <ns0:v/>
      </ns0:c>
      <ns0:c r="I459" s="28">
        <ns0:f>I458+IF(AND(H459="Eşleşmedi",E459='Panel'!$B$4),1,0)</ns0:f>
        <ns0:v>3.0</ns0:v>
      </ns0:c>
    </ns0:row>
    <ns0:row r="460" ht="21" customHeight="1">
      <ns0:c r="A460" s="25" t="n"/>
      <ns0:c r="B460" s="26" t="n"/>
      <ns0:c r="C460" s="27" t="n"/>
      <ns0:c r="D460" s="27" t="n"/>
      <ns0:c r="E460" s="28" t="str">
        <ns0:f>IF(A460="","",YEAR(A460)&amp;"-"&amp;RIGHT("0"&amp;MONTH(A460),2))</ns0:f>
        <ns0:v/>
      </ns0:c>
      <ns0:c r="F460" s="28" t="str">
        <ns0:f>IF(OR(A460="",B460="",C460&lt;=0),"",IF(SUMPRODUCT(('Müşteriler'!$B$2:$B$101&lt;&gt;"")*ISNUMBER(SEARCH('Müşteriler'!$B$2:$B$101,B460)))=1,IFERROR(INDEX('Müşteriler'!$A$2:$A$101,SUMPRODUCT(('Müşteriler'!$B$2:$B$101&lt;&gt;"")*ISNUMBER(SEARCH('Müşteriler'!$B$2:$B$101,B460)),ROW('Müşteriler'!$B$2:$B$101)-ROW('Müşteriler'!$B$2)+1)),""),""))</ns0:f>
        <ns0:v/>
      </ns0:c>
      <ns0:c r="G460" s="28" t="str">
        <ns0:f>IF(F460="","",IFERROR(INDEX('Müşteriler'!$C$2:$C$101,MATCH(F460,'Müşteriler'!$A$2:$A$101,0)),""))</ns0:f>
        <ns0:v/>
      </ns0:c>
      <ns0:c r="H460" s="28" t="str">
        <ns0:f>IF(A460="","",IF(C460&lt;=0,"Satış dışı",IF(OR(F460="",G460=""),"Eşleşmedi","Eşleşti")))</ns0:f>
        <ns0:v/>
      </ns0:c>
      <ns0:c r="I460" s="28">
        <ns0:f>I459+IF(AND(H460="Eşleşmedi",E460='Panel'!$B$4),1,0)</ns0:f>
        <ns0:v>3.0</ns0:v>
      </ns0:c>
    </ns0:row>
    <ns0:row r="461" ht="21" customHeight="1">
      <ns0:c r="A461" s="25" t="n"/>
      <ns0:c r="B461" s="26" t="n"/>
      <ns0:c r="C461" s="27" t="n"/>
      <ns0:c r="D461" s="27" t="n"/>
      <ns0:c r="E461" s="28" t="str">
        <ns0:f>IF(A461="","",YEAR(A461)&amp;"-"&amp;RIGHT("0"&amp;MONTH(A461),2))</ns0:f>
        <ns0:v/>
      </ns0:c>
      <ns0:c r="F461" s="28" t="str">
        <ns0:f>IF(OR(A461="",B461="",C461&lt;=0),"",IF(SUMPRODUCT(('Müşteriler'!$B$2:$B$101&lt;&gt;"")*ISNUMBER(SEARCH('Müşteriler'!$B$2:$B$101,B461)))=1,IFERROR(INDEX('Müşteriler'!$A$2:$A$101,SUMPRODUCT(('Müşteriler'!$B$2:$B$101&lt;&gt;"")*ISNUMBER(SEARCH('Müşteriler'!$B$2:$B$101,B461)),ROW('Müşteriler'!$B$2:$B$101)-ROW('Müşteriler'!$B$2)+1)),""),""))</ns0:f>
        <ns0:v/>
      </ns0:c>
      <ns0:c r="G461" s="28" t="str">
        <ns0:f>IF(F461="","",IFERROR(INDEX('Müşteriler'!$C$2:$C$101,MATCH(F461,'Müşteriler'!$A$2:$A$101,0)),""))</ns0:f>
        <ns0:v/>
      </ns0:c>
      <ns0:c r="H461" s="28" t="str">
        <ns0:f>IF(A461="","",IF(C461&lt;=0,"Satış dışı",IF(OR(F461="",G461=""),"Eşleşmedi","Eşleşti")))</ns0:f>
        <ns0:v/>
      </ns0:c>
      <ns0:c r="I461" s="28">
        <ns0:f>I460+IF(AND(H461="Eşleşmedi",E461='Panel'!$B$4),1,0)</ns0:f>
        <ns0:v>3.0</ns0:v>
      </ns0:c>
    </ns0:row>
    <ns0:row r="462" ht="21" customHeight="1">
      <ns0:c r="A462" s="25" t="n"/>
      <ns0:c r="B462" s="26" t="n"/>
      <ns0:c r="C462" s="27" t="n"/>
      <ns0:c r="D462" s="27" t="n"/>
      <ns0:c r="E462" s="28" t="str">
        <ns0:f>IF(A462="","",YEAR(A462)&amp;"-"&amp;RIGHT("0"&amp;MONTH(A462),2))</ns0:f>
        <ns0:v/>
      </ns0:c>
      <ns0:c r="F462" s="28" t="str">
        <ns0:f>IF(OR(A462="",B462="",C462&lt;=0),"",IF(SUMPRODUCT(('Müşteriler'!$B$2:$B$101&lt;&gt;"")*ISNUMBER(SEARCH('Müşteriler'!$B$2:$B$101,B462)))=1,IFERROR(INDEX('Müşteriler'!$A$2:$A$101,SUMPRODUCT(('Müşteriler'!$B$2:$B$101&lt;&gt;"")*ISNUMBER(SEARCH('Müşteriler'!$B$2:$B$101,B462)),ROW('Müşteriler'!$B$2:$B$101)-ROW('Müşteriler'!$B$2)+1)),""),""))</ns0:f>
        <ns0:v/>
      </ns0:c>
      <ns0:c r="G462" s="28" t="str">
        <ns0:f>IF(F462="","",IFERROR(INDEX('Müşteriler'!$C$2:$C$101,MATCH(F462,'Müşteriler'!$A$2:$A$101,0)),""))</ns0:f>
        <ns0:v/>
      </ns0:c>
      <ns0:c r="H462" s="28" t="str">
        <ns0:f>IF(A462="","",IF(C462&lt;=0,"Satış dışı",IF(OR(F462="",G462=""),"Eşleşmedi","Eşleşti")))</ns0:f>
        <ns0:v/>
      </ns0:c>
      <ns0:c r="I462" s="28">
        <ns0:f>I461+IF(AND(H462="Eşleşmedi",E462='Panel'!$B$4),1,0)</ns0:f>
        <ns0:v>3.0</ns0:v>
      </ns0:c>
    </ns0:row>
    <ns0:row r="463" ht="21" customHeight="1">
      <ns0:c r="A463" s="25" t="n"/>
      <ns0:c r="B463" s="26" t="n"/>
      <ns0:c r="C463" s="27" t="n"/>
      <ns0:c r="D463" s="27" t="n"/>
      <ns0:c r="E463" s="28" t="str">
        <ns0:f>IF(A463="","",YEAR(A463)&amp;"-"&amp;RIGHT("0"&amp;MONTH(A463),2))</ns0:f>
        <ns0:v/>
      </ns0:c>
      <ns0:c r="F463" s="28" t="str">
        <ns0:f>IF(OR(A463="",B463="",C463&lt;=0),"",IF(SUMPRODUCT(('Müşteriler'!$B$2:$B$101&lt;&gt;"")*ISNUMBER(SEARCH('Müşteriler'!$B$2:$B$101,B463)))=1,IFERROR(INDEX('Müşteriler'!$A$2:$A$101,SUMPRODUCT(('Müşteriler'!$B$2:$B$101&lt;&gt;"")*ISNUMBER(SEARCH('Müşteriler'!$B$2:$B$101,B463)),ROW('Müşteriler'!$B$2:$B$101)-ROW('Müşteriler'!$B$2)+1)),""),""))</ns0:f>
        <ns0:v/>
      </ns0:c>
      <ns0:c r="G463" s="28" t="str">
        <ns0:f>IF(F463="","",IFERROR(INDEX('Müşteriler'!$C$2:$C$101,MATCH(F463,'Müşteriler'!$A$2:$A$101,0)),""))</ns0:f>
        <ns0:v/>
      </ns0:c>
      <ns0:c r="H463" s="28" t="str">
        <ns0:f>IF(A463="","",IF(C463&lt;=0,"Satış dışı",IF(OR(F463="",G463=""),"Eşleşmedi","Eşleşti")))</ns0:f>
        <ns0:v/>
      </ns0:c>
      <ns0:c r="I463" s="28">
        <ns0:f>I462+IF(AND(H463="Eşleşmedi",E463='Panel'!$B$4),1,0)</ns0:f>
        <ns0:v>3.0</ns0:v>
      </ns0:c>
    </ns0:row>
    <ns0:row r="464" ht="21" customHeight="1">
      <ns0:c r="A464" s="25" t="n"/>
      <ns0:c r="B464" s="26" t="n"/>
      <ns0:c r="C464" s="27" t="n"/>
      <ns0:c r="D464" s="27" t="n"/>
      <ns0:c r="E464" s="28" t="str">
        <ns0:f>IF(A464="","",YEAR(A464)&amp;"-"&amp;RIGHT("0"&amp;MONTH(A464),2))</ns0:f>
        <ns0:v/>
      </ns0:c>
      <ns0:c r="F464" s="28" t="str">
        <ns0:f>IF(OR(A464="",B464="",C464&lt;=0),"",IF(SUMPRODUCT(('Müşteriler'!$B$2:$B$101&lt;&gt;"")*ISNUMBER(SEARCH('Müşteriler'!$B$2:$B$101,B464)))=1,IFERROR(INDEX('Müşteriler'!$A$2:$A$101,SUMPRODUCT(('Müşteriler'!$B$2:$B$101&lt;&gt;"")*ISNUMBER(SEARCH('Müşteriler'!$B$2:$B$101,B464)),ROW('Müşteriler'!$B$2:$B$101)-ROW('Müşteriler'!$B$2)+1)),""),""))</ns0:f>
        <ns0:v/>
      </ns0:c>
      <ns0:c r="G464" s="28" t="str">
        <ns0:f>IF(F464="","",IFERROR(INDEX('Müşteriler'!$C$2:$C$101,MATCH(F464,'Müşteriler'!$A$2:$A$101,0)),""))</ns0:f>
        <ns0:v/>
      </ns0:c>
      <ns0:c r="H464" s="28" t="str">
        <ns0:f>IF(A464="","",IF(C464&lt;=0,"Satış dışı",IF(OR(F464="",G464=""),"Eşleşmedi","Eşleşti")))</ns0:f>
        <ns0:v/>
      </ns0:c>
      <ns0:c r="I464" s="28">
        <ns0:f>I463+IF(AND(H464="Eşleşmedi",E464='Panel'!$B$4),1,0)</ns0:f>
        <ns0:v>3.0</ns0:v>
      </ns0:c>
    </ns0:row>
    <ns0:row r="465" ht="21" customHeight="1">
      <ns0:c r="A465" s="25" t="n"/>
      <ns0:c r="B465" s="26" t="n"/>
      <ns0:c r="C465" s="27" t="n"/>
      <ns0:c r="D465" s="27" t="n"/>
      <ns0:c r="E465" s="28" t="str">
        <ns0:f>IF(A465="","",YEAR(A465)&amp;"-"&amp;RIGHT("0"&amp;MONTH(A465),2))</ns0:f>
        <ns0:v/>
      </ns0:c>
      <ns0:c r="F465" s="28" t="str">
        <ns0:f>IF(OR(A465="",B465="",C465&lt;=0),"",IF(SUMPRODUCT(('Müşteriler'!$B$2:$B$101&lt;&gt;"")*ISNUMBER(SEARCH('Müşteriler'!$B$2:$B$101,B465)))=1,IFERROR(INDEX('Müşteriler'!$A$2:$A$101,SUMPRODUCT(('Müşteriler'!$B$2:$B$101&lt;&gt;"")*ISNUMBER(SEARCH('Müşteriler'!$B$2:$B$101,B465)),ROW('Müşteriler'!$B$2:$B$101)-ROW('Müşteriler'!$B$2)+1)),""),""))</ns0:f>
        <ns0:v/>
      </ns0:c>
      <ns0:c r="G465" s="28" t="str">
        <ns0:f>IF(F465="","",IFERROR(INDEX('Müşteriler'!$C$2:$C$101,MATCH(F465,'Müşteriler'!$A$2:$A$101,0)),""))</ns0:f>
        <ns0:v/>
      </ns0:c>
      <ns0:c r="H465" s="28" t="str">
        <ns0:f>IF(A465="","",IF(C465&lt;=0,"Satış dışı",IF(OR(F465="",G465=""),"Eşleşmedi","Eşleşti")))</ns0:f>
        <ns0:v/>
      </ns0:c>
      <ns0:c r="I465" s="28">
        <ns0:f>I464+IF(AND(H465="Eşleşmedi",E465='Panel'!$B$4),1,0)</ns0:f>
        <ns0:v>3.0</ns0:v>
      </ns0:c>
    </ns0:row>
    <ns0:row r="466" ht="21" customHeight="1">
      <ns0:c r="A466" s="25" t="n"/>
      <ns0:c r="B466" s="26" t="n"/>
      <ns0:c r="C466" s="27" t="n"/>
      <ns0:c r="D466" s="27" t="n"/>
      <ns0:c r="E466" s="28" t="str">
        <ns0:f>IF(A466="","",YEAR(A466)&amp;"-"&amp;RIGHT("0"&amp;MONTH(A466),2))</ns0:f>
        <ns0:v/>
      </ns0:c>
      <ns0:c r="F466" s="28" t="str">
        <ns0:f>IF(OR(A466="",B466="",C466&lt;=0),"",IF(SUMPRODUCT(('Müşteriler'!$B$2:$B$101&lt;&gt;"")*ISNUMBER(SEARCH('Müşteriler'!$B$2:$B$101,B466)))=1,IFERROR(INDEX('Müşteriler'!$A$2:$A$101,SUMPRODUCT(('Müşteriler'!$B$2:$B$101&lt;&gt;"")*ISNUMBER(SEARCH('Müşteriler'!$B$2:$B$101,B466)),ROW('Müşteriler'!$B$2:$B$101)-ROW('Müşteriler'!$B$2)+1)),""),""))</ns0:f>
        <ns0:v/>
      </ns0:c>
      <ns0:c r="G466" s="28" t="str">
        <ns0:f>IF(F466="","",IFERROR(INDEX('Müşteriler'!$C$2:$C$101,MATCH(F466,'Müşteriler'!$A$2:$A$101,0)),""))</ns0:f>
        <ns0:v/>
      </ns0:c>
      <ns0:c r="H466" s="28" t="str">
        <ns0:f>IF(A466="","",IF(C466&lt;=0,"Satış dışı",IF(OR(F466="",G466=""),"Eşleşmedi","Eşleşti")))</ns0:f>
        <ns0:v/>
      </ns0:c>
      <ns0:c r="I466" s="28">
        <ns0:f>I465+IF(AND(H466="Eşleşmedi",E466='Panel'!$B$4),1,0)</ns0:f>
        <ns0:v>3.0</ns0:v>
      </ns0:c>
    </ns0:row>
    <ns0:row r="467" ht="21" customHeight="1">
      <ns0:c r="A467" s="25" t="n"/>
      <ns0:c r="B467" s="26" t="n"/>
      <ns0:c r="C467" s="27" t="n"/>
      <ns0:c r="D467" s="27" t="n"/>
      <ns0:c r="E467" s="28" t="str">
        <ns0:f>IF(A467="","",YEAR(A467)&amp;"-"&amp;RIGHT("0"&amp;MONTH(A467),2))</ns0:f>
        <ns0:v/>
      </ns0:c>
      <ns0:c r="F467" s="28" t="str">
        <ns0:f>IF(OR(A467="",B467="",C467&lt;=0),"",IF(SUMPRODUCT(('Müşteriler'!$B$2:$B$101&lt;&gt;"")*ISNUMBER(SEARCH('Müşteriler'!$B$2:$B$101,B467)))=1,IFERROR(INDEX('Müşteriler'!$A$2:$A$101,SUMPRODUCT(('Müşteriler'!$B$2:$B$101&lt;&gt;"")*ISNUMBER(SEARCH('Müşteriler'!$B$2:$B$101,B467)),ROW('Müşteriler'!$B$2:$B$101)-ROW('Müşteriler'!$B$2)+1)),""),""))</ns0:f>
        <ns0:v/>
      </ns0:c>
      <ns0:c r="G467" s="28" t="str">
        <ns0:f>IF(F467="","",IFERROR(INDEX('Müşteriler'!$C$2:$C$101,MATCH(F467,'Müşteriler'!$A$2:$A$101,0)),""))</ns0:f>
        <ns0:v/>
      </ns0:c>
      <ns0:c r="H467" s="28" t="str">
        <ns0:f>IF(A467="","",IF(C467&lt;=0,"Satış dışı",IF(OR(F467="",G467=""),"Eşleşmedi","Eşleşti")))</ns0:f>
        <ns0:v/>
      </ns0:c>
      <ns0:c r="I467" s="28">
        <ns0:f>I466+IF(AND(H467="Eşleşmedi",E467='Panel'!$B$4),1,0)</ns0:f>
        <ns0:v>3.0</ns0:v>
      </ns0:c>
    </ns0:row>
    <ns0:row r="468" ht="21" customHeight="1">
      <ns0:c r="A468" s="25" t="n"/>
      <ns0:c r="B468" s="26" t="n"/>
      <ns0:c r="C468" s="27" t="n"/>
      <ns0:c r="D468" s="27" t="n"/>
      <ns0:c r="E468" s="28" t="str">
        <ns0:f>IF(A468="","",YEAR(A468)&amp;"-"&amp;RIGHT("0"&amp;MONTH(A468),2))</ns0:f>
        <ns0:v/>
      </ns0:c>
      <ns0:c r="F468" s="28" t="str">
        <ns0:f>IF(OR(A468="",B468="",C468&lt;=0),"",IF(SUMPRODUCT(('Müşteriler'!$B$2:$B$101&lt;&gt;"")*ISNUMBER(SEARCH('Müşteriler'!$B$2:$B$101,B468)))=1,IFERROR(INDEX('Müşteriler'!$A$2:$A$101,SUMPRODUCT(('Müşteriler'!$B$2:$B$101&lt;&gt;"")*ISNUMBER(SEARCH('Müşteriler'!$B$2:$B$101,B468)),ROW('Müşteriler'!$B$2:$B$101)-ROW('Müşteriler'!$B$2)+1)),""),""))</ns0:f>
        <ns0:v/>
      </ns0:c>
      <ns0:c r="G468" s="28" t="str">
        <ns0:f>IF(F468="","",IFERROR(INDEX('Müşteriler'!$C$2:$C$101,MATCH(F468,'Müşteriler'!$A$2:$A$101,0)),""))</ns0:f>
        <ns0:v/>
      </ns0:c>
      <ns0:c r="H468" s="28" t="str">
        <ns0:f>IF(A468="","",IF(C468&lt;=0,"Satış dışı",IF(OR(F468="",G468=""),"Eşleşmedi","Eşleşti")))</ns0:f>
        <ns0:v/>
      </ns0:c>
      <ns0:c r="I468" s="28">
        <ns0:f>I467+IF(AND(H468="Eşleşmedi",E468='Panel'!$B$4),1,0)</ns0:f>
        <ns0:v>3.0</ns0:v>
      </ns0:c>
    </ns0:row>
    <ns0:row r="469" ht="21" customHeight="1">
      <ns0:c r="A469" s="25" t="n"/>
      <ns0:c r="B469" s="26" t="n"/>
      <ns0:c r="C469" s="27" t="n"/>
      <ns0:c r="D469" s="27" t="n"/>
      <ns0:c r="E469" s="28" t="str">
        <ns0:f>IF(A469="","",YEAR(A469)&amp;"-"&amp;RIGHT("0"&amp;MONTH(A469),2))</ns0:f>
        <ns0:v/>
      </ns0:c>
      <ns0:c r="F469" s="28" t="str">
        <ns0:f>IF(OR(A469="",B469="",C469&lt;=0),"",IF(SUMPRODUCT(('Müşteriler'!$B$2:$B$101&lt;&gt;"")*ISNUMBER(SEARCH('Müşteriler'!$B$2:$B$101,B469)))=1,IFERROR(INDEX('Müşteriler'!$A$2:$A$101,SUMPRODUCT(('Müşteriler'!$B$2:$B$101&lt;&gt;"")*ISNUMBER(SEARCH('Müşteriler'!$B$2:$B$101,B469)),ROW('Müşteriler'!$B$2:$B$101)-ROW('Müşteriler'!$B$2)+1)),""),""))</ns0:f>
        <ns0:v/>
      </ns0:c>
      <ns0:c r="G469" s="28" t="str">
        <ns0:f>IF(F469="","",IFERROR(INDEX('Müşteriler'!$C$2:$C$101,MATCH(F469,'Müşteriler'!$A$2:$A$101,0)),""))</ns0:f>
        <ns0:v/>
      </ns0:c>
      <ns0:c r="H469" s="28" t="str">
        <ns0:f>IF(A469="","",IF(C469&lt;=0,"Satış dışı",IF(OR(F469="",G469=""),"Eşleşmedi","Eşleşti")))</ns0:f>
        <ns0:v/>
      </ns0:c>
      <ns0:c r="I469" s="28">
        <ns0:f>I468+IF(AND(H469="Eşleşmedi",E469='Panel'!$B$4),1,0)</ns0:f>
        <ns0:v>3.0</ns0:v>
      </ns0:c>
    </ns0:row>
    <ns0:row r="470" ht="21" customHeight="1">
      <ns0:c r="A470" s="25" t="n"/>
      <ns0:c r="B470" s="26" t="n"/>
      <ns0:c r="C470" s="27" t="n"/>
      <ns0:c r="D470" s="27" t="n"/>
      <ns0:c r="E470" s="28" t="str">
        <ns0:f>IF(A470="","",YEAR(A470)&amp;"-"&amp;RIGHT("0"&amp;MONTH(A470),2))</ns0:f>
        <ns0:v/>
      </ns0:c>
      <ns0:c r="F470" s="28" t="str">
        <ns0:f>IF(OR(A470="",B470="",C470&lt;=0),"",IF(SUMPRODUCT(('Müşteriler'!$B$2:$B$101&lt;&gt;"")*ISNUMBER(SEARCH('Müşteriler'!$B$2:$B$101,B470)))=1,IFERROR(INDEX('Müşteriler'!$A$2:$A$101,SUMPRODUCT(('Müşteriler'!$B$2:$B$101&lt;&gt;"")*ISNUMBER(SEARCH('Müşteriler'!$B$2:$B$101,B470)),ROW('Müşteriler'!$B$2:$B$101)-ROW('Müşteriler'!$B$2)+1)),""),""))</ns0:f>
        <ns0:v/>
      </ns0:c>
      <ns0:c r="G470" s="28" t="str">
        <ns0:f>IF(F470="","",IFERROR(INDEX('Müşteriler'!$C$2:$C$101,MATCH(F470,'Müşteriler'!$A$2:$A$101,0)),""))</ns0:f>
        <ns0:v/>
      </ns0:c>
      <ns0:c r="H470" s="28" t="str">
        <ns0:f>IF(A470="","",IF(C470&lt;=0,"Satış dışı",IF(OR(F470="",G470=""),"Eşleşmedi","Eşleşti")))</ns0:f>
        <ns0:v/>
      </ns0:c>
      <ns0:c r="I470" s="28">
        <ns0:f>I469+IF(AND(H470="Eşleşmedi",E470='Panel'!$B$4),1,0)</ns0:f>
        <ns0:v>3.0</ns0:v>
      </ns0:c>
    </ns0:row>
    <ns0:row r="471" ht="21" customHeight="1">
      <ns0:c r="A471" s="25" t="n"/>
      <ns0:c r="B471" s="26" t="n"/>
      <ns0:c r="C471" s="27" t="n"/>
      <ns0:c r="D471" s="27" t="n"/>
      <ns0:c r="E471" s="28" t="str">
        <ns0:f>IF(A471="","",YEAR(A471)&amp;"-"&amp;RIGHT("0"&amp;MONTH(A471),2))</ns0:f>
        <ns0:v/>
      </ns0:c>
      <ns0:c r="F471" s="28" t="str">
        <ns0:f>IF(OR(A471="",B471="",C471&lt;=0),"",IF(SUMPRODUCT(('Müşteriler'!$B$2:$B$101&lt;&gt;"")*ISNUMBER(SEARCH('Müşteriler'!$B$2:$B$101,B471)))=1,IFERROR(INDEX('Müşteriler'!$A$2:$A$101,SUMPRODUCT(('Müşteriler'!$B$2:$B$101&lt;&gt;"")*ISNUMBER(SEARCH('Müşteriler'!$B$2:$B$101,B471)),ROW('Müşteriler'!$B$2:$B$101)-ROW('Müşteriler'!$B$2)+1)),""),""))</ns0:f>
        <ns0:v/>
      </ns0:c>
      <ns0:c r="G471" s="28" t="str">
        <ns0:f>IF(F471="","",IFERROR(INDEX('Müşteriler'!$C$2:$C$101,MATCH(F471,'Müşteriler'!$A$2:$A$101,0)),""))</ns0:f>
        <ns0:v/>
      </ns0:c>
      <ns0:c r="H471" s="28" t="str">
        <ns0:f>IF(A471="","",IF(C471&lt;=0,"Satış dışı",IF(OR(F471="",G471=""),"Eşleşmedi","Eşleşti")))</ns0:f>
        <ns0:v/>
      </ns0:c>
      <ns0:c r="I471" s="28">
        <ns0:f>I470+IF(AND(H471="Eşleşmedi",E471='Panel'!$B$4),1,0)</ns0:f>
        <ns0:v>3.0</ns0:v>
      </ns0:c>
    </ns0:row>
    <ns0:row r="472" ht="21" customHeight="1">
      <ns0:c r="A472" s="25" t="n"/>
      <ns0:c r="B472" s="26" t="n"/>
      <ns0:c r="C472" s="27" t="n"/>
      <ns0:c r="D472" s="27" t="n"/>
      <ns0:c r="E472" s="28" t="str">
        <ns0:f>IF(A472="","",YEAR(A472)&amp;"-"&amp;RIGHT("0"&amp;MONTH(A472),2))</ns0:f>
        <ns0:v/>
      </ns0:c>
      <ns0:c r="F472" s="28" t="str">
        <ns0:f>IF(OR(A472="",B472="",C472&lt;=0),"",IF(SUMPRODUCT(('Müşteriler'!$B$2:$B$101&lt;&gt;"")*ISNUMBER(SEARCH('Müşteriler'!$B$2:$B$101,B472)))=1,IFERROR(INDEX('Müşteriler'!$A$2:$A$101,SUMPRODUCT(('Müşteriler'!$B$2:$B$101&lt;&gt;"")*ISNUMBER(SEARCH('Müşteriler'!$B$2:$B$101,B472)),ROW('Müşteriler'!$B$2:$B$101)-ROW('Müşteriler'!$B$2)+1)),""),""))</ns0:f>
        <ns0:v/>
      </ns0:c>
      <ns0:c r="G472" s="28" t="str">
        <ns0:f>IF(F472="","",IFERROR(INDEX('Müşteriler'!$C$2:$C$101,MATCH(F472,'Müşteriler'!$A$2:$A$101,0)),""))</ns0:f>
        <ns0:v/>
      </ns0:c>
      <ns0:c r="H472" s="28" t="str">
        <ns0:f>IF(A472="","",IF(C472&lt;=0,"Satış dışı",IF(OR(F472="",G472=""),"Eşleşmedi","Eşleşti")))</ns0:f>
        <ns0:v/>
      </ns0:c>
      <ns0:c r="I472" s="28">
        <ns0:f>I471+IF(AND(H472="Eşleşmedi",E472='Panel'!$B$4),1,0)</ns0:f>
        <ns0:v>3.0</ns0:v>
      </ns0:c>
    </ns0:row>
    <ns0:row r="473" ht="21" customHeight="1">
      <ns0:c r="A473" s="25" t="n"/>
      <ns0:c r="B473" s="26" t="n"/>
      <ns0:c r="C473" s="27" t="n"/>
      <ns0:c r="D473" s="27" t="n"/>
      <ns0:c r="E473" s="28" t="str">
        <ns0:f>IF(A473="","",YEAR(A473)&amp;"-"&amp;RIGHT("0"&amp;MONTH(A473),2))</ns0:f>
        <ns0:v/>
      </ns0:c>
      <ns0:c r="F473" s="28" t="str">
        <ns0:f>IF(OR(A473="",B473="",C473&lt;=0),"",IF(SUMPRODUCT(('Müşteriler'!$B$2:$B$101&lt;&gt;"")*ISNUMBER(SEARCH('Müşteriler'!$B$2:$B$101,B473)))=1,IFERROR(INDEX('Müşteriler'!$A$2:$A$101,SUMPRODUCT(('Müşteriler'!$B$2:$B$101&lt;&gt;"")*ISNUMBER(SEARCH('Müşteriler'!$B$2:$B$101,B473)),ROW('Müşteriler'!$B$2:$B$101)-ROW('Müşteriler'!$B$2)+1)),""),""))</ns0:f>
        <ns0:v/>
      </ns0:c>
      <ns0:c r="G473" s="28" t="str">
        <ns0:f>IF(F473="","",IFERROR(INDEX('Müşteriler'!$C$2:$C$101,MATCH(F473,'Müşteriler'!$A$2:$A$101,0)),""))</ns0:f>
        <ns0:v/>
      </ns0:c>
      <ns0:c r="H473" s="28" t="str">
        <ns0:f>IF(A473="","",IF(C473&lt;=0,"Satış dışı",IF(OR(F473="",G473=""),"Eşleşmedi","Eşleşti")))</ns0:f>
        <ns0:v/>
      </ns0:c>
      <ns0:c r="I473" s="28">
        <ns0:f>I472+IF(AND(H473="Eşleşmedi",E473='Panel'!$B$4),1,0)</ns0:f>
        <ns0:v>3.0</ns0:v>
      </ns0:c>
    </ns0:row>
    <ns0:row r="474" ht="21" customHeight="1">
      <ns0:c r="A474" s="25" t="n"/>
      <ns0:c r="B474" s="26" t="n"/>
      <ns0:c r="C474" s="27" t="n"/>
      <ns0:c r="D474" s="27" t="n"/>
      <ns0:c r="E474" s="28" t="str">
        <ns0:f>IF(A474="","",YEAR(A474)&amp;"-"&amp;RIGHT("0"&amp;MONTH(A474),2))</ns0:f>
        <ns0:v/>
      </ns0:c>
      <ns0:c r="F474" s="28" t="str">
        <ns0:f>IF(OR(A474="",B474="",C474&lt;=0),"",IF(SUMPRODUCT(('Müşteriler'!$B$2:$B$101&lt;&gt;"")*ISNUMBER(SEARCH('Müşteriler'!$B$2:$B$101,B474)))=1,IFERROR(INDEX('Müşteriler'!$A$2:$A$101,SUMPRODUCT(('Müşteriler'!$B$2:$B$101&lt;&gt;"")*ISNUMBER(SEARCH('Müşteriler'!$B$2:$B$101,B474)),ROW('Müşteriler'!$B$2:$B$101)-ROW('Müşteriler'!$B$2)+1)),""),""))</ns0:f>
        <ns0:v/>
      </ns0:c>
      <ns0:c r="G474" s="28" t="str">
        <ns0:f>IF(F474="","",IFERROR(INDEX('Müşteriler'!$C$2:$C$101,MATCH(F474,'Müşteriler'!$A$2:$A$101,0)),""))</ns0:f>
        <ns0:v/>
      </ns0:c>
      <ns0:c r="H474" s="28" t="str">
        <ns0:f>IF(A474="","",IF(C474&lt;=0,"Satış dışı",IF(OR(F474="",G474=""),"Eşleşmedi","Eşleşti")))</ns0:f>
        <ns0:v/>
      </ns0:c>
      <ns0:c r="I474" s="28">
        <ns0:f>I473+IF(AND(H474="Eşleşmedi",E474='Panel'!$B$4),1,0)</ns0:f>
        <ns0:v>3.0</ns0:v>
      </ns0:c>
    </ns0:row>
    <ns0:row r="475" ht="21" customHeight="1">
      <ns0:c r="A475" s="25" t="n"/>
      <ns0:c r="B475" s="26" t="n"/>
      <ns0:c r="C475" s="27" t="n"/>
      <ns0:c r="D475" s="27" t="n"/>
      <ns0:c r="E475" s="28" t="str">
        <ns0:f>IF(A475="","",YEAR(A475)&amp;"-"&amp;RIGHT("0"&amp;MONTH(A475),2))</ns0:f>
        <ns0:v/>
      </ns0:c>
      <ns0:c r="F475" s="28" t="str">
        <ns0:f>IF(OR(A475="",B475="",C475&lt;=0),"",IF(SUMPRODUCT(('Müşteriler'!$B$2:$B$101&lt;&gt;"")*ISNUMBER(SEARCH('Müşteriler'!$B$2:$B$101,B475)))=1,IFERROR(INDEX('Müşteriler'!$A$2:$A$101,SUMPRODUCT(('Müşteriler'!$B$2:$B$101&lt;&gt;"")*ISNUMBER(SEARCH('Müşteriler'!$B$2:$B$101,B475)),ROW('Müşteriler'!$B$2:$B$101)-ROW('Müşteriler'!$B$2)+1)),""),""))</ns0:f>
        <ns0:v/>
      </ns0:c>
      <ns0:c r="G475" s="28" t="str">
        <ns0:f>IF(F475="","",IFERROR(INDEX('Müşteriler'!$C$2:$C$101,MATCH(F475,'Müşteriler'!$A$2:$A$101,0)),""))</ns0:f>
        <ns0:v/>
      </ns0:c>
      <ns0:c r="H475" s="28" t="str">
        <ns0:f>IF(A475="","",IF(C475&lt;=0,"Satış dışı",IF(OR(F475="",G475=""),"Eşleşmedi","Eşleşti")))</ns0:f>
        <ns0:v/>
      </ns0:c>
      <ns0:c r="I475" s="28">
        <ns0:f>I474+IF(AND(H475="Eşleşmedi",E475='Panel'!$B$4),1,0)</ns0:f>
        <ns0:v>3.0</ns0:v>
      </ns0:c>
    </ns0:row>
    <ns0:row r="476" ht="21" customHeight="1">
      <ns0:c r="A476" s="25" t="n"/>
      <ns0:c r="B476" s="26" t="n"/>
      <ns0:c r="C476" s="27" t="n"/>
      <ns0:c r="D476" s="27" t="n"/>
      <ns0:c r="E476" s="28" t="str">
        <ns0:f>IF(A476="","",YEAR(A476)&amp;"-"&amp;RIGHT("0"&amp;MONTH(A476),2))</ns0:f>
        <ns0:v/>
      </ns0:c>
      <ns0:c r="F476" s="28" t="str">
        <ns0:f>IF(OR(A476="",B476="",C476&lt;=0),"",IF(SUMPRODUCT(('Müşteriler'!$B$2:$B$101&lt;&gt;"")*ISNUMBER(SEARCH('Müşteriler'!$B$2:$B$101,B476)))=1,IFERROR(INDEX('Müşteriler'!$A$2:$A$101,SUMPRODUCT(('Müşteriler'!$B$2:$B$101&lt;&gt;"")*ISNUMBER(SEARCH('Müşteriler'!$B$2:$B$101,B476)),ROW('Müşteriler'!$B$2:$B$101)-ROW('Müşteriler'!$B$2)+1)),""),""))</ns0:f>
        <ns0:v/>
      </ns0:c>
      <ns0:c r="G476" s="28" t="str">
        <ns0:f>IF(F476="","",IFERROR(INDEX('Müşteriler'!$C$2:$C$101,MATCH(F476,'Müşteriler'!$A$2:$A$101,0)),""))</ns0:f>
        <ns0:v/>
      </ns0:c>
      <ns0:c r="H476" s="28" t="str">
        <ns0:f>IF(A476="","",IF(C476&lt;=0,"Satış dışı",IF(OR(F476="",G476=""),"Eşleşmedi","Eşleşti")))</ns0:f>
        <ns0:v/>
      </ns0:c>
      <ns0:c r="I476" s="28">
        <ns0:f>I475+IF(AND(H476="Eşleşmedi",E476='Panel'!$B$4),1,0)</ns0:f>
        <ns0:v>3.0</ns0:v>
      </ns0:c>
    </ns0:row>
    <ns0:row r="477" ht="21" customHeight="1">
      <ns0:c r="A477" s="25" t="n"/>
      <ns0:c r="B477" s="26" t="n"/>
      <ns0:c r="C477" s="27" t="n"/>
      <ns0:c r="D477" s="27" t="n"/>
      <ns0:c r="E477" s="28" t="str">
        <ns0:f>IF(A477="","",YEAR(A477)&amp;"-"&amp;RIGHT("0"&amp;MONTH(A477),2))</ns0:f>
        <ns0:v/>
      </ns0:c>
      <ns0:c r="F477" s="28" t="str">
        <ns0:f>IF(OR(A477="",B477="",C477&lt;=0),"",IF(SUMPRODUCT(('Müşteriler'!$B$2:$B$101&lt;&gt;"")*ISNUMBER(SEARCH('Müşteriler'!$B$2:$B$101,B477)))=1,IFERROR(INDEX('Müşteriler'!$A$2:$A$101,SUMPRODUCT(('Müşteriler'!$B$2:$B$101&lt;&gt;"")*ISNUMBER(SEARCH('Müşteriler'!$B$2:$B$101,B477)),ROW('Müşteriler'!$B$2:$B$101)-ROW('Müşteriler'!$B$2)+1)),""),""))</ns0:f>
        <ns0:v/>
      </ns0:c>
      <ns0:c r="G477" s="28" t="str">
        <ns0:f>IF(F477="","",IFERROR(INDEX('Müşteriler'!$C$2:$C$101,MATCH(F477,'Müşteriler'!$A$2:$A$101,0)),""))</ns0:f>
        <ns0:v/>
      </ns0:c>
      <ns0:c r="H477" s="28" t="str">
        <ns0:f>IF(A477="","",IF(C477&lt;=0,"Satış dışı",IF(OR(F477="",G477=""),"Eşleşmedi","Eşleşti")))</ns0:f>
        <ns0:v/>
      </ns0:c>
      <ns0:c r="I477" s="28">
        <ns0:f>I476+IF(AND(H477="Eşleşmedi",E477='Panel'!$B$4),1,0)</ns0:f>
        <ns0:v>3.0</ns0:v>
      </ns0:c>
    </ns0:row>
    <ns0:row r="478" ht="21" customHeight="1">
      <ns0:c r="A478" s="25" t="n"/>
      <ns0:c r="B478" s="26" t="n"/>
      <ns0:c r="C478" s="27" t="n"/>
      <ns0:c r="D478" s="27" t="n"/>
      <ns0:c r="E478" s="28" t="str">
        <ns0:f>IF(A478="","",YEAR(A478)&amp;"-"&amp;RIGHT("0"&amp;MONTH(A478),2))</ns0:f>
        <ns0:v/>
      </ns0:c>
      <ns0:c r="F478" s="28" t="str">
        <ns0:f>IF(OR(A478="",B478="",C478&lt;=0),"",IF(SUMPRODUCT(('Müşteriler'!$B$2:$B$101&lt;&gt;"")*ISNUMBER(SEARCH('Müşteriler'!$B$2:$B$101,B478)))=1,IFERROR(INDEX('Müşteriler'!$A$2:$A$101,SUMPRODUCT(('Müşteriler'!$B$2:$B$101&lt;&gt;"")*ISNUMBER(SEARCH('Müşteriler'!$B$2:$B$101,B478)),ROW('Müşteriler'!$B$2:$B$101)-ROW('Müşteriler'!$B$2)+1)),""),""))</ns0:f>
        <ns0:v/>
      </ns0:c>
      <ns0:c r="G478" s="28" t="str">
        <ns0:f>IF(F478="","",IFERROR(INDEX('Müşteriler'!$C$2:$C$101,MATCH(F478,'Müşteriler'!$A$2:$A$101,0)),""))</ns0:f>
        <ns0:v/>
      </ns0:c>
      <ns0:c r="H478" s="28" t="str">
        <ns0:f>IF(A478="","",IF(C478&lt;=0,"Satış dışı",IF(OR(F478="",G478=""),"Eşleşmedi","Eşleşti")))</ns0:f>
        <ns0:v/>
      </ns0:c>
      <ns0:c r="I478" s="28">
        <ns0:f>I477+IF(AND(H478="Eşleşmedi",E478='Panel'!$B$4),1,0)</ns0:f>
        <ns0:v>3.0</ns0:v>
      </ns0:c>
    </ns0:row>
    <ns0:row r="479" ht="21" customHeight="1">
      <ns0:c r="A479" s="25" t="n"/>
      <ns0:c r="B479" s="26" t="n"/>
      <ns0:c r="C479" s="27" t="n"/>
      <ns0:c r="D479" s="27" t="n"/>
      <ns0:c r="E479" s="28" t="str">
        <ns0:f>IF(A479="","",YEAR(A479)&amp;"-"&amp;RIGHT("0"&amp;MONTH(A479),2))</ns0:f>
        <ns0:v/>
      </ns0:c>
      <ns0:c r="F479" s="28" t="str">
        <ns0:f>IF(OR(A479="",B479="",C479&lt;=0),"",IF(SUMPRODUCT(('Müşteriler'!$B$2:$B$101&lt;&gt;"")*ISNUMBER(SEARCH('Müşteriler'!$B$2:$B$101,B479)))=1,IFERROR(INDEX('Müşteriler'!$A$2:$A$101,SUMPRODUCT(('Müşteriler'!$B$2:$B$101&lt;&gt;"")*ISNUMBER(SEARCH('Müşteriler'!$B$2:$B$101,B479)),ROW('Müşteriler'!$B$2:$B$101)-ROW('Müşteriler'!$B$2)+1)),""),""))</ns0:f>
        <ns0:v/>
      </ns0:c>
      <ns0:c r="G479" s="28" t="str">
        <ns0:f>IF(F479="","",IFERROR(INDEX('Müşteriler'!$C$2:$C$101,MATCH(F479,'Müşteriler'!$A$2:$A$101,0)),""))</ns0:f>
        <ns0:v/>
      </ns0:c>
      <ns0:c r="H479" s="28" t="str">
        <ns0:f>IF(A479="","",IF(C479&lt;=0,"Satış dışı",IF(OR(F479="",G479=""),"Eşleşmedi","Eşleşti")))</ns0:f>
        <ns0:v/>
      </ns0:c>
      <ns0:c r="I479" s="28">
        <ns0:f>I478+IF(AND(H479="Eşleşmedi",E479='Panel'!$B$4),1,0)</ns0:f>
        <ns0:v>3.0</ns0:v>
      </ns0:c>
    </ns0:row>
    <ns0:row r="480" ht="21" customHeight="1">
      <ns0:c r="A480" s="25" t="n"/>
      <ns0:c r="B480" s="26" t="n"/>
      <ns0:c r="C480" s="27" t="n"/>
      <ns0:c r="D480" s="27" t="n"/>
      <ns0:c r="E480" s="28" t="str">
        <ns0:f>IF(A480="","",YEAR(A480)&amp;"-"&amp;RIGHT("0"&amp;MONTH(A480),2))</ns0:f>
        <ns0:v/>
      </ns0:c>
      <ns0:c r="F480" s="28" t="str">
        <ns0:f>IF(OR(A480="",B480="",C480&lt;=0),"",IF(SUMPRODUCT(('Müşteriler'!$B$2:$B$101&lt;&gt;"")*ISNUMBER(SEARCH('Müşteriler'!$B$2:$B$101,B480)))=1,IFERROR(INDEX('Müşteriler'!$A$2:$A$101,SUMPRODUCT(('Müşteriler'!$B$2:$B$101&lt;&gt;"")*ISNUMBER(SEARCH('Müşteriler'!$B$2:$B$101,B480)),ROW('Müşteriler'!$B$2:$B$101)-ROW('Müşteriler'!$B$2)+1)),""),""))</ns0:f>
        <ns0:v/>
      </ns0:c>
      <ns0:c r="G480" s="28" t="str">
        <ns0:f>IF(F480="","",IFERROR(INDEX('Müşteriler'!$C$2:$C$101,MATCH(F480,'Müşteriler'!$A$2:$A$101,0)),""))</ns0:f>
        <ns0:v/>
      </ns0:c>
      <ns0:c r="H480" s="28" t="str">
        <ns0:f>IF(A480="","",IF(C480&lt;=0,"Satış dışı",IF(OR(F480="",G480=""),"Eşleşmedi","Eşleşti")))</ns0:f>
        <ns0:v/>
      </ns0:c>
      <ns0:c r="I480" s="28">
        <ns0:f>I479+IF(AND(H480="Eşleşmedi",E480='Panel'!$B$4),1,0)</ns0:f>
        <ns0:v>3.0</ns0:v>
      </ns0:c>
    </ns0:row>
    <ns0:row r="481" ht="21" customHeight="1">
      <ns0:c r="A481" s="25" t="n"/>
      <ns0:c r="B481" s="26" t="n"/>
      <ns0:c r="C481" s="27" t="n"/>
      <ns0:c r="D481" s="27" t="n"/>
      <ns0:c r="E481" s="28" t="str">
        <ns0:f>IF(A481="","",YEAR(A481)&amp;"-"&amp;RIGHT("0"&amp;MONTH(A481),2))</ns0:f>
        <ns0:v/>
      </ns0:c>
      <ns0:c r="F481" s="28" t="str">
        <ns0:f>IF(OR(A481="",B481="",C481&lt;=0),"",IF(SUMPRODUCT(('Müşteriler'!$B$2:$B$101&lt;&gt;"")*ISNUMBER(SEARCH('Müşteriler'!$B$2:$B$101,B481)))=1,IFERROR(INDEX('Müşteriler'!$A$2:$A$101,SUMPRODUCT(('Müşteriler'!$B$2:$B$101&lt;&gt;"")*ISNUMBER(SEARCH('Müşteriler'!$B$2:$B$101,B481)),ROW('Müşteriler'!$B$2:$B$101)-ROW('Müşteriler'!$B$2)+1)),""),""))</ns0:f>
        <ns0:v/>
      </ns0:c>
      <ns0:c r="G481" s="28" t="str">
        <ns0:f>IF(F481="","",IFERROR(INDEX('Müşteriler'!$C$2:$C$101,MATCH(F481,'Müşteriler'!$A$2:$A$101,0)),""))</ns0:f>
        <ns0:v/>
      </ns0:c>
      <ns0:c r="H481" s="28" t="str">
        <ns0:f>IF(A481="","",IF(C481&lt;=0,"Satış dışı",IF(OR(F481="",G481=""),"Eşleşmedi","Eşleşti")))</ns0:f>
        <ns0:v/>
      </ns0:c>
      <ns0:c r="I481" s="28">
        <ns0:f>I480+IF(AND(H481="Eşleşmedi",E481='Panel'!$B$4),1,0)</ns0:f>
        <ns0:v>3.0</ns0:v>
      </ns0:c>
    </ns0:row>
    <ns0:row r="482" ht="21" customHeight="1">
      <ns0:c r="A482" s="25" t="n"/>
      <ns0:c r="B482" s="26" t="n"/>
      <ns0:c r="C482" s="27" t="n"/>
      <ns0:c r="D482" s="27" t="n"/>
      <ns0:c r="E482" s="28" t="str">
        <ns0:f>IF(A482="","",YEAR(A482)&amp;"-"&amp;RIGHT("0"&amp;MONTH(A482),2))</ns0:f>
        <ns0:v/>
      </ns0:c>
      <ns0:c r="F482" s="28" t="str">
        <ns0:f>IF(OR(A482="",B482="",C482&lt;=0),"",IF(SUMPRODUCT(('Müşteriler'!$B$2:$B$101&lt;&gt;"")*ISNUMBER(SEARCH('Müşteriler'!$B$2:$B$101,B482)))=1,IFERROR(INDEX('Müşteriler'!$A$2:$A$101,SUMPRODUCT(('Müşteriler'!$B$2:$B$101&lt;&gt;"")*ISNUMBER(SEARCH('Müşteriler'!$B$2:$B$101,B482)),ROW('Müşteriler'!$B$2:$B$101)-ROW('Müşteriler'!$B$2)+1)),""),""))</ns0:f>
        <ns0:v/>
      </ns0:c>
      <ns0:c r="G482" s="28" t="str">
        <ns0:f>IF(F482="","",IFERROR(INDEX('Müşteriler'!$C$2:$C$101,MATCH(F482,'Müşteriler'!$A$2:$A$101,0)),""))</ns0:f>
        <ns0:v/>
      </ns0:c>
      <ns0:c r="H482" s="28" t="str">
        <ns0:f>IF(A482="","",IF(C482&lt;=0,"Satış dışı",IF(OR(F482="",G482=""),"Eşleşmedi","Eşleşti")))</ns0:f>
        <ns0:v/>
      </ns0:c>
      <ns0:c r="I482" s="28">
        <ns0:f>I481+IF(AND(H482="Eşleşmedi",E482='Panel'!$B$4),1,0)</ns0:f>
        <ns0:v>3.0</ns0:v>
      </ns0:c>
    </ns0:row>
    <ns0:row r="483" ht="21" customHeight="1">
      <ns0:c r="A483" s="25" t="n"/>
      <ns0:c r="B483" s="26" t="n"/>
      <ns0:c r="C483" s="27" t="n"/>
      <ns0:c r="D483" s="27" t="n"/>
      <ns0:c r="E483" s="28" t="str">
        <ns0:f>IF(A483="","",YEAR(A483)&amp;"-"&amp;RIGHT("0"&amp;MONTH(A483),2))</ns0:f>
        <ns0:v/>
      </ns0:c>
      <ns0:c r="F483" s="28" t="str">
        <ns0:f>IF(OR(A483="",B483="",C483&lt;=0),"",IF(SUMPRODUCT(('Müşteriler'!$B$2:$B$101&lt;&gt;"")*ISNUMBER(SEARCH('Müşteriler'!$B$2:$B$101,B483)))=1,IFERROR(INDEX('Müşteriler'!$A$2:$A$101,SUMPRODUCT(('Müşteriler'!$B$2:$B$101&lt;&gt;"")*ISNUMBER(SEARCH('Müşteriler'!$B$2:$B$101,B483)),ROW('Müşteriler'!$B$2:$B$101)-ROW('Müşteriler'!$B$2)+1)),""),""))</ns0:f>
        <ns0:v/>
      </ns0:c>
      <ns0:c r="G483" s="28" t="str">
        <ns0:f>IF(F483="","",IFERROR(INDEX('Müşteriler'!$C$2:$C$101,MATCH(F483,'Müşteriler'!$A$2:$A$101,0)),""))</ns0:f>
        <ns0:v/>
      </ns0:c>
      <ns0:c r="H483" s="28" t="str">
        <ns0:f>IF(A483="","",IF(C483&lt;=0,"Satış dışı",IF(OR(F483="",G483=""),"Eşleşmedi","Eşleşti")))</ns0:f>
        <ns0:v/>
      </ns0:c>
      <ns0:c r="I483" s="28">
        <ns0:f>I482+IF(AND(H483="Eşleşmedi",E483='Panel'!$B$4),1,0)</ns0:f>
        <ns0:v>3.0</ns0:v>
      </ns0:c>
    </ns0:row>
    <ns0:row r="484" ht="21" customHeight="1">
      <ns0:c r="A484" s="25" t="n"/>
      <ns0:c r="B484" s="26" t="n"/>
      <ns0:c r="C484" s="27" t="n"/>
      <ns0:c r="D484" s="27" t="n"/>
      <ns0:c r="E484" s="28" t="str">
        <ns0:f>IF(A484="","",YEAR(A484)&amp;"-"&amp;RIGHT("0"&amp;MONTH(A484),2))</ns0:f>
        <ns0:v/>
      </ns0:c>
      <ns0:c r="F484" s="28" t="str">
        <ns0:f>IF(OR(A484="",B484="",C484&lt;=0),"",IF(SUMPRODUCT(('Müşteriler'!$B$2:$B$101&lt;&gt;"")*ISNUMBER(SEARCH('Müşteriler'!$B$2:$B$101,B484)))=1,IFERROR(INDEX('Müşteriler'!$A$2:$A$101,SUMPRODUCT(('Müşteriler'!$B$2:$B$101&lt;&gt;"")*ISNUMBER(SEARCH('Müşteriler'!$B$2:$B$101,B484)),ROW('Müşteriler'!$B$2:$B$101)-ROW('Müşteriler'!$B$2)+1)),""),""))</ns0:f>
        <ns0:v/>
      </ns0:c>
      <ns0:c r="G484" s="28" t="str">
        <ns0:f>IF(F484="","",IFERROR(INDEX('Müşteriler'!$C$2:$C$101,MATCH(F484,'Müşteriler'!$A$2:$A$101,0)),""))</ns0:f>
        <ns0:v/>
      </ns0:c>
      <ns0:c r="H484" s="28" t="str">
        <ns0:f>IF(A484="","",IF(C484&lt;=0,"Satış dışı",IF(OR(F484="",G484=""),"Eşleşmedi","Eşleşti")))</ns0:f>
        <ns0:v/>
      </ns0:c>
      <ns0:c r="I484" s="28">
        <ns0:f>I483+IF(AND(H484="Eşleşmedi",E484='Panel'!$B$4),1,0)</ns0:f>
        <ns0:v>3.0</ns0:v>
      </ns0:c>
    </ns0:row>
    <ns0:row r="485" ht="21" customHeight="1">
      <ns0:c r="A485" s="25" t="n"/>
      <ns0:c r="B485" s="26" t="n"/>
      <ns0:c r="C485" s="27" t="n"/>
      <ns0:c r="D485" s="27" t="n"/>
      <ns0:c r="E485" s="28" t="str">
        <ns0:f>IF(A485="","",YEAR(A485)&amp;"-"&amp;RIGHT("0"&amp;MONTH(A485),2))</ns0:f>
        <ns0:v/>
      </ns0:c>
      <ns0:c r="F485" s="28" t="str">
        <ns0:f>IF(OR(A485="",B485="",C485&lt;=0),"",IF(SUMPRODUCT(('Müşteriler'!$B$2:$B$101&lt;&gt;"")*ISNUMBER(SEARCH('Müşteriler'!$B$2:$B$101,B485)))=1,IFERROR(INDEX('Müşteriler'!$A$2:$A$101,SUMPRODUCT(('Müşteriler'!$B$2:$B$101&lt;&gt;"")*ISNUMBER(SEARCH('Müşteriler'!$B$2:$B$101,B485)),ROW('Müşteriler'!$B$2:$B$101)-ROW('Müşteriler'!$B$2)+1)),""),""))</ns0:f>
        <ns0:v/>
      </ns0:c>
      <ns0:c r="G485" s="28" t="str">
        <ns0:f>IF(F485="","",IFERROR(INDEX('Müşteriler'!$C$2:$C$101,MATCH(F485,'Müşteriler'!$A$2:$A$101,0)),""))</ns0:f>
        <ns0:v/>
      </ns0:c>
      <ns0:c r="H485" s="28" t="str">
        <ns0:f>IF(A485="","",IF(C485&lt;=0,"Satış dışı",IF(OR(F485="",G485=""),"Eşleşmedi","Eşleşti")))</ns0:f>
        <ns0:v/>
      </ns0:c>
      <ns0:c r="I485" s="28">
        <ns0:f>I484+IF(AND(H485="Eşleşmedi",E485='Panel'!$B$4),1,0)</ns0:f>
        <ns0:v>3.0</ns0:v>
      </ns0:c>
    </ns0:row>
    <ns0:row r="486" ht="21" customHeight="1">
      <ns0:c r="A486" s="25" t="n"/>
      <ns0:c r="B486" s="26" t="n"/>
      <ns0:c r="C486" s="27" t="n"/>
      <ns0:c r="D486" s="27" t="n"/>
      <ns0:c r="E486" s="28" t="str">
        <ns0:f>IF(A486="","",YEAR(A486)&amp;"-"&amp;RIGHT("0"&amp;MONTH(A486),2))</ns0:f>
        <ns0:v/>
      </ns0:c>
      <ns0:c r="F486" s="28" t="str">
        <ns0:f>IF(OR(A486="",B486="",C486&lt;=0),"",IF(SUMPRODUCT(('Müşteriler'!$B$2:$B$101&lt;&gt;"")*ISNUMBER(SEARCH('Müşteriler'!$B$2:$B$101,B486)))=1,IFERROR(INDEX('Müşteriler'!$A$2:$A$101,SUMPRODUCT(('Müşteriler'!$B$2:$B$101&lt;&gt;"")*ISNUMBER(SEARCH('Müşteriler'!$B$2:$B$101,B486)),ROW('Müşteriler'!$B$2:$B$101)-ROW('Müşteriler'!$B$2)+1)),""),""))</ns0:f>
        <ns0:v/>
      </ns0:c>
      <ns0:c r="G486" s="28" t="str">
        <ns0:f>IF(F486="","",IFERROR(INDEX('Müşteriler'!$C$2:$C$101,MATCH(F486,'Müşteriler'!$A$2:$A$101,0)),""))</ns0:f>
        <ns0:v/>
      </ns0:c>
      <ns0:c r="H486" s="28" t="str">
        <ns0:f>IF(A486="","",IF(C486&lt;=0,"Satış dışı",IF(OR(F486="",G486=""),"Eşleşmedi","Eşleşti")))</ns0:f>
        <ns0:v/>
      </ns0:c>
      <ns0:c r="I486" s="28">
        <ns0:f>I485+IF(AND(H486="Eşleşmedi",E486='Panel'!$B$4),1,0)</ns0:f>
        <ns0:v>3.0</ns0:v>
      </ns0:c>
    </ns0:row>
    <ns0:row r="487" ht="21" customHeight="1">
      <ns0:c r="A487" s="25" t="n"/>
      <ns0:c r="B487" s="26" t="n"/>
      <ns0:c r="C487" s="27" t="n"/>
      <ns0:c r="D487" s="27" t="n"/>
      <ns0:c r="E487" s="28" t="str">
        <ns0:f>IF(A487="","",YEAR(A487)&amp;"-"&amp;RIGHT("0"&amp;MONTH(A487),2))</ns0:f>
        <ns0:v/>
      </ns0:c>
      <ns0:c r="F487" s="28" t="str">
        <ns0:f>IF(OR(A487="",B487="",C487&lt;=0),"",IF(SUMPRODUCT(('Müşteriler'!$B$2:$B$101&lt;&gt;"")*ISNUMBER(SEARCH('Müşteriler'!$B$2:$B$101,B487)))=1,IFERROR(INDEX('Müşteriler'!$A$2:$A$101,SUMPRODUCT(('Müşteriler'!$B$2:$B$101&lt;&gt;"")*ISNUMBER(SEARCH('Müşteriler'!$B$2:$B$101,B487)),ROW('Müşteriler'!$B$2:$B$101)-ROW('Müşteriler'!$B$2)+1)),""),""))</ns0:f>
        <ns0:v/>
      </ns0:c>
      <ns0:c r="G487" s="28" t="str">
        <ns0:f>IF(F487="","",IFERROR(INDEX('Müşteriler'!$C$2:$C$101,MATCH(F487,'Müşteriler'!$A$2:$A$101,0)),""))</ns0:f>
        <ns0:v/>
      </ns0:c>
      <ns0:c r="H487" s="28" t="str">
        <ns0:f>IF(A487="","",IF(C487&lt;=0,"Satış dışı",IF(OR(F487="",G487=""),"Eşleşmedi","Eşleşti")))</ns0:f>
        <ns0:v/>
      </ns0:c>
      <ns0:c r="I487" s="28">
        <ns0:f>I486+IF(AND(H487="Eşleşmedi",E487='Panel'!$B$4),1,0)</ns0:f>
        <ns0:v>3.0</ns0:v>
      </ns0:c>
    </ns0:row>
    <ns0:row r="488" ht="21" customHeight="1">
      <ns0:c r="A488" s="25" t="n"/>
      <ns0:c r="B488" s="26" t="n"/>
      <ns0:c r="C488" s="27" t="n"/>
      <ns0:c r="D488" s="27" t="n"/>
      <ns0:c r="E488" s="28" t="str">
        <ns0:f>IF(A488="","",YEAR(A488)&amp;"-"&amp;RIGHT("0"&amp;MONTH(A488),2))</ns0:f>
        <ns0:v/>
      </ns0:c>
      <ns0:c r="F488" s="28" t="str">
        <ns0:f>IF(OR(A488="",B488="",C488&lt;=0),"",IF(SUMPRODUCT(('Müşteriler'!$B$2:$B$101&lt;&gt;"")*ISNUMBER(SEARCH('Müşteriler'!$B$2:$B$101,B488)))=1,IFERROR(INDEX('Müşteriler'!$A$2:$A$101,SUMPRODUCT(('Müşteriler'!$B$2:$B$101&lt;&gt;"")*ISNUMBER(SEARCH('Müşteriler'!$B$2:$B$101,B488)),ROW('Müşteriler'!$B$2:$B$101)-ROW('Müşteriler'!$B$2)+1)),""),""))</ns0:f>
        <ns0:v/>
      </ns0:c>
      <ns0:c r="G488" s="28" t="str">
        <ns0:f>IF(F488="","",IFERROR(INDEX('Müşteriler'!$C$2:$C$101,MATCH(F488,'Müşteriler'!$A$2:$A$101,0)),""))</ns0:f>
        <ns0:v/>
      </ns0:c>
      <ns0:c r="H488" s="28" t="str">
        <ns0:f>IF(A488="","",IF(C488&lt;=0,"Satış dışı",IF(OR(F488="",G488=""),"Eşleşmedi","Eşleşti")))</ns0:f>
        <ns0:v/>
      </ns0:c>
      <ns0:c r="I488" s="28">
        <ns0:f>I487+IF(AND(H488="Eşleşmedi",E488='Panel'!$B$4),1,0)</ns0:f>
        <ns0:v>3.0</ns0:v>
      </ns0:c>
    </ns0:row>
    <ns0:row r="489" ht="21" customHeight="1">
      <ns0:c r="A489" s="25" t="n"/>
      <ns0:c r="B489" s="26" t="n"/>
      <ns0:c r="C489" s="27" t="n"/>
      <ns0:c r="D489" s="27" t="n"/>
      <ns0:c r="E489" s="28" t="str">
        <ns0:f>IF(A489="","",YEAR(A489)&amp;"-"&amp;RIGHT("0"&amp;MONTH(A489),2))</ns0:f>
        <ns0:v/>
      </ns0:c>
      <ns0:c r="F489" s="28" t="str">
        <ns0:f>IF(OR(A489="",B489="",C489&lt;=0),"",IF(SUMPRODUCT(('Müşteriler'!$B$2:$B$101&lt;&gt;"")*ISNUMBER(SEARCH('Müşteriler'!$B$2:$B$101,B489)))=1,IFERROR(INDEX('Müşteriler'!$A$2:$A$101,SUMPRODUCT(('Müşteriler'!$B$2:$B$101&lt;&gt;"")*ISNUMBER(SEARCH('Müşteriler'!$B$2:$B$101,B489)),ROW('Müşteriler'!$B$2:$B$101)-ROW('Müşteriler'!$B$2)+1)),""),""))</ns0:f>
        <ns0:v/>
      </ns0:c>
      <ns0:c r="G489" s="28" t="str">
        <ns0:f>IF(F489="","",IFERROR(INDEX('Müşteriler'!$C$2:$C$101,MATCH(F489,'Müşteriler'!$A$2:$A$101,0)),""))</ns0:f>
        <ns0:v/>
      </ns0:c>
      <ns0:c r="H489" s="28" t="str">
        <ns0:f>IF(A489="","",IF(C489&lt;=0,"Satış dışı",IF(OR(F489="",G489=""),"Eşleşmedi","Eşleşti")))</ns0:f>
        <ns0:v/>
      </ns0:c>
      <ns0:c r="I489" s="28">
        <ns0:f>I488+IF(AND(H489="Eşleşmedi",E489='Panel'!$B$4),1,0)</ns0:f>
        <ns0:v>3.0</ns0:v>
      </ns0:c>
    </ns0:row>
    <ns0:row r="490" ht="21" customHeight="1">
      <ns0:c r="A490" s="25" t="n"/>
      <ns0:c r="B490" s="26" t="n"/>
      <ns0:c r="C490" s="27" t="n"/>
      <ns0:c r="D490" s="27" t="n"/>
      <ns0:c r="E490" s="28" t="str">
        <ns0:f>IF(A490="","",YEAR(A490)&amp;"-"&amp;RIGHT("0"&amp;MONTH(A490),2))</ns0:f>
        <ns0:v/>
      </ns0:c>
      <ns0:c r="F490" s="28" t="str">
        <ns0:f>IF(OR(A490="",B490="",C490&lt;=0),"",IF(SUMPRODUCT(('Müşteriler'!$B$2:$B$101&lt;&gt;"")*ISNUMBER(SEARCH('Müşteriler'!$B$2:$B$101,B490)))=1,IFERROR(INDEX('Müşteriler'!$A$2:$A$101,SUMPRODUCT(('Müşteriler'!$B$2:$B$101&lt;&gt;"")*ISNUMBER(SEARCH('Müşteriler'!$B$2:$B$101,B490)),ROW('Müşteriler'!$B$2:$B$101)-ROW('Müşteriler'!$B$2)+1)),""),""))</ns0:f>
        <ns0:v/>
      </ns0:c>
      <ns0:c r="G490" s="28" t="str">
        <ns0:f>IF(F490="","",IFERROR(INDEX('Müşteriler'!$C$2:$C$101,MATCH(F490,'Müşteriler'!$A$2:$A$101,0)),""))</ns0:f>
        <ns0:v/>
      </ns0:c>
      <ns0:c r="H490" s="28" t="str">
        <ns0:f>IF(A490="","",IF(C490&lt;=0,"Satış dışı",IF(OR(F490="",G490=""),"Eşleşmedi","Eşleşti")))</ns0:f>
        <ns0:v/>
      </ns0:c>
      <ns0:c r="I490" s="28">
        <ns0:f>I489+IF(AND(H490="Eşleşmedi",E490='Panel'!$B$4),1,0)</ns0:f>
        <ns0:v>3.0</ns0:v>
      </ns0:c>
    </ns0:row>
    <ns0:row r="491" ht="21" customHeight="1">
      <ns0:c r="A491" s="25" t="n"/>
      <ns0:c r="B491" s="26" t="n"/>
      <ns0:c r="C491" s="27" t="n"/>
      <ns0:c r="D491" s="27" t="n"/>
      <ns0:c r="E491" s="28" t="str">
        <ns0:f>IF(A491="","",YEAR(A491)&amp;"-"&amp;RIGHT("0"&amp;MONTH(A491),2))</ns0:f>
        <ns0:v/>
      </ns0:c>
      <ns0:c r="F491" s="28" t="str">
        <ns0:f>IF(OR(A491="",B491="",C491&lt;=0),"",IF(SUMPRODUCT(('Müşteriler'!$B$2:$B$101&lt;&gt;"")*ISNUMBER(SEARCH('Müşteriler'!$B$2:$B$101,B491)))=1,IFERROR(INDEX('Müşteriler'!$A$2:$A$101,SUMPRODUCT(('Müşteriler'!$B$2:$B$101&lt;&gt;"")*ISNUMBER(SEARCH('Müşteriler'!$B$2:$B$101,B491)),ROW('Müşteriler'!$B$2:$B$101)-ROW('Müşteriler'!$B$2)+1)),""),""))</ns0:f>
        <ns0:v/>
      </ns0:c>
      <ns0:c r="G491" s="28" t="str">
        <ns0:f>IF(F491="","",IFERROR(INDEX('Müşteriler'!$C$2:$C$101,MATCH(F491,'Müşteriler'!$A$2:$A$101,0)),""))</ns0:f>
        <ns0:v/>
      </ns0:c>
      <ns0:c r="H491" s="28" t="str">
        <ns0:f>IF(A491="","",IF(C491&lt;=0,"Satış dışı",IF(OR(F491="",G491=""),"Eşleşmedi","Eşleşti")))</ns0:f>
        <ns0:v/>
      </ns0:c>
      <ns0:c r="I491" s="28">
        <ns0:f>I490+IF(AND(H491="Eşleşmedi",E491='Panel'!$B$4),1,0)</ns0:f>
        <ns0:v>3.0</ns0:v>
      </ns0:c>
    </ns0:row>
    <ns0:row r="492" ht="21" customHeight="1">
      <ns0:c r="A492" s="25" t="n"/>
      <ns0:c r="B492" s="26" t="n"/>
      <ns0:c r="C492" s="27" t="n"/>
      <ns0:c r="D492" s="27" t="n"/>
      <ns0:c r="E492" s="28" t="str">
        <ns0:f>IF(A492="","",YEAR(A492)&amp;"-"&amp;RIGHT("0"&amp;MONTH(A492),2))</ns0:f>
        <ns0:v/>
      </ns0:c>
      <ns0:c r="F492" s="28" t="str">
        <ns0:f>IF(OR(A492="",B492="",C492&lt;=0),"",IF(SUMPRODUCT(('Müşteriler'!$B$2:$B$101&lt;&gt;"")*ISNUMBER(SEARCH('Müşteriler'!$B$2:$B$101,B492)))=1,IFERROR(INDEX('Müşteriler'!$A$2:$A$101,SUMPRODUCT(('Müşteriler'!$B$2:$B$101&lt;&gt;"")*ISNUMBER(SEARCH('Müşteriler'!$B$2:$B$101,B492)),ROW('Müşteriler'!$B$2:$B$101)-ROW('Müşteriler'!$B$2)+1)),""),""))</ns0:f>
        <ns0:v/>
      </ns0:c>
      <ns0:c r="G492" s="28" t="str">
        <ns0:f>IF(F492="","",IFERROR(INDEX('Müşteriler'!$C$2:$C$101,MATCH(F492,'Müşteriler'!$A$2:$A$101,0)),""))</ns0:f>
        <ns0:v/>
      </ns0:c>
      <ns0:c r="H492" s="28" t="str">
        <ns0:f>IF(A492="","",IF(C492&lt;=0,"Satış dışı",IF(OR(F492="",G492=""),"Eşleşmedi","Eşleşti")))</ns0:f>
        <ns0:v/>
      </ns0:c>
      <ns0:c r="I492" s="28">
        <ns0:f>I491+IF(AND(H492="Eşleşmedi",E492='Panel'!$B$4),1,0)</ns0:f>
        <ns0:v>3.0</ns0:v>
      </ns0:c>
    </ns0:row>
    <ns0:row r="493" ht="21" customHeight="1">
      <ns0:c r="A493" s="25" t="n"/>
      <ns0:c r="B493" s="26" t="n"/>
      <ns0:c r="C493" s="27" t="n"/>
      <ns0:c r="D493" s="27" t="n"/>
      <ns0:c r="E493" s="28" t="str">
        <ns0:f>IF(A493="","",YEAR(A493)&amp;"-"&amp;RIGHT("0"&amp;MONTH(A493),2))</ns0:f>
        <ns0:v/>
      </ns0:c>
      <ns0:c r="F493" s="28" t="str">
        <ns0:f>IF(OR(A493="",B493="",C493&lt;=0),"",IF(SUMPRODUCT(('Müşteriler'!$B$2:$B$101&lt;&gt;"")*ISNUMBER(SEARCH('Müşteriler'!$B$2:$B$101,B493)))=1,IFERROR(INDEX('Müşteriler'!$A$2:$A$101,SUMPRODUCT(('Müşteriler'!$B$2:$B$101&lt;&gt;"")*ISNUMBER(SEARCH('Müşteriler'!$B$2:$B$101,B493)),ROW('Müşteriler'!$B$2:$B$101)-ROW('Müşteriler'!$B$2)+1)),""),""))</ns0:f>
        <ns0:v/>
      </ns0:c>
      <ns0:c r="G493" s="28" t="str">
        <ns0:f>IF(F493="","",IFERROR(INDEX('Müşteriler'!$C$2:$C$101,MATCH(F493,'Müşteriler'!$A$2:$A$101,0)),""))</ns0:f>
        <ns0:v/>
      </ns0:c>
      <ns0:c r="H493" s="28" t="str">
        <ns0:f>IF(A493="","",IF(C493&lt;=0,"Satış dışı",IF(OR(F493="",G493=""),"Eşleşmedi","Eşleşti")))</ns0:f>
        <ns0:v/>
      </ns0:c>
      <ns0:c r="I493" s="28">
        <ns0:f>I492+IF(AND(H493="Eşleşmedi",E493='Panel'!$B$4),1,0)</ns0:f>
        <ns0:v>3.0</ns0:v>
      </ns0:c>
    </ns0:row>
    <ns0:row r="494" ht="21" customHeight="1">
      <ns0:c r="A494" s="25" t="n"/>
      <ns0:c r="B494" s="26" t="n"/>
      <ns0:c r="C494" s="27" t="n"/>
      <ns0:c r="D494" s="27" t="n"/>
      <ns0:c r="E494" s="28" t="str">
        <ns0:f>IF(A494="","",YEAR(A494)&amp;"-"&amp;RIGHT("0"&amp;MONTH(A494),2))</ns0:f>
        <ns0:v/>
      </ns0:c>
      <ns0:c r="F494" s="28" t="str">
        <ns0:f>IF(OR(A494="",B494="",C494&lt;=0),"",IF(SUMPRODUCT(('Müşteriler'!$B$2:$B$101&lt;&gt;"")*ISNUMBER(SEARCH('Müşteriler'!$B$2:$B$101,B494)))=1,IFERROR(INDEX('Müşteriler'!$A$2:$A$101,SUMPRODUCT(('Müşteriler'!$B$2:$B$101&lt;&gt;"")*ISNUMBER(SEARCH('Müşteriler'!$B$2:$B$101,B494)),ROW('Müşteriler'!$B$2:$B$101)-ROW('Müşteriler'!$B$2)+1)),""),""))</ns0:f>
        <ns0:v/>
      </ns0:c>
      <ns0:c r="G494" s="28" t="str">
        <ns0:f>IF(F494="","",IFERROR(INDEX('Müşteriler'!$C$2:$C$101,MATCH(F494,'Müşteriler'!$A$2:$A$101,0)),""))</ns0:f>
        <ns0:v/>
      </ns0:c>
      <ns0:c r="H494" s="28" t="str">
        <ns0:f>IF(A494="","",IF(C494&lt;=0,"Satış dışı",IF(OR(F494="",G494=""),"Eşleşmedi","Eşleşti")))</ns0:f>
        <ns0:v/>
      </ns0:c>
      <ns0:c r="I494" s="28">
        <ns0:f>I493+IF(AND(H494="Eşleşmedi",E494='Panel'!$B$4),1,0)</ns0:f>
        <ns0:v>3.0</ns0:v>
      </ns0:c>
    </ns0:row>
    <ns0:row r="495" ht="21" customHeight="1">
      <ns0:c r="A495" s="25" t="n"/>
      <ns0:c r="B495" s="26" t="n"/>
      <ns0:c r="C495" s="27" t="n"/>
      <ns0:c r="D495" s="27" t="n"/>
      <ns0:c r="E495" s="28" t="str">
        <ns0:f>IF(A495="","",YEAR(A495)&amp;"-"&amp;RIGHT("0"&amp;MONTH(A495),2))</ns0:f>
        <ns0:v/>
      </ns0:c>
      <ns0:c r="F495" s="28" t="str">
        <ns0:f>IF(OR(A495="",B495="",C495&lt;=0),"",IF(SUMPRODUCT(('Müşteriler'!$B$2:$B$101&lt;&gt;"")*ISNUMBER(SEARCH('Müşteriler'!$B$2:$B$101,B495)))=1,IFERROR(INDEX('Müşteriler'!$A$2:$A$101,SUMPRODUCT(('Müşteriler'!$B$2:$B$101&lt;&gt;"")*ISNUMBER(SEARCH('Müşteriler'!$B$2:$B$101,B495)),ROW('Müşteriler'!$B$2:$B$101)-ROW('Müşteriler'!$B$2)+1)),""),""))</ns0:f>
        <ns0:v/>
      </ns0:c>
      <ns0:c r="G495" s="28" t="str">
        <ns0:f>IF(F495="","",IFERROR(INDEX('Müşteriler'!$C$2:$C$101,MATCH(F495,'Müşteriler'!$A$2:$A$101,0)),""))</ns0:f>
        <ns0:v/>
      </ns0:c>
      <ns0:c r="H495" s="28" t="str">
        <ns0:f>IF(A495="","",IF(C495&lt;=0,"Satış dışı",IF(OR(F495="",G495=""),"Eşleşmedi","Eşleşti")))</ns0:f>
        <ns0:v/>
      </ns0:c>
      <ns0:c r="I495" s="28">
        <ns0:f>I494+IF(AND(H495="Eşleşmedi",E495='Panel'!$B$4),1,0)</ns0:f>
        <ns0:v>3.0</ns0:v>
      </ns0:c>
    </ns0:row>
    <ns0:row r="496" ht="21" customHeight="1">
      <ns0:c r="A496" s="25" t="n"/>
      <ns0:c r="B496" s="26" t="n"/>
      <ns0:c r="C496" s="27" t="n"/>
      <ns0:c r="D496" s="27" t="n"/>
      <ns0:c r="E496" s="28" t="str">
        <ns0:f>IF(A496="","",YEAR(A496)&amp;"-"&amp;RIGHT("0"&amp;MONTH(A496),2))</ns0:f>
        <ns0:v/>
      </ns0:c>
      <ns0:c r="F496" s="28" t="str">
        <ns0:f>IF(OR(A496="",B496="",C496&lt;=0),"",IF(SUMPRODUCT(('Müşteriler'!$B$2:$B$101&lt;&gt;"")*ISNUMBER(SEARCH('Müşteriler'!$B$2:$B$101,B496)))=1,IFERROR(INDEX('Müşteriler'!$A$2:$A$101,SUMPRODUCT(('Müşteriler'!$B$2:$B$101&lt;&gt;"")*ISNUMBER(SEARCH('Müşteriler'!$B$2:$B$101,B496)),ROW('Müşteriler'!$B$2:$B$101)-ROW('Müşteriler'!$B$2)+1)),""),""))</ns0:f>
        <ns0:v/>
      </ns0:c>
      <ns0:c r="G496" s="28" t="str">
        <ns0:f>IF(F496="","",IFERROR(INDEX('Müşteriler'!$C$2:$C$101,MATCH(F496,'Müşteriler'!$A$2:$A$101,0)),""))</ns0:f>
        <ns0:v/>
      </ns0:c>
      <ns0:c r="H496" s="28" t="str">
        <ns0:f>IF(A496="","",IF(C496&lt;=0,"Satış dışı",IF(OR(F496="",G496=""),"Eşleşmedi","Eşleşti")))</ns0:f>
        <ns0:v/>
      </ns0:c>
      <ns0:c r="I496" s="28">
        <ns0:f>I495+IF(AND(H496="Eşleşmedi",E496='Panel'!$B$4),1,0)</ns0:f>
        <ns0:v>3.0</ns0:v>
      </ns0:c>
    </ns0:row>
    <ns0:row r="497" ht="21" customHeight="1">
      <ns0:c r="A497" s="25" t="n"/>
      <ns0:c r="B497" s="26" t="n"/>
      <ns0:c r="C497" s="27" t="n"/>
      <ns0:c r="D497" s="27" t="n"/>
      <ns0:c r="E497" s="28" t="str">
        <ns0:f>IF(A497="","",YEAR(A497)&amp;"-"&amp;RIGHT("0"&amp;MONTH(A497),2))</ns0:f>
        <ns0:v/>
      </ns0:c>
      <ns0:c r="F497" s="28" t="str">
        <ns0:f>IF(OR(A497="",B497="",C497&lt;=0),"",IF(SUMPRODUCT(('Müşteriler'!$B$2:$B$101&lt;&gt;"")*ISNUMBER(SEARCH('Müşteriler'!$B$2:$B$101,B497)))=1,IFERROR(INDEX('Müşteriler'!$A$2:$A$101,SUMPRODUCT(('Müşteriler'!$B$2:$B$101&lt;&gt;"")*ISNUMBER(SEARCH('Müşteriler'!$B$2:$B$101,B497)),ROW('Müşteriler'!$B$2:$B$101)-ROW('Müşteriler'!$B$2)+1)),""),""))</ns0:f>
        <ns0:v/>
      </ns0:c>
      <ns0:c r="G497" s="28" t="str">
        <ns0:f>IF(F497="","",IFERROR(INDEX('Müşteriler'!$C$2:$C$101,MATCH(F497,'Müşteriler'!$A$2:$A$101,0)),""))</ns0:f>
        <ns0:v/>
      </ns0:c>
      <ns0:c r="H497" s="28" t="str">
        <ns0:f>IF(A497="","",IF(C497&lt;=0,"Satış dışı",IF(OR(F497="",G497=""),"Eşleşmedi","Eşleşti")))</ns0:f>
        <ns0:v/>
      </ns0:c>
      <ns0:c r="I497" s="28">
        <ns0:f>I496+IF(AND(H497="Eşleşmedi",E497='Panel'!$B$4),1,0)</ns0:f>
        <ns0:v>3.0</ns0:v>
      </ns0:c>
    </ns0:row>
    <ns0:row r="498" ht="21" customHeight="1">
      <ns0:c r="A498" s="25" t="n"/>
      <ns0:c r="B498" s="26" t="n"/>
      <ns0:c r="C498" s="27" t="n"/>
      <ns0:c r="D498" s="27" t="n"/>
      <ns0:c r="E498" s="28" t="str">
        <ns0:f>IF(A498="","",YEAR(A498)&amp;"-"&amp;RIGHT("0"&amp;MONTH(A498),2))</ns0:f>
        <ns0:v/>
      </ns0:c>
      <ns0:c r="F498" s="28" t="str">
        <ns0:f>IF(OR(A498="",B498="",C498&lt;=0),"",IF(SUMPRODUCT(('Müşteriler'!$B$2:$B$101&lt;&gt;"")*ISNUMBER(SEARCH('Müşteriler'!$B$2:$B$101,B498)))=1,IFERROR(INDEX('Müşteriler'!$A$2:$A$101,SUMPRODUCT(('Müşteriler'!$B$2:$B$101&lt;&gt;"")*ISNUMBER(SEARCH('Müşteriler'!$B$2:$B$101,B498)),ROW('Müşteriler'!$B$2:$B$101)-ROW('Müşteriler'!$B$2)+1)),""),""))</ns0:f>
        <ns0:v/>
      </ns0:c>
      <ns0:c r="G498" s="28" t="str">
        <ns0:f>IF(F498="","",IFERROR(INDEX('Müşteriler'!$C$2:$C$101,MATCH(F498,'Müşteriler'!$A$2:$A$101,0)),""))</ns0:f>
        <ns0:v/>
      </ns0:c>
      <ns0:c r="H498" s="28" t="str">
        <ns0:f>IF(A498="","",IF(C498&lt;=0,"Satış dışı",IF(OR(F498="",G498=""),"Eşleşmedi","Eşleşti")))</ns0:f>
        <ns0:v/>
      </ns0:c>
      <ns0:c r="I498" s="28">
        <ns0:f>I497+IF(AND(H498="Eşleşmedi",E498='Panel'!$B$4),1,0)</ns0:f>
        <ns0:v>3.0</ns0:v>
      </ns0:c>
    </ns0:row>
    <ns0:row r="499" ht="21" customHeight="1">
      <ns0:c r="A499" s="25" t="n"/>
      <ns0:c r="B499" s="26" t="n"/>
      <ns0:c r="C499" s="27" t="n"/>
      <ns0:c r="D499" s="27" t="n"/>
      <ns0:c r="E499" s="28" t="str">
        <ns0:f>IF(A499="","",YEAR(A499)&amp;"-"&amp;RIGHT("0"&amp;MONTH(A499),2))</ns0:f>
        <ns0:v/>
      </ns0:c>
      <ns0:c r="F499" s="28" t="str">
        <ns0:f>IF(OR(A499="",B499="",C499&lt;=0),"",IF(SUMPRODUCT(('Müşteriler'!$B$2:$B$101&lt;&gt;"")*ISNUMBER(SEARCH('Müşteriler'!$B$2:$B$101,B499)))=1,IFERROR(INDEX('Müşteriler'!$A$2:$A$101,SUMPRODUCT(('Müşteriler'!$B$2:$B$101&lt;&gt;"")*ISNUMBER(SEARCH('Müşteriler'!$B$2:$B$101,B499)),ROW('Müşteriler'!$B$2:$B$101)-ROW('Müşteriler'!$B$2)+1)),""),""))</ns0:f>
        <ns0:v/>
      </ns0:c>
      <ns0:c r="G499" s="28" t="str">
        <ns0:f>IF(F499="","",IFERROR(INDEX('Müşteriler'!$C$2:$C$101,MATCH(F499,'Müşteriler'!$A$2:$A$101,0)),""))</ns0:f>
        <ns0:v/>
      </ns0:c>
      <ns0:c r="H499" s="28" t="str">
        <ns0:f>IF(A499="","",IF(C499&lt;=0,"Satış dışı",IF(OR(F499="",G499=""),"Eşleşmedi","Eşleşti")))</ns0:f>
        <ns0:v/>
      </ns0:c>
      <ns0:c r="I499" s="28">
        <ns0:f>I498+IF(AND(H499="Eşleşmedi",E499='Panel'!$B$4),1,0)</ns0:f>
        <ns0:v>3.0</ns0:v>
      </ns0:c>
    </ns0:row>
    <ns0:row r="500" ht="21" customHeight="1">
      <ns0:c r="A500" s="25" t="n"/>
      <ns0:c r="B500" s="26" t="n"/>
      <ns0:c r="C500" s="27" t="n"/>
      <ns0:c r="D500" s="27" t="n"/>
      <ns0:c r="E500" s="28" t="str">
        <ns0:f>IF(A500="","",YEAR(A500)&amp;"-"&amp;RIGHT("0"&amp;MONTH(A500),2))</ns0:f>
        <ns0:v/>
      </ns0:c>
      <ns0:c r="F500" s="28" t="str">
        <ns0:f>IF(OR(A500="",B500="",C500&lt;=0),"",IF(SUMPRODUCT(('Müşteriler'!$B$2:$B$101&lt;&gt;"")*ISNUMBER(SEARCH('Müşteriler'!$B$2:$B$101,B500)))=1,IFERROR(INDEX('Müşteriler'!$A$2:$A$101,SUMPRODUCT(('Müşteriler'!$B$2:$B$101&lt;&gt;"")*ISNUMBER(SEARCH('Müşteriler'!$B$2:$B$101,B500)),ROW('Müşteriler'!$B$2:$B$101)-ROW('Müşteriler'!$B$2)+1)),""),""))</ns0:f>
        <ns0:v/>
      </ns0:c>
      <ns0:c r="G500" s="28" t="str">
        <ns0:f>IF(F500="","",IFERROR(INDEX('Müşteriler'!$C$2:$C$101,MATCH(F500,'Müşteriler'!$A$2:$A$101,0)),""))</ns0:f>
        <ns0:v/>
      </ns0:c>
      <ns0:c r="H500" s="28" t="str">
        <ns0:f>IF(A500="","",IF(C500&lt;=0,"Satış dışı",IF(OR(F500="",G500=""),"Eşleşmedi","Eşleşti")))</ns0:f>
        <ns0:v/>
      </ns0:c>
      <ns0:c r="I500" s="28">
        <ns0:f>I499+IF(AND(H500="Eşleşmedi",E500='Panel'!$B$4),1,0)</ns0:f>
        <ns0:v>3.0</ns0:v>
      </ns0:c>
    </ns0:row>
    <ns0:row r="501" ht="21" customHeight="1">
      <ns0:c r="A501" s="25" t="n"/>
      <ns0:c r="B501" s="26" t="n"/>
      <ns0:c r="C501" s="27" t="n"/>
      <ns0:c r="D501" s="27" t="n"/>
      <ns0:c r="E501" s="28" t="str">
        <ns0:f>IF(A501="","",YEAR(A501)&amp;"-"&amp;RIGHT("0"&amp;MONTH(A501),2))</ns0:f>
        <ns0:v/>
      </ns0:c>
      <ns0:c r="F501" s="28" t="str">
        <ns0:f>IF(OR(A501="",B501="",C501&lt;=0),"",IF(SUMPRODUCT(('Müşteriler'!$B$2:$B$101&lt;&gt;"")*ISNUMBER(SEARCH('Müşteriler'!$B$2:$B$101,B501)))=1,IFERROR(INDEX('Müşteriler'!$A$2:$A$101,SUMPRODUCT(('Müşteriler'!$B$2:$B$101&lt;&gt;"")*ISNUMBER(SEARCH('Müşteriler'!$B$2:$B$101,B501)),ROW('Müşteriler'!$B$2:$B$101)-ROW('Müşteriler'!$B$2)+1)),""),""))</ns0:f>
        <ns0:v/>
      </ns0:c>
      <ns0:c r="G501" s="28" t="str">
        <ns0:f>IF(F501="","",IFERROR(INDEX('Müşteriler'!$C$2:$C$101,MATCH(F501,'Müşteriler'!$A$2:$A$101,0)),""))</ns0:f>
        <ns0:v/>
      </ns0:c>
      <ns0:c r="H501" s="28" t="str">
        <ns0:f>IF(A501="","",IF(C501&lt;=0,"Satış dışı",IF(OR(F501="",G501=""),"Eşleşmedi","Eşleşti")))</ns0:f>
        <ns0:v/>
      </ns0:c>
      <ns0:c r="I501" s="28">
        <ns0:f>I500+IF(AND(H501="Eşleşmedi",E501='Panel'!$B$4),1,0)</ns0:f>
        <ns0:v>3.0</ns0:v>
      </ns0:c>
    </ns0:row>
    <ns0:row r="502" ht="21" customHeight="1">
      <ns0:c r="A502" s="25" t="n"/>
      <ns0:c r="B502" s="26" t="n"/>
      <ns0:c r="C502" s="27" t="n"/>
      <ns0:c r="D502" s="27" t="n"/>
      <ns0:c r="E502" s="28" t="str">
        <ns0:f>IF(A502="","",YEAR(A502)&amp;"-"&amp;RIGHT("0"&amp;MONTH(A502),2))</ns0:f>
        <ns0:v/>
      </ns0:c>
      <ns0:c r="F502" s="28" t="str">
        <ns0:f>IF(OR(A502="",B502="",C502&lt;=0),"",IF(SUMPRODUCT(('Müşteriler'!$B$2:$B$101&lt;&gt;"")*ISNUMBER(SEARCH('Müşteriler'!$B$2:$B$101,B502)))=1,IFERROR(INDEX('Müşteriler'!$A$2:$A$101,SUMPRODUCT(('Müşteriler'!$B$2:$B$101&lt;&gt;"")*ISNUMBER(SEARCH('Müşteriler'!$B$2:$B$101,B502)),ROW('Müşteriler'!$B$2:$B$101)-ROW('Müşteriler'!$B$2)+1)),""),""))</ns0:f>
        <ns0:v/>
      </ns0:c>
      <ns0:c r="G502" s="28" t="str">
        <ns0:f>IF(F502="","",IFERROR(INDEX('Müşteriler'!$C$2:$C$101,MATCH(F502,'Müşteriler'!$A$2:$A$101,0)),""))</ns0:f>
        <ns0:v/>
      </ns0:c>
      <ns0:c r="H502" s="28" t="str">
        <ns0:f>IF(A502="","",IF(C502&lt;=0,"Satış dışı",IF(OR(F502="",G502=""),"Eşleşmedi","Eşleşti")))</ns0:f>
        <ns0:v/>
      </ns0:c>
      <ns0:c r="I502" s="28">
        <ns0:f>I501+IF(AND(H502="Eşleşmedi",E502='Panel'!$B$4),1,0)</ns0:f>
        <ns0:v>3.0</ns0:v>
      </ns0:c>
    </ns0:row>
    <ns0:row r="503" ht="21" customHeight="1">
      <ns0:c r="A503" s="25" t="n"/>
      <ns0:c r="B503" s="26" t="n"/>
      <ns0:c r="C503" s="27" t="n"/>
      <ns0:c r="D503" s="27" t="n"/>
      <ns0:c r="E503" s="28" t="str">
        <ns0:f>IF(A503="","",YEAR(A503)&amp;"-"&amp;RIGHT("0"&amp;MONTH(A503),2))</ns0:f>
        <ns0:v/>
      </ns0:c>
      <ns0:c r="F503" s="28" t="str">
        <ns0:f>IF(OR(A503="",B503="",C503&lt;=0),"",IF(SUMPRODUCT(('Müşteriler'!$B$2:$B$101&lt;&gt;"")*ISNUMBER(SEARCH('Müşteriler'!$B$2:$B$101,B503)))=1,IFERROR(INDEX('Müşteriler'!$A$2:$A$101,SUMPRODUCT(('Müşteriler'!$B$2:$B$101&lt;&gt;"")*ISNUMBER(SEARCH('Müşteriler'!$B$2:$B$101,B503)),ROW('Müşteriler'!$B$2:$B$101)-ROW('Müşteriler'!$B$2)+1)),""),""))</ns0:f>
        <ns0:v/>
      </ns0:c>
      <ns0:c r="G503" s="28" t="str">
        <ns0:f>IF(F503="","",IFERROR(INDEX('Müşteriler'!$C$2:$C$101,MATCH(F503,'Müşteriler'!$A$2:$A$101,0)),""))</ns0:f>
        <ns0:v/>
      </ns0:c>
      <ns0:c r="H503" s="28" t="str">
        <ns0:f>IF(A503="","",IF(C503&lt;=0,"Satış dışı",IF(OR(F503="",G503=""),"Eşleşmedi","Eşleşti")))</ns0:f>
        <ns0:v/>
      </ns0:c>
      <ns0:c r="I503" s="28">
        <ns0:f>I502+IF(AND(H503="Eşleşmedi",E503='Panel'!$B$4),1,0)</ns0:f>
        <ns0:v>3.0</ns0:v>
      </ns0:c>
    </ns0:row>
    <ns0:row r="504" ht="21" customHeight="1">
      <ns0:c r="A504" s="25" t="n"/>
      <ns0:c r="B504" s="26" t="n"/>
      <ns0:c r="C504" s="27" t="n"/>
      <ns0:c r="D504" s="27" t="n"/>
      <ns0:c r="E504" s="28" t="str">
        <ns0:f>IF(A504="","",YEAR(A504)&amp;"-"&amp;RIGHT("0"&amp;MONTH(A504),2))</ns0:f>
        <ns0:v/>
      </ns0:c>
      <ns0:c r="F504" s="28" t="str">
        <ns0:f>IF(OR(A504="",B504="",C504&lt;=0),"",IF(SUMPRODUCT(('Müşteriler'!$B$2:$B$101&lt;&gt;"")*ISNUMBER(SEARCH('Müşteriler'!$B$2:$B$101,B504)))=1,IFERROR(INDEX('Müşteriler'!$A$2:$A$101,SUMPRODUCT(('Müşteriler'!$B$2:$B$101&lt;&gt;"")*ISNUMBER(SEARCH('Müşteriler'!$B$2:$B$101,B504)),ROW('Müşteriler'!$B$2:$B$101)-ROW('Müşteriler'!$B$2)+1)),""),""))</ns0:f>
        <ns0:v/>
      </ns0:c>
      <ns0:c r="G504" s="28" t="str">
        <ns0:f>IF(F504="","",IFERROR(INDEX('Müşteriler'!$C$2:$C$101,MATCH(F504,'Müşteriler'!$A$2:$A$101,0)),""))</ns0:f>
        <ns0:v/>
      </ns0:c>
      <ns0:c r="H504" s="28" t="str">
        <ns0:f>IF(A504="","",IF(C504&lt;=0,"Satış dışı",IF(OR(F504="",G504=""),"Eşleşmedi","Eşleşti")))</ns0:f>
        <ns0:v/>
      </ns0:c>
      <ns0:c r="I504" s="28">
        <ns0:f>I503+IF(AND(H504="Eşleşmedi",E504='Panel'!$B$4),1,0)</ns0:f>
        <ns0:v>3.0</ns0:v>
      </ns0:c>
    </ns0:row>
    <ns0:row r="505" ht="21" customHeight="1">
      <ns0:c r="A505" s="25" t="n"/>
      <ns0:c r="B505" s="26" t="n"/>
      <ns0:c r="C505" s="27" t="n"/>
      <ns0:c r="D505" s="27" t="n"/>
      <ns0:c r="E505" s="28" t="str">
        <ns0:f>IF(A505="","",YEAR(A505)&amp;"-"&amp;RIGHT("0"&amp;MONTH(A505),2))</ns0:f>
        <ns0:v/>
      </ns0:c>
      <ns0:c r="F505" s="28" t="str">
        <ns0:f>IF(OR(A505="",B505="",C505&lt;=0),"",IF(SUMPRODUCT(('Müşteriler'!$B$2:$B$101&lt;&gt;"")*ISNUMBER(SEARCH('Müşteriler'!$B$2:$B$101,B505)))=1,IFERROR(INDEX('Müşteriler'!$A$2:$A$101,SUMPRODUCT(('Müşteriler'!$B$2:$B$101&lt;&gt;"")*ISNUMBER(SEARCH('Müşteriler'!$B$2:$B$101,B505)),ROW('Müşteriler'!$B$2:$B$101)-ROW('Müşteriler'!$B$2)+1)),""),""))</ns0:f>
        <ns0:v/>
      </ns0:c>
      <ns0:c r="G505" s="28" t="str">
        <ns0:f>IF(F505="","",IFERROR(INDEX('Müşteriler'!$C$2:$C$101,MATCH(F505,'Müşteriler'!$A$2:$A$101,0)),""))</ns0:f>
        <ns0:v/>
      </ns0:c>
      <ns0:c r="H505" s="28" t="str">
        <ns0:f>IF(A505="","",IF(C505&lt;=0,"Satış dışı",IF(OR(F505="",G505=""),"Eşleşmedi","Eşleşti")))</ns0:f>
        <ns0:v/>
      </ns0:c>
      <ns0:c r="I505" s="28">
        <ns0:f>I504+IF(AND(H505="Eşleşmedi",E505='Panel'!$B$4),1,0)</ns0:f>
        <ns0:v>3.0</ns0:v>
      </ns0:c>
    </ns0:row>
    <ns0:row r="506" ht="21" customHeight="1">
      <ns0:c r="A506" s="25" t="n"/>
      <ns0:c r="B506" s="26" t="n"/>
      <ns0:c r="C506" s="27" t="n"/>
      <ns0:c r="D506" s="27" t="n"/>
      <ns0:c r="E506" s="28" t="str">
        <ns0:f>IF(A506="","",YEAR(A506)&amp;"-"&amp;RIGHT("0"&amp;MONTH(A506),2))</ns0:f>
        <ns0:v/>
      </ns0:c>
      <ns0:c r="F506" s="28" t="str">
        <ns0:f>IF(OR(A506="",B506="",C506&lt;=0),"",IF(SUMPRODUCT(('Müşteriler'!$B$2:$B$101&lt;&gt;"")*ISNUMBER(SEARCH('Müşteriler'!$B$2:$B$101,B506)))=1,IFERROR(INDEX('Müşteriler'!$A$2:$A$101,SUMPRODUCT(('Müşteriler'!$B$2:$B$101&lt;&gt;"")*ISNUMBER(SEARCH('Müşteriler'!$B$2:$B$101,B506)),ROW('Müşteriler'!$B$2:$B$101)-ROW('Müşteriler'!$B$2)+1)),""),""))</ns0:f>
        <ns0:v/>
      </ns0:c>
      <ns0:c r="G506" s="28" t="str">
        <ns0:f>IF(F506="","",IFERROR(INDEX('Müşteriler'!$C$2:$C$101,MATCH(F506,'Müşteriler'!$A$2:$A$101,0)),""))</ns0:f>
        <ns0:v/>
      </ns0:c>
      <ns0:c r="H506" s="28" t="str">
        <ns0:f>IF(A506="","",IF(C506&lt;=0,"Satış dışı",IF(OR(F506="",G506=""),"Eşleşmedi","Eşleşti")))</ns0:f>
        <ns0:v/>
      </ns0:c>
      <ns0:c r="I506" s="28">
        <ns0:f>I505+IF(AND(H506="Eşleşmedi",E506='Panel'!$B$4),1,0)</ns0:f>
        <ns0:v>3.0</ns0:v>
      </ns0:c>
    </ns0:row>
    <ns0:row r="507" ht="21" customHeight="1">
      <ns0:c r="A507" s="25" t="n"/>
      <ns0:c r="B507" s="26" t="n"/>
      <ns0:c r="C507" s="27" t="n"/>
      <ns0:c r="D507" s="27" t="n"/>
      <ns0:c r="E507" s="28" t="str">
        <ns0:f>IF(A507="","",YEAR(A507)&amp;"-"&amp;RIGHT("0"&amp;MONTH(A507),2))</ns0:f>
        <ns0:v/>
      </ns0:c>
      <ns0:c r="F507" s="28" t="str">
        <ns0:f>IF(OR(A507="",B507="",C507&lt;=0),"",IF(SUMPRODUCT(('Müşteriler'!$B$2:$B$101&lt;&gt;"")*ISNUMBER(SEARCH('Müşteriler'!$B$2:$B$101,B507)))=1,IFERROR(INDEX('Müşteriler'!$A$2:$A$101,SUMPRODUCT(('Müşteriler'!$B$2:$B$101&lt;&gt;"")*ISNUMBER(SEARCH('Müşteriler'!$B$2:$B$101,B507)),ROW('Müşteriler'!$B$2:$B$101)-ROW('Müşteriler'!$B$2)+1)),""),""))</ns0:f>
        <ns0:v/>
      </ns0:c>
      <ns0:c r="G507" s="28" t="str">
        <ns0:f>IF(F507="","",IFERROR(INDEX('Müşteriler'!$C$2:$C$101,MATCH(F507,'Müşteriler'!$A$2:$A$101,0)),""))</ns0:f>
        <ns0:v/>
      </ns0:c>
      <ns0:c r="H507" s="28" t="str">
        <ns0:f>IF(A507="","",IF(C507&lt;=0,"Satış dışı",IF(OR(F507="",G507=""),"Eşleşmedi","Eşleşti")))</ns0:f>
        <ns0:v/>
      </ns0:c>
      <ns0:c r="I507" s="28">
        <ns0:f>I506+IF(AND(H507="Eşleşmedi",E507='Panel'!$B$4),1,0)</ns0:f>
        <ns0:v>3.0</ns0:v>
      </ns0:c>
    </ns0:row>
    <ns0:row r="508" ht="21" customHeight="1">
      <ns0:c r="A508" s="25" t="n"/>
      <ns0:c r="B508" s="26" t="n"/>
      <ns0:c r="C508" s="27" t="n"/>
      <ns0:c r="D508" s="27" t="n"/>
      <ns0:c r="E508" s="28" t="str">
        <ns0:f>IF(A508="","",YEAR(A508)&amp;"-"&amp;RIGHT("0"&amp;MONTH(A508),2))</ns0:f>
        <ns0:v/>
      </ns0:c>
      <ns0:c r="F508" s="28" t="str">
        <ns0:f>IF(OR(A508="",B508="",C508&lt;=0),"",IF(SUMPRODUCT(('Müşteriler'!$B$2:$B$101&lt;&gt;"")*ISNUMBER(SEARCH('Müşteriler'!$B$2:$B$101,B508)))=1,IFERROR(INDEX('Müşteriler'!$A$2:$A$101,SUMPRODUCT(('Müşteriler'!$B$2:$B$101&lt;&gt;"")*ISNUMBER(SEARCH('Müşteriler'!$B$2:$B$101,B508)),ROW('Müşteriler'!$B$2:$B$101)-ROW('Müşteriler'!$B$2)+1)),""),""))</ns0:f>
        <ns0:v/>
      </ns0:c>
      <ns0:c r="G508" s="28" t="str">
        <ns0:f>IF(F508="","",IFERROR(INDEX('Müşteriler'!$C$2:$C$101,MATCH(F508,'Müşteriler'!$A$2:$A$101,0)),""))</ns0:f>
        <ns0:v/>
      </ns0:c>
      <ns0:c r="H508" s="28" t="str">
        <ns0:f>IF(A508="","",IF(C508&lt;=0,"Satış dışı",IF(OR(F508="",G508=""),"Eşleşmedi","Eşleşti")))</ns0:f>
        <ns0:v/>
      </ns0:c>
      <ns0:c r="I508" s="28">
        <ns0:f>I507+IF(AND(H508="Eşleşmedi",E508='Panel'!$B$4),1,0)</ns0:f>
        <ns0:v>3.0</ns0:v>
      </ns0:c>
    </ns0:row>
    <ns0:row r="509" ht="21" customHeight="1">
      <ns0:c r="A509" s="25" t="n"/>
      <ns0:c r="B509" s="26" t="n"/>
      <ns0:c r="C509" s="27" t="n"/>
      <ns0:c r="D509" s="27" t="n"/>
      <ns0:c r="E509" s="28" t="str">
        <ns0:f>IF(A509="","",YEAR(A509)&amp;"-"&amp;RIGHT("0"&amp;MONTH(A509),2))</ns0:f>
        <ns0:v/>
      </ns0:c>
      <ns0:c r="F509" s="28" t="str">
        <ns0:f>IF(OR(A509="",B509="",C509&lt;=0),"",IF(SUMPRODUCT(('Müşteriler'!$B$2:$B$101&lt;&gt;"")*ISNUMBER(SEARCH('Müşteriler'!$B$2:$B$101,B509)))=1,IFERROR(INDEX('Müşteriler'!$A$2:$A$101,SUMPRODUCT(('Müşteriler'!$B$2:$B$101&lt;&gt;"")*ISNUMBER(SEARCH('Müşteriler'!$B$2:$B$101,B509)),ROW('Müşteriler'!$B$2:$B$101)-ROW('Müşteriler'!$B$2)+1)),""),""))</ns0:f>
        <ns0:v/>
      </ns0:c>
      <ns0:c r="G509" s="28" t="str">
        <ns0:f>IF(F509="","",IFERROR(INDEX('Müşteriler'!$C$2:$C$101,MATCH(F509,'Müşteriler'!$A$2:$A$101,0)),""))</ns0:f>
        <ns0:v/>
      </ns0:c>
      <ns0:c r="H509" s="28" t="str">
        <ns0:f>IF(A509="","",IF(C509&lt;=0,"Satış dışı",IF(OR(F509="",G509=""),"Eşleşmedi","Eşleşti")))</ns0:f>
        <ns0:v/>
      </ns0:c>
      <ns0:c r="I509" s="28">
        <ns0:f>I508+IF(AND(H509="Eşleşmedi",E509='Panel'!$B$4),1,0)</ns0:f>
        <ns0:v>3.0</ns0:v>
      </ns0:c>
    </ns0:row>
    <ns0:row r="510" ht="21" customHeight="1">
      <ns0:c r="A510" s="25" t="n"/>
      <ns0:c r="B510" s="26" t="n"/>
      <ns0:c r="C510" s="27" t="n"/>
      <ns0:c r="D510" s="27" t="n"/>
      <ns0:c r="E510" s="28" t="str">
        <ns0:f>IF(A510="","",YEAR(A510)&amp;"-"&amp;RIGHT("0"&amp;MONTH(A510),2))</ns0:f>
        <ns0:v/>
      </ns0:c>
      <ns0:c r="F510" s="28" t="str">
        <ns0:f>IF(OR(A510="",B510="",C510&lt;=0),"",IF(SUMPRODUCT(('Müşteriler'!$B$2:$B$101&lt;&gt;"")*ISNUMBER(SEARCH('Müşteriler'!$B$2:$B$101,B510)))=1,IFERROR(INDEX('Müşteriler'!$A$2:$A$101,SUMPRODUCT(('Müşteriler'!$B$2:$B$101&lt;&gt;"")*ISNUMBER(SEARCH('Müşteriler'!$B$2:$B$101,B510)),ROW('Müşteriler'!$B$2:$B$101)-ROW('Müşteriler'!$B$2)+1)),""),""))</ns0:f>
        <ns0:v/>
      </ns0:c>
      <ns0:c r="G510" s="28" t="str">
        <ns0:f>IF(F510="","",IFERROR(INDEX('Müşteriler'!$C$2:$C$101,MATCH(F510,'Müşteriler'!$A$2:$A$101,0)),""))</ns0:f>
        <ns0:v/>
      </ns0:c>
      <ns0:c r="H510" s="28" t="str">
        <ns0:f>IF(A510="","",IF(C510&lt;=0,"Satış dışı",IF(OR(F510="",G510=""),"Eşleşmedi","Eşleşti")))</ns0:f>
        <ns0:v/>
      </ns0:c>
      <ns0:c r="I510" s="28">
        <ns0:f>I509+IF(AND(H510="Eşleşmedi",E510='Panel'!$B$4),1,0)</ns0:f>
        <ns0:v>3.0</ns0:v>
      </ns0:c>
    </ns0:row>
    <ns0:row r="511" ht="21" customHeight="1">
      <ns0:c r="A511" s="25" t="n"/>
      <ns0:c r="B511" s="26" t="n"/>
      <ns0:c r="C511" s="27" t="n"/>
      <ns0:c r="D511" s="27" t="n"/>
      <ns0:c r="E511" s="28" t="str">
        <ns0:f>IF(A511="","",YEAR(A511)&amp;"-"&amp;RIGHT("0"&amp;MONTH(A511),2))</ns0:f>
        <ns0:v/>
      </ns0:c>
      <ns0:c r="F511" s="28" t="str">
        <ns0:f>IF(OR(A511="",B511="",C511&lt;=0),"",IF(SUMPRODUCT(('Müşteriler'!$B$2:$B$101&lt;&gt;"")*ISNUMBER(SEARCH('Müşteriler'!$B$2:$B$101,B511)))=1,IFERROR(INDEX('Müşteriler'!$A$2:$A$101,SUMPRODUCT(('Müşteriler'!$B$2:$B$101&lt;&gt;"")*ISNUMBER(SEARCH('Müşteriler'!$B$2:$B$101,B511)),ROW('Müşteriler'!$B$2:$B$101)-ROW('Müşteriler'!$B$2)+1)),""),""))</ns0:f>
        <ns0:v/>
      </ns0:c>
      <ns0:c r="G511" s="28" t="str">
        <ns0:f>IF(F511="","",IFERROR(INDEX('Müşteriler'!$C$2:$C$101,MATCH(F511,'Müşteriler'!$A$2:$A$101,0)),""))</ns0:f>
        <ns0:v/>
      </ns0:c>
      <ns0:c r="H511" s="28" t="str">
        <ns0:f>IF(A511="","",IF(C511&lt;=0,"Satış dışı",IF(OR(F511="",G511=""),"Eşleşmedi","Eşleşti")))</ns0:f>
        <ns0:v/>
      </ns0:c>
      <ns0:c r="I511" s="28">
        <ns0:f>I510+IF(AND(H511="Eşleşmedi",E511='Panel'!$B$4),1,0)</ns0:f>
        <ns0:v>3.0</ns0:v>
      </ns0:c>
    </ns0:row>
    <ns0:row r="512" ht="21" customHeight="1">
      <ns0:c r="A512" s="25" t="n"/>
      <ns0:c r="B512" s="26" t="n"/>
      <ns0:c r="C512" s="27" t="n"/>
      <ns0:c r="D512" s="27" t="n"/>
      <ns0:c r="E512" s="28" t="str">
        <ns0:f>IF(A512="","",YEAR(A512)&amp;"-"&amp;RIGHT("0"&amp;MONTH(A512),2))</ns0:f>
        <ns0:v/>
      </ns0:c>
      <ns0:c r="F512" s="28" t="str">
        <ns0:f>IF(OR(A512="",B512="",C512&lt;=0),"",IF(SUMPRODUCT(('Müşteriler'!$B$2:$B$101&lt;&gt;"")*ISNUMBER(SEARCH('Müşteriler'!$B$2:$B$101,B512)))=1,IFERROR(INDEX('Müşteriler'!$A$2:$A$101,SUMPRODUCT(('Müşteriler'!$B$2:$B$101&lt;&gt;"")*ISNUMBER(SEARCH('Müşteriler'!$B$2:$B$101,B512)),ROW('Müşteriler'!$B$2:$B$101)-ROW('Müşteriler'!$B$2)+1)),""),""))</ns0:f>
        <ns0:v/>
      </ns0:c>
      <ns0:c r="G512" s="28" t="str">
        <ns0:f>IF(F512="","",IFERROR(INDEX('Müşteriler'!$C$2:$C$101,MATCH(F512,'Müşteriler'!$A$2:$A$101,0)),""))</ns0:f>
        <ns0:v/>
      </ns0:c>
      <ns0:c r="H512" s="28" t="str">
        <ns0:f>IF(A512="","",IF(C512&lt;=0,"Satış dışı",IF(OR(F512="",G512=""),"Eşleşmedi","Eşleşti")))</ns0:f>
        <ns0:v/>
      </ns0:c>
      <ns0:c r="I512" s="28">
        <ns0:f>I511+IF(AND(H512="Eşleşmedi",E512='Panel'!$B$4),1,0)</ns0:f>
        <ns0:v>3.0</ns0:v>
      </ns0:c>
    </ns0:row>
    <ns0:row r="513" ht="21" customHeight="1">
      <ns0:c r="A513" s="25" t="n"/>
      <ns0:c r="B513" s="26" t="n"/>
      <ns0:c r="C513" s="27" t="n"/>
      <ns0:c r="D513" s="27" t="n"/>
      <ns0:c r="E513" s="28" t="str">
        <ns0:f>IF(A513="","",YEAR(A513)&amp;"-"&amp;RIGHT("0"&amp;MONTH(A513),2))</ns0:f>
        <ns0:v/>
      </ns0:c>
      <ns0:c r="F513" s="28" t="str">
        <ns0:f>IF(OR(A513="",B513="",C513&lt;=0),"",IF(SUMPRODUCT(('Müşteriler'!$B$2:$B$101&lt;&gt;"")*ISNUMBER(SEARCH('Müşteriler'!$B$2:$B$101,B513)))=1,IFERROR(INDEX('Müşteriler'!$A$2:$A$101,SUMPRODUCT(('Müşteriler'!$B$2:$B$101&lt;&gt;"")*ISNUMBER(SEARCH('Müşteriler'!$B$2:$B$101,B513)),ROW('Müşteriler'!$B$2:$B$101)-ROW('Müşteriler'!$B$2)+1)),""),""))</ns0:f>
        <ns0:v/>
      </ns0:c>
      <ns0:c r="G513" s="28" t="str">
        <ns0:f>IF(F513="","",IFERROR(INDEX('Müşteriler'!$C$2:$C$101,MATCH(F513,'Müşteriler'!$A$2:$A$101,0)),""))</ns0:f>
        <ns0:v/>
      </ns0:c>
      <ns0:c r="H513" s="28" t="str">
        <ns0:f>IF(A513="","",IF(C513&lt;=0,"Satış dışı",IF(OR(F513="",G513=""),"Eşleşmedi","Eşleşti")))</ns0:f>
        <ns0:v/>
      </ns0:c>
      <ns0:c r="I513" s="28">
        <ns0:f>I512+IF(AND(H513="Eşleşmedi",E513='Panel'!$B$4),1,0)</ns0:f>
        <ns0:v>3.0</ns0:v>
      </ns0:c>
    </ns0:row>
    <ns0:row r="514" ht="21" customHeight="1">
      <ns0:c r="A514" s="25" t="n"/>
      <ns0:c r="B514" s="26" t="n"/>
      <ns0:c r="C514" s="27" t="n"/>
      <ns0:c r="D514" s="27" t="n"/>
      <ns0:c r="E514" s="28" t="str">
        <ns0:f>IF(A514="","",YEAR(A514)&amp;"-"&amp;RIGHT("0"&amp;MONTH(A514),2))</ns0:f>
        <ns0:v/>
      </ns0:c>
      <ns0:c r="F514" s="28" t="str">
        <ns0:f>IF(OR(A514="",B514="",C514&lt;=0),"",IF(SUMPRODUCT(('Müşteriler'!$B$2:$B$101&lt;&gt;"")*ISNUMBER(SEARCH('Müşteriler'!$B$2:$B$101,B514)))=1,IFERROR(INDEX('Müşteriler'!$A$2:$A$101,SUMPRODUCT(('Müşteriler'!$B$2:$B$101&lt;&gt;"")*ISNUMBER(SEARCH('Müşteriler'!$B$2:$B$101,B514)),ROW('Müşteriler'!$B$2:$B$101)-ROW('Müşteriler'!$B$2)+1)),""),""))</ns0:f>
        <ns0:v/>
      </ns0:c>
      <ns0:c r="G514" s="28" t="str">
        <ns0:f>IF(F514="","",IFERROR(INDEX('Müşteriler'!$C$2:$C$101,MATCH(F514,'Müşteriler'!$A$2:$A$101,0)),""))</ns0:f>
        <ns0:v/>
      </ns0:c>
      <ns0:c r="H514" s="28" t="str">
        <ns0:f>IF(A514="","",IF(C514&lt;=0,"Satış dışı",IF(OR(F514="",G514=""),"Eşleşmedi","Eşleşti")))</ns0:f>
        <ns0:v/>
      </ns0:c>
      <ns0:c r="I514" s="28">
        <ns0:f>I513+IF(AND(H514="Eşleşmedi",E514='Panel'!$B$4),1,0)</ns0:f>
        <ns0:v>3.0</ns0:v>
      </ns0:c>
    </ns0:row>
    <ns0:row r="515" ht="21" customHeight="1">
      <ns0:c r="A515" s="25" t="n"/>
      <ns0:c r="B515" s="26" t="n"/>
      <ns0:c r="C515" s="27" t="n"/>
      <ns0:c r="D515" s="27" t="n"/>
      <ns0:c r="E515" s="28" t="str">
        <ns0:f>IF(A515="","",YEAR(A515)&amp;"-"&amp;RIGHT("0"&amp;MONTH(A515),2))</ns0:f>
        <ns0:v/>
      </ns0:c>
      <ns0:c r="F515" s="28" t="str">
        <ns0:f>IF(OR(A515="",B515="",C515&lt;=0),"",IF(SUMPRODUCT(('Müşteriler'!$B$2:$B$101&lt;&gt;"")*ISNUMBER(SEARCH('Müşteriler'!$B$2:$B$101,B515)))=1,IFERROR(INDEX('Müşteriler'!$A$2:$A$101,SUMPRODUCT(('Müşteriler'!$B$2:$B$101&lt;&gt;"")*ISNUMBER(SEARCH('Müşteriler'!$B$2:$B$101,B515)),ROW('Müşteriler'!$B$2:$B$101)-ROW('Müşteriler'!$B$2)+1)),""),""))</ns0:f>
        <ns0:v/>
      </ns0:c>
      <ns0:c r="G515" s="28" t="str">
        <ns0:f>IF(F515="","",IFERROR(INDEX('Müşteriler'!$C$2:$C$101,MATCH(F515,'Müşteriler'!$A$2:$A$101,0)),""))</ns0:f>
        <ns0:v/>
      </ns0:c>
      <ns0:c r="H515" s="28" t="str">
        <ns0:f>IF(A515="","",IF(C515&lt;=0,"Satış dışı",IF(OR(F515="",G515=""),"Eşleşmedi","Eşleşti")))</ns0:f>
        <ns0:v/>
      </ns0:c>
      <ns0:c r="I515" s="28">
        <ns0:f>I514+IF(AND(H515="Eşleşmedi",E515='Panel'!$B$4),1,0)</ns0:f>
        <ns0:v>3.0</ns0:v>
      </ns0:c>
    </ns0:row>
    <ns0:row r="516" ht="21" customHeight="1">
      <ns0:c r="A516" s="25" t="n"/>
      <ns0:c r="B516" s="26" t="n"/>
      <ns0:c r="C516" s="27" t="n"/>
      <ns0:c r="D516" s="27" t="n"/>
      <ns0:c r="E516" s="28" t="str">
        <ns0:f>IF(A516="","",YEAR(A516)&amp;"-"&amp;RIGHT("0"&amp;MONTH(A516),2))</ns0:f>
        <ns0:v/>
      </ns0:c>
      <ns0:c r="F516" s="28" t="str">
        <ns0:f>IF(OR(A516="",B516="",C516&lt;=0),"",IF(SUMPRODUCT(('Müşteriler'!$B$2:$B$101&lt;&gt;"")*ISNUMBER(SEARCH('Müşteriler'!$B$2:$B$101,B516)))=1,IFERROR(INDEX('Müşteriler'!$A$2:$A$101,SUMPRODUCT(('Müşteriler'!$B$2:$B$101&lt;&gt;"")*ISNUMBER(SEARCH('Müşteriler'!$B$2:$B$101,B516)),ROW('Müşteriler'!$B$2:$B$101)-ROW('Müşteriler'!$B$2)+1)),""),""))</ns0:f>
        <ns0:v/>
      </ns0:c>
      <ns0:c r="G516" s="28" t="str">
        <ns0:f>IF(F516="","",IFERROR(INDEX('Müşteriler'!$C$2:$C$101,MATCH(F516,'Müşteriler'!$A$2:$A$101,0)),""))</ns0:f>
        <ns0:v/>
      </ns0:c>
      <ns0:c r="H516" s="28" t="str">
        <ns0:f>IF(A516="","",IF(C516&lt;=0,"Satış dışı",IF(OR(F516="",G516=""),"Eşleşmedi","Eşleşti")))</ns0:f>
        <ns0:v/>
      </ns0:c>
      <ns0:c r="I516" s="28">
        <ns0:f>I515+IF(AND(H516="Eşleşmedi",E516='Panel'!$B$4),1,0)</ns0:f>
        <ns0:v>3.0</ns0:v>
      </ns0:c>
    </ns0:row>
    <ns0:row r="517" ht="21" customHeight="1">
      <ns0:c r="A517" s="25" t="n"/>
      <ns0:c r="B517" s="26" t="n"/>
      <ns0:c r="C517" s="27" t="n"/>
      <ns0:c r="D517" s="27" t="n"/>
      <ns0:c r="E517" s="28" t="str">
        <ns0:f>IF(A517="","",YEAR(A517)&amp;"-"&amp;RIGHT("0"&amp;MONTH(A517),2))</ns0:f>
        <ns0:v/>
      </ns0:c>
      <ns0:c r="F517" s="28" t="str">
        <ns0:f>IF(OR(A517="",B517="",C517&lt;=0),"",IF(SUMPRODUCT(('Müşteriler'!$B$2:$B$101&lt;&gt;"")*ISNUMBER(SEARCH('Müşteriler'!$B$2:$B$101,B517)))=1,IFERROR(INDEX('Müşteriler'!$A$2:$A$101,SUMPRODUCT(('Müşteriler'!$B$2:$B$101&lt;&gt;"")*ISNUMBER(SEARCH('Müşteriler'!$B$2:$B$101,B517)),ROW('Müşteriler'!$B$2:$B$101)-ROW('Müşteriler'!$B$2)+1)),""),""))</ns0:f>
        <ns0:v/>
      </ns0:c>
      <ns0:c r="G517" s="28" t="str">
        <ns0:f>IF(F517="","",IFERROR(INDEX('Müşteriler'!$C$2:$C$101,MATCH(F517,'Müşteriler'!$A$2:$A$101,0)),""))</ns0:f>
        <ns0:v/>
      </ns0:c>
      <ns0:c r="H517" s="28" t="str">
        <ns0:f>IF(A517="","",IF(C517&lt;=0,"Satış dışı",IF(OR(F517="",G517=""),"Eşleşmedi","Eşleşti")))</ns0:f>
        <ns0:v/>
      </ns0:c>
      <ns0:c r="I517" s="28">
        <ns0:f>I516+IF(AND(H517="Eşleşmedi",E517='Panel'!$B$4),1,0)</ns0:f>
        <ns0:v>3.0</ns0:v>
      </ns0:c>
    </ns0:row>
    <ns0:row r="518" ht="21" customHeight="1">
      <ns0:c r="A518" s="25" t="n"/>
      <ns0:c r="B518" s="26" t="n"/>
      <ns0:c r="C518" s="27" t="n"/>
      <ns0:c r="D518" s="27" t="n"/>
      <ns0:c r="E518" s="28" t="str">
        <ns0:f>IF(A518="","",YEAR(A518)&amp;"-"&amp;RIGHT("0"&amp;MONTH(A518),2))</ns0:f>
        <ns0:v/>
      </ns0:c>
      <ns0:c r="F518" s="28" t="str">
        <ns0:f>IF(OR(A518="",B518="",C518&lt;=0),"",IF(SUMPRODUCT(('Müşteriler'!$B$2:$B$101&lt;&gt;"")*ISNUMBER(SEARCH('Müşteriler'!$B$2:$B$101,B518)))=1,IFERROR(INDEX('Müşteriler'!$A$2:$A$101,SUMPRODUCT(('Müşteriler'!$B$2:$B$101&lt;&gt;"")*ISNUMBER(SEARCH('Müşteriler'!$B$2:$B$101,B518)),ROW('Müşteriler'!$B$2:$B$101)-ROW('Müşteriler'!$B$2)+1)),""),""))</ns0:f>
        <ns0:v/>
      </ns0:c>
      <ns0:c r="G518" s="28" t="str">
        <ns0:f>IF(F518="","",IFERROR(INDEX('Müşteriler'!$C$2:$C$101,MATCH(F518,'Müşteriler'!$A$2:$A$101,0)),""))</ns0:f>
        <ns0:v/>
      </ns0:c>
      <ns0:c r="H518" s="28" t="str">
        <ns0:f>IF(A518="","",IF(C518&lt;=0,"Satış dışı",IF(OR(F518="",G518=""),"Eşleşmedi","Eşleşti")))</ns0:f>
        <ns0:v/>
      </ns0:c>
      <ns0:c r="I518" s="28">
        <ns0:f>I517+IF(AND(H518="Eşleşmedi",E518='Panel'!$B$4),1,0)</ns0:f>
        <ns0:v>3.0</ns0:v>
      </ns0:c>
    </ns0:row>
    <ns0:row r="519" ht="21" customHeight="1">
      <ns0:c r="A519" s="25" t="n"/>
      <ns0:c r="B519" s="26" t="n"/>
      <ns0:c r="C519" s="27" t="n"/>
      <ns0:c r="D519" s="27" t="n"/>
      <ns0:c r="E519" s="28" t="str">
        <ns0:f>IF(A519="","",YEAR(A519)&amp;"-"&amp;RIGHT("0"&amp;MONTH(A519),2))</ns0:f>
        <ns0:v/>
      </ns0:c>
      <ns0:c r="F519" s="28" t="str">
        <ns0:f>IF(OR(A519="",B519="",C519&lt;=0),"",IF(SUMPRODUCT(('Müşteriler'!$B$2:$B$101&lt;&gt;"")*ISNUMBER(SEARCH('Müşteriler'!$B$2:$B$101,B519)))=1,IFERROR(INDEX('Müşteriler'!$A$2:$A$101,SUMPRODUCT(('Müşteriler'!$B$2:$B$101&lt;&gt;"")*ISNUMBER(SEARCH('Müşteriler'!$B$2:$B$101,B519)),ROW('Müşteriler'!$B$2:$B$101)-ROW('Müşteriler'!$B$2)+1)),""),""))</ns0:f>
        <ns0:v/>
      </ns0:c>
      <ns0:c r="G519" s="28" t="str">
        <ns0:f>IF(F519="","",IFERROR(INDEX('Müşteriler'!$C$2:$C$101,MATCH(F519,'Müşteriler'!$A$2:$A$101,0)),""))</ns0:f>
        <ns0:v/>
      </ns0:c>
      <ns0:c r="H519" s="28" t="str">
        <ns0:f>IF(A519="","",IF(C519&lt;=0,"Satış dışı",IF(OR(F519="",G519=""),"Eşleşmedi","Eşleşti")))</ns0:f>
        <ns0:v/>
      </ns0:c>
      <ns0:c r="I519" s="28">
        <ns0:f>I518+IF(AND(H519="Eşleşmedi",E519='Panel'!$B$4),1,0)</ns0:f>
        <ns0:v>3.0</ns0:v>
      </ns0:c>
    </ns0:row>
    <ns0:row r="520" ht="21" customHeight="1">
      <ns0:c r="A520" s="25" t="n"/>
      <ns0:c r="B520" s="26" t="n"/>
      <ns0:c r="C520" s="27" t="n"/>
      <ns0:c r="D520" s="27" t="n"/>
      <ns0:c r="E520" s="28" t="str">
        <ns0:f>IF(A520="","",YEAR(A520)&amp;"-"&amp;RIGHT("0"&amp;MONTH(A520),2))</ns0:f>
        <ns0:v/>
      </ns0:c>
      <ns0:c r="F520" s="28" t="str">
        <ns0:f>IF(OR(A520="",B520="",C520&lt;=0),"",IF(SUMPRODUCT(('Müşteriler'!$B$2:$B$101&lt;&gt;"")*ISNUMBER(SEARCH('Müşteriler'!$B$2:$B$101,B520)))=1,IFERROR(INDEX('Müşteriler'!$A$2:$A$101,SUMPRODUCT(('Müşteriler'!$B$2:$B$101&lt;&gt;"")*ISNUMBER(SEARCH('Müşteriler'!$B$2:$B$101,B520)),ROW('Müşteriler'!$B$2:$B$101)-ROW('Müşteriler'!$B$2)+1)),""),""))</ns0:f>
        <ns0:v/>
      </ns0:c>
      <ns0:c r="G520" s="28" t="str">
        <ns0:f>IF(F520="","",IFERROR(INDEX('Müşteriler'!$C$2:$C$101,MATCH(F520,'Müşteriler'!$A$2:$A$101,0)),""))</ns0:f>
        <ns0:v/>
      </ns0:c>
      <ns0:c r="H520" s="28" t="str">
        <ns0:f>IF(A520="","",IF(C520&lt;=0,"Satış dışı",IF(OR(F520="",G520=""),"Eşleşmedi","Eşleşti")))</ns0:f>
        <ns0:v/>
      </ns0:c>
      <ns0:c r="I520" s="28">
        <ns0:f>I519+IF(AND(H520="Eşleşmedi",E520='Panel'!$B$4),1,0)</ns0:f>
        <ns0:v>3.0</ns0:v>
      </ns0:c>
    </ns0:row>
    <ns0:row r="521" ht="21" customHeight="1">
      <ns0:c r="A521" s="25" t="n"/>
      <ns0:c r="B521" s="26" t="n"/>
      <ns0:c r="C521" s="27" t="n"/>
      <ns0:c r="D521" s="27" t="n"/>
      <ns0:c r="E521" s="28" t="str">
        <ns0:f>IF(A521="","",YEAR(A521)&amp;"-"&amp;RIGHT("0"&amp;MONTH(A521),2))</ns0:f>
        <ns0:v/>
      </ns0:c>
      <ns0:c r="F521" s="28" t="str">
        <ns0:f>IF(OR(A521="",B521="",C521&lt;=0),"",IF(SUMPRODUCT(('Müşteriler'!$B$2:$B$101&lt;&gt;"")*ISNUMBER(SEARCH('Müşteriler'!$B$2:$B$101,B521)))=1,IFERROR(INDEX('Müşteriler'!$A$2:$A$101,SUMPRODUCT(('Müşteriler'!$B$2:$B$101&lt;&gt;"")*ISNUMBER(SEARCH('Müşteriler'!$B$2:$B$101,B521)),ROW('Müşteriler'!$B$2:$B$101)-ROW('Müşteriler'!$B$2)+1)),""),""))</ns0:f>
        <ns0:v/>
      </ns0:c>
      <ns0:c r="G521" s="28" t="str">
        <ns0:f>IF(F521="","",IFERROR(INDEX('Müşteriler'!$C$2:$C$101,MATCH(F521,'Müşteriler'!$A$2:$A$101,0)),""))</ns0:f>
        <ns0:v/>
      </ns0:c>
      <ns0:c r="H521" s="28" t="str">
        <ns0:f>IF(A521="","",IF(C521&lt;=0,"Satış dışı",IF(OR(F521="",G521=""),"Eşleşmedi","Eşleşti")))</ns0:f>
        <ns0:v/>
      </ns0:c>
      <ns0:c r="I521" s="28">
        <ns0:f>I520+IF(AND(H521="Eşleşmedi",E521='Panel'!$B$4),1,0)</ns0:f>
        <ns0:v>3.0</ns0:v>
      </ns0:c>
    </ns0:row>
    <ns0:row r="522" ht="21" customHeight="1">
      <ns0:c r="A522" s="25" t="n"/>
      <ns0:c r="B522" s="26" t="n"/>
      <ns0:c r="C522" s="27" t="n"/>
      <ns0:c r="D522" s="27" t="n"/>
      <ns0:c r="E522" s="28" t="str">
        <ns0:f>IF(A522="","",YEAR(A522)&amp;"-"&amp;RIGHT("0"&amp;MONTH(A522),2))</ns0:f>
        <ns0:v/>
      </ns0:c>
      <ns0:c r="F522" s="28" t="str">
        <ns0:f>IF(OR(A522="",B522="",C522&lt;=0),"",IF(SUMPRODUCT(('Müşteriler'!$B$2:$B$101&lt;&gt;"")*ISNUMBER(SEARCH('Müşteriler'!$B$2:$B$101,B522)))=1,IFERROR(INDEX('Müşteriler'!$A$2:$A$101,SUMPRODUCT(('Müşteriler'!$B$2:$B$101&lt;&gt;"")*ISNUMBER(SEARCH('Müşteriler'!$B$2:$B$101,B522)),ROW('Müşteriler'!$B$2:$B$101)-ROW('Müşteriler'!$B$2)+1)),""),""))</ns0:f>
        <ns0:v/>
      </ns0:c>
      <ns0:c r="G522" s="28" t="str">
        <ns0:f>IF(F522="","",IFERROR(INDEX('Müşteriler'!$C$2:$C$101,MATCH(F522,'Müşteriler'!$A$2:$A$101,0)),""))</ns0:f>
        <ns0:v/>
      </ns0:c>
      <ns0:c r="H522" s="28" t="str">
        <ns0:f>IF(A522="","",IF(C522&lt;=0,"Satış dışı",IF(OR(F522="",G522=""),"Eşleşmedi","Eşleşti")))</ns0:f>
        <ns0:v/>
      </ns0:c>
      <ns0:c r="I522" s="28">
        <ns0:f>I521+IF(AND(H522="Eşleşmedi",E522='Panel'!$B$4),1,0)</ns0:f>
        <ns0:v>3.0</ns0:v>
      </ns0:c>
    </ns0:row>
    <ns0:row r="523" ht="21" customHeight="1">
      <ns0:c r="A523" s="25" t="n"/>
      <ns0:c r="B523" s="26" t="n"/>
      <ns0:c r="C523" s="27" t="n"/>
      <ns0:c r="D523" s="27" t="n"/>
      <ns0:c r="E523" s="28" t="str">
        <ns0:f>IF(A523="","",YEAR(A523)&amp;"-"&amp;RIGHT("0"&amp;MONTH(A523),2))</ns0:f>
        <ns0:v/>
      </ns0:c>
      <ns0:c r="F523" s="28" t="str">
        <ns0:f>IF(OR(A523="",B523="",C523&lt;=0),"",IF(SUMPRODUCT(('Müşteriler'!$B$2:$B$101&lt;&gt;"")*ISNUMBER(SEARCH('Müşteriler'!$B$2:$B$101,B523)))=1,IFERROR(INDEX('Müşteriler'!$A$2:$A$101,SUMPRODUCT(('Müşteriler'!$B$2:$B$101&lt;&gt;"")*ISNUMBER(SEARCH('Müşteriler'!$B$2:$B$101,B523)),ROW('Müşteriler'!$B$2:$B$101)-ROW('Müşteriler'!$B$2)+1)),""),""))</ns0:f>
        <ns0:v/>
      </ns0:c>
      <ns0:c r="G523" s="28" t="str">
        <ns0:f>IF(F523="","",IFERROR(INDEX('Müşteriler'!$C$2:$C$101,MATCH(F523,'Müşteriler'!$A$2:$A$101,0)),""))</ns0:f>
        <ns0:v/>
      </ns0:c>
      <ns0:c r="H523" s="28" t="str">
        <ns0:f>IF(A523="","",IF(C523&lt;=0,"Satış dışı",IF(OR(F523="",G523=""),"Eşleşmedi","Eşleşti")))</ns0:f>
        <ns0:v/>
      </ns0:c>
      <ns0:c r="I523" s="28">
        <ns0:f>I522+IF(AND(H523="Eşleşmedi",E523='Panel'!$B$4),1,0)</ns0:f>
        <ns0:v>3.0</ns0:v>
      </ns0:c>
    </ns0:row>
    <ns0:row r="524" ht="21" customHeight="1">
      <ns0:c r="A524" s="25" t="n"/>
      <ns0:c r="B524" s="26" t="n"/>
      <ns0:c r="C524" s="27" t="n"/>
      <ns0:c r="D524" s="27" t="n"/>
      <ns0:c r="E524" s="28" t="str">
        <ns0:f>IF(A524="","",YEAR(A524)&amp;"-"&amp;RIGHT("0"&amp;MONTH(A524),2))</ns0:f>
        <ns0:v/>
      </ns0:c>
      <ns0:c r="F524" s="28" t="str">
        <ns0:f>IF(OR(A524="",B524="",C524&lt;=0),"",IF(SUMPRODUCT(('Müşteriler'!$B$2:$B$101&lt;&gt;"")*ISNUMBER(SEARCH('Müşteriler'!$B$2:$B$101,B524)))=1,IFERROR(INDEX('Müşteriler'!$A$2:$A$101,SUMPRODUCT(('Müşteriler'!$B$2:$B$101&lt;&gt;"")*ISNUMBER(SEARCH('Müşteriler'!$B$2:$B$101,B524)),ROW('Müşteriler'!$B$2:$B$101)-ROW('Müşteriler'!$B$2)+1)),""),""))</ns0:f>
        <ns0:v/>
      </ns0:c>
      <ns0:c r="G524" s="28" t="str">
        <ns0:f>IF(F524="","",IFERROR(INDEX('Müşteriler'!$C$2:$C$101,MATCH(F524,'Müşteriler'!$A$2:$A$101,0)),""))</ns0:f>
        <ns0:v/>
      </ns0:c>
      <ns0:c r="H524" s="28" t="str">
        <ns0:f>IF(A524="","",IF(C524&lt;=0,"Satış dışı",IF(OR(F524="",G524=""),"Eşleşmedi","Eşleşti")))</ns0:f>
        <ns0:v/>
      </ns0:c>
      <ns0:c r="I524" s="28">
        <ns0:f>I523+IF(AND(H524="Eşleşmedi",E524='Panel'!$B$4),1,0)</ns0:f>
        <ns0:v>3.0</ns0:v>
      </ns0:c>
    </ns0:row>
    <ns0:row r="525" ht="21" customHeight="1">
      <ns0:c r="A525" s="25" t="n"/>
      <ns0:c r="B525" s="26" t="n"/>
      <ns0:c r="C525" s="27" t="n"/>
      <ns0:c r="D525" s="27" t="n"/>
      <ns0:c r="E525" s="28" t="str">
        <ns0:f>IF(A525="","",YEAR(A525)&amp;"-"&amp;RIGHT("0"&amp;MONTH(A525),2))</ns0:f>
        <ns0:v/>
      </ns0:c>
      <ns0:c r="F525" s="28" t="str">
        <ns0:f>IF(OR(A525="",B525="",C525&lt;=0),"",IF(SUMPRODUCT(('Müşteriler'!$B$2:$B$101&lt;&gt;"")*ISNUMBER(SEARCH('Müşteriler'!$B$2:$B$101,B525)))=1,IFERROR(INDEX('Müşteriler'!$A$2:$A$101,SUMPRODUCT(('Müşteriler'!$B$2:$B$101&lt;&gt;"")*ISNUMBER(SEARCH('Müşteriler'!$B$2:$B$101,B525)),ROW('Müşteriler'!$B$2:$B$101)-ROW('Müşteriler'!$B$2)+1)),""),""))</ns0:f>
        <ns0:v/>
      </ns0:c>
      <ns0:c r="G525" s="28" t="str">
        <ns0:f>IF(F525="","",IFERROR(INDEX('Müşteriler'!$C$2:$C$101,MATCH(F525,'Müşteriler'!$A$2:$A$101,0)),""))</ns0:f>
        <ns0:v/>
      </ns0:c>
      <ns0:c r="H525" s="28" t="str">
        <ns0:f>IF(A525="","",IF(C525&lt;=0,"Satış dışı",IF(OR(F525="",G525=""),"Eşleşmedi","Eşleşti")))</ns0:f>
        <ns0:v/>
      </ns0:c>
      <ns0:c r="I525" s="28">
        <ns0:f>I524+IF(AND(H525="Eşleşmedi",E525='Panel'!$B$4),1,0)</ns0:f>
        <ns0:v>3.0</ns0:v>
      </ns0:c>
    </ns0:row>
    <ns0:row r="526" ht="21" customHeight="1">
      <ns0:c r="A526" s="25" t="n"/>
      <ns0:c r="B526" s="26" t="n"/>
      <ns0:c r="C526" s="27" t="n"/>
      <ns0:c r="D526" s="27" t="n"/>
      <ns0:c r="E526" s="28" t="str">
        <ns0:f>IF(A526="","",YEAR(A526)&amp;"-"&amp;RIGHT("0"&amp;MONTH(A526),2))</ns0:f>
        <ns0:v/>
      </ns0:c>
      <ns0:c r="F526" s="28" t="str">
        <ns0:f>IF(OR(A526="",B526="",C526&lt;=0),"",IF(SUMPRODUCT(('Müşteriler'!$B$2:$B$101&lt;&gt;"")*ISNUMBER(SEARCH('Müşteriler'!$B$2:$B$101,B526)))=1,IFERROR(INDEX('Müşteriler'!$A$2:$A$101,SUMPRODUCT(('Müşteriler'!$B$2:$B$101&lt;&gt;"")*ISNUMBER(SEARCH('Müşteriler'!$B$2:$B$101,B526)),ROW('Müşteriler'!$B$2:$B$101)-ROW('Müşteriler'!$B$2)+1)),""),""))</ns0:f>
        <ns0:v/>
      </ns0:c>
      <ns0:c r="G526" s="28" t="str">
        <ns0:f>IF(F526="","",IFERROR(INDEX('Müşteriler'!$C$2:$C$101,MATCH(F526,'Müşteriler'!$A$2:$A$101,0)),""))</ns0:f>
        <ns0:v/>
      </ns0:c>
      <ns0:c r="H526" s="28" t="str">
        <ns0:f>IF(A526="","",IF(C526&lt;=0,"Satış dışı",IF(OR(F526="",G526=""),"Eşleşmedi","Eşleşti")))</ns0:f>
        <ns0:v/>
      </ns0:c>
      <ns0:c r="I526" s="28">
        <ns0:f>I525+IF(AND(H526="Eşleşmedi",E526='Panel'!$B$4),1,0)</ns0:f>
        <ns0:v>3.0</ns0:v>
      </ns0:c>
    </ns0:row>
    <ns0:row r="527" ht="21" customHeight="1">
      <ns0:c r="A527" s="25" t="n"/>
      <ns0:c r="B527" s="26" t="n"/>
      <ns0:c r="C527" s="27" t="n"/>
      <ns0:c r="D527" s="27" t="n"/>
      <ns0:c r="E527" s="28" t="str">
        <ns0:f>IF(A527="","",YEAR(A527)&amp;"-"&amp;RIGHT("0"&amp;MONTH(A527),2))</ns0:f>
        <ns0:v/>
      </ns0:c>
      <ns0:c r="F527" s="28" t="str">
        <ns0:f>IF(OR(A527="",B527="",C527&lt;=0),"",IF(SUMPRODUCT(('Müşteriler'!$B$2:$B$101&lt;&gt;"")*ISNUMBER(SEARCH('Müşteriler'!$B$2:$B$101,B527)))=1,IFERROR(INDEX('Müşteriler'!$A$2:$A$101,SUMPRODUCT(('Müşteriler'!$B$2:$B$101&lt;&gt;"")*ISNUMBER(SEARCH('Müşteriler'!$B$2:$B$101,B527)),ROW('Müşteriler'!$B$2:$B$101)-ROW('Müşteriler'!$B$2)+1)),""),""))</ns0:f>
        <ns0:v/>
      </ns0:c>
      <ns0:c r="G527" s="28" t="str">
        <ns0:f>IF(F527="","",IFERROR(INDEX('Müşteriler'!$C$2:$C$101,MATCH(F527,'Müşteriler'!$A$2:$A$101,0)),""))</ns0:f>
        <ns0:v/>
      </ns0:c>
      <ns0:c r="H527" s="28" t="str">
        <ns0:f>IF(A527="","",IF(C527&lt;=0,"Satış dışı",IF(OR(F527="",G527=""),"Eşleşmedi","Eşleşti")))</ns0:f>
        <ns0:v/>
      </ns0:c>
      <ns0:c r="I527" s="28">
        <ns0:f>I526+IF(AND(H527="Eşleşmedi",E527='Panel'!$B$4),1,0)</ns0:f>
        <ns0:v>3.0</ns0:v>
      </ns0:c>
    </ns0:row>
    <ns0:row r="528" ht="21" customHeight="1">
      <ns0:c r="A528" s="25" t="n"/>
      <ns0:c r="B528" s="26" t="n"/>
      <ns0:c r="C528" s="27" t="n"/>
      <ns0:c r="D528" s="27" t="n"/>
      <ns0:c r="E528" s="28" t="str">
        <ns0:f>IF(A528="","",YEAR(A528)&amp;"-"&amp;RIGHT("0"&amp;MONTH(A528),2))</ns0:f>
        <ns0:v/>
      </ns0:c>
      <ns0:c r="F528" s="28" t="str">
        <ns0:f>IF(OR(A528="",B528="",C528&lt;=0),"",IF(SUMPRODUCT(('Müşteriler'!$B$2:$B$101&lt;&gt;"")*ISNUMBER(SEARCH('Müşteriler'!$B$2:$B$101,B528)))=1,IFERROR(INDEX('Müşteriler'!$A$2:$A$101,SUMPRODUCT(('Müşteriler'!$B$2:$B$101&lt;&gt;"")*ISNUMBER(SEARCH('Müşteriler'!$B$2:$B$101,B528)),ROW('Müşteriler'!$B$2:$B$101)-ROW('Müşteriler'!$B$2)+1)),""),""))</ns0:f>
        <ns0:v/>
      </ns0:c>
      <ns0:c r="G528" s="28" t="str">
        <ns0:f>IF(F528="","",IFERROR(INDEX('Müşteriler'!$C$2:$C$101,MATCH(F528,'Müşteriler'!$A$2:$A$101,0)),""))</ns0:f>
        <ns0:v/>
      </ns0:c>
      <ns0:c r="H528" s="28" t="str">
        <ns0:f>IF(A528="","",IF(C528&lt;=0,"Satış dışı",IF(OR(F528="",G528=""),"Eşleşmedi","Eşleşti")))</ns0:f>
        <ns0:v/>
      </ns0:c>
      <ns0:c r="I528" s="28">
        <ns0:f>I527+IF(AND(H528="Eşleşmedi",E528='Panel'!$B$4),1,0)</ns0:f>
        <ns0:v>3.0</ns0:v>
      </ns0:c>
    </ns0:row>
    <ns0:row r="529" ht="21" customHeight="1">
      <ns0:c r="A529" s="25" t="n"/>
      <ns0:c r="B529" s="26" t="n"/>
      <ns0:c r="C529" s="27" t="n"/>
      <ns0:c r="D529" s="27" t="n"/>
      <ns0:c r="E529" s="28" t="str">
        <ns0:f>IF(A529="","",YEAR(A529)&amp;"-"&amp;RIGHT("0"&amp;MONTH(A529),2))</ns0:f>
        <ns0:v/>
      </ns0:c>
      <ns0:c r="F529" s="28" t="str">
        <ns0:f>IF(OR(A529="",B529="",C529&lt;=0),"",IF(SUMPRODUCT(('Müşteriler'!$B$2:$B$101&lt;&gt;"")*ISNUMBER(SEARCH('Müşteriler'!$B$2:$B$101,B529)))=1,IFERROR(INDEX('Müşteriler'!$A$2:$A$101,SUMPRODUCT(('Müşteriler'!$B$2:$B$101&lt;&gt;"")*ISNUMBER(SEARCH('Müşteriler'!$B$2:$B$101,B529)),ROW('Müşteriler'!$B$2:$B$101)-ROW('Müşteriler'!$B$2)+1)),""),""))</ns0:f>
        <ns0:v/>
      </ns0:c>
      <ns0:c r="G529" s="28" t="str">
        <ns0:f>IF(F529="","",IFERROR(INDEX('Müşteriler'!$C$2:$C$101,MATCH(F529,'Müşteriler'!$A$2:$A$101,0)),""))</ns0:f>
        <ns0:v/>
      </ns0:c>
      <ns0:c r="H529" s="28" t="str">
        <ns0:f>IF(A529="","",IF(C529&lt;=0,"Satış dışı",IF(OR(F529="",G529=""),"Eşleşmedi","Eşleşti")))</ns0:f>
        <ns0:v/>
      </ns0:c>
      <ns0:c r="I529" s="28">
        <ns0:f>I528+IF(AND(H529="Eşleşmedi",E529='Panel'!$B$4),1,0)</ns0:f>
        <ns0:v>3.0</ns0:v>
      </ns0:c>
    </ns0:row>
    <ns0:row r="530" ht="21" customHeight="1">
      <ns0:c r="A530" s="25" t="n"/>
      <ns0:c r="B530" s="26" t="n"/>
      <ns0:c r="C530" s="27" t="n"/>
      <ns0:c r="D530" s="27" t="n"/>
      <ns0:c r="E530" s="28" t="str">
        <ns0:f>IF(A530="","",YEAR(A530)&amp;"-"&amp;RIGHT("0"&amp;MONTH(A530),2))</ns0:f>
        <ns0:v/>
      </ns0:c>
      <ns0:c r="F530" s="28" t="str">
        <ns0:f>IF(OR(A530="",B530="",C530&lt;=0),"",IF(SUMPRODUCT(('Müşteriler'!$B$2:$B$101&lt;&gt;"")*ISNUMBER(SEARCH('Müşteriler'!$B$2:$B$101,B530)))=1,IFERROR(INDEX('Müşteriler'!$A$2:$A$101,SUMPRODUCT(('Müşteriler'!$B$2:$B$101&lt;&gt;"")*ISNUMBER(SEARCH('Müşteriler'!$B$2:$B$101,B530)),ROW('Müşteriler'!$B$2:$B$101)-ROW('Müşteriler'!$B$2)+1)),""),""))</ns0:f>
        <ns0:v/>
      </ns0:c>
      <ns0:c r="G530" s="28" t="str">
        <ns0:f>IF(F530="","",IFERROR(INDEX('Müşteriler'!$C$2:$C$101,MATCH(F530,'Müşteriler'!$A$2:$A$101,0)),""))</ns0:f>
        <ns0:v/>
      </ns0:c>
      <ns0:c r="H530" s="28" t="str">
        <ns0:f>IF(A530="","",IF(C530&lt;=0,"Satış dışı",IF(OR(F530="",G530=""),"Eşleşmedi","Eşleşti")))</ns0:f>
        <ns0:v/>
      </ns0:c>
      <ns0:c r="I530" s="28">
        <ns0:f>I529+IF(AND(H530="Eşleşmedi",E530='Panel'!$B$4),1,0)</ns0:f>
        <ns0:v>3.0</ns0:v>
      </ns0:c>
    </ns0:row>
    <ns0:row r="531" ht="21" customHeight="1">
      <ns0:c r="A531" s="25" t="n"/>
      <ns0:c r="B531" s="26" t="n"/>
      <ns0:c r="C531" s="27" t="n"/>
      <ns0:c r="D531" s="27" t="n"/>
      <ns0:c r="E531" s="28" t="str">
        <ns0:f>IF(A531="","",YEAR(A531)&amp;"-"&amp;RIGHT("0"&amp;MONTH(A531),2))</ns0:f>
        <ns0:v/>
      </ns0:c>
      <ns0:c r="F531" s="28" t="str">
        <ns0:f>IF(OR(A531="",B531="",C531&lt;=0),"",IF(SUMPRODUCT(('Müşteriler'!$B$2:$B$101&lt;&gt;"")*ISNUMBER(SEARCH('Müşteriler'!$B$2:$B$101,B531)))=1,IFERROR(INDEX('Müşteriler'!$A$2:$A$101,SUMPRODUCT(('Müşteriler'!$B$2:$B$101&lt;&gt;"")*ISNUMBER(SEARCH('Müşteriler'!$B$2:$B$101,B531)),ROW('Müşteriler'!$B$2:$B$101)-ROW('Müşteriler'!$B$2)+1)),""),""))</ns0:f>
        <ns0:v/>
      </ns0:c>
      <ns0:c r="G531" s="28" t="str">
        <ns0:f>IF(F531="","",IFERROR(INDEX('Müşteriler'!$C$2:$C$101,MATCH(F531,'Müşteriler'!$A$2:$A$101,0)),""))</ns0:f>
        <ns0:v/>
      </ns0:c>
      <ns0:c r="H531" s="28" t="str">
        <ns0:f>IF(A531="","",IF(C531&lt;=0,"Satış dışı",IF(OR(F531="",G531=""),"Eşleşmedi","Eşleşti")))</ns0:f>
        <ns0:v/>
      </ns0:c>
      <ns0:c r="I531" s="28">
        <ns0:f>I530+IF(AND(H531="Eşleşmedi",E531='Panel'!$B$4),1,0)</ns0:f>
        <ns0:v>3.0</ns0:v>
      </ns0:c>
    </ns0:row>
    <ns0:row r="532" ht="21" customHeight="1">
      <ns0:c r="A532" s="25" t="n"/>
      <ns0:c r="B532" s="26" t="n"/>
      <ns0:c r="C532" s="27" t="n"/>
      <ns0:c r="D532" s="27" t="n"/>
      <ns0:c r="E532" s="28" t="str">
        <ns0:f>IF(A532="","",YEAR(A532)&amp;"-"&amp;RIGHT("0"&amp;MONTH(A532),2))</ns0:f>
        <ns0:v/>
      </ns0:c>
      <ns0:c r="F532" s="28" t="str">
        <ns0:f>IF(OR(A532="",B532="",C532&lt;=0),"",IF(SUMPRODUCT(('Müşteriler'!$B$2:$B$101&lt;&gt;"")*ISNUMBER(SEARCH('Müşteriler'!$B$2:$B$101,B532)))=1,IFERROR(INDEX('Müşteriler'!$A$2:$A$101,SUMPRODUCT(('Müşteriler'!$B$2:$B$101&lt;&gt;"")*ISNUMBER(SEARCH('Müşteriler'!$B$2:$B$101,B532)),ROW('Müşteriler'!$B$2:$B$101)-ROW('Müşteriler'!$B$2)+1)),""),""))</ns0:f>
        <ns0:v/>
      </ns0:c>
      <ns0:c r="G532" s="28" t="str">
        <ns0:f>IF(F532="","",IFERROR(INDEX('Müşteriler'!$C$2:$C$101,MATCH(F532,'Müşteriler'!$A$2:$A$101,0)),""))</ns0:f>
        <ns0:v/>
      </ns0:c>
      <ns0:c r="H532" s="28" t="str">
        <ns0:f>IF(A532="","",IF(C532&lt;=0,"Satış dışı",IF(OR(F532="",G532=""),"Eşleşmedi","Eşleşti")))</ns0:f>
        <ns0:v/>
      </ns0:c>
      <ns0:c r="I532" s="28">
        <ns0:f>I531+IF(AND(H532="Eşleşmedi",E532='Panel'!$B$4),1,0)</ns0:f>
        <ns0:v>3.0</ns0:v>
      </ns0:c>
    </ns0:row>
    <ns0:row r="533" ht="21" customHeight="1">
      <ns0:c r="A533" s="25" t="n"/>
      <ns0:c r="B533" s="26" t="n"/>
      <ns0:c r="C533" s="27" t="n"/>
      <ns0:c r="D533" s="27" t="n"/>
      <ns0:c r="E533" s="28" t="str">
        <ns0:f>IF(A533="","",YEAR(A533)&amp;"-"&amp;RIGHT("0"&amp;MONTH(A533),2))</ns0:f>
        <ns0:v/>
      </ns0:c>
      <ns0:c r="F533" s="28" t="str">
        <ns0:f>IF(OR(A533="",B533="",C533&lt;=0),"",IF(SUMPRODUCT(('Müşteriler'!$B$2:$B$101&lt;&gt;"")*ISNUMBER(SEARCH('Müşteriler'!$B$2:$B$101,B533)))=1,IFERROR(INDEX('Müşteriler'!$A$2:$A$101,SUMPRODUCT(('Müşteriler'!$B$2:$B$101&lt;&gt;"")*ISNUMBER(SEARCH('Müşteriler'!$B$2:$B$101,B533)),ROW('Müşteriler'!$B$2:$B$101)-ROW('Müşteriler'!$B$2)+1)),""),""))</ns0:f>
        <ns0:v/>
      </ns0:c>
      <ns0:c r="G533" s="28" t="str">
        <ns0:f>IF(F533="","",IFERROR(INDEX('Müşteriler'!$C$2:$C$101,MATCH(F533,'Müşteriler'!$A$2:$A$101,0)),""))</ns0:f>
        <ns0:v/>
      </ns0:c>
      <ns0:c r="H533" s="28" t="str">
        <ns0:f>IF(A533="","",IF(C533&lt;=0,"Satış dışı",IF(OR(F533="",G533=""),"Eşleşmedi","Eşleşti")))</ns0:f>
        <ns0:v/>
      </ns0:c>
      <ns0:c r="I533" s="28">
        <ns0:f>I532+IF(AND(H533="Eşleşmedi",E533='Panel'!$B$4),1,0)</ns0:f>
        <ns0:v>3.0</ns0:v>
      </ns0:c>
    </ns0:row>
    <ns0:row r="534" ht="21" customHeight="1">
      <ns0:c r="A534" s="25" t="n"/>
      <ns0:c r="B534" s="26" t="n"/>
      <ns0:c r="C534" s="27" t="n"/>
      <ns0:c r="D534" s="27" t="n"/>
      <ns0:c r="E534" s="28" t="str">
        <ns0:f>IF(A534="","",YEAR(A534)&amp;"-"&amp;RIGHT("0"&amp;MONTH(A534),2))</ns0:f>
        <ns0:v/>
      </ns0:c>
      <ns0:c r="F534" s="28" t="str">
        <ns0:f>IF(OR(A534="",B534="",C534&lt;=0),"",IF(SUMPRODUCT(('Müşteriler'!$B$2:$B$101&lt;&gt;"")*ISNUMBER(SEARCH('Müşteriler'!$B$2:$B$101,B534)))=1,IFERROR(INDEX('Müşteriler'!$A$2:$A$101,SUMPRODUCT(('Müşteriler'!$B$2:$B$101&lt;&gt;"")*ISNUMBER(SEARCH('Müşteriler'!$B$2:$B$101,B534)),ROW('Müşteriler'!$B$2:$B$101)-ROW('Müşteriler'!$B$2)+1)),""),""))</ns0:f>
        <ns0:v/>
      </ns0:c>
      <ns0:c r="G534" s="28" t="str">
        <ns0:f>IF(F534="","",IFERROR(INDEX('Müşteriler'!$C$2:$C$101,MATCH(F534,'Müşteriler'!$A$2:$A$101,0)),""))</ns0:f>
        <ns0:v/>
      </ns0:c>
      <ns0:c r="H534" s="28" t="str">
        <ns0:f>IF(A534="","",IF(C534&lt;=0,"Satış dışı",IF(OR(F534="",G534=""),"Eşleşmedi","Eşleşti")))</ns0:f>
        <ns0:v/>
      </ns0:c>
      <ns0:c r="I534" s="28">
        <ns0:f>I533+IF(AND(H534="Eşleşmedi",E534='Panel'!$B$4),1,0)</ns0:f>
        <ns0:v>3.0</ns0:v>
      </ns0:c>
    </ns0:row>
    <ns0:row r="535" ht="21" customHeight="1">
      <ns0:c r="A535" s="25" t="n"/>
      <ns0:c r="B535" s="26" t="n"/>
      <ns0:c r="C535" s="27" t="n"/>
      <ns0:c r="D535" s="27" t="n"/>
      <ns0:c r="E535" s="28" t="str">
        <ns0:f>IF(A535="","",YEAR(A535)&amp;"-"&amp;RIGHT("0"&amp;MONTH(A535),2))</ns0:f>
        <ns0:v/>
      </ns0:c>
      <ns0:c r="F535" s="28" t="str">
        <ns0:f>IF(OR(A535="",B535="",C535&lt;=0),"",IF(SUMPRODUCT(('Müşteriler'!$B$2:$B$101&lt;&gt;"")*ISNUMBER(SEARCH('Müşteriler'!$B$2:$B$101,B535)))=1,IFERROR(INDEX('Müşteriler'!$A$2:$A$101,SUMPRODUCT(('Müşteriler'!$B$2:$B$101&lt;&gt;"")*ISNUMBER(SEARCH('Müşteriler'!$B$2:$B$101,B535)),ROW('Müşteriler'!$B$2:$B$101)-ROW('Müşteriler'!$B$2)+1)),""),""))</ns0:f>
        <ns0:v/>
      </ns0:c>
      <ns0:c r="G535" s="28" t="str">
        <ns0:f>IF(F535="","",IFERROR(INDEX('Müşteriler'!$C$2:$C$101,MATCH(F535,'Müşteriler'!$A$2:$A$101,0)),""))</ns0:f>
        <ns0:v/>
      </ns0:c>
      <ns0:c r="H535" s="28" t="str">
        <ns0:f>IF(A535="","",IF(C535&lt;=0,"Satış dışı",IF(OR(F535="",G535=""),"Eşleşmedi","Eşleşti")))</ns0:f>
        <ns0:v/>
      </ns0:c>
      <ns0:c r="I535" s="28">
        <ns0:f>I534+IF(AND(H535="Eşleşmedi",E535='Panel'!$B$4),1,0)</ns0:f>
        <ns0:v>3.0</ns0:v>
      </ns0:c>
    </ns0:row>
    <ns0:row r="536" ht="21" customHeight="1">
      <ns0:c r="A536" s="25" t="n"/>
      <ns0:c r="B536" s="26" t="n"/>
      <ns0:c r="C536" s="27" t="n"/>
      <ns0:c r="D536" s="27" t="n"/>
      <ns0:c r="E536" s="28" t="str">
        <ns0:f>IF(A536="","",YEAR(A536)&amp;"-"&amp;RIGHT("0"&amp;MONTH(A536),2))</ns0:f>
        <ns0:v/>
      </ns0:c>
      <ns0:c r="F536" s="28" t="str">
        <ns0:f>IF(OR(A536="",B536="",C536&lt;=0),"",IF(SUMPRODUCT(('Müşteriler'!$B$2:$B$101&lt;&gt;"")*ISNUMBER(SEARCH('Müşteriler'!$B$2:$B$101,B536)))=1,IFERROR(INDEX('Müşteriler'!$A$2:$A$101,SUMPRODUCT(('Müşteriler'!$B$2:$B$101&lt;&gt;"")*ISNUMBER(SEARCH('Müşteriler'!$B$2:$B$101,B536)),ROW('Müşteriler'!$B$2:$B$101)-ROW('Müşteriler'!$B$2)+1)),""),""))</ns0:f>
        <ns0:v/>
      </ns0:c>
      <ns0:c r="G536" s="28" t="str">
        <ns0:f>IF(F536="","",IFERROR(INDEX('Müşteriler'!$C$2:$C$101,MATCH(F536,'Müşteriler'!$A$2:$A$101,0)),""))</ns0:f>
        <ns0:v/>
      </ns0:c>
      <ns0:c r="H536" s="28" t="str">
        <ns0:f>IF(A536="","",IF(C536&lt;=0,"Satış dışı",IF(OR(F536="",G536=""),"Eşleşmedi","Eşleşti")))</ns0:f>
        <ns0:v/>
      </ns0:c>
      <ns0:c r="I536" s="28">
        <ns0:f>I535+IF(AND(H536="Eşleşmedi",E536='Panel'!$B$4),1,0)</ns0:f>
        <ns0:v>3.0</ns0:v>
      </ns0:c>
    </ns0:row>
    <ns0:row r="537" ht="21" customHeight="1">
      <ns0:c r="A537" s="25" t="n"/>
      <ns0:c r="B537" s="26" t="n"/>
      <ns0:c r="C537" s="27" t="n"/>
      <ns0:c r="D537" s="27" t="n"/>
      <ns0:c r="E537" s="28" t="str">
        <ns0:f>IF(A537="","",YEAR(A537)&amp;"-"&amp;RIGHT("0"&amp;MONTH(A537),2))</ns0:f>
        <ns0:v/>
      </ns0:c>
      <ns0:c r="F537" s="28" t="str">
        <ns0:f>IF(OR(A537="",B537="",C537&lt;=0),"",IF(SUMPRODUCT(('Müşteriler'!$B$2:$B$101&lt;&gt;"")*ISNUMBER(SEARCH('Müşteriler'!$B$2:$B$101,B537)))=1,IFERROR(INDEX('Müşteriler'!$A$2:$A$101,SUMPRODUCT(('Müşteriler'!$B$2:$B$101&lt;&gt;"")*ISNUMBER(SEARCH('Müşteriler'!$B$2:$B$101,B537)),ROW('Müşteriler'!$B$2:$B$101)-ROW('Müşteriler'!$B$2)+1)),""),""))</ns0:f>
        <ns0:v/>
      </ns0:c>
      <ns0:c r="G537" s="28" t="str">
        <ns0:f>IF(F537="","",IFERROR(INDEX('Müşteriler'!$C$2:$C$101,MATCH(F537,'Müşteriler'!$A$2:$A$101,0)),""))</ns0:f>
        <ns0:v/>
      </ns0:c>
      <ns0:c r="H537" s="28" t="str">
        <ns0:f>IF(A537="","",IF(C537&lt;=0,"Satış dışı",IF(OR(F537="",G537=""),"Eşleşmedi","Eşleşti")))</ns0:f>
        <ns0:v/>
      </ns0:c>
      <ns0:c r="I537" s="28">
        <ns0:f>I536+IF(AND(H537="Eşleşmedi",E537='Panel'!$B$4),1,0)</ns0:f>
        <ns0:v>3.0</ns0:v>
      </ns0:c>
    </ns0:row>
    <ns0:row r="538" ht="21" customHeight="1">
      <ns0:c r="A538" s="25" t="n"/>
      <ns0:c r="B538" s="26" t="n"/>
      <ns0:c r="C538" s="27" t="n"/>
      <ns0:c r="D538" s="27" t="n"/>
      <ns0:c r="E538" s="28" t="str">
        <ns0:f>IF(A538="","",YEAR(A538)&amp;"-"&amp;RIGHT("0"&amp;MONTH(A538),2))</ns0:f>
        <ns0:v/>
      </ns0:c>
      <ns0:c r="F538" s="28" t="str">
        <ns0:f>IF(OR(A538="",B538="",C538&lt;=0),"",IF(SUMPRODUCT(('Müşteriler'!$B$2:$B$101&lt;&gt;"")*ISNUMBER(SEARCH('Müşteriler'!$B$2:$B$101,B538)))=1,IFERROR(INDEX('Müşteriler'!$A$2:$A$101,SUMPRODUCT(('Müşteriler'!$B$2:$B$101&lt;&gt;"")*ISNUMBER(SEARCH('Müşteriler'!$B$2:$B$101,B538)),ROW('Müşteriler'!$B$2:$B$101)-ROW('Müşteriler'!$B$2)+1)),""),""))</ns0:f>
        <ns0:v/>
      </ns0:c>
      <ns0:c r="G538" s="28" t="str">
        <ns0:f>IF(F538="","",IFERROR(INDEX('Müşteriler'!$C$2:$C$101,MATCH(F538,'Müşteriler'!$A$2:$A$101,0)),""))</ns0:f>
        <ns0:v/>
      </ns0:c>
      <ns0:c r="H538" s="28" t="str">
        <ns0:f>IF(A538="","",IF(C538&lt;=0,"Satış dışı",IF(OR(F538="",G538=""),"Eşleşmedi","Eşleşti")))</ns0:f>
        <ns0:v/>
      </ns0:c>
      <ns0:c r="I538" s="28">
        <ns0:f>I537+IF(AND(H538="Eşleşmedi",E538='Panel'!$B$4),1,0)</ns0:f>
        <ns0:v>3.0</ns0:v>
      </ns0:c>
    </ns0:row>
    <ns0:row r="539" ht="21" customHeight="1">
      <ns0:c r="A539" s="25" t="n"/>
      <ns0:c r="B539" s="26" t="n"/>
      <ns0:c r="C539" s="27" t="n"/>
      <ns0:c r="D539" s="27" t="n"/>
      <ns0:c r="E539" s="28" t="str">
        <ns0:f>IF(A539="","",YEAR(A539)&amp;"-"&amp;RIGHT("0"&amp;MONTH(A539),2))</ns0:f>
        <ns0:v/>
      </ns0:c>
      <ns0:c r="F539" s="28" t="str">
        <ns0:f>IF(OR(A539="",B539="",C539&lt;=0),"",IF(SUMPRODUCT(('Müşteriler'!$B$2:$B$101&lt;&gt;"")*ISNUMBER(SEARCH('Müşteriler'!$B$2:$B$101,B539)))=1,IFERROR(INDEX('Müşteriler'!$A$2:$A$101,SUMPRODUCT(('Müşteriler'!$B$2:$B$101&lt;&gt;"")*ISNUMBER(SEARCH('Müşteriler'!$B$2:$B$101,B539)),ROW('Müşteriler'!$B$2:$B$101)-ROW('Müşteriler'!$B$2)+1)),""),""))</ns0:f>
        <ns0:v/>
      </ns0:c>
      <ns0:c r="G539" s="28" t="str">
        <ns0:f>IF(F539="","",IFERROR(INDEX('Müşteriler'!$C$2:$C$101,MATCH(F539,'Müşteriler'!$A$2:$A$101,0)),""))</ns0:f>
        <ns0:v/>
      </ns0:c>
      <ns0:c r="H539" s="28" t="str">
        <ns0:f>IF(A539="","",IF(C539&lt;=0,"Satış dışı",IF(OR(F539="",G539=""),"Eşleşmedi","Eşleşti")))</ns0:f>
        <ns0:v/>
      </ns0:c>
      <ns0:c r="I539" s="28">
        <ns0:f>I538+IF(AND(H539="Eşleşmedi",E539='Panel'!$B$4),1,0)</ns0:f>
        <ns0:v>3.0</ns0:v>
      </ns0:c>
    </ns0:row>
    <ns0:row r="540" ht="21" customHeight="1">
      <ns0:c r="A540" s="25" t="n"/>
      <ns0:c r="B540" s="26" t="n"/>
      <ns0:c r="C540" s="27" t="n"/>
      <ns0:c r="D540" s="27" t="n"/>
      <ns0:c r="E540" s="28" t="str">
        <ns0:f>IF(A540="","",YEAR(A540)&amp;"-"&amp;RIGHT("0"&amp;MONTH(A540),2))</ns0:f>
        <ns0:v/>
      </ns0:c>
      <ns0:c r="F540" s="28" t="str">
        <ns0:f>IF(OR(A540="",B540="",C540&lt;=0),"",IF(SUMPRODUCT(('Müşteriler'!$B$2:$B$101&lt;&gt;"")*ISNUMBER(SEARCH('Müşteriler'!$B$2:$B$101,B540)))=1,IFERROR(INDEX('Müşteriler'!$A$2:$A$101,SUMPRODUCT(('Müşteriler'!$B$2:$B$101&lt;&gt;"")*ISNUMBER(SEARCH('Müşteriler'!$B$2:$B$101,B540)),ROW('Müşteriler'!$B$2:$B$101)-ROW('Müşteriler'!$B$2)+1)),""),""))</ns0:f>
        <ns0:v/>
      </ns0:c>
      <ns0:c r="G540" s="28" t="str">
        <ns0:f>IF(F540="","",IFERROR(INDEX('Müşteriler'!$C$2:$C$101,MATCH(F540,'Müşteriler'!$A$2:$A$101,0)),""))</ns0:f>
        <ns0:v/>
      </ns0:c>
      <ns0:c r="H540" s="28" t="str">
        <ns0:f>IF(A540="","",IF(C540&lt;=0,"Satış dışı",IF(OR(F540="",G540=""),"Eşleşmedi","Eşleşti")))</ns0:f>
        <ns0:v/>
      </ns0:c>
      <ns0:c r="I540" s="28">
        <ns0:f>I539+IF(AND(H540="Eşleşmedi",E540='Panel'!$B$4),1,0)</ns0:f>
        <ns0:v>3.0</ns0:v>
      </ns0:c>
    </ns0:row>
    <ns0:row r="541" ht="21" customHeight="1">
      <ns0:c r="A541" s="25" t="n"/>
      <ns0:c r="B541" s="26" t="n"/>
      <ns0:c r="C541" s="27" t="n"/>
      <ns0:c r="D541" s="27" t="n"/>
      <ns0:c r="E541" s="28" t="str">
        <ns0:f>IF(A541="","",YEAR(A541)&amp;"-"&amp;RIGHT("0"&amp;MONTH(A541),2))</ns0:f>
        <ns0:v/>
      </ns0:c>
      <ns0:c r="F541" s="28" t="str">
        <ns0:f>IF(OR(A541="",B541="",C541&lt;=0),"",IF(SUMPRODUCT(('Müşteriler'!$B$2:$B$101&lt;&gt;"")*ISNUMBER(SEARCH('Müşteriler'!$B$2:$B$101,B541)))=1,IFERROR(INDEX('Müşteriler'!$A$2:$A$101,SUMPRODUCT(('Müşteriler'!$B$2:$B$101&lt;&gt;"")*ISNUMBER(SEARCH('Müşteriler'!$B$2:$B$101,B541)),ROW('Müşteriler'!$B$2:$B$101)-ROW('Müşteriler'!$B$2)+1)),""),""))</ns0:f>
        <ns0:v/>
      </ns0:c>
      <ns0:c r="G541" s="28" t="str">
        <ns0:f>IF(F541="","",IFERROR(INDEX('Müşteriler'!$C$2:$C$101,MATCH(F541,'Müşteriler'!$A$2:$A$101,0)),""))</ns0:f>
        <ns0:v/>
      </ns0:c>
      <ns0:c r="H541" s="28" t="str">
        <ns0:f>IF(A541="","",IF(C541&lt;=0,"Satış dışı",IF(OR(F541="",G541=""),"Eşleşmedi","Eşleşti")))</ns0:f>
        <ns0:v/>
      </ns0:c>
      <ns0:c r="I541" s="28">
        <ns0:f>I540+IF(AND(H541="Eşleşmedi",E541='Panel'!$B$4),1,0)</ns0:f>
        <ns0:v>3.0</ns0:v>
      </ns0:c>
    </ns0:row>
    <ns0:row r="542" ht="21" customHeight="1">
      <ns0:c r="A542" s="25" t="n"/>
      <ns0:c r="B542" s="26" t="n"/>
      <ns0:c r="C542" s="27" t="n"/>
      <ns0:c r="D542" s="27" t="n"/>
      <ns0:c r="E542" s="28" t="str">
        <ns0:f>IF(A542="","",YEAR(A542)&amp;"-"&amp;RIGHT("0"&amp;MONTH(A542),2))</ns0:f>
        <ns0:v/>
      </ns0:c>
      <ns0:c r="F542" s="28" t="str">
        <ns0:f>IF(OR(A542="",B542="",C542&lt;=0),"",IF(SUMPRODUCT(('Müşteriler'!$B$2:$B$101&lt;&gt;"")*ISNUMBER(SEARCH('Müşteriler'!$B$2:$B$101,B542)))=1,IFERROR(INDEX('Müşteriler'!$A$2:$A$101,SUMPRODUCT(('Müşteriler'!$B$2:$B$101&lt;&gt;"")*ISNUMBER(SEARCH('Müşteriler'!$B$2:$B$101,B542)),ROW('Müşteriler'!$B$2:$B$101)-ROW('Müşteriler'!$B$2)+1)),""),""))</ns0:f>
        <ns0:v/>
      </ns0:c>
      <ns0:c r="G542" s="28" t="str">
        <ns0:f>IF(F542="","",IFERROR(INDEX('Müşteriler'!$C$2:$C$101,MATCH(F542,'Müşteriler'!$A$2:$A$101,0)),""))</ns0:f>
        <ns0:v/>
      </ns0:c>
      <ns0:c r="H542" s="28" t="str">
        <ns0:f>IF(A542="","",IF(C542&lt;=0,"Satış dışı",IF(OR(F542="",G542=""),"Eşleşmedi","Eşleşti")))</ns0:f>
        <ns0:v/>
      </ns0:c>
      <ns0:c r="I542" s="28">
        <ns0:f>I541+IF(AND(H542="Eşleşmedi",E542='Panel'!$B$4),1,0)</ns0:f>
        <ns0:v>3.0</ns0:v>
      </ns0:c>
    </ns0:row>
    <ns0:row r="543" ht="21" customHeight="1">
      <ns0:c r="A543" s="25" t="n"/>
      <ns0:c r="B543" s="26" t="n"/>
      <ns0:c r="C543" s="27" t="n"/>
      <ns0:c r="D543" s="27" t="n"/>
      <ns0:c r="E543" s="28" t="str">
        <ns0:f>IF(A543="","",YEAR(A543)&amp;"-"&amp;RIGHT("0"&amp;MONTH(A543),2))</ns0:f>
        <ns0:v/>
      </ns0:c>
      <ns0:c r="F543" s="28" t="str">
        <ns0:f>IF(OR(A543="",B543="",C543&lt;=0),"",IF(SUMPRODUCT(('Müşteriler'!$B$2:$B$101&lt;&gt;"")*ISNUMBER(SEARCH('Müşteriler'!$B$2:$B$101,B543)))=1,IFERROR(INDEX('Müşteriler'!$A$2:$A$101,SUMPRODUCT(('Müşteriler'!$B$2:$B$101&lt;&gt;"")*ISNUMBER(SEARCH('Müşteriler'!$B$2:$B$101,B543)),ROW('Müşteriler'!$B$2:$B$101)-ROW('Müşteriler'!$B$2)+1)),""),""))</ns0:f>
        <ns0:v/>
      </ns0:c>
      <ns0:c r="G543" s="28" t="str">
        <ns0:f>IF(F543="","",IFERROR(INDEX('Müşteriler'!$C$2:$C$101,MATCH(F543,'Müşteriler'!$A$2:$A$101,0)),""))</ns0:f>
        <ns0:v/>
      </ns0:c>
      <ns0:c r="H543" s="28" t="str">
        <ns0:f>IF(A543="","",IF(C543&lt;=0,"Satış dışı",IF(OR(F543="",G543=""),"Eşleşmedi","Eşleşti")))</ns0:f>
        <ns0:v/>
      </ns0:c>
      <ns0:c r="I543" s="28">
        <ns0:f>I542+IF(AND(H543="Eşleşmedi",E543='Panel'!$B$4),1,0)</ns0:f>
        <ns0:v>3.0</ns0:v>
      </ns0:c>
    </ns0:row>
    <ns0:row r="544" ht="21" customHeight="1">
      <ns0:c r="A544" s="25" t="n"/>
      <ns0:c r="B544" s="26" t="n"/>
      <ns0:c r="C544" s="27" t="n"/>
      <ns0:c r="D544" s="27" t="n"/>
      <ns0:c r="E544" s="28" t="str">
        <ns0:f>IF(A544="","",YEAR(A544)&amp;"-"&amp;RIGHT("0"&amp;MONTH(A544),2))</ns0:f>
        <ns0:v/>
      </ns0:c>
      <ns0:c r="F544" s="28" t="str">
        <ns0:f>IF(OR(A544="",B544="",C544&lt;=0),"",IF(SUMPRODUCT(('Müşteriler'!$B$2:$B$101&lt;&gt;"")*ISNUMBER(SEARCH('Müşteriler'!$B$2:$B$101,B544)))=1,IFERROR(INDEX('Müşteriler'!$A$2:$A$101,SUMPRODUCT(('Müşteriler'!$B$2:$B$101&lt;&gt;"")*ISNUMBER(SEARCH('Müşteriler'!$B$2:$B$101,B544)),ROW('Müşteriler'!$B$2:$B$101)-ROW('Müşteriler'!$B$2)+1)),""),""))</ns0:f>
        <ns0:v/>
      </ns0:c>
      <ns0:c r="G544" s="28" t="str">
        <ns0:f>IF(F544="","",IFERROR(INDEX('Müşteriler'!$C$2:$C$101,MATCH(F544,'Müşteriler'!$A$2:$A$101,0)),""))</ns0:f>
        <ns0:v/>
      </ns0:c>
      <ns0:c r="H544" s="28" t="str">
        <ns0:f>IF(A544="","",IF(C544&lt;=0,"Satış dışı",IF(OR(F544="",G544=""),"Eşleşmedi","Eşleşti")))</ns0:f>
        <ns0:v/>
      </ns0:c>
      <ns0:c r="I544" s="28">
        <ns0:f>I543+IF(AND(H544="Eşleşmedi",E544='Panel'!$B$4),1,0)</ns0:f>
        <ns0:v>3.0</ns0:v>
      </ns0:c>
    </ns0:row>
    <ns0:row r="545" ht="21" customHeight="1">
      <ns0:c r="A545" s="25" t="n"/>
      <ns0:c r="B545" s="26" t="n"/>
      <ns0:c r="C545" s="27" t="n"/>
      <ns0:c r="D545" s="27" t="n"/>
      <ns0:c r="E545" s="28" t="str">
        <ns0:f>IF(A545="","",YEAR(A545)&amp;"-"&amp;RIGHT("0"&amp;MONTH(A545),2))</ns0:f>
        <ns0:v/>
      </ns0:c>
      <ns0:c r="F545" s="28" t="str">
        <ns0:f>IF(OR(A545="",B545="",C545&lt;=0),"",IF(SUMPRODUCT(('Müşteriler'!$B$2:$B$101&lt;&gt;"")*ISNUMBER(SEARCH('Müşteriler'!$B$2:$B$101,B545)))=1,IFERROR(INDEX('Müşteriler'!$A$2:$A$101,SUMPRODUCT(('Müşteriler'!$B$2:$B$101&lt;&gt;"")*ISNUMBER(SEARCH('Müşteriler'!$B$2:$B$101,B545)),ROW('Müşteriler'!$B$2:$B$101)-ROW('Müşteriler'!$B$2)+1)),""),""))</ns0:f>
        <ns0:v/>
      </ns0:c>
      <ns0:c r="G545" s="28" t="str">
        <ns0:f>IF(F545="","",IFERROR(INDEX('Müşteriler'!$C$2:$C$101,MATCH(F545,'Müşteriler'!$A$2:$A$101,0)),""))</ns0:f>
        <ns0:v/>
      </ns0:c>
      <ns0:c r="H545" s="28" t="str">
        <ns0:f>IF(A545="","",IF(C545&lt;=0,"Satış dışı",IF(OR(F545="",G545=""),"Eşleşmedi","Eşleşti")))</ns0:f>
        <ns0:v/>
      </ns0:c>
      <ns0:c r="I545" s="28">
        <ns0:f>I544+IF(AND(H545="Eşleşmedi",E545='Panel'!$B$4),1,0)</ns0:f>
        <ns0:v>3.0</ns0:v>
      </ns0:c>
    </ns0:row>
    <ns0:row r="546" ht="21" customHeight="1">
      <ns0:c r="A546" s="25" t="n"/>
      <ns0:c r="B546" s="26" t="n"/>
      <ns0:c r="C546" s="27" t="n"/>
      <ns0:c r="D546" s="27" t="n"/>
      <ns0:c r="E546" s="28" t="str">
        <ns0:f>IF(A546="","",YEAR(A546)&amp;"-"&amp;RIGHT("0"&amp;MONTH(A546),2))</ns0:f>
        <ns0:v/>
      </ns0:c>
      <ns0:c r="F546" s="28" t="str">
        <ns0:f>IF(OR(A546="",B546="",C546&lt;=0),"",IF(SUMPRODUCT(('Müşteriler'!$B$2:$B$101&lt;&gt;"")*ISNUMBER(SEARCH('Müşteriler'!$B$2:$B$101,B546)))=1,IFERROR(INDEX('Müşteriler'!$A$2:$A$101,SUMPRODUCT(('Müşteriler'!$B$2:$B$101&lt;&gt;"")*ISNUMBER(SEARCH('Müşteriler'!$B$2:$B$101,B546)),ROW('Müşteriler'!$B$2:$B$101)-ROW('Müşteriler'!$B$2)+1)),""),""))</ns0:f>
        <ns0:v/>
      </ns0:c>
      <ns0:c r="G546" s="28" t="str">
        <ns0:f>IF(F546="","",IFERROR(INDEX('Müşteriler'!$C$2:$C$101,MATCH(F546,'Müşteriler'!$A$2:$A$101,0)),""))</ns0:f>
        <ns0:v/>
      </ns0:c>
      <ns0:c r="H546" s="28" t="str">
        <ns0:f>IF(A546="","",IF(C546&lt;=0,"Satış dışı",IF(OR(F546="",G546=""),"Eşleşmedi","Eşleşti")))</ns0:f>
        <ns0:v/>
      </ns0:c>
      <ns0:c r="I546" s="28">
        <ns0:f>I545+IF(AND(H546="Eşleşmedi",E546='Panel'!$B$4),1,0)</ns0:f>
        <ns0:v>3.0</ns0:v>
      </ns0:c>
    </ns0:row>
    <ns0:row r="547" ht="21" customHeight="1">
      <ns0:c r="A547" s="25" t="n"/>
      <ns0:c r="B547" s="26" t="n"/>
      <ns0:c r="C547" s="27" t="n"/>
      <ns0:c r="D547" s="27" t="n"/>
      <ns0:c r="E547" s="28" t="str">
        <ns0:f>IF(A547="","",YEAR(A547)&amp;"-"&amp;RIGHT("0"&amp;MONTH(A547),2))</ns0:f>
        <ns0:v/>
      </ns0:c>
      <ns0:c r="F547" s="28" t="str">
        <ns0:f>IF(OR(A547="",B547="",C547&lt;=0),"",IF(SUMPRODUCT(('Müşteriler'!$B$2:$B$101&lt;&gt;"")*ISNUMBER(SEARCH('Müşteriler'!$B$2:$B$101,B547)))=1,IFERROR(INDEX('Müşteriler'!$A$2:$A$101,SUMPRODUCT(('Müşteriler'!$B$2:$B$101&lt;&gt;"")*ISNUMBER(SEARCH('Müşteriler'!$B$2:$B$101,B547)),ROW('Müşteriler'!$B$2:$B$101)-ROW('Müşteriler'!$B$2)+1)),""),""))</ns0:f>
        <ns0:v/>
      </ns0:c>
      <ns0:c r="G547" s="28" t="str">
        <ns0:f>IF(F547="","",IFERROR(INDEX('Müşteriler'!$C$2:$C$101,MATCH(F547,'Müşteriler'!$A$2:$A$101,0)),""))</ns0:f>
        <ns0:v/>
      </ns0:c>
      <ns0:c r="H547" s="28" t="str">
        <ns0:f>IF(A547="","",IF(C547&lt;=0,"Satış dışı",IF(OR(F547="",G547=""),"Eşleşmedi","Eşleşti")))</ns0:f>
        <ns0:v/>
      </ns0:c>
      <ns0:c r="I547" s="28">
        <ns0:f>I546+IF(AND(H547="Eşleşmedi",E547='Panel'!$B$4),1,0)</ns0:f>
        <ns0:v>3.0</ns0:v>
      </ns0:c>
    </ns0:row>
    <ns0:row r="548" ht="21" customHeight="1">
      <ns0:c r="A548" s="25" t="n"/>
      <ns0:c r="B548" s="26" t="n"/>
      <ns0:c r="C548" s="27" t="n"/>
      <ns0:c r="D548" s="27" t="n"/>
      <ns0:c r="E548" s="28" t="str">
        <ns0:f>IF(A548="","",YEAR(A548)&amp;"-"&amp;RIGHT("0"&amp;MONTH(A548),2))</ns0:f>
        <ns0:v/>
      </ns0:c>
      <ns0:c r="F548" s="28" t="str">
        <ns0:f>IF(OR(A548="",B548="",C548&lt;=0),"",IF(SUMPRODUCT(('Müşteriler'!$B$2:$B$101&lt;&gt;"")*ISNUMBER(SEARCH('Müşteriler'!$B$2:$B$101,B548)))=1,IFERROR(INDEX('Müşteriler'!$A$2:$A$101,SUMPRODUCT(('Müşteriler'!$B$2:$B$101&lt;&gt;"")*ISNUMBER(SEARCH('Müşteriler'!$B$2:$B$101,B548)),ROW('Müşteriler'!$B$2:$B$101)-ROW('Müşteriler'!$B$2)+1)),""),""))</ns0:f>
        <ns0:v/>
      </ns0:c>
      <ns0:c r="G548" s="28" t="str">
        <ns0:f>IF(F548="","",IFERROR(INDEX('Müşteriler'!$C$2:$C$101,MATCH(F548,'Müşteriler'!$A$2:$A$101,0)),""))</ns0:f>
        <ns0:v/>
      </ns0:c>
      <ns0:c r="H548" s="28" t="str">
        <ns0:f>IF(A548="","",IF(C548&lt;=0,"Satış dışı",IF(OR(F548="",G548=""),"Eşleşmedi","Eşleşti")))</ns0:f>
        <ns0:v/>
      </ns0:c>
      <ns0:c r="I548" s="28">
        <ns0:f>I547+IF(AND(H548="Eşleşmedi",E548='Panel'!$B$4),1,0)</ns0:f>
        <ns0:v>3.0</ns0:v>
      </ns0:c>
    </ns0:row>
    <ns0:row r="549" ht="21" customHeight="1">
      <ns0:c r="A549" s="25" t="n"/>
      <ns0:c r="B549" s="26" t="n"/>
      <ns0:c r="C549" s="27" t="n"/>
      <ns0:c r="D549" s="27" t="n"/>
      <ns0:c r="E549" s="28" t="str">
        <ns0:f>IF(A549="","",YEAR(A549)&amp;"-"&amp;RIGHT("0"&amp;MONTH(A549),2))</ns0:f>
        <ns0:v/>
      </ns0:c>
      <ns0:c r="F549" s="28" t="str">
        <ns0:f>IF(OR(A549="",B549="",C549&lt;=0),"",IF(SUMPRODUCT(('Müşteriler'!$B$2:$B$101&lt;&gt;"")*ISNUMBER(SEARCH('Müşteriler'!$B$2:$B$101,B549)))=1,IFERROR(INDEX('Müşteriler'!$A$2:$A$101,SUMPRODUCT(('Müşteriler'!$B$2:$B$101&lt;&gt;"")*ISNUMBER(SEARCH('Müşteriler'!$B$2:$B$101,B549)),ROW('Müşteriler'!$B$2:$B$101)-ROW('Müşteriler'!$B$2)+1)),""),""))</ns0:f>
        <ns0:v/>
      </ns0:c>
      <ns0:c r="G549" s="28" t="str">
        <ns0:f>IF(F549="","",IFERROR(INDEX('Müşteriler'!$C$2:$C$101,MATCH(F549,'Müşteriler'!$A$2:$A$101,0)),""))</ns0:f>
        <ns0:v/>
      </ns0:c>
      <ns0:c r="H549" s="28" t="str">
        <ns0:f>IF(A549="","",IF(C549&lt;=0,"Satış dışı",IF(OR(F549="",G549=""),"Eşleşmedi","Eşleşti")))</ns0:f>
        <ns0:v/>
      </ns0:c>
      <ns0:c r="I549" s="28">
        <ns0:f>I548+IF(AND(H549="Eşleşmedi",E549='Panel'!$B$4),1,0)</ns0:f>
        <ns0:v>3.0</ns0:v>
      </ns0:c>
    </ns0:row>
    <ns0:row r="550" ht="21" customHeight="1">
      <ns0:c r="A550" s="25" t="n"/>
      <ns0:c r="B550" s="26" t="n"/>
      <ns0:c r="C550" s="27" t="n"/>
      <ns0:c r="D550" s="27" t="n"/>
      <ns0:c r="E550" s="28" t="str">
        <ns0:f>IF(A550="","",YEAR(A550)&amp;"-"&amp;RIGHT("0"&amp;MONTH(A550),2))</ns0:f>
        <ns0:v/>
      </ns0:c>
      <ns0:c r="F550" s="28" t="str">
        <ns0:f>IF(OR(A550="",B550="",C550&lt;=0),"",IF(SUMPRODUCT(('Müşteriler'!$B$2:$B$101&lt;&gt;"")*ISNUMBER(SEARCH('Müşteriler'!$B$2:$B$101,B550)))=1,IFERROR(INDEX('Müşteriler'!$A$2:$A$101,SUMPRODUCT(('Müşteriler'!$B$2:$B$101&lt;&gt;"")*ISNUMBER(SEARCH('Müşteriler'!$B$2:$B$101,B550)),ROW('Müşteriler'!$B$2:$B$101)-ROW('Müşteriler'!$B$2)+1)),""),""))</ns0:f>
        <ns0:v/>
      </ns0:c>
      <ns0:c r="G550" s="28" t="str">
        <ns0:f>IF(F550="","",IFERROR(INDEX('Müşteriler'!$C$2:$C$101,MATCH(F550,'Müşteriler'!$A$2:$A$101,0)),""))</ns0:f>
        <ns0:v/>
      </ns0:c>
      <ns0:c r="H550" s="28" t="str">
        <ns0:f>IF(A550="","",IF(C550&lt;=0,"Satış dışı",IF(OR(F550="",G550=""),"Eşleşmedi","Eşleşti")))</ns0:f>
        <ns0:v/>
      </ns0:c>
      <ns0:c r="I550" s="28">
        <ns0:f>I549+IF(AND(H550="Eşleşmedi",E550='Panel'!$B$4),1,0)</ns0:f>
        <ns0:v>3.0</ns0:v>
      </ns0:c>
    </ns0:row>
    <ns0:row r="551" ht="21" customHeight="1">
      <ns0:c r="A551" s="25" t="n"/>
      <ns0:c r="B551" s="26" t="n"/>
      <ns0:c r="C551" s="27" t="n"/>
      <ns0:c r="D551" s="27" t="n"/>
      <ns0:c r="E551" s="28" t="str">
        <ns0:f>IF(A551="","",YEAR(A551)&amp;"-"&amp;RIGHT("0"&amp;MONTH(A551),2))</ns0:f>
        <ns0:v/>
      </ns0:c>
      <ns0:c r="F551" s="28" t="str">
        <ns0:f>IF(OR(A551="",B551="",C551&lt;=0),"",IF(SUMPRODUCT(('Müşteriler'!$B$2:$B$101&lt;&gt;"")*ISNUMBER(SEARCH('Müşteriler'!$B$2:$B$101,B551)))=1,IFERROR(INDEX('Müşteriler'!$A$2:$A$101,SUMPRODUCT(('Müşteriler'!$B$2:$B$101&lt;&gt;"")*ISNUMBER(SEARCH('Müşteriler'!$B$2:$B$101,B551)),ROW('Müşteriler'!$B$2:$B$101)-ROW('Müşteriler'!$B$2)+1)),""),""))</ns0:f>
        <ns0:v/>
      </ns0:c>
      <ns0:c r="G551" s="28" t="str">
        <ns0:f>IF(F551="","",IFERROR(INDEX('Müşteriler'!$C$2:$C$101,MATCH(F551,'Müşteriler'!$A$2:$A$101,0)),""))</ns0:f>
        <ns0:v/>
      </ns0:c>
      <ns0:c r="H551" s="28" t="str">
        <ns0:f>IF(A551="","",IF(C551&lt;=0,"Satış dışı",IF(OR(F551="",G551=""),"Eşleşmedi","Eşleşti")))</ns0:f>
        <ns0:v/>
      </ns0:c>
      <ns0:c r="I551" s="28">
        <ns0:f>I550+IF(AND(H551="Eşleşmedi",E551='Panel'!$B$4),1,0)</ns0:f>
        <ns0:v>3.0</ns0:v>
      </ns0:c>
    </ns0:row>
    <ns0:row r="552" ht="21" customHeight="1">
      <ns0:c r="A552" s="25" t="n"/>
      <ns0:c r="B552" s="26" t="n"/>
      <ns0:c r="C552" s="27" t="n"/>
      <ns0:c r="D552" s="27" t="n"/>
      <ns0:c r="E552" s="28" t="str">
        <ns0:f>IF(A552="","",YEAR(A552)&amp;"-"&amp;RIGHT("0"&amp;MONTH(A552),2))</ns0:f>
        <ns0:v/>
      </ns0:c>
      <ns0:c r="F552" s="28" t="str">
        <ns0:f>IF(OR(A552="",B552="",C552&lt;=0),"",IF(SUMPRODUCT(('Müşteriler'!$B$2:$B$101&lt;&gt;"")*ISNUMBER(SEARCH('Müşteriler'!$B$2:$B$101,B552)))=1,IFERROR(INDEX('Müşteriler'!$A$2:$A$101,SUMPRODUCT(('Müşteriler'!$B$2:$B$101&lt;&gt;"")*ISNUMBER(SEARCH('Müşteriler'!$B$2:$B$101,B552)),ROW('Müşteriler'!$B$2:$B$101)-ROW('Müşteriler'!$B$2)+1)),""),""))</ns0:f>
        <ns0:v/>
      </ns0:c>
      <ns0:c r="G552" s="28" t="str">
        <ns0:f>IF(F552="","",IFERROR(INDEX('Müşteriler'!$C$2:$C$101,MATCH(F552,'Müşteriler'!$A$2:$A$101,0)),""))</ns0:f>
        <ns0:v/>
      </ns0:c>
      <ns0:c r="H552" s="28" t="str">
        <ns0:f>IF(A552="","",IF(C552&lt;=0,"Satış dışı",IF(OR(F552="",G552=""),"Eşleşmedi","Eşleşti")))</ns0:f>
        <ns0:v/>
      </ns0:c>
      <ns0:c r="I552" s="28">
        <ns0:f>I551+IF(AND(H552="Eşleşmedi",E552='Panel'!$B$4),1,0)</ns0:f>
        <ns0:v>3.0</ns0:v>
      </ns0:c>
    </ns0:row>
    <ns0:row r="553" ht="21" customHeight="1">
      <ns0:c r="A553" s="25" t="n"/>
      <ns0:c r="B553" s="26" t="n"/>
      <ns0:c r="C553" s="27" t="n"/>
      <ns0:c r="D553" s="27" t="n"/>
      <ns0:c r="E553" s="28" t="str">
        <ns0:f>IF(A553="","",YEAR(A553)&amp;"-"&amp;RIGHT("0"&amp;MONTH(A553),2))</ns0:f>
        <ns0:v/>
      </ns0:c>
      <ns0:c r="F553" s="28" t="str">
        <ns0:f>IF(OR(A553="",B553="",C553&lt;=0),"",IF(SUMPRODUCT(('Müşteriler'!$B$2:$B$101&lt;&gt;"")*ISNUMBER(SEARCH('Müşteriler'!$B$2:$B$101,B553)))=1,IFERROR(INDEX('Müşteriler'!$A$2:$A$101,SUMPRODUCT(('Müşteriler'!$B$2:$B$101&lt;&gt;"")*ISNUMBER(SEARCH('Müşteriler'!$B$2:$B$101,B553)),ROW('Müşteriler'!$B$2:$B$101)-ROW('Müşteriler'!$B$2)+1)),""),""))</ns0:f>
        <ns0:v/>
      </ns0:c>
      <ns0:c r="G553" s="28" t="str">
        <ns0:f>IF(F553="","",IFERROR(INDEX('Müşteriler'!$C$2:$C$101,MATCH(F553,'Müşteriler'!$A$2:$A$101,0)),""))</ns0:f>
        <ns0:v/>
      </ns0:c>
      <ns0:c r="H553" s="28" t="str">
        <ns0:f>IF(A553="","",IF(C553&lt;=0,"Satış dışı",IF(OR(F553="",G553=""),"Eşleşmedi","Eşleşti")))</ns0:f>
        <ns0:v/>
      </ns0:c>
      <ns0:c r="I553" s="28">
        <ns0:f>I552+IF(AND(H553="Eşleşmedi",E553='Panel'!$B$4),1,0)</ns0:f>
        <ns0:v>3.0</ns0:v>
      </ns0:c>
    </ns0:row>
    <ns0:row r="554" ht="21" customHeight="1">
      <ns0:c r="A554" s="25" t="n"/>
      <ns0:c r="B554" s="26" t="n"/>
      <ns0:c r="C554" s="27" t="n"/>
      <ns0:c r="D554" s="27" t="n"/>
      <ns0:c r="E554" s="28" t="str">
        <ns0:f>IF(A554="","",YEAR(A554)&amp;"-"&amp;RIGHT("0"&amp;MONTH(A554),2))</ns0:f>
        <ns0:v/>
      </ns0:c>
      <ns0:c r="F554" s="28" t="str">
        <ns0:f>IF(OR(A554="",B554="",C554&lt;=0),"",IF(SUMPRODUCT(('Müşteriler'!$B$2:$B$101&lt;&gt;"")*ISNUMBER(SEARCH('Müşteriler'!$B$2:$B$101,B554)))=1,IFERROR(INDEX('Müşteriler'!$A$2:$A$101,SUMPRODUCT(('Müşteriler'!$B$2:$B$101&lt;&gt;"")*ISNUMBER(SEARCH('Müşteriler'!$B$2:$B$101,B554)),ROW('Müşteriler'!$B$2:$B$101)-ROW('Müşteriler'!$B$2)+1)),""),""))</ns0:f>
        <ns0:v/>
      </ns0:c>
      <ns0:c r="G554" s="28" t="str">
        <ns0:f>IF(F554="","",IFERROR(INDEX('Müşteriler'!$C$2:$C$101,MATCH(F554,'Müşteriler'!$A$2:$A$101,0)),""))</ns0:f>
        <ns0:v/>
      </ns0:c>
      <ns0:c r="H554" s="28" t="str">
        <ns0:f>IF(A554="","",IF(C554&lt;=0,"Satış dışı",IF(OR(F554="",G554=""),"Eşleşmedi","Eşleşti")))</ns0:f>
        <ns0:v/>
      </ns0:c>
      <ns0:c r="I554" s="28">
        <ns0:f>I553+IF(AND(H554="Eşleşmedi",E554='Panel'!$B$4),1,0)</ns0:f>
        <ns0:v>3.0</ns0:v>
      </ns0:c>
    </ns0:row>
    <ns0:row r="555" ht="21" customHeight="1">
      <ns0:c r="A555" s="25" t="n"/>
      <ns0:c r="B555" s="26" t="n"/>
      <ns0:c r="C555" s="27" t="n"/>
      <ns0:c r="D555" s="27" t="n"/>
      <ns0:c r="E555" s="28" t="str">
        <ns0:f>IF(A555="","",YEAR(A555)&amp;"-"&amp;RIGHT("0"&amp;MONTH(A555),2))</ns0:f>
        <ns0:v/>
      </ns0:c>
      <ns0:c r="F555" s="28" t="str">
        <ns0:f>IF(OR(A555="",B555="",C555&lt;=0),"",IF(SUMPRODUCT(('Müşteriler'!$B$2:$B$101&lt;&gt;"")*ISNUMBER(SEARCH('Müşteriler'!$B$2:$B$101,B555)))=1,IFERROR(INDEX('Müşteriler'!$A$2:$A$101,SUMPRODUCT(('Müşteriler'!$B$2:$B$101&lt;&gt;"")*ISNUMBER(SEARCH('Müşteriler'!$B$2:$B$101,B555)),ROW('Müşteriler'!$B$2:$B$101)-ROW('Müşteriler'!$B$2)+1)),""),""))</ns0:f>
        <ns0:v/>
      </ns0:c>
      <ns0:c r="G555" s="28" t="str">
        <ns0:f>IF(F555="","",IFERROR(INDEX('Müşteriler'!$C$2:$C$101,MATCH(F555,'Müşteriler'!$A$2:$A$101,0)),""))</ns0:f>
        <ns0:v/>
      </ns0:c>
      <ns0:c r="H555" s="28" t="str">
        <ns0:f>IF(A555="","",IF(C555&lt;=0,"Satış dışı",IF(OR(F555="",G555=""),"Eşleşmedi","Eşleşti")))</ns0:f>
        <ns0:v/>
      </ns0:c>
      <ns0:c r="I555" s="28">
        <ns0:f>I554+IF(AND(H555="Eşleşmedi",E555='Panel'!$B$4),1,0)</ns0:f>
        <ns0:v>3.0</ns0:v>
      </ns0:c>
    </ns0:row>
    <ns0:row r="556" ht="21" customHeight="1">
      <ns0:c r="A556" s="25" t="n"/>
      <ns0:c r="B556" s="26" t="n"/>
      <ns0:c r="C556" s="27" t="n"/>
      <ns0:c r="D556" s="27" t="n"/>
      <ns0:c r="E556" s="28" t="str">
        <ns0:f>IF(A556="","",YEAR(A556)&amp;"-"&amp;RIGHT("0"&amp;MONTH(A556),2))</ns0:f>
        <ns0:v/>
      </ns0:c>
      <ns0:c r="F556" s="28" t="str">
        <ns0:f>IF(OR(A556="",B556="",C556&lt;=0),"",IF(SUMPRODUCT(('Müşteriler'!$B$2:$B$101&lt;&gt;"")*ISNUMBER(SEARCH('Müşteriler'!$B$2:$B$101,B556)))=1,IFERROR(INDEX('Müşteriler'!$A$2:$A$101,SUMPRODUCT(('Müşteriler'!$B$2:$B$101&lt;&gt;"")*ISNUMBER(SEARCH('Müşteriler'!$B$2:$B$101,B556)),ROW('Müşteriler'!$B$2:$B$101)-ROW('Müşteriler'!$B$2)+1)),""),""))</ns0:f>
        <ns0:v/>
      </ns0:c>
      <ns0:c r="G556" s="28" t="str">
        <ns0:f>IF(F556="","",IFERROR(INDEX('Müşteriler'!$C$2:$C$101,MATCH(F556,'Müşteriler'!$A$2:$A$101,0)),""))</ns0:f>
        <ns0:v/>
      </ns0:c>
      <ns0:c r="H556" s="28" t="str">
        <ns0:f>IF(A556="","",IF(C556&lt;=0,"Satış dışı",IF(OR(F556="",G556=""),"Eşleşmedi","Eşleşti")))</ns0:f>
        <ns0:v/>
      </ns0:c>
      <ns0:c r="I556" s="28">
        <ns0:f>I555+IF(AND(H556="Eşleşmedi",E556='Panel'!$B$4),1,0)</ns0:f>
        <ns0:v>3.0</ns0:v>
      </ns0:c>
    </ns0:row>
    <ns0:row r="557" ht="21" customHeight="1">
      <ns0:c r="A557" s="25" t="n"/>
      <ns0:c r="B557" s="26" t="n"/>
      <ns0:c r="C557" s="27" t="n"/>
      <ns0:c r="D557" s="27" t="n"/>
      <ns0:c r="E557" s="28" t="str">
        <ns0:f>IF(A557="","",YEAR(A557)&amp;"-"&amp;RIGHT("0"&amp;MONTH(A557),2))</ns0:f>
        <ns0:v/>
      </ns0:c>
      <ns0:c r="F557" s="28" t="str">
        <ns0:f>IF(OR(A557="",B557="",C557&lt;=0),"",IF(SUMPRODUCT(('Müşteriler'!$B$2:$B$101&lt;&gt;"")*ISNUMBER(SEARCH('Müşteriler'!$B$2:$B$101,B557)))=1,IFERROR(INDEX('Müşteriler'!$A$2:$A$101,SUMPRODUCT(('Müşteriler'!$B$2:$B$101&lt;&gt;"")*ISNUMBER(SEARCH('Müşteriler'!$B$2:$B$101,B557)),ROW('Müşteriler'!$B$2:$B$101)-ROW('Müşteriler'!$B$2)+1)),""),""))</ns0:f>
        <ns0:v/>
      </ns0:c>
      <ns0:c r="G557" s="28" t="str">
        <ns0:f>IF(F557="","",IFERROR(INDEX('Müşteriler'!$C$2:$C$101,MATCH(F557,'Müşteriler'!$A$2:$A$101,0)),""))</ns0:f>
        <ns0:v/>
      </ns0:c>
      <ns0:c r="H557" s="28" t="str">
        <ns0:f>IF(A557="","",IF(C557&lt;=0,"Satış dışı",IF(OR(F557="",G557=""),"Eşleşmedi","Eşleşti")))</ns0:f>
        <ns0:v/>
      </ns0:c>
      <ns0:c r="I557" s="28">
        <ns0:f>I556+IF(AND(H557="Eşleşmedi",E557='Panel'!$B$4),1,0)</ns0:f>
        <ns0:v>3.0</ns0:v>
      </ns0:c>
    </ns0:row>
    <ns0:row r="558" ht="21" customHeight="1">
      <ns0:c r="A558" s="25" t="n"/>
      <ns0:c r="B558" s="26" t="n"/>
      <ns0:c r="C558" s="27" t="n"/>
      <ns0:c r="D558" s="27" t="n"/>
      <ns0:c r="E558" s="28" t="str">
        <ns0:f>IF(A558="","",YEAR(A558)&amp;"-"&amp;RIGHT("0"&amp;MONTH(A558),2))</ns0:f>
        <ns0:v/>
      </ns0:c>
      <ns0:c r="F558" s="28" t="str">
        <ns0:f>IF(OR(A558="",B558="",C558&lt;=0),"",IF(SUMPRODUCT(('Müşteriler'!$B$2:$B$101&lt;&gt;"")*ISNUMBER(SEARCH('Müşteriler'!$B$2:$B$101,B558)))=1,IFERROR(INDEX('Müşteriler'!$A$2:$A$101,SUMPRODUCT(('Müşteriler'!$B$2:$B$101&lt;&gt;"")*ISNUMBER(SEARCH('Müşteriler'!$B$2:$B$101,B558)),ROW('Müşteriler'!$B$2:$B$101)-ROW('Müşteriler'!$B$2)+1)),""),""))</ns0:f>
        <ns0:v/>
      </ns0:c>
      <ns0:c r="G558" s="28" t="str">
        <ns0:f>IF(F558="","",IFERROR(INDEX('Müşteriler'!$C$2:$C$101,MATCH(F558,'Müşteriler'!$A$2:$A$101,0)),""))</ns0:f>
        <ns0:v/>
      </ns0:c>
      <ns0:c r="H558" s="28" t="str">
        <ns0:f>IF(A558="","",IF(C558&lt;=0,"Satış dışı",IF(OR(F558="",G558=""),"Eşleşmedi","Eşleşti")))</ns0:f>
        <ns0:v/>
      </ns0:c>
      <ns0:c r="I558" s="28">
        <ns0:f>I557+IF(AND(H558="Eşleşmedi",E558='Panel'!$B$4),1,0)</ns0:f>
        <ns0:v>3.0</ns0:v>
      </ns0:c>
    </ns0:row>
    <ns0:row r="559" ht="21" customHeight="1">
      <ns0:c r="A559" s="25" t="n"/>
      <ns0:c r="B559" s="26" t="n"/>
      <ns0:c r="C559" s="27" t="n"/>
      <ns0:c r="D559" s="27" t="n"/>
      <ns0:c r="E559" s="28" t="str">
        <ns0:f>IF(A559="","",YEAR(A559)&amp;"-"&amp;RIGHT("0"&amp;MONTH(A559),2))</ns0:f>
        <ns0:v/>
      </ns0:c>
      <ns0:c r="F559" s="28" t="str">
        <ns0:f>IF(OR(A559="",B559="",C559&lt;=0),"",IF(SUMPRODUCT(('Müşteriler'!$B$2:$B$101&lt;&gt;"")*ISNUMBER(SEARCH('Müşteriler'!$B$2:$B$101,B559)))=1,IFERROR(INDEX('Müşteriler'!$A$2:$A$101,SUMPRODUCT(('Müşteriler'!$B$2:$B$101&lt;&gt;"")*ISNUMBER(SEARCH('Müşteriler'!$B$2:$B$101,B559)),ROW('Müşteriler'!$B$2:$B$101)-ROW('Müşteriler'!$B$2)+1)),""),""))</ns0:f>
        <ns0:v/>
      </ns0:c>
      <ns0:c r="G559" s="28" t="str">
        <ns0:f>IF(F559="","",IFERROR(INDEX('Müşteriler'!$C$2:$C$101,MATCH(F559,'Müşteriler'!$A$2:$A$101,0)),""))</ns0:f>
        <ns0:v/>
      </ns0:c>
      <ns0:c r="H559" s="28" t="str">
        <ns0:f>IF(A559="","",IF(C559&lt;=0,"Satış dışı",IF(OR(F559="",G559=""),"Eşleşmedi","Eşleşti")))</ns0:f>
        <ns0:v/>
      </ns0:c>
      <ns0:c r="I559" s="28">
        <ns0:f>I558+IF(AND(H559="Eşleşmedi",E559='Panel'!$B$4),1,0)</ns0:f>
        <ns0:v>3.0</ns0:v>
      </ns0:c>
    </ns0:row>
    <ns0:row r="560" ht="21" customHeight="1">
      <ns0:c r="A560" s="25" t="n"/>
      <ns0:c r="B560" s="26" t="n"/>
      <ns0:c r="C560" s="27" t="n"/>
      <ns0:c r="D560" s="27" t="n"/>
      <ns0:c r="E560" s="28" t="str">
        <ns0:f>IF(A560="","",YEAR(A560)&amp;"-"&amp;RIGHT("0"&amp;MONTH(A560),2))</ns0:f>
        <ns0:v/>
      </ns0:c>
      <ns0:c r="F560" s="28" t="str">
        <ns0:f>IF(OR(A560="",B560="",C560&lt;=0),"",IF(SUMPRODUCT(('Müşteriler'!$B$2:$B$101&lt;&gt;"")*ISNUMBER(SEARCH('Müşteriler'!$B$2:$B$101,B560)))=1,IFERROR(INDEX('Müşteriler'!$A$2:$A$101,SUMPRODUCT(('Müşteriler'!$B$2:$B$101&lt;&gt;"")*ISNUMBER(SEARCH('Müşteriler'!$B$2:$B$101,B560)),ROW('Müşteriler'!$B$2:$B$101)-ROW('Müşteriler'!$B$2)+1)),""),""))</ns0:f>
        <ns0:v/>
      </ns0:c>
      <ns0:c r="G560" s="28" t="str">
        <ns0:f>IF(F560="","",IFERROR(INDEX('Müşteriler'!$C$2:$C$101,MATCH(F560,'Müşteriler'!$A$2:$A$101,0)),""))</ns0:f>
        <ns0:v/>
      </ns0:c>
      <ns0:c r="H560" s="28" t="str">
        <ns0:f>IF(A560="","",IF(C560&lt;=0,"Satış dışı",IF(OR(F560="",G560=""),"Eşleşmedi","Eşleşti")))</ns0:f>
        <ns0:v/>
      </ns0:c>
      <ns0:c r="I560" s="28">
        <ns0:f>I559+IF(AND(H560="Eşleşmedi",E560='Panel'!$B$4),1,0)</ns0:f>
        <ns0:v>3.0</ns0:v>
      </ns0:c>
    </ns0:row>
    <ns0:row r="561" ht="21" customHeight="1">
      <ns0:c r="A561" s="25" t="n"/>
      <ns0:c r="B561" s="26" t="n"/>
      <ns0:c r="C561" s="27" t="n"/>
      <ns0:c r="D561" s="27" t="n"/>
      <ns0:c r="E561" s="28" t="str">
        <ns0:f>IF(A561="","",YEAR(A561)&amp;"-"&amp;RIGHT("0"&amp;MONTH(A561),2))</ns0:f>
        <ns0:v/>
      </ns0:c>
      <ns0:c r="F561" s="28" t="str">
        <ns0:f>IF(OR(A561="",B561="",C561&lt;=0),"",IF(SUMPRODUCT(('Müşteriler'!$B$2:$B$101&lt;&gt;"")*ISNUMBER(SEARCH('Müşteriler'!$B$2:$B$101,B561)))=1,IFERROR(INDEX('Müşteriler'!$A$2:$A$101,SUMPRODUCT(('Müşteriler'!$B$2:$B$101&lt;&gt;"")*ISNUMBER(SEARCH('Müşteriler'!$B$2:$B$101,B561)),ROW('Müşteriler'!$B$2:$B$101)-ROW('Müşteriler'!$B$2)+1)),""),""))</ns0:f>
        <ns0:v/>
      </ns0:c>
      <ns0:c r="G561" s="28" t="str">
        <ns0:f>IF(F561="","",IFERROR(INDEX('Müşteriler'!$C$2:$C$101,MATCH(F561,'Müşteriler'!$A$2:$A$101,0)),""))</ns0:f>
        <ns0:v/>
      </ns0:c>
      <ns0:c r="H561" s="28" t="str">
        <ns0:f>IF(A561="","",IF(C561&lt;=0,"Satış dışı",IF(OR(F561="",G561=""),"Eşleşmedi","Eşleşti")))</ns0:f>
        <ns0:v/>
      </ns0:c>
      <ns0:c r="I561" s="28">
        <ns0:f>I560+IF(AND(H561="Eşleşmedi",E561='Panel'!$B$4),1,0)</ns0:f>
        <ns0:v>3.0</ns0:v>
      </ns0:c>
    </ns0:row>
    <ns0:row r="562" ht="21" customHeight="1">
      <ns0:c r="A562" s="25" t="n"/>
      <ns0:c r="B562" s="26" t="n"/>
      <ns0:c r="C562" s="27" t="n"/>
      <ns0:c r="D562" s="27" t="n"/>
      <ns0:c r="E562" s="28" t="str">
        <ns0:f>IF(A562="","",YEAR(A562)&amp;"-"&amp;RIGHT("0"&amp;MONTH(A562),2))</ns0:f>
        <ns0:v/>
      </ns0:c>
      <ns0:c r="F562" s="28" t="str">
        <ns0:f>IF(OR(A562="",B562="",C562&lt;=0),"",IF(SUMPRODUCT(('Müşteriler'!$B$2:$B$101&lt;&gt;"")*ISNUMBER(SEARCH('Müşteriler'!$B$2:$B$101,B562)))=1,IFERROR(INDEX('Müşteriler'!$A$2:$A$101,SUMPRODUCT(('Müşteriler'!$B$2:$B$101&lt;&gt;"")*ISNUMBER(SEARCH('Müşteriler'!$B$2:$B$101,B562)),ROW('Müşteriler'!$B$2:$B$101)-ROW('Müşteriler'!$B$2)+1)),""),""))</ns0:f>
        <ns0:v/>
      </ns0:c>
      <ns0:c r="G562" s="28" t="str">
        <ns0:f>IF(F562="","",IFERROR(INDEX('Müşteriler'!$C$2:$C$101,MATCH(F562,'Müşteriler'!$A$2:$A$101,0)),""))</ns0:f>
        <ns0:v/>
      </ns0:c>
      <ns0:c r="H562" s="28" t="str">
        <ns0:f>IF(A562="","",IF(C562&lt;=0,"Satış dışı",IF(OR(F562="",G562=""),"Eşleşmedi","Eşleşti")))</ns0:f>
        <ns0:v/>
      </ns0:c>
      <ns0:c r="I562" s="28">
        <ns0:f>I561+IF(AND(H562="Eşleşmedi",E562='Panel'!$B$4),1,0)</ns0:f>
        <ns0:v>3.0</ns0:v>
      </ns0:c>
    </ns0:row>
    <ns0:row r="563" ht="21" customHeight="1">
      <ns0:c r="A563" s="25" t="n"/>
      <ns0:c r="B563" s="26" t="n"/>
      <ns0:c r="C563" s="27" t="n"/>
      <ns0:c r="D563" s="27" t="n"/>
      <ns0:c r="E563" s="28" t="str">
        <ns0:f>IF(A563="","",YEAR(A563)&amp;"-"&amp;RIGHT("0"&amp;MONTH(A563),2))</ns0:f>
        <ns0:v/>
      </ns0:c>
      <ns0:c r="F563" s="28" t="str">
        <ns0:f>IF(OR(A563="",B563="",C563&lt;=0),"",IF(SUMPRODUCT(('Müşteriler'!$B$2:$B$101&lt;&gt;"")*ISNUMBER(SEARCH('Müşteriler'!$B$2:$B$101,B563)))=1,IFERROR(INDEX('Müşteriler'!$A$2:$A$101,SUMPRODUCT(('Müşteriler'!$B$2:$B$101&lt;&gt;"")*ISNUMBER(SEARCH('Müşteriler'!$B$2:$B$101,B563)),ROW('Müşteriler'!$B$2:$B$101)-ROW('Müşteriler'!$B$2)+1)),""),""))</ns0:f>
        <ns0:v/>
      </ns0:c>
      <ns0:c r="G563" s="28" t="str">
        <ns0:f>IF(F563="","",IFERROR(INDEX('Müşteriler'!$C$2:$C$101,MATCH(F563,'Müşteriler'!$A$2:$A$101,0)),""))</ns0:f>
        <ns0:v/>
      </ns0:c>
      <ns0:c r="H563" s="28" t="str">
        <ns0:f>IF(A563="","",IF(C563&lt;=0,"Satış dışı",IF(OR(F563="",G563=""),"Eşleşmedi","Eşleşti")))</ns0:f>
        <ns0:v/>
      </ns0:c>
      <ns0:c r="I563" s="28">
        <ns0:f>I562+IF(AND(H563="Eşleşmedi",E563='Panel'!$B$4),1,0)</ns0:f>
        <ns0:v>3.0</ns0:v>
      </ns0:c>
    </ns0:row>
    <ns0:row r="564" ht="21" customHeight="1">
      <ns0:c r="A564" s="25" t="n"/>
      <ns0:c r="B564" s="26" t="n"/>
      <ns0:c r="C564" s="27" t="n"/>
      <ns0:c r="D564" s="27" t="n"/>
      <ns0:c r="E564" s="28" t="str">
        <ns0:f>IF(A564="","",YEAR(A564)&amp;"-"&amp;RIGHT("0"&amp;MONTH(A564),2))</ns0:f>
        <ns0:v/>
      </ns0:c>
      <ns0:c r="F564" s="28" t="str">
        <ns0:f>IF(OR(A564="",B564="",C564&lt;=0),"",IF(SUMPRODUCT(('Müşteriler'!$B$2:$B$101&lt;&gt;"")*ISNUMBER(SEARCH('Müşteriler'!$B$2:$B$101,B564)))=1,IFERROR(INDEX('Müşteriler'!$A$2:$A$101,SUMPRODUCT(('Müşteriler'!$B$2:$B$101&lt;&gt;"")*ISNUMBER(SEARCH('Müşteriler'!$B$2:$B$101,B564)),ROW('Müşteriler'!$B$2:$B$101)-ROW('Müşteriler'!$B$2)+1)),""),""))</ns0:f>
        <ns0:v/>
      </ns0:c>
      <ns0:c r="G564" s="28" t="str">
        <ns0:f>IF(F564="","",IFERROR(INDEX('Müşteriler'!$C$2:$C$101,MATCH(F564,'Müşteriler'!$A$2:$A$101,0)),""))</ns0:f>
        <ns0:v/>
      </ns0:c>
      <ns0:c r="H564" s="28" t="str">
        <ns0:f>IF(A564="","",IF(C564&lt;=0,"Satış dışı",IF(OR(F564="",G564=""),"Eşleşmedi","Eşleşti")))</ns0:f>
        <ns0:v/>
      </ns0:c>
      <ns0:c r="I564" s="28">
        <ns0:f>I563+IF(AND(H564="Eşleşmedi",E564='Panel'!$B$4),1,0)</ns0:f>
        <ns0:v>3.0</ns0:v>
      </ns0:c>
    </ns0:row>
    <ns0:row r="565" ht="21" customHeight="1">
      <ns0:c r="A565" s="25" t="n"/>
      <ns0:c r="B565" s="26" t="n"/>
      <ns0:c r="C565" s="27" t="n"/>
      <ns0:c r="D565" s="27" t="n"/>
      <ns0:c r="E565" s="28" t="str">
        <ns0:f>IF(A565="","",YEAR(A565)&amp;"-"&amp;RIGHT("0"&amp;MONTH(A565),2))</ns0:f>
        <ns0:v/>
      </ns0:c>
      <ns0:c r="F565" s="28" t="str">
        <ns0:f>IF(OR(A565="",B565="",C565&lt;=0),"",IF(SUMPRODUCT(('Müşteriler'!$B$2:$B$101&lt;&gt;"")*ISNUMBER(SEARCH('Müşteriler'!$B$2:$B$101,B565)))=1,IFERROR(INDEX('Müşteriler'!$A$2:$A$101,SUMPRODUCT(('Müşteriler'!$B$2:$B$101&lt;&gt;"")*ISNUMBER(SEARCH('Müşteriler'!$B$2:$B$101,B565)),ROW('Müşteriler'!$B$2:$B$101)-ROW('Müşteriler'!$B$2)+1)),""),""))</ns0:f>
        <ns0:v/>
      </ns0:c>
      <ns0:c r="G565" s="28" t="str">
        <ns0:f>IF(F565="","",IFERROR(INDEX('Müşteriler'!$C$2:$C$101,MATCH(F565,'Müşteriler'!$A$2:$A$101,0)),""))</ns0:f>
        <ns0:v/>
      </ns0:c>
      <ns0:c r="H565" s="28" t="str">
        <ns0:f>IF(A565="","",IF(C565&lt;=0,"Satış dışı",IF(OR(F565="",G565=""),"Eşleşmedi","Eşleşti")))</ns0:f>
        <ns0:v/>
      </ns0:c>
      <ns0:c r="I565" s="28">
        <ns0:f>I564+IF(AND(H565="Eşleşmedi",E565='Panel'!$B$4),1,0)</ns0:f>
        <ns0:v>3.0</ns0:v>
      </ns0:c>
    </ns0:row>
    <ns0:row r="566" ht="21" customHeight="1">
      <ns0:c r="A566" s="25" t="n"/>
      <ns0:c r="B566" s="26" t="n"/>
      <ns0:c r="C566" s="27" t="n"/>
      <ns0:c r="D566" s="27" t="n"/>
      <ns0:c r="E566" s="28" t="str">
        <ns0:f>IF(A566="","",YEAR(A566)&amp;"-"&amp;RIGHT("0"&amp;MONTH(A566),2))</ns0:f>
        <ns0:v/>
      </ns0:c>
      <ns0:c r="F566" s="28" t="str">
        <ns0:f>IF(OR(A566="",B566="",C566&lt;=0),"",IF(SUMPRODUCT(('Müşteriler'!$B$2:$B$101&lt;&gt;"")*ISNUMBER(SEARCH('Müşteriler'!$B$2:$B$101,B566)))=1,IFERROR(INDEX('Müşteriler'!$A$2:$A$101,SUMPRODUCT(('Müşteriler'!$B$2:$B$101&lt;&gt;"")*ISNUMBER(SEARCH('Müşteriler'!$B$2:$B$101,B566)),ROW('Müşteriler'!$B$2:$B$101)-ROW('Müşteriler'!$B$2)+1)),""),""))</ns0:f>
        <ns0:v/>
      </ns0:c>
      <ns0:c r="G566" s="28" t="str">
        <ns0:f>IF(F566="","",IFERROR(INDEX('Müşteriler'!$C$2:$C$101,MATCH(F566,'Müşteriler'!$A$2:$A$101,0)),""))</ns0:f>
        <ns0:v/>
      </ns0:c>
      <ns0:c r="H566" s="28" t="str">
        <ns0:f>IF(A566="","",IF(C566&lt;=0,"Satış dışı",IF(OR(F566="",G566=""),"Eşleşmedi","Eşleşti")))</ns0:f>
        <ns0:v/>
      </ns0:c>
      <ns0:c r="I566" s="28">
        <ns0:f>I565+IF(AND(H566="Eşleşmedi",E566='Panel'!$B$4),1,0)</ns0:f>
        <ns0:v>3.0</ns0:v>
      </ns0:c>
    </ns0:row>
    <ns0:row r="567" ht="21" customHeight="1">
      <ns0:c r="A567" s="25" t="n"/>
      <ns0:c r="B567" s="26" t="n"/>
      <ns0:c r="C567" s="27" t="n"/>
      <ns0:c r="D567" s="27" t="n"/>
      <ns0:c r="E567" s="28" t="str">
        <ns0:f>IF(A567="","",YEAR(A567)&amp;"-"&amp;RIGHT("0"&amp;MONTH(A567),2))</ns0:f>
        <ns0:v/>
      </ns0:c>
      <ns0:c r="F567" s="28" t="str">
        <ns0:f>IF(OR(A567="",B567="",C567&lt;=0),"",IF(SUMPRODUCT(('Müşteriler'!$B$2:$B$101&lt;&gt;"")*ISNUMBER(SEARCH('Müşteriler'!$B$2:$B$101,B567)))=1,IFERROR(INDEX('Müşteriler'!$A$2:$A$101,SUMPRODUCT(('Müşteriler'!$B$2:$B$101&lt;&gt;"")*ISNUMBER(SEARCH('Müşteriler'!$B$2:$B$101,B567)),ROW('Müşteriler'!$B$2:$B$101)-ROW('Müşteriler'!$B$2)+1)),""),""))</ns0:f>
        <ns0:v/>
      </ns0:c>
      <ns0:c r="G567" s="28" t="str">
        <ns0:f>IF(F567="","",IFERROR(INDEX('Müşteriler'!$C$2:$C$101,MATCH(F567,'Müşteriler'!$A$2:$A$101,0)),""))</ns0:f>
        <ns0:v/>
      </ns0:c>
      <ns0:c r="H567" s="28" t="str">
        <ns0:f>IF(A567="","",IF(C567&lt;=0,"Satış dışı",IF(OR(F567="",G567=""),"Eşleşmedi","Eşleşti")))</ns0:f>
        <ns0:v/>
      </ns0:c>
      <ns0:c r="I567" s="28">
        <ns0:f>I566+IF(AND(H567="Eşleşmedi",E567='Panel'!$B$4),1,0)</ns0:f>
        <ns0:v>3.0</ns0:v>
      </ns0:c>
    </ns0:row>
    <ns0:row r="568" ht="21" customHeight="1">
      <ns0:c r="A568" s="25" t="n"/>
      <ns0:c r="B568" s="26" t="n"/>
      <ns0:c r="C568" s="27" t="n"/>
      <ns0:c r="D568" s="27" t="n"/>
      <ns0:c r="E568" s="28" t="str">
        <ns0:f>IF(A568="","",YEAR(A568)&amp;"-"&amp;RIGHT("0"&amp;MONTH(A568),2))</ns0:f>
        <ns0:v/>
      </ns0:c>
      <ns0:c r="F568" s="28" t="str">
        <ns0:f>IF(OR(A568="",B568="",C568&lt;=0),"",IF(SUMPRODUCT(('Müşteriler'!$B$2:$B$101&lt;&gt;"")*ISNUMBER(SEARCH('Müşteriler'!$B$2:$B$101,B568)))=1,IFERROR(INDEX('Müşteriler'!$A$2:$A$101,SUMPRODUCT(('Müşteriler'!$B$2:$B$101&lt;&gt;"")*ISNUMBER(SEARCH('Müşteriler'!$B$2:$B$101,B568)),ROW('Müşteriler'!$B$2:$B$101)-ROW('Müşteriler'!$B$2)+1)),""),""))</ns0:f>
        <ns0:v/>
      </ns0:c>
      <ns0:c r="G568" s="28" t="str">
        <ns0:f>IF(F568="","",IFERROR(INDEX('Müşteriler'!$C$2:$C$101,MATCH(F568,'Müşteriler'!$A$2:$A$101,0)),""))</ns0:f>
        <ns0:v/>
      </ns0:c>
      <ns0:c r="H568" s="28" t="str">
        <ns0:f>IF(A568="","",IF(C568&lt;=0,"Satış dışı",IF(OR(F568="",G568=""),"Eşleşmedi","Eşleşti")))</ns0:f>
        <ns0:v/>
      </ns0:c>
      <ns0:c r="I568" s="28">
        <ns0:f>I567+IF(AND(H568="Eşleşmedi",E568='Panel'!$B$4),1,0)</ns0:f>
        <ns0:v>3.0</ns0:v>
      </ns0:c>
    </ns0:row>
    <ns0:row r="569" ht="21" customHeight="1">
      <ns0:c r="A569" s="25" t="n"/>
      <ns0:c r="B569" s="26" t="n"/>
      <ns0:c r="C569" s="27" t="n"/>
      <ns0:c r="D569" s="27" t="n"/>
      <ns0:c r="E569" s="28" t="str">
        <ns0:f>IF(A569="","",YEAR(A569)&amp;"-"&amp;RIGHT("0"&amp;MONTH(A569),2))</ns0:f>
        <ns0:v/>
      </ns0:c>
      <ns0:c r="F569" s="28" t="str">
        <ns0:f>IF(OR(A569="",B569="",C569&lt;=0),"",IF(SUMPRODUCT(('Müşteriler'!$B$2:$B$101&lt;&gt;"")*ISNUMBER(SEARCH('Müşteriler'!$B$2:$B$101,B569)))=1,IFERROR(INDEX('Müşteriler'!$A$2:$A$101,SUMPRODUCT(('Müşteriler'!$B$2:$B$101&lt;&gt;"")*ISNUMBER(SEARCH('Müşteriler'!$B$2:$B$101,B569)),ROW('Müşteriler'!$B$2:$B$101)-ROW('Müşteriler'!$B$2)+1)),""),""))</ns0:f>
        <ns0:v/>
      </ns0:c>
      <ns0:c r="G569" s="28" t="str">
        <ns0:f>IF(F569="","",IFERROR(INDEX('Müşteriler'!$C$2:$C$101,MATCH(F569,'Müşteriler'!$A$2:$A$101,0)),""))</ns0:f>
        <ns0:v/>
      </ns0:c>
      <ns0:c r="H569" s="28" t="str">
        <ns0:f>IF(A569="","",IF(C569&lt;=0,"Satış dışı",IF(OR(F569="",G569=""),"Eşleşmedi","Eşleşti")))</ns0:f>
        <ns0:v/>
      </ns0:c>
      <ns0:c r="I569" s="28">
        <ns0:f>I568+IF(AND(H569="Eşleşmedi",E569='Panel'!$B$4),1,0)</ns0:f>
        <ns0:v>3.0</ns0:v>
      </ns0:c>
    </ns0:row>
    <ns0:row r="570" ht="21" customHeight="1">
      <ns0:c r="A570" s="25" t="n"/>
      <ns0:c r="B570" s="26" t="n"/>
      <ns0:c r="C570" s="27" t="n"/>
      <ns0:c r="D570" s="27" t="n"/>
      <ns0:c r="E570" s="28" t="str">
        <ns0:f>IF(A570="","",YEAR(A570)&amp;"-"&amp;RIGHT("0"&amp;MONTH(A570),2))</ns0:f>
        <ns0:v/>
      </ns0:c>
      <ns0:c r="F570" s="28" t="str">
        <ns0:f>IF(OR(A570="",B570="",C570&lt;=0),"",IF(SUMPRODUCT(('Müşteriler'!$B$2:$B$101&lt;&gt;"")*ISNUMBER(SEARCH('Müşteriler'!$B$2:$B$101,B570)))=1,IFERROR(INDEX('Müşteriler'!$A$2:$A$101,SUMPRODUCT(('Müşteriler'!$B$2:$B$101&lt;&gt;"")*ISNUMBER(SEARCH('Müşteriler'!$B$2:$B$101,B570)),ROW('Müşteriler'!$B$2:$B$101)-ROW('Müşteriler'!$B$2)+1)),""),""))</ns0:f>
        <ns0:v/>
      </ns0:c>
      <ns0:c r="G570" s="28" t="str">
        <ns0:f>IF(F570="","",IFERROR(INDEX('Müşteriler'!$C$2:$C$101,MATCH(F570,'Müşteriler'!$A$2:$A$101,0)),""))</ns0:f>
        <ns0:v/>
      </ns0:c>
      <ns0:c r="H570" s="28" t="str">
        <ns0:f>IF(A570="","",IF(C570&lt;=0,"Satış dışı",IF(OR(F570="",G570=""),"Eşleşmedi","Eşleşti")))</ns0:f>
        <ns0:v/>
      </ns0:c>
      <ns0:c r="I570" s="28">
        <ns0:f>I569+IF(AND(H570="Eşleşmedi",E570='Panel'!$B$4),1,0)</ns0:f>
        <ns0:v>3.0</ns0:v>
      </ns0:c>
    </ns0:row>
    <ns0:row r="571" ht="21" customHeight="1">
      <ns0:c r="A571" s="25" t="n"/>
      <ns0:c r="B571" s="26" t="n"/>
      <ns0:c r="C571" s="27" t="n"/>
      <ns0:c r="D571" s="27" t="n"/>
      <ns0:c r="E571" s="28" t="str">
        <ns0:f>IF(A571="","",YEAR(A571)&amp;"-"&amp;RIGHT("0"&amp;MONTH(A571),2))</ns0:f>
        <ns0:v/>
      </ns0:c>
      <ns0:c r="F571" s="28" t="str">
        <ns0:f>IF(OR(A571="",B571="",C571&lt;=0),"",IF(SUMPRODUCT(('Müşteriler'!$B$2:$B$101&lt;&gt;"")*ISNUMBER(SEARCH('Müşteriler'!$B$2:$B$101,B571)))=1,IFERROR(INDEX('Müşteriler'!$A$2:$A$101,SUMPRODUCT(('Müşteriler'!$B$2:$B$101&lt;&gt;"")*ISNUMBER(SEARCH('Müşteriler'!$B$2:$B$101,B571)),ROW('Müşteriler'!$B$2:$B$101)-ROW('Müşteriler'!$B$2)+1)),""),""))</ns0:f>
        <ns0:v/>
      </ns0:c>
      <ns0:c r="G571" s="28" t="str">
        <ns0:f>IF(F571="","",IFERROR(INDEX('Müşteriler'!$C$2:$C$101,MATCH(F571,'Müşteriler'!$A$2:$A$101,0)),""))</ns0:f>
        <ns0:v/>
      </ns0:c>
      <ns0:c r="H571" s="28" t="str">
        <ns0:f>IF(A571="","",IF(C571&lt;=0,"Satış dışı",IF(OR(F571="",G571=""),"Eşleşmedi","Eşleşti")))</ns0:f>
        <ns0:v/>
      </ns0:c>
      <ns0:c r="I571" s="28">
        <ns0:f>I570+IF(AND(H571="Eşleşmedi",E571='Panel'!$B$4),1,0)</ns0:f>
        <ns0:v>3.0</ns0:v>
      </ns0:c>
    </ns0:row>
    <ns0:row r="572" ht="21" customHeight="1">
      <ns0:c r="A572" s="25" t="n"/>
      <ns0:c r="B572" s="26" t="n"/>
      <ns0:c r="C572" s="27" t="n"/>
      <ns0:c r="D572" s="27" t="n"/>
      <ns0:c r="E572" s="28" t="str">
        <ns0:f>IF(A572="","",YEAR(A572)&amp;"-"&amp;RIGHT("0"&amp;MONTH(A572),2))</ns0:f>
        <ns0:v/>
      </ns0:c>
      <ns0:c r="F572" s="28" t="str">
        <ns0:f>IF(OR(A572="",B572="",C572&lt;=0),"",IF(SUMPRODUCT(('Müşteriler'!$B$2:$B$101&lt;&gt;"")*ISNUMBER(SEARCH('Müşteriler'!$B$2:$B$101,B572)))=1,IFERROR(INDEX('Müşteriler'!$A$2:$A$101,SUMPRODUCT(('Müşteriler'!$B$2:$B$101&lt;&gt;"")*ISNUMBER(SEARCH('Müşteriler'!$B$2:$B$101,B572)),ROW('Müşteriler'!$B$2:$B$101)-ROW('Müşteriler'!$B$2)+1)),""),""))</ns0:f>
        <ns0:v/>
      </ns0:c>
      <ns0:c r="G572" s="28" t="str">
        <ns0:f>IF(F572="","",IFERROR(INDEX('Müşteriler'!$C$2:$C$101,MATCH(F572,'Müşteriler'!$A$2:$A$101,0)),""))</ns0:f>
        <ns0:v/>
      </ns0:c>
      <ns0:c r="H572" s="28" t="str">
        <ns0:f>IF(A572="","",IF(C572&lt;=0,"Satış dışı",IF(OR(F572="",G572=""),"Eşleşmedi","Eşleşti")))</ns0:f>
        <ns0:v/>
      </ns0:c>
      <ns0:c r="I572" s="28">
        <ns0:f>I571+IF(AND(H572="Eşleşmedi",E572='Panel'!$B$4),1,0)</ns0:f>
        <ns0:v>3.0</ns0:v>
      </ns0:c>
    </ns0:row>
    <ns0:row r="573" ht="21" customHeight="1">
      <ns0:c r="A573" s="25" t="n"/>
      <ns0:c r="B573" s="26" t="n"/>
      <ns0:c r="C573" s="27" t="n"/>
      <ns0:c r="D573" s="27" t="n"/>
      <ns0:c r="E573" s="28" t="str">
        <ns0:f>IF(A573="","",YEAR(A573)&amp;"-"&amp;RIGHT("0"&amp;MONTH(A573),2))</ns0:f>
        <ns0:v/>
      </ns0:c>
      <ns0:c r="F573" s="28" t="str">
        <ns0:f>IF(OR(A573="",B573="",C573&lt;=0),"",IF(SUMPRODUCT(('Müşteriler'!$B$2:$B$101&lt;&gt;"")*ISNUMBER(SEARCH('Müşteriler'!$B$2:$B$101,B573)))=1,IFERROR(INDEX('Müşteriler'!$A$2:$A$101,SUMPRODUCT(('Müşteriler'!$B$2:$B$101&lt;&gt;"")*ISNUMBER(SEARCH('Müşteriler'!$B$2:$B$101,B573)),ROW('Müşteriler'!$B$2:$B$101)-ROW('Müşteriler'!$B$2)+1)),""),""))</ns0:f>
        <ns0:v/>
      </ns0:c>
      <ns0:c r="G573" s="28" t="str">
        <ns0:f>IF(F573="","",IFERROR(INDEX('Müşteriler'!$C$2:$C$101,MATCH(F573,'Müşteriler'!$A$2:$A$101,0)),""))</ns0:f>
        <ns0:v/>
      </ns0:c>
      <ns0:c r="H573" s="28" t="str">
        <ns0:f>IF(A573="","",IF(C573&lt;=0,"Satış dışı",IF(OR(F573="",G573=""),"Eşleşmedi","Eşleşti")))</ns0:f>
        <ns0:v/>
      </ns0:c>
      <ns0:c r="I573" s="28">
        <ns0:f>I572+IF(AND(H573="Eşleşmedi",E573='Panel'!$B$4),1,0)</ns0:f>
        <ns0:v>3.0</ns0:v>
      </ns0:c>
    </ns0:row>
    <ns0:row r="574" ht="21" customHeight="1">
      <ns0:c r="A574" s="25" t="n"/>
      <ns0:c r="B574" s="26" t="n"/>
      <ns0:c r="C574" s="27" t="n"/>
      <ns0:c r="D574" s="27" t="n"/>
      <ns0:c r="E574" s="28" t="str">
        <ns0:f>IF(A574="","",YEAR(A574)&amp;"-"&amp;RIGHT("0"&amp;MONTH(A574),2))</ns0:f>
        <ns0:v/>
      </ns0:c>
      <ns0:c r="F574" s="28" t="str">
        <ns0:f>IF(OR(A574="",B574="",C574&lt;=0),"",IF(SUMPRODUCT(('Müşteriler'!$B$2:$B$101&lt;&gt;"")*ISNUMBER(SEARCH('Müşteriler'!$B$2:$B$101,B574)))=1,IFERROR(INDEX('Müşteriler'!$A$2:$A$101,SUMPRODUCT(('Müşteriler'!$B$2:$B$101&lt;&gt;"")*ISNUMBER(SEARCH('Müşteriler'!$B$2:$B$101,B574)),ROW('Müşteriler'!$B$2:$B$101)-ROW('Müşteriler'!$B$2)+1)),""),""))</ns0:f>
        <ns0:v/>
      </ns0:c>
      <ns0:c r="G574" s="28" t="str">
        <ns0:f>IF(F574="","",IFERROR(INDEX('Müşteriler'!$C$2:$C$101,MATCH(F574,'Müşteriler'!$A$2:$A$101,0)),""))</ns0:f>
        <ns0:v/>
      </ns0:c>
      <ns0:c r="H574" s="28" t="str">
        <ns0:f>IF(A574="","",IF(C574&lt;=0,"Satış dışı",IF(OR(F574="",G574=""),"Eşleşmedi","Eşleşti")))</ns0:f>
        <ns0:v/>
      </ns0:c>
      <ns0:c r="I574" s="28">
        <ns0:f>I573+IF(AND(H574="Eşleşmedi",E574='Panel'!$B$4),1,0)</ns0:f>
        <ns0:v>3.0</ns0:v>
      </ns0:c>
    </ns0:row>
    <ns0:row r="575" ht="21" customHeight="1">
      <ns0:c r="A575" s="25" t="n"/>
      <ns0:c r="B575" s="26" t="n"/>
      <ns0:c r="C575" s="27" t="n"/>
      <ns0:c r="D575" s="27" t="n"/>
      <ns0:c r="E575" s="28" t="str">
        <ns0:f>IF(A575="","",YEAR(A575)&amp;"-"&amp;RIGHT("0"&amp;MONTH(A575),2))</ns0:f>
        <ns0:v/>
      </ns0:c>
      <ns0:c r="F575" s="28" t="str">
        <ns0:f>IF(OR(A575="",B575="",C575&lt;=0),"",IF(SUMPRODUCT(('Müşteriler'!$B$2:$B$101&lt;&gt;"")*ISNUMBER(SEARCH('Müşteriler'!$B$2:$B$101,B575)))=1,IFERROR(INDEX('Müşteriler'!$A$2:$A$101,SUMPRODUCT(('Müşteriler'!$B$2:$B$101&lt;&gt;"")*ISNUMBER(SEARCH('Müşteriler'!$B$2:$B$101,B575)),ROW('Müşteriler'!$B$2:$B$101)-ROW('Müşteriler'!$B$2)+1)),""),""))</ns0:f>
        <ns0:v/>
      </ns0:c>
      <ns0:c r="G575" s="28" t="str">
        <ns0:f>IF(F575="","",IFERROR(INDEX('Müşteriler'!$C$2:$C$101,MATCH(F575,'Müşteriler'!$A$2:$A$101,0)),""))</ns0:f>
        <ns0:v/>
      </ns0:c>
      <ns0:c r="H575" s="28" t="str">
        <ns0:f>IF(A575="","",IF(C575&lt;=0,"Satış dışı",IF(OR(F575="",G575=""),"Eşleşmedi","Eşleşti")))</ns0:f>
        <ns0:v/>
      </ns0:c>
      <ns0:c r="I575" s="28">
        <ns0:f>I574+IF(AND(H575="Eşleşmedi",E575='Panel'!$B$4),1,0)</ns0:f>
        <ns0:v>3.0</ns0:v>
      </ns0:c>
    </ns0:row>
    <ns0:row r="576" ht="21" customHeight="1">
      <ns0:c r="A576" s="25" t="n"/>
      <ns0:c r="B576" s="26" t="n"/>
      <ns0:c r="C576" s="27" t="n"/>
      <ns0:c r="D576" s="27" t="n"/>
      <ns0:c r="E576" s="28" t="str">
        <ns0:f>IF(A576="","",YEAR(A576)&amp;"-"&amp;RIGHT("0"&amp;MONTH(A576),2))</ns0:f>
        <ns0:v/>
      </ns0:c>
      <ns0:c r="F576" s="28" t="str">
        <ns0:f>IF(OR(A576="",B576="",C576&lt;=0),"",IF(SUMPRODUCT(('Müşteriler'!$B$2:$B$101&lt;&gt;"")*ISNUMBER(SEARCH('Müşteriler'!$B$2:$B$101,B576)))=1,IFERROR(INDEX('Müşteriler'!$A$2:$A$101,SUMPRODUCT(('Müşteriler'!$B$2:$B$101&lt;&gt;"")*ISNUMBER(SEARCH('Müşteriler'!$B$2:$B$101,B576)),ROW('Müşteriler'!$B$2:$B$101)-ROW('Müşteriler'!$B$2)+1)),""),""))</ns0:f>
        <ns0:v/>
      </ns0:c>
      <ns0:c r="G576" s="28" t="str">
        <ns0:f>IF(F576="","",IFERROR(INDEX('Müşteriler'!$C$2:$C$101,MATCH(F576,'Müşteriler'!$A$2:$A$101,0)),""))</ns0:f>
        <ns0:v/>
      </ns0:c>
      <ns0:c r="H576" s="28" t="str">
        <ns0:f>IF(A576="","",IF(C576&lt;=0,"Satış dışı",IF(OR(F576="",G576=""),"Eşleşmedi","Eşleşti")))</ns0:f>
        <ns0:v/>
      </ns0:c>
      <ns0:c r="I576" s="28">
        <ns0:f>I575+IF(AND(H576="Eşleşmedi",E576='Panel'!$B$4),1,0)</ns0:f>
        <ns0:v>3.0</ns0:v>
      </ns0:c>
    </ns0:row>
    <ns0:row r="577" ht="21" customHeight="1">
      <ns0:c r="A577" s="25" t="n"/>
      <ns0:c r="B577" s="26" t="n"/>
      <ns0:c r="C577" s="27" t="n"/>
      <ns0:c r="D577" s="27" t="n"/>
      <ns0:c r="E577" s="28" t="str">
        <ns0:f>IF(A577="","",YEAR(A577)&amp;"-"&amp;RIGHT("0"&amp;MONTH(A577),2))</ns0:f>
        <ns0:v/>
      </ns0:c>
      <ns0:c r="F577" s="28" t="str">
        <ns0:f>IF(OR(A577="",B577="",C577&lt;=0),"",IF(SUMPRODUCT(('Müşteriler'!$B$2:$B$101&lt;&gt;"")*ISNUMBER(SEARCH('Müşteriler'!$B$2:$B$101,B577)))=1,IFERROR(INDEX('Müşteriler'!$A$2:$A$101,SUMPRODUCT(('Müşteriler'!$B$2:$B$101&lt;&gt;"")*ISNUMBER(SEARCH('Müşteriler'!$B$2:$B$101,B577)),ROW('Müşteriler'!$B$2:$B$101)-ROW('Müşteriler'!$B$2)+1)),""),""))</ns0:f>
        <ns0:v/>
      </ns0:c>
      <ns0:c r="G577" s="28" t="str">
        <ns0:f>IF(F577="","",IFERROR(INDEX('Müşteriler'!$C$2:$C$101,MATCH(F577,'Müşteriler'!$A$2:$A$101,0)),""))</ns0:f>
        <ns0:v/>
      </ns0:c>
      <ns0:c r="H577" s="28" t="str">
        <ns0:f>IF(A577="","",IF(C577&lt;=0,"Satış dışı",IF(OR(F577="",G577=""),"Eşleşmedi","Eşleşti")))</ns0:f>
        <ns0:v/>
      </ns0:c>
      <ns0:c r="I577" s="28">
        <ns0:f>I576+IF(AND(H577="Eşleşmedi",E577='Panel'!$B$4),1,0)</ns0:f>
        <ns0:v>3.0</ns0:v>
      </ns0:c>
    </ns0:row>
    <ns0:row r="578" ht="21" customHeight="1">
      <ns0:c r="A578" s="25" t="n"/>
      <ns0:c r="B578" s="26" t="n"/>
      <ns0:c r="C578" s="27" t="n"/>
      <ns0:c r="D578" s="27" t="n"/>
      <ns0:c r="E578" s="28" t="str">
        <ns0:f>IF(A578="","",YEAR(A578)&amp;"-"&amp;RIGHT("0"&amp;MONTH(A578),2))</ns0:f>
        <ns0:v/>
      </ns0:c>
      <ns0:c r="F578" s="28" t="str">
        <ns0:f>IF(OR(A578="",B578="",C578&lt;=0),"",IF(SUMPRODUCT(('Müşteriler'!$B$2:$B$101&lt;&gt;"")*ISNUMBER(SEARCH('Müşteriler'!$B$2:$B$101,B578)))=1,IFERROR(INDEX('Müşteriler'!$A$2:$A$101,SUMPRODUCT(('Müşteriler'!$B$2:$B$101&lt;&gt;"")*ISNUMBER(SEARCH('Müşteriler'!$B$2:$B$101,B578)),ROW('Müşteriler'!$B$2:$B$101)-ROW('Müşteriler'!$B$2)+1)),""),""))</ns0:f>
        <ns0:v/>
      </ns0:c>
      <ns0:c r="G578" s="28" t="str">
        <ns0:f>IF(F578="","",IFERROR(INDEX('Müşteriler'!$C$2:$C$101,MATCH(F578,'Müşteriler'!$A$2:$A$101,0)),""))</ns0:f>
        <ns0:v/>
      </ns0:c>
      <ns0:c r="H578" s="28" t="str">
        <ns0:f>IF(A578="","",IF(C578&lt;=0,"Satış dışı",IF(OR(F578="",G578=""),"Eşleşmedi","Eşleşti")))</ns0:f>
        <ns0:v/>
      </ns0:c>
      <ns0:c r="I578" s="28">
        <ns0:f>I577+IF(AND(H578="Eşleşmedi",E578='Panel'!$B$4),1,0)</ns0:f>
        <ns0:v>3.0</ns0:v>
      </ns0:c>
    </ns0:row>
    <ns0:row r="579" ht="21" customHeight="1">
      <ns0:c r="A579" s="25" t="n"/>
      <ns0:c r="B579" s="26" t="n"/>
      <ns0:c r="C579" s="27" t="n"/>
      <ns0:c r="D579" s="27" t="n"/>
      <ns0:c r="E579" s="28" t="str">
        <ns0:f>IF(A579="","",YEAR(A579)&amp;"-"&amp;RIGHT("0"&amp;MONTH(A579),2))</ns0:f>
        <ns0:v/>
      </ns0:c>
      <ns0:c r="F579" s="28" t="str">
        <ns0:f>IF(OR(A579="",B579="",C579&lt;=0),"",IF(SUMPRODUCT(('Müşteriler'!$B$2:$B$101&lt;&gt;"")*ISNUMBER(SEARCH('Müşteriler'!$B$2:$B$101,B579)))=1,IFERROR(INDEX('Müşteriler'!$A$2:$A$101,SUMPRODUCT(('Müşteriler'!$B$2:$B$101&lt;&gt;"")*ISNUMBER(SEARCH('Müşteriler'!$B$2:$B$101,B579)),ROW('Müşteriler'!$B$2:$B$101)-ROW('Müşteriler'!$B$2)+1)),""),""))</ns0:f>
        <ns0:v/>
      </ns0:c>
      <ns0:c r="G579" s="28" t="str">
        <ns0:f>IF(F579="","",IFERROR(INDEX('Müşteriler'!$C$2:$C$101,MATCH(F579,'Müşteriler'!$A$2:$A$101,0)),""))</ns0:f>
        <ns0:v/>
      </ns0:c>
      <ns0:c r="H579" s="28" t="str">
        <ns0:f>IF(A579="","",IF(C579&lt;=0,"Satış dışı",IF(OR(F579="",G579=""),"Eşleşmedi","Eşleşti")))</ns0:f>
        <ns0:v/>
      </ns0:c>
      <ns0:c r="I579" s="28">
        <ns0:f>I578+IF(AND(H579="Eşleşmedi",E579='Panel'!$B$4),1,0)</ns0:f>
        <ns0:v>3.0</ns0:v>
      </ns0:c>
    </ns0:row>
    <ns0:row r="580" ht="21" customHeight="1">
      <ns0:c r="A580" s="25" t="n"/>
      <ns0:c r="B580" s="26" t="n"/>
      <ns0:c r="C580" s="27" t="n"/>
      <ns0:c r="D580" s="27" t="n"/>
      <ns0:c r="E580" s="28" t="str">
        <ns0:f>IF(A580="","",YEAR(A580)&amp;"-"&amp;RIGHT("0"&amp;MONTH(A580),2))</ns0:f>
        <ns0:v/>
      </ns0:c>
      <ns0:c r="F580" s="28" t="str">
        <ns0:f>IF(OR(A580="",B580="",C580&lt;=0),"",IF(SUMPRODUCT(('Müşteriler'!$B$2:$B$101&lt;&gt;"")*ISNUMBER(SEARCH('Müşteriler'!$B$2:$B$101,B580)))=1,IFERROR(INDEX('Müşteriler'!$A$2:$A$101,SUMPRODUCT(('Müşteriler'!$B$2:$B$101&lt;&gt;"")*ISNUMBER(SEARCH('Müşteriler'!$B$2:$B$101,B580)),ROW('Müşteriler'!$B$2:$B$101)-ROW('Müşteriler'!$B$2)+1)),""),""))</ns0:f>
        <ns0:v/>
      </ns0:c>
      <ns0:c r="G580" s="28" t="str">
        <ns0:f>IF(F580="","",IFERROR(INDEX('Müşteriler'!$C$2:$C$101,MATCH(F580,'Müşteriler'!$A$2:$A$101,0)),""))</ns0:f>
        <ns0:v/>
      </ns0:c>
      <ns0:c r="H580" s="28" t="str">
        <ns0:f>IF(A580="","",IF(C580&lt;=0,"Satış dışı",IF(OR(F580="",G580=""),"Eşleşmedi","Eşleşti")))</ns0:f>
        <ns0:v/>
      </ns0:c>
      <ns0:c r="I580" s="28">
        <ns0:f>I579+IF(AND(H580="Eşleşmedi",E580='Panel'!$B$4),1,0)</ns0:f>
        <ns0:v>3.0</ns0:v>
      </ns0:c>
    </ns0:row>
    <ns0:row r="581" ht="21" customHeight="1">
      <ns0:c r="A581" s="25" t="n"/>
      <ns0:c r="B581" s="26" t="n"/>
      <ns0:c r="C581" s="27" t="n"/>
      <ns0:c r="D581" s="27" t="n"/>
      <ns0:c r="E581" s="28" t="str">
        <ns0:f>IF(A581="","",YEAR(A581)&amp;"-"&amp;RIGHT("0"&amp;MONTH(A581),2))</ns0:f>
        <ns0:v/>
      </ns0:c>
      <ns0:c r="F581" s="28" t="str">
        <ns0:f>IF(OR(A581="",B581="",C581&lt;=0),"",IF(SUMPRODUCT(('Müşteriler'!$B$2:$B$101&lt;&gt;"")*ISNUMBER(SEARCH('Müşteriler'!$B$2:$B$101,B581)))=1,IFERROR(INDEX('Müşteriler'!$A$2:$A$101,SUMPRODUCT(('Müşteriler'!$B$2:$B$101&lt;&gt;"")*ISNUMBER(SEARCH('Müşteriler'!$B$2:$B$101,B581)),ROW('Müşteriler'!$B$2:$B$101)-ROW('Müşteriler'!$B$2)+1)),""),""))</ns0:f>
        <ns0:v/>
      </ns0:c>
      <ns0:c r="G581" s="28" t="str">
        <ns0:f>IF(F581="","",IFERROR(INDEX('Müşteriler'!$C$2:$C$101,MATCH(F581,'Müşteriler'!$A$2:$A$101,0)),""))</ns0:f>
        <ns0:v/>
      </ns0:c>
      <ns0:c r="H581" s="28" t="str">
        <ns0:f>IF(A581="","",IF(C581&lt;=0,"Satış dışı",IF(OR(F581="",G581=""),"Eşleşmedi","Eşleşti")))</ns0:f>
        <ns0:v/>
      </ns0:c>
      <ns0:c r="I581" s="28">
        <ns0:f>I580+IF(AND(H581="Eşleşmedi",E581='Panel'!$B$4),1,0)</ns0:f>
        <ns0:v>3.0</ns0:v>
      </ns0:c>
    </ns0:row>
    <ns0:row r="582" ht="21" customHeight="1">
      <ns0:c r="A582" s="25" t="n"/>
      <ns0:c r="B582" s="26" t="n"/>
      <ns0:c r="C582" s="27" t="n"/>
      <ns0:c r="D582" s="27" t="n"/>
      <ns0:c r="E582" s="28" t="str">
        <ns0:f>IF(A582="","",YEAR(A582)&amp;"-"&amp;RIGHT("0"&amp;MONTH(A582),2))</ns0:f>
        <ns0:v/>
      </ns0:c>
      <ns0:c r="F582" s="28" t="str">
        <ns0:f>IF(OR(A582="",B582="",C582&lt;=0),"",IF(SUMPRODUCT(('Müşteriler'!$B$2:$B$101&lt;&gt;"")*ISNUMBER(SEARCH('Müşteriler'!$B$2:$B$101,B582)))=1,IFERROR(INDEX('Müşteriler'!$A$2:$A$101,SUMPRODUCT(('Müşteriler'!$B$2:$B$101&lt;&gt;"")*ISNUMBER(SEARCH('Müşteriler'!$B$2:$B$101,B582)),ROW('Müşteriler'!$B$2:$B$101)-ROW('Müşteriler'!$B$2)+1)),""),""))</ns0:f>
        <ns0:v/>
      </ns0:c>
      <ns0:c r="G582" s="28" t="str">
        <ns0:f>IF(F582="","",IFERROR(INDEX('Müşteriler'!$C$2:$C$101,MATCH(F582,'Müşteriler'!$A$2:$A$101,0)),""))</ns0:f>
        <ns0:v/>
      </ns0:c>
      <ns0:c r="H582" s="28" t="str">
        <ns0:f>IF(A582="","",IF(C582&lt;=0,"Satış dışı",IF(OR(F582="",G582=""),"Eşleşmedi","Eşleşti")))</ns0:f>
        <ns0:v/>
      </ns0:c>
      <ns0:c r="I582" s="28">
        <ns0:f>I581+IF(AND(H582="Eşleşmedi",E582='Panel'!$B$4),1,0)</ns0:f>
        <ns0:v>3.0</ns0:v>
      </ns0:c>
    </ns0:row>
    <ns0:row r="583" ht="21" customHeight="1">
      <ns0:c r="A583" s="25" t="n"/>
      <ns0:c r="B583" s="26" t="n"/>
      <ns0:c r="C583" s="27" t="n"/>
      <ns0:c r="D583" s="27" t="n"/>
      <ns0:c r="E583" s="28" t="str">
        <ns0:f>IF(A583="","",YEAR(A583)&amp;"-"&amp;RIGHT("0"&amp;MONTH(A583),2))</ns0:f>
        <ns0:v/>
      </ns0:c>
      <ns0:c r="F583" s="28" t="str">
        <ns0:f>IF(OR(A583="",B583="",C583&lt;=0),"",IF(SUMPRODUCT(('Müşteriler'!$B$2:$B$101&lt;&gt;"")*ISNUMBER(SEARCH('Müşteriler'!$B$2:$B$101,B583)))=1,IFERROR(INDEX('Müşteriler'!$A$2:$A$101,SUMPRODUCT(('Müşteriler'!$B$2:$B$101&lt;&gt;"")*ISNUMBER(SEARCH('Müşteriler'!$B$2:$B$101,B583)),ROW('Müşteriler'!$B$2:$B$101)-ROW('Müşteriler'!$B$2)+1)),""),""))</ns0:f>
        <ns0:v/>
      </ns0:c>
      <ns0:c r="G583" s="28" t="str">
        <ns0:f>IF(F583="","",IFERROR(INDEX('Müşteriler'!$C$2:$C$101,MATCH(F583,'Müşteriler'!$A$2:$A$101,0)),""))</ns0:f>
        <ns0:v/>
      </ns0:c>
      <ns0:c r="H583" s="28" t="str">
        <ns0:f>IF(A583="","",IF(C583&lt;=0,"Satış dışı",IF(OR(F583="",G583=""),"Eşleşmedi","Eşleşti")))</ns0:f>
        <ns0:v/>
      </ns0:c>
      <ns0:c r="I583" s="28">
        <ns0:f>I582+IF(AND(H583="Eşleşmedi",E583='Panel'!$B$4),1,0)</ns0:f>
        <ns0:v>3.0</ns0:v>
      </ns0:c>
    </ns0:row>
    <ns0:row r="584" ht="21" customHeight="1">
      <ns0:c r="A584" s="25" t="n"/>
      <ns0:c r="B584" s="26" t="n"/>
      <ns0:c r="C584" s="27" t="n"/>
      <ns0:c r="D584" s="27" t="n"/>
      <ns0:c r="E584" s="28" t="str">
        <ns0:f>IF(A584="","",YEAR(A584)&amp;"-"&amp;RIGHT("0"&amp;MONTH(A584),2))</ns0:f>
        <ns0:v/>
      </ns0:c>
      <ns0:c r="F584" s="28" t="str">
        <ns0:f>IF(OR(A584="",B584="",C584&lt;=0),"",IF(SUMPRODUCT(('Müşteriler'!$B$2:$B$101&lt;&gt;"")*ISNUMBER(SEARCH('Müşteriler'!$B$2:$B$101,B584)))=1,IFERROR(INDEX('Müşteriler'!$A$2:$A$101,SUMPRODUCT(('Müşteriler'!$B$2:$B$101&lt;&gt;"")*ISNUMBER(SEARCH('Müşteriler'!$B$2:$B$101,B584)),ROW('Müşteriler'!$B$2:$B$101)-ROW('Müşteriler'!$B$2)+1)),""),""))</ns0:f>
        <ns0:v/>
      </ns0:c>
      <ns0:c r="G584" s="28" t="str">
        <ns0:f>IF(F584="","",IFERROR(INDEX('Müşteriler'!$C$2:$C$101,MATCH(F584,'Müşteriler'!$A$2:$A$101,0)),""))</ns0:f>
        <ns0:v/>
      </ns0:c>
      <ns0:c r="H584" s="28" t="str">
        <ns0:f>IF(A584="","",IF(C584&lt;=0,"Satış dışı",IF(OR(F584="",G584=""),"Eşleşmedi","Eşleşti")))</ns0:f>
        <ns0:v/>
      </ns0:c>
      <ns0:c r="I584" s="28">
        <ns0:f>I583+IF(AND(H584="Eşleşmedi",E584='Panel'!$B$4),1,0)</ns0:f>
        <ns0:v>3.0</ns0:v>
      </ns0:c>
    </ns0:row>
    <ns0:row r="585" ht="21" customHeight="1">
      <ns0:c r="A585" s="25" t="n"/>
      <ns0:c r="B585" s="26" t="n"/>
      <ns0:c r="C585" s="27" t="n"/>
      <ns0:c r="D585" s="27" t="n"/>
      <ns0:c r="E585" s="28" t="str">
        <ns0:f>IF(A585="","",YEAR(A585)&amp;"-"&amp;RIGHT("0"&amp;MONTH(A585),2))</ns0:f>
        <ns0:v/>
      </ns0:c>
      <ns0:c r="F585" s="28" t="str">
        <ns0:f>IF(OR(A585="",B585="",C585&lt;=0),"",IF(SUMPRODUCT(('Müşteriler'!$B$2:$B$101&lt;&gt;"")*ISNUMBER(SEARCH('Müşteriler'!$B$2:$B$101,B585)))=1,IFERROR(INDEX('Müşteriler'!$A$2:$A$101,SUMPRODUCT(('Müşteriler'!$B$2:$B$101&lt;&gt;"")*ISNUMBER(SEARCH('Müşteriler'!$B$2:$B$101,B585)),ROW('Müşteriler'!$B$2:$B$101)-ROW('Müşteriler'!$B$2)+1)),""),""))</ns0:f>
        <ns0:v/>
      </ns0:c>
      <ns0:c r="G585" s="28" t="str">
        <ns0:f>IF(F585="","",IFERROR(INDEX('Müşteriler'!$C$2:$C$101,MATCH(F585,'Müşteriler'!$A$2:$A$101,0)),""))</ns0:f>
        <ns0:v/>
      </ns0:c>
      <ns0:c r="H585" s="28" t="str">
        <ns0:f>IF(A585="","",IF(C585&lt;=0,"Satış dışı",IF(OR(F585="",G585=""),"Eşleşmedi","Eşleşti")))</ns0:f>
        <ns0:v/>
      </ns0:c>
      <ns0:c r="I585" s="28">
        <ns0:f>I584+IF(AND(H585="Eşleşmedi",E585='Panel'!$B$4),1,0)</ns0:f>
        <ns0:v>3.0</ns0:v>
      </ns0:c>
    </ns0:row>
    <ns0:row r="586" ht="21" customHeight="1">
      <ns0:c r="A586" s="25" t="n"/>
      <ns0:c r="B586" s="26" t="n"/>
      <ns0:c r="C586" s="27" t="n"/>
      <ns0:c r="D586" s="27" t="n"/>
      <ns0:c r="E586" s="28" t="str">
        <ns0:f>IF(A586="","",YEAR(A586)&amp;"-"&amp;RIGHT("0"&amp;MONTH(A586),2))</ns0:f>
        <ns0:v/>
      </ns0:c>
      <ns0:c r="F586" s="28" t="str">
        <ns0:f>IF(OR(A586="",B586="",C586&lt;=0),"",IF(SUMPRODUCT(('Müşteriler'!$B$2:$B$101&lt;&gt;"")*ISNUMBER(SEARCH('Müşteriler'!$B$2:$B$101,B586)))=1,IFERROR(INDEX('Müşteriler'!$A$2:$A$101,SUMPRODUCT(('Müşteriler'!$B$2:$B$101&lt;&gt;"")*ISNUMBER(SEARCH('Müşteriler'!$B$2:$B$101,B586)),ROW('Müşteriler'!$B$2:$B$101)-ROW('Müşteriler'!$B$2)+1)),""),""))</ns0:f>
        <ns0:v/>
      </ns0:c>
      <ns0:c r="G586" s="28" t="str">
        <ns0:f>IF(F586="","",IFERROR(INDEX('Müşteriler'!$C$2:$C$101,MATCH(F586,'Müşteriler'!$A$2:$A$101,0)),""))</ns0:f>
        <ns0:v/>
      </ns0:c>
      <ns0:c r="H586" s="28" t="str">
        <ns0:f>IF(A586="","",IF(C586&lt;=0,"Satış dışı",IF(OR(F586="",G586=""),"Eşleşmedi","Eşleşti")))</ns0:f>
        <ns0:v/>
      </ns0:c>
      <ns0:c r="I586" s="28">
        <ns0:f>I585+IF(AND(H586="Eşleşmedi",E586='Panel'!$B$4),1,0)</ns0:f>
        <ns0:v>3.0</ns0:v>
      </ns0:c>
    </ns0:row>
    <ns0:row r="587" ht="21" customHeight="1">
      <ns0:c r="A587" s="25" t="n"/>
      <ns0:c r="B587" s="26" t="n"/>
      <ns0:c r="C587" s="27" t="n"/>
      <ns0:c r="D587" s="27" t="n"/>
      <ns0:c r="E587" s="28" t="str">
        <ns0:f>IF(A587="","",YEAR(A587)&amp;"-"&amp;RIGHT("0"&amp;MONTH(A587),2))</ns0:f>
        <ns0:v/>
      </ns0:c>
      <ns0:c r="F587" s="28" t="str">
        <ns0:f>IF(OR(A587="",B587="",C587&lt;=0),"",IF(SUMPRODUCT(('Müşteriler'!$B$2:$B$101&lt;&gt;"")*ISNUMBER(SEARCH('Müşteriler'!$B$2:$B$101,B587)))=1,IFERROR(INDEX('Müşteriler'!$A$2:$A$101,SUMPRODUCT(('Müşteriler'!$B$2:$B$101&lt;&gt;"")*ISNUMBER(SEARCH('Müşteriler'!$B$2:$B$101,B587)),ROW('Müşteriler'!$B$2:$B$101)-ROW('Müşteriler'!$B$2)+1)),""),""))</ns0:f>
        <ns0:v/>
      </ns0:c>
      <ns0:c r="G587" s="28" t="str">
        <ns0:f>IF(F587="","",IFERROR(INDEX('Müşteriler'!$C$2:$C$101,MATCH(F587,'Müşteriler'!$A$2:$A$101,0)),""))</ns0:f>
        <ns0:v/>
      </ns0:c>
      <ns0:c r="H587" s="28" t="str">
        <ns0:f>IF(A587="","",IF(C587&lt;=0,"Satış dışı",IF(OR(F587="",G587=""),"Eşleşmedi","Eşleşti")))</ns0:f>
        <ns0:v/>
      </ns0:c>
      <ns0:c r="I587" s="28">
        <ns0:f>I586+IF(AND(H587="Eşleşmedi",E587='Panel'!$B$4),1,0)</ns0:f>
        <ns0:v>3.0</ns0:v>
      </ns0:c>
    </ns0:row>
    <ns0:row r="588" ht="21" customHeight="1">
      <ns0:c r="A588" s="25" t="n"/>
      <ns0:c r="B588" s="26" t="n"/>
      <ns0:c r="C588" s="27" t="n"/>
      <ns0:c r="D588" s="27" t="n"/>
      <ns0:c r="E588" s="28" t="str">
        <ns0:f>IF(A588="","",YEAR(A588)&amp;"-"&amp;RIGHT("0"&amp;MONTH(A588),2))</ns0:f>
        <ns0:v/>
      </ns0:c>
      <ns0:c r="F588" s="28" t="str">
        <ns0:f>IF(OR(A588="",B588="",C588&lt;=0),"",IF(SUMPRODUCT(('Müşteriler'!$B$2:$B$101&lt;&gt;"")*ISNUMBER(SEARCH('Müşteriler'!$B$2:$B$101,B588)))=1,IFERROR(INDEX('Müşteriler'!$A$2:$A$101,SUMPRODUCT(('Müşteriler'!$B$2:$B$101&lt;&gt;"")*ISNUMBER(SEARCH('Müşteriler'!$B$2:$B$101,B588)),ROW('Müşteriler'!$B$2:$B$101)-ROW('Müşteriler'!$B$2)+1)),""),""))</ns0:f>
        <ns0:v/>
      </ns0:c>
      <ns0:c r="G588" s="28" t="str">
        <ns0:f>IF(F588="","",IFERROR(INDEX('Müşteriler'!$C$2:$C$101,MATCH(F588,'Müşteriler'!$A$2:$A$101,0)),""))</ns0:f>
        <ns0:v/>
      </ns0:c>
      <ns0:c r="H588" s="28" t="str">
        <ns0:f>IF(A588="","",IF(C588&lt;=0,"Satış dışı",IF(OR(F588="",G588=""),"Eşleşmedi","Eşleşti")))</ns0:f>
        <ns0:v/>
      </ns0:c>
      <ns0:c r="I588" s="28">
        <ns0:f>I587+IF(AND(H588="Eşleşmedi",E588='Panel'!$B$4),1,0)</ns0:f>
        <ns0:v>3.0</ns0:v>
      </ns0:c>
    </ns0:row>
    <ns0:row r="589" ht="21" customHeight="1">
      <ns0:c r="A589" s="25" t="n"/>
      <ns0:c r="B589" s="26" t="n"/>
      <ns0:c r="C589" s="27" t="n"/>
      <ns0:c r="D589" s="27" t="n"/>
      <ns0:c r="E589" s="28" t="str">
        <ns0:f>IF(A589="","",YEAR(A589)&amp;"-"&amp;RIGHT("0"&amp;MONTH(A589),2))</ns0:f>
        <ns0:v/>
      </ns0:c>
      <ns0:c r="F589" s="28" t="str">
        <ns0:f>IF(OR(A589="",B589="",C589&lt;=0),"",IF(SUMPRODUCT(('Müşteriler'!$B$2:$B$101&lt;&gt;"")*ISNUMBER(SEARCH('Müşteriler'!$B$2:$B$101,B589)))=1,IFERROR(INDEX('Müşteriler'!$A$2:$A$101,SUMPRODUCT(('Müşteriler'!$B$2:$B$101&lt;&gt;"")*ISNUMBER(SEARCH('Müşteriler'!$B$2:$B$101,B589)),ROW('Müşteriler'!$B$2:$B$101)-ROW('Müşteriler'!$B$2)+1)),""),""))</ns0:f>
        <ns0:v/>
      </ns0:c>
      <ns0:c r="G589" s="28" t="str">
        <ns0:f>IF(F589="","",IFERROR(INDEX('Müşteriler'!$C$2:$C$101,MATCH(F589,'Müşteriler'!$A$2:$A$101,0)),""))</ns0:f>
        <ns0:v/>
      </ns0:c>
      <ns0:c r="H589" s="28" t="str">
        <ns0:f>IF(A589="","",IF(C589&lt;=0,"Satış dışı",IF(OR(F589="",G589=""),"Eşleşmedi","Eşleşti")))</ns0:f>
        <ns0:v/>
      </ns0:c>
      <ns0:c r="I589" s="28">
        <ns0:f>I588+IF(AND(H589="Eşleşmedi",E589='Panel'!$B$4),1,0)</ns0:f>
        <ns0:v>3.0</ns0:v>
      </ns0:c>
    </ns0:row>
    <ns0:row r="590" ht="21" customHeight="1">
      <ns0:c r="A590" s="25" t="n"/>
      <ns0:c r="B590" s="26" t="n"/>
      <ns0:c r="C590" s="27" t="n"/>
      <ns0:c r="D590" s="27" t="n"/>
      <ns0:c r="E590" s="28" t="str">
        <ns0:f>IF(A590="","",YEAR(A590)&amp;"-"&amp;RIGHT("0"&amp;MONTH(A590),2))</ns0:f>
        <ns0:v/>
      </ns0:c>
      <ns0:c r="F590" s="28" t="str">
        <ns0:f>IF(OR(A590="",B590="",C590&lt;=0),"",IF(SUMPRODUCT(('Müşteriler'!$B$2:$B$101&lt;&gt;"")*ISNUMBER(SEARCH('Müşteriler'!$B$2:$B$101,B590)))=1,IFERROR(INDEX('Müşteriler'!$A$2:$A$101,SUMPRODUCT(('Müşteriler'!$B$2:$B$101&lt;&gt;"")*ISNUMBER(SEARCH('Müşteriler'!$B$2:$B$101,B590)),ROW('Müşteriler'!$B$2:$B$101)-ROW('Müşteriler'!$B$2)+1)),""),""))</ns0:f>
        <ns0:v/>
      </ns0:c>
      <ns0:c r="G590" s="28" t="str">
        <ns0:f>IF(F590="","",IFERROR(INDEX('Müşteriler'!$C$2:$C$101,MATCH(F590,'Müşteriler'!$A$2:$A$101,0)),""))</ns0:f>
        <ns0:v/>
      </ns0:c>
      <ns0:c r="H590" s="28" t="str">
        <ns0:f>IF(A590="","",IF(C590&lt;=0,"Satış dışı",IF(OR(F590="",G590=""),"Eşleşmedi","Eşleşti")))</ns0:f>
        <ns0:v/>
      </ns0:c>
      <ns0:c r="I590" s="28">
        <ns0:f>I589+IF(AND(H590="Eşleşmedi",E590='Panel'!$B$4),1,0)</ns0:f>
        <ns0:v>3.0</ns0:v>
      </ns0:c>
    </ns0:row>
    <ns0:row r="591" ht="21" customHeight="1">
      <ns0:c r="A591" s="25" t="n"/>
      <ns0:c r="B591" s="26" t="n"/>
      <ns0:c r="C591" s="27" t="n"/>
      <ns0:c r="D591" s="27" t="n"/>
      <ns0:c r="E591" s="28" t="str">
        <ns0:f>IF(A591="","",YEAR(A591)&amp;"-"&amp;RIGHT("0"&amp;MONTH(A591),2))</ns0:f>
        <ns0:v/>
      </ns0:c>
      <ns0:c r="F591" s="28" t="str">
        <ns0:f>IF(OR(A591="",B591="",C591&lt;=0),"",IF(SUMPRODUCT(('Müşteriler'!$B$2:$B$101&lt;&gt;"")*ISNUMBER(SEARCH('Müşteriler'!$B$2:$B$101,B591)))=1,IFERROR(INDEX('Müşteriler'!$A$2:$A$101,SUMPRODUCT(('Müşteriler'!$B$2:$B$101&lt;&gt;"")*ISNUMBER(SEARCH('Müşteriler'!$B$2:$B$101,B591)),ROW('Müşteriler'!$B$2:$B$101)-ROW('Müşteriler'!$B$2)+1)),""),""))</ns0:f>
        <ns0:v/>
      </ns0:c>
      <ns0:c r="G591" s="28" t="str">
        <ns0:f>IF(F591="","",IFERROR(INDEX('Müşteriler'!$C$2:$C$101,MATCH(F591,'Müşteriler'!$A$2:$A$101,0)),""))</ns0:f>
        <ns0:v/>
      </ns0:c>
      <ns0:c r="H591" s="28" t="str">
        <ns0:f>IF(A591="","",IF(C591&lt;=0,"Satış dışı",IF(OR(F591="",G591=""),"Eşleşmedi","Eşleşti")))</ns0:f>
        <ns0:v/>
      </ns0:c>
      <ns0:c r="I591" s="28">
        <ns0:f>I590+IF(AND(H591="Eşleşmedi",E591='Panel'!$B$4),1,0)</ns0:f>
        <ns0:v>3.0</ns0:v>
      </ns0:c>
    </ns0:row>
    <ns0:row r="592" ht="21" customHeight="1">
      <ns0:c r="A592" s="25" t="n"/>
      <ns0:c r="B592" s="26" t="n"/>
      <ns0:c r="C592" s="27" t="n"/>
      <ns0:c r="D592" s="27" t="n"/>
      <ns0:c r="E592" s="28" t="str">
        <ns0:f>IF(A592="","",YEAR(A592)&amp;"-"&amp;RIGHT("0"&amp;MONTH(A592),2))</ns0:f>
        <ns0:v/>
      </ns0:c>
      <ns0:c r="F592" s="28" t="str">
        <ns0:f>IF(OR(A592="",B592="",C592&lt;=0),"",IF(SUMPRODUCT(('Müşteriler'!$B$2:$B$101&lt;&gt;"")*ISNUMBER(SEARCH('Müşteriler'!$B$2:$B$101,B592)))=1,IFERROR(INDEX('Müşteriler'!$A$2:$A$101,SUMPRODUCT(('Müşteriler'!$B$2:$B$101&lt;&gt;"")*ISNUMBER(SEARCH('Müşteriler'!$B$2:$B$101,B592)),ROW('Müşteriler'!$B$2:$B$101)-ROW('Müşteriler'!$B$2)+1)),""),""))</ns0:f>
        <ns0:v/>
      </ns0:c>
      <ns0:c r="G592" s="28" t="str">
        <ns0:f>IF(F592="","",IFERROR(INDEX('Müşteriler'!$C$2:$C$101,MATCH(F592,'Müşteriler'!$A$2:$A$101,0)),""))</ns0:f>
        <ns0:v/>
      </ns0:c>
      <ns0:c r="H592" s="28" t="str">
        <ns0:f>IF(A592="","",IF(C592&lt;=0,"Satış dışı",IF(OR(F592="",G592=""),"Eşleşmedi","Eşleşti")))</ns0:f>
        <ns0:v/>
      </ns0:c>
      <ns0:c r="I592" s="28">
        <ns0:f>I591+IF(AND(H592="Eşleşmedi",E592='Panel'!$B$4),1,0)</ns0:f>
        <ns0:v>3.0</ns0:v>
      </ns0:c>
    </ns0:row>
    <ns0:row r="593" ht="21" customHeight="1">
      <ns0:c r="A593" s="25" t="n"/>
      <ns0:c r="B593" s="26" t="n"/>
      <ns0:c r="C593" s="27" t="n"/>
      <ns0:c r="D593" s="27" t="n"/>
      <ns0:c r="E593" s="28" t="str">
        <ns0:f>IF(A593="","",YEAR(A593)&amp;"-"&amp;RIGHT("0"&amp;MONTH(A593),2))</ns0:f>
        <ns0:v/>
      </ns0:c>
      <ns0:c r="F593" s="28" t="str">
        <ns0:f>IF(OR(A593="",B593="",C593&lt;=0),"",IF(SUMPRODUCT(('Müşteriler'!$B$2:$B$101&lt;&gt;"")*ISNUMBER(SEARCH('Müşteriler'!$B$2:$B$101,B593)))=1,IFERROR(INDEX('Müşteriler'!$A$2:$A$101,SUMPRODUCT(('Müşteriler'!$B$2:$B$101&lt;&gt;"")*ISNUMBER(SEARCH('Müşteriler'!$B$2:$B$101,B593)),ROW('Müşteriler'!$B$2:$B$101)-ROW('Müşteriler'!$B$2)+1)),""),""))</ns0:f>
        <ns0:v/>
      </ns0:c>
      <ns0:c r="G593" s="28" t="str">
        <ns0:f>IF(F593="","",IFERROR(INDEX('Müşteriler'!$C$2:$C$101,MATCH(F593,'Müşteriler'!$A$2:$A$101,0)),""))</ns0:f>
        <ns0:v/>
      </ns0:c>
      <ns0:c r="H593" s="28" t="str">
        <ns0:f>IF(A593="","",IF(C593&lt;=0,"Satış dışı",IF(OR(F593="",G593=""),"Eşleşmedi","Eşleşti")))</ns0:f>
        <ns0:v/>
      </ns0:c>
      <ns0:c r="I593" s="28">
        <ns0:f>I592+IF(AND(H593="Eşleşmedi",E593='Panel'!$B$4),1,0)</ns0:f>
        <ns0:v>3.0</ns0:v>
      </ns0:c>
    </ns0:row>
    <ns0:row r="594" ht="21" customHeight="1">
      <ns0:c r="A594" s="25" t="n"/>
      <ns0:c r="B594" s="26" t="n"/>
      <ns0:c r="C594" s="27" t="n"/>
      <ns0:c r="D594" s="27" t="n"/>
      <ns0:c r="E594" s="28" t="str">
        <ns0:f>IF(A594="","",YEAR(A594)&amp;"-"&amp;RIGHT("0"&amp;MONTH(A594),2))</ns0:f>
        <ns0:v/>
      </ns0:c>
      <ns0:c r="F594" s="28" t="str">
        <ns0:f>IF(OR(A594="",B594="",C594&lt;=0),"",IF(SUMPRODUCT(('Müşteriler'!$B$2:$B$101&lt;&gt;"")*ISNUMBER(SEARCH('Müşteriler'!$B$2:$B$101,B594)))=1,IFERROR(INDEX('Müşteriler'!$A$2:$A$101,SUMPRODUCT(('Müşteriler'!$B$2:$B$101&lt;&gt;"")*ISNUMBER(SEARCH('Müşteriler'!$B$2:$B$101,B594)),ROW('Müşteriler'!$B$2:$B$101)-ROW('Müşteriler'!$B$2)+1)),""),""))</ns0:f>
        <ns0:v/>
      </ns0:c>
      <ns0:c r="G594" s="28" t="str">
        <ns0:f>IF(F594="","",IFERROR(INDEX('Müşteriler'!$C$2:$C$101,MATCH(F594,'Müşteriler'!$A$2:$A$101,0)),""))</ns0:f>
        <ns0:v/>
      </ns0:c>
      <ns0:c r="H594" s="28" t="str">
        <ns0:f>IF(A594="","",IF(C594&lt;=0,"Satış dışı",IF(OR(F594="",G594=""),"Eşleşmedi","Eşleşti")))</ns0:f>
        <ns0:v/>
      </ns0:c>
      <ns0:c r="I594" s="28">
        <ns0:f>I593+IF(AND(H594="Eşleşmedi",E594='Panel'!$B$4),1,0)</ns0:f>
        <ns0:v>3.0</ns0:v>
      </ns0:c>
    </ns0:row>
    <ns0:row r="595" ht="21" customHeight="1">
      <ns0:c r="A595" s="25" t="n"/>
      <ns0:c r="B595" s="26" t="n"/>
      <ns0:c r="C595" s="27" t="n"/>
      <ns0:c r="D595" s="27" t="n"/>
      <ns0:c r="E595" s="28" t="str">
        <ns0:f>IF(A595="","",YEAR(A595)&amp;"-"&amp;RIGHT("0"&amp;MONTH(A595),2))</ns0:f>
        <ns0:v/>
      </ns0:c>
      <ns0:c r="F595" s="28" t="str">
        <ns0:f>IF(OR(A595="",B595="",C595&lt;=0),"",IF(SUMPRODUCT(('Müşteriler'!$B$2:$B$101&lt;&gt;"")*ISNUMBER(SEARCH('Müşteriler'!$B$2:$B$101,B595)))=1,IFERROR(INDEX('Müşteriler'!$A$2:$A$101,SUMPRODUCT(('Müşteriler'!$B$2:$B$101&lt;&gt;"")*ISNUMBER(SEARCH('Müşteriler'!$B$2:$B$101,B595)),ROW('Müşteriler'!$B$2:$B$101)-ROW('Müşteriler'!$B$2)+1)),""),""))</ns0:f>
        <ns0:v/>
      </ns0:c>
      <ns0:c r="G595" s="28" t="str">
        <ns0:f>IF(F595="","",IFERROR(INDEX('Müşteriler'!$C$2:$C$101,MATCH(F595,'Müşteriler'!$A$2:$A$101,0)),""))</ns0:f>
        <ns0:v/>
      </ns0:c>
      <ns0:c r="H595" s="28" t="str">
        <ns0:f>IF(A595="","",IF(C595&lt;=0,"Satış dışı",IF(OR(F595="",G595=""),"Eşleşmedi","Eşleşti")))</ns0:f>
        <ns0:v/>
      </ns0:c>
      <ns0:c r="I595" s="28">
        <ns0:f>I594+IF(AND(H595="Eşleşmedi",E595='Panel'!$B$4),1,0)</ns0:f>
        <ns0:v>3.0</ns0:v>
      </ns0:c>
    </ns0:row>
    <ns0:row r="596" ht="21" customHeight="1">
      <ns0:c r="A596" s="25" t="n"/>
      <ns0:c r="B596" s="26" t="n"/>
      <ns0:c r="C596" s="27" t="n"/>
      <ns0:c r="D596" s="27" t="n"/>
      <ns0:c r="E596" s="28" t="str">
        <ns0:f>IF(A596="","",YEAR(A596)&amp;"-"&amp;RIGHT("0"&amp;MONTH(A596),2))</ns0:f>
        <ns0:v/>
      </ns0:c>
      <ns0:c r="F596" s="28" t="str">
        <ns0:f>IF(OR(A596="",B596="",C596&lt;=0),"",IF(SUMPRODUCT(('Müşteriler'!$B$2:$B$101&lt;&gt;"")*ISNUMBER(SEARCH('Müşteriler'!$B$2:$B$101,B596)))=1,IFERROR(INDEX('Müşteriler'!$A$2:$A$101,SUMPRODUCT(('Müşteriler'!$B$2:$B$101&lt;&gt;"")*ISNUMBER(SEARCH('Müşteriler'!$B$2:$B$101,B596)),ROW('Müşteriler'!$B$2:$B$101)-ROW('Müşteriler'!$B$2)+1)),""),""))</ns0:f>
        <ns0:v/>
      </ns0:c>
      <ns0:c r="G596" s="28" t="str">
        <ns0:f>IF(F596="","",IFERROR(INDEX('Müşteriler'!$C$2:$C$101,MATCH(F596,'Müşteriler'!$A$2:$A$101,0)),""))</ns0:f>
        <ns0:v/>
      </ns0:c>
      <ns0:c r="H596" s="28" t="str">
        <ns0:f>IF(A596="","",IF(C596&lt;=0,"Satış dışı",IF(OR(F596="",G596=""),"Eşleşmedi","Eşleşti")))</ns0:f>
        <ns0:v/>
      </ns0:c>
      <ns0:c r="I596" s="28">
        <ns0:f>I595+IF(AND(H596="Eşleşmedi",E596='Panel'!$B$4),1,0)</ns0:f>
        <ns0:v>3.0</ns0:v>
      </ns0:c>
    </ns0:row>
    <ns0:row r="597" ht="21" customHeight="1">
      <ns0:c r="A597" s="25" t="n"/>
      <ns0:c r="B597" s="26" t="n"/>
      <ns0:c r="C597" s="27" t="n"/>
      <ns0:c r="D597" s="27" t="n"/>
      <ns0:c r="E597" s="28" t="str">
        <ns0:f>IF(A597="","",YEAR(A597)&amp;"-"&amp;RIGHT("0"&amp;MONTH(A597),2))</ns0:f>
        <ns0:v/>
      </ns0:c>
      <ns0:c r="F597" s="28" t="str">
        <ns0:f>IF(OR(A597="",B597="",C597&lt;=0),"",IF(SUMPRODUCT(('Müşteriler'!$B$2:$B$101&lt;&gt;"")*ISNUMBER(SEARCH('Müşteriler'!$B$2:$B$101,B597)))=1,IFERROR(INDEX('Müşteriler'!$A$2:$A$101,SUMPRODUCT(('Müşteriler'!$B$2:$B$101&lt;&gt;"")*ISNUMBER(SEARCH('Müşteriler'!$B$2:$B$101,B597)),ROW('Müşteriler'!$B$2:$B$101)-ROW('Müşteriler'!$B$2)+1)),""),""))</ns0:f>
        <ns0:v/>
      </ns0:c>
      <ns0:c r="G597" s="28" t="str">
        <ns0:f>IF(F597="","",IFERROR(INDEX('Müşteriler'!$C$2:$C$101,MATCH(F597,'Müşteriler'!$A$2:$A$101,0)),""))</ns0:f>
        <ns0:v/>
      </ns0:c>
      <ns0:c r="H597" s="28" t="str">
        <ns0:f>IF(A597="","",IF(C597&lt;=0,"Satış dışı",IF(OR(F597="",G597=""),"Eşleşmedi","Eşleşti")))</ns0:f>
        <ns0:v/>
      </ns0:c>
      <ns0:c r="I597" s="28">
        <ns0:f>I596+IF(AND(H597="Eşleşmedi",E597='Panel'!$B$4),1,0)</ns0:f>
        <ns0:v>3.0</ns0:v>
      </ns0:c>
    </ns0:row>
    <ns0:row r="598" ht="21" customHeight="1">
      <ns0:c r="A598" s="25" t="n"/>
      <ns0:c r="B598" s="26" t="n"/>
      <ns0:c r="C598" s="27" t="n"/>
      <ns0:c r="D598" s="27" t="n"/>
      <ns0:c r="E598" s="28" t="str">
        <ns0:f>IF(A598="","",YEAR(A598)&amp;"-"&amp;RIGHT("0"&amp;MONTH(A598),2))</ns0:f>
        <ns0:v/>
      </ns0:c>
      <ns0:c r="F598" s="28" t="str">
        <ns0:f>IF(OR(A598="",B598="",C598&lt;=0),"",IF(SUMPRODUCT(('Müşteriler'!$B$2:$B$101&lt;&gt;"")*ISNUMBER(SEARCH('Müşteriler'!$B$2:$B$101,B598)))=1,IFERROR(INDEX('Müşteriler'!$A$2:$A$101,SUMPRODUCT(('Müşteriler'!$B$2:$B$101&lt;&gt;"")*ISNUMBER(SEARCH('Müşteriler'!$B$2:$B$101,B598)),ROW('Müşteriler'!$B$2:$B$101)-ROW('Müşteriler'!$B$2)+1)),""),""))</ns0:f>
        <ns0:v/>
      </ns0:c>
      <ns0:c r="G598" s="28" t="str">
        <ns0:f>IF(F598="","",IFERROR(INDEX('Müşteriler'!$C$2:$C$101,MATCH(F598,'Müşteriler'!$A$2:$A$101,0)),""))</ns0:f>
        <ns0:v/>
      </ns0:c>
      <ns0:c r="H598" s="28" t="str">
        <ns0:f>IF(A598="","",IF(C598&lt;=0,"Satış dışı",IF(OR(F598="",G598=""),"Eşleşmedi","Eşleşti")))</ns0:f>
        <ns0:v/>
      </ns0:c>
      <ns0:c r="I598" s="28">
        <ns0:f>I597+IF(AND(H598="Eşleşmedi",E598='Panel'!$B$4),1,0)</ns0:f>
        <ns0:v>3.0</ns0:v>
      </ns0:c>
    </ns0:row>
    <ns0:row r="599" ht="21" customHeight="1">
      <ns0:c r="A599" s="25" t="n"/>
      <ns0:c r="B599" s="26" t="n"/>
      <ns0:c r="C599" s="27" t="n"/>
      <ns0:c r="D599" s="27" t="n"/>
      <ns0:c r="E599" s="28" t="str">
        <ns0:f>IF(A599="","",YEAR(A599)&amp;"-"&amp;RIGHT("0"&amp;MONTH(A599),2))</ns0:f>
        <ns0:v/>
      </ns0:c>
      <ns0:c r="F599" s="28" t="str">
        <ns0:f>IF(OR(A599="",B599="",C599&lt;=0),"",IF(SUMPRODUCT(('Müşteriler'!$B$2:$B$101&lt;&gt;"")*ISNUMBER(SEARCH('Müşteriler'!$B$2:$B$101,B599)))=1,IFERROR(INDEX('Müşteriler'!$A$2:$A$101,SUMPRODUCT(('Müşteriler'!$B$2:$B$101&lt;&gt;"")*ISNUMBER(SEARCH('Müşteriler'!$B$2:$B$101,B599)),ROW('Müşteriler'!$B$2:$B$101)-ROW('Müşteriler'!$B$2)+1)),""),""))</ns0:f>
        <ns0:v/>
      </ns0:c>
      <ns0:c r="G599" s="28" t="str">
        <ns0:f>IF(F599="","",IFERROR(INDEX('Müşteriler'!$C$2:$C$101,MATCH(F599,'Müşteriler'!$A$2:$A$101,0)),""))</ns0:f>
        <ns0:v/>
      </ns0:c>
      <ns0:c r="H599" s="28" t="str">
        <ns0:f>IF(A599="","",IF(C599&lt;=0,"Satış dışı",IF(OR(F599="",G599=""),"Eşleşmedi","Eşleşti")))</ns0:f>
        <ns0:v/>
      </ns0:c>
      <ns0:c r="I599" s="28">
        <ns0:f>I598+IF(AND(H599="Eşleşmedi",E599='Panel'!$B$4),1,0)</ns0:f>
        <ns0:v>3.0</ns0:v>
      </ns0:c>
    </ns0:row>
    <ns0:row r="600" ht="21" customHeight="1">
      <ns0:c r="A600" s="25" t="n"/>
      <ns0:c r="B600" s="26" t="n"/>
      <ns0:c r="C600" s="27" t="n"/>
      <ns0:c r="D600" s="27" t="n"/>
      <ns0:c r="E600" s="28" t="str">
        <ns0:f>IF(A600="","",YEAR(A600)&amp;"-"&amp;RIGHT("0"&amp;MONTH(A600),2))</ns0:f>
        <ns0:v/>
      </ns0:c>
      <ns0:c r="F600" s="28" t="str">
        <ns0:f>IF(OR(A600="",B600="",C600&lt;=0),"",IF(SUMPRODUCT(('Müşteriler'!$B$2:$B$101&lt;&gt;"")*ISNUMBER(SEARCH('Müşteriler'!$B$2:$B$101,B600)))=1,IFERROR(INDEX('Müşteriler'!$A$2:$A$101,SUMPRODUCT(('Müşteriler'!$B$2:$B$101&lt;&gt;"")*ISNUMBER(SEARCH('Müşteriler'!$B$2:$B$101,B600)),ROW('Müşteriler'!$B$2:$B$101)-ROW('Müşteriler'!$B$2)+1)),""),""))</ns0:f>
        <ns0:v/>
      </ns0:c>
      <ns0:c r="G600" s="28" t="str">
        <ns0:f>IF(F600="","",IFERROR(INDEX('Müşteriler'!$C$2:$C$101,MATCH(F600,'Müşteriler'!$A$2:$A$101,0)),""))</ns0:f>
        <ns0:v/>
      </ns0:c>
      <ns0:c r="H600" s="28" t="str">
        <ns0:f>IF(A600="","",IF(C600&lt;=0,"Satış dışı",IF(OR(F600="",G600=""),"Eşleşmedi","Eşleşti")))</ns0:f>
        <ns0:v/>
      </ns0:c>
      <ns0:c r="I600" s="28">
        <ns0:f>I599+IF(AND(H600="Eşleşmedi",E600='Panel'!$B$4),1,0)</ns0:f>
        <ns0:v>3.0</ns0:v>
      </ns0:c>
    </ns0:row>
    <ns0:row r="601" ht="21" customHeight="1">
      <ns0:c r="A601" s="25" t="n"/>
      <ns0:c r="B601" s="26" t="n"/>
      <ns0:c r="C601" s="27" t="n"/>
      <ns0:c r="D601" s="27" t="n"/>
      <ns0:c r="E601" s="28" t="str">
        <ns0:f>IF(A601="","",YEAR(A601)&amp;"-"&amp;RIGHT("0"&amp;MONTH(A601),2))</ns0:f>
        <ns0:v/>
      </ns0:c>
      <ns0:c r="F601" s="28" t="str">
        <ns0:f>IF(OR(A601="",B601="",C601&lt;=0),"",IF(SUMPRODUCT(('Müşteriler'!$B$2:$B$101&lt;&gt;"")*ISNUMBER(SEARCH('Müşteriler'!$B$2:$B$101,B601)))=1,IFERROR(INDEX('Müşteriler'!$A$2:$A$101,SUMPRODUCT(('Müşteriler'!$B$2:$B$101&lt;&gt;"")*ISNUMBER(SEARCH('Müşteriler'!$B$2:$B$101,B601)),ROW('Müşteriler'!$B$2:$B$101)-ROW('Müşteriler'!$B$2)+1)),""),""))</ns0:f>
        <ns0:v/>
      </ns0:c>
      <ns0:c r="G601" s="28" t="str">
        <ns0:f>IF(F601="","",IFERROR(INDEX('Müşteriler'!$C$2:$C$101,MATCH(F601,'Müşteriler'!$A$2:$A$101,0)),""))</ns0:f>
        <ns0:v/>
      </ns0:c>
      <ns0:c r="H601" s="28" t="str">
        <ns0:f>IF(A601="","",IF(C601&lt;=0,"Satış dışı",IF(OR(F601="",G601=""),"Eşleşmedi","Eşleşti")))</ns0:f>
        <ns0:v/>
      </ns0:c>
      <ns0:c r="I601" s="28">
        <ns0:f>I600+IF(AND(H601="Eşleşmedi",E601='Panel'!$B$4),1,0)</ns0:f>
        <ns0:v>3.0</ns0:v>
      </ns0:c>
    </ns0:row>
    <ns0:row r="602" ht="21" customHeight="1">
      <ns0:c r="A602" s="25" t="n"/>
      <ns0:c r="B602" s="26" t="n"/>
      <ns0:c r="C602" s="27" t="n"/>
      <ns0:c r="D602" s="27" t="n"/>
      <ns0:c r="E602" s="28" t="str">
        <ns0:f>IF(A602="","",YEAR(A602)&amp;"-"&amp;RIGHT("0"&amp;MONTH(A602),2))</ns0:f>
        <ns0:v/>
      </ns0:c>
      <ns0:c r="F602" s="28" t="str">
        <ns0:f>IF(OR(A602="",B602="",C602&lt;=0),"",IF(SUMPRODUCT(('Müşteriler'!$B$2:$B$101&lt;&gt;"")*ISNUMBER(SEARCH('Müşteriler'!$B$2:$B$101,B602)))=1,IFERROR(INDEX('Müşteriler'!$A$2:$A$101,SUMPRODUCT(('Müşteriler'!$B$2:$B$101&lt;&gt;"")*ISNUMBER(SEARCH('Müşteriler'!$B$2:$B$101,B602)),ROW('Müşteriler'!$B$2:$B$101)-ROW('Müşteriler'!$B$2)+1)),""),""))</ns0:f>
        <ns0:v/>
      </ns0:c>
      <ns0:c r="G602" s="28" t="str">
        <ns0:f>IF(F602="","",IFERROR(INDEX('Müşteriler'!$C$2:$C$101,MATCH(F602,'Müşteriler'!$A$2:$A$101,0)),""))</ns0:f>
        <ns0:v/>
      </ns0:c>
      <ns0:c r="H602" s="28" t="str">
        <ns0:f>IF(A602="","",IF(C602&lt;=0,"Satış dışı",IF(OR(F602="",G602=""),"Eşleşmedi","Eşleşti")))</ns0:f>
        <ns0:v/>
      </ns0:c>
      <ns0:c r="I602" s="28">
        <ns0:f>I601+IF(AND(H602="Eşleşmedi",E602='Panel'!$B$4),1,0)</ns0:f>
        <ns0:v>3.0</ns0:v>
      </ns0:c>
    </ns0:row>
    <ns0:row r="603" ht="21" customHeight="1">
      <ns0:c r="A603" s="25" t="n"/>
      <ns0:c r="B603" s="26" t="n"/>
      <ns0:c r="C603" s="27" t="n"/>
      <ns0:c r="D603" s="27" t="n"/>
      <ns0:c r="E603" s="28" t="str">
        <ns0:f>IF(A603="","",YEAR(A603)&amp;"-"&amp;RIGHT("0"&amp;MONTH(A603),2))</ns0:f>
        <ns0:v/>
      </ns0:c>
      <ns0:c r="F603" s="28" t="str">
        <ns0:f>IF(OR(A603="",B603="",C603&lt;=0),"",IF(SUMPRODUCT(('Müşteriler'!$B$2:$B$101&lt;&gt;"")*ISNUMBER(SEARCH('Müşteriler'!$B$2:$B$101,B603)))=1,IFERROR(INDEX('Müşteriler'!$A$2:$A$101,SUMPRODUCT(('Müşteriler'!$B$2:$B$101&lt;&gt;"")*ISNUMBER(SEARCH('Müşteriler'!$B$2:$B$101,B603)),ROW('Müşteriler'!$B$2:$B$101)-ROW('Müşteriler'!$B$2)+1)),""),""))</ns0:f>
        <ns0:v/>
      </ns0:c>
      <ns0:c r="G603" s="28" t="str">
        <ns0:f>IF(F603="","",IFERROR(INDEX('Müşteriler'!$C$2:$C$101,MATCH(F603,'Müşteriler'!$A$2:$A$101,0)),""))</ns0:f>
        <ns0:v/>
      </ns0:c>
      <ns0:c r="H603" s="28" t="str">
        <ns0:f>IF(A603="","",IF(C603&lt;=0,"Satış dışı",IF(OR(F603="",G603=""),"Eşleşmedi","Eşleşti")))</ns0:f>
        <ns0:v/>
      </ns0:c>
      <ns0:c r="I603" s="28">
        <ns0:f>I602+IF(AND(H603="Eşleşmedi",E603='Panel'!$B$4),1,0)</ns0:f>
        <ns0:v>3.0</ns0:v>
      </ns0:c>
    </ns0:row>
    <ns0:row r="604" ht="21" customHeight="1">
      <ns0:c r="A604" s="25" t="n"/>
      <ns0:c r="B604" s="26" t="n"/>
      <ns0:c r="C604" s="27" t="n"/>
      <ns0:c r="D604" s="27" t="n"/>
      <ns0:c r="E604" s="28" t="str">
        <ns0:f>IF(A604="","",YEAR(A604)&amp;"-"&amp;RIGHT("0"&amp;MONTH(A604),2))</ns0:f>
        <ns0:v/>
      </ns0:c>
      <ns0:c r="F604" s="28" t="str">
        <ns0:f>IF(OR(A604="",B604="",C604&lt;=0),"",IF(SUMPRODUCT(('Müşteriler'!$B$2:$B$101&lt;&gt;"")*ISNUMBER(SEARCH('Müşteriler'!$B$2:$B$101,B604)))=1,IFERROR(INDEX('Müşteriler'!$A$2:$A$101,SUMPRODUCT(('Müşteriler'!$B$2:$B$101&lt;&gt;"")*ISNUMBER(SEARCH('Müşteriler'!$B$2:$B$101,B604)),ROW('Müşteriler'!$B$2:$B$101)-ROW('Müşteriler'!$B$2)+1)),""),""))</ns0:f>
        <ns0:v/>
      </ns0:c>
      <ns0:c r="G604" s="28" t="str">
        <ns0:f>IF(F604="","",IFERROR(INDEX('Müşteriler'!$C$2:$C$101,MATCH(F604,'Müşteriler'!$A$2:$A$101,0)),""))</ns0:f>
        <ns0:v/>
      </ns0:c>
      <ns0:c r="H604" s="28" t="str">
        <ns0:f>IF(A604="","",IF(C604&lt;=0,"Satış dışı",IF(OR(F604="",G604=""),"Eşleşmedi","Eşleşti")))</ns0:f>
        <ns0:v/>
      </ns0:c>
      <ns0:c r="I604" s="28">
        <ns0:f>I603+IF(AND(H604="Eşleşmedi",E604='Panel'!$B$4),1,0)</ns0:f>
        <ns0:v>3.0</ns0:v>
      </ns0:c>
    </ns0:row>
    <ns0:row r="605" ht="21" customHeight="1">
      <ns0:c r="A605" s="25" t="n"/>
      <ns0:c r="B605" s="26" t="n"/>
      <ns0:c r="C605" s="27" t="n"/>
      <ns0:c r="D605" s="27" t="n"/>
      <ns0:c r="E605" s="28" t="str">
        <ns0:f>IF(A605="","",YEAR(A605)&amp;"-"&amp;RIGHT("0"&amp;MONTH(A605),2))</ns0:f>
        <ns0:v/>
      </ns0:c>
      <ns0:c r="F605" s="28" t="str">
        <ns0:f>IF(OR(A605="",B605="",C605&lt;=0),"",IF(SUMPRODUCT(('Müşteriler'!$B$2:$B$101&lt;&gt;"")*ISNUMBER(SEARCH('Müşteriler'!$B$2:$B$101,B605)))=1,IFERROR(INDEX('Müşteriler'!$A$2:$A$101,SUMPRODUCT(('Müşteriler'!$B$2:$B$101&lt;&gt;"")*ISNUMBER(SEARCH('Müşteriler'!$B$2:$B$101,B605)),ROW('Müşteriler'!$B$2:$B$101)-ROW('Müşteriler'!$B$2)+1)),""),""))</ns0:f>
        <ns0:v/>
      </ns0:c>
      <ns0:c r="G605" s="28" t="str">
        <ns0:f>IF(F605="","",IFERROR(INDEX('Müşteriler'!$C$2:$C$101,MATCH(F605,'Müşteriler'!$A$2:$A$101,0)),""))</ns0:f>
        <ns0:v/>
      </ns0:c>
      <ns0:c r="H605" s="28" t="str">
        <ns0:f>IF(A605="","",IF(C605&lt;=0,"Satış dışı",IF(OR(F605="",G605=""),"Eşleşmedi","Eşleşti")))</ns0:f>
        <ns0:v/>
      </ns0:c>
      <ns0:c r="I605" s="28">
        <ns0:f>I604+IF(AND(H605="Eşleşmedi",E605='Panel'!$B$4),1,0)</ns0:f>
        <ns0:v>3.0</ns0:v>
      </ns0:c>
    </ns0:row>
    <ns0:row r="606" ht="21" customHeight="1">
      <ns0:c r="A606" s="25" t="n"/>
      <ns0:c r="B606" s="26" t="n"/>
      <ns0:c r="C606" s="27" t="n"/>
      <ns0:c r="D606" s="27" t="n"/>
      <ns0:c r="E606" s="28" t="str">
        <ns0:f>IF(A606="","",YEAR(A606)&amp;"-"&amp;RIGHT("0"&amp;MONTH(A606),2))</ns0:f>
        <ns0:v/>
      </ns0:c>
      <ns0:c r="F606" s="28" t="str">
        <ns0:f>IF(OR(A606="",B606="",C606&lt;=0),"",IF(SUMPRODUCT(('Müşteriler'!$B$2:$B$101&lt;&gt;"")*ISNUMBER(SEARCH('Müşteriler'!$B$2:$B$101,B606)))=1,IFERROR(INDEX('Müşteriler'!$A$2:$A$101,SUMPRODUCT(('Müşteriler'!$B$2:$B$101&lt;&gt;"")*ISNUMBER(SEARCH('Müşteriler'!$B$2:$B$101,B606)),ROW('Müşteriler'!$B$2:$B$101)-ROW('Müşteriler'!$B$2)+1)),""),""))</ns0:f>
        <ns0:v/>
      </ns0:c>
      <ns0:c r="G606" s="28" t="str">
        <ns0:f>IF(F606="","",IFERROR(INDEX('Müşteriler'!$C$2:$C$101,MATCH(F606,'Müşteriler'!$A$2:$A$101,0)),""))</ns0:f>
        <ns0:v/>
      </ns0:c>
      <ns0:c r="H606" s="28" t="str">
        <ns0:f>IF(A606="","",IF(C606&lt;=0,"Satış dışı",IF(OR(F606="",G606=""),"Eşleşmedi","Eşleşti")))</ns0:f>
        <ns0:v/>
      </ns0:c>
      <ns0:c r="I606" s="28">
        <ns0:f>I605+IF(AND(H606="Eşleşmedi",E606='Panel'!$B$4),1,0)</ns0:f>
        <ns0:v>3.0</ns0:v>
      </ns0:c>
    </ns0:row>
    <ns0:row r="607" ht="21" customHeight="1">
      <ns0:c r="A607" s="25" t="n"/>
      <ns0:c r="B607" s="26" t="n"/>
      <ns0:c r="C607" s="27" t="n"/>
      <ns0:c r="D607" s="27" t="n"/>
      <ns0:c r="E607" s="28" t="str">
        <ns0:f>IF(A607="","",YEAR(A607)&amp;"-"&amp;RIGHT("0"&amp;MONTH(A607),2))</ns0:f>
        <ns0:v/>
      </ns0:c>
      <ns0:c r="F607" s="28" t="str">
        <ns0:f>IF(OR(A607="",B607="",C607&lt;=0),"",IF(SUMPRODUCT(('Müşteriler'!$B$2:$B$101&lt;&gt;"")*ISNUMBER(SEARCH('Müşteriler'!$B$2:$B$101,B607)))=1,IFERROR(INDEX('Müşteriler'!$A$2:$A$101,SUMPRODUCT(('Müşteriler'!$B$2:$B$101&lt;&gt;"")*ISNUMBER(SEARCH('Müşteriler'!$B$2:$B$101,B607)),ROW('Müşteriler'!$B$2:$B$101)-ROW('Müşteriler'!$B$2)+1)),""),""))</ns0:f>
        <ns0:v/>
      </ns0:c>
      <ns0:c r="G607" s="28" t="str">
        <ns0:f>IF(F607="","",IFERROR(INDEX('Müşteriler'!$C$2:$C$101,MATCH(F607,'Müşteriler'!$A$2:$A$101,0)),""))</ns0:f>
        <ns0:v/>
      </ns0:c>
      <ns0:c r="H607" s="28" t="str">
        <ns0:f>IF(A607="","",IF(C607&lt;=0,"Satış dışı",IF(OR(F607="",G607=""),"Eşleşmedi","Eşleşti")))</ns0:f>
        <ns0:v/>
      </ns0:c>
      <ns0:c r="I607" s="28">
        <ns0:f>I606+IF(AND(H607="Eşleşmedi",E607='Panel'!$B$4),1,0)</ns0:f>
        <ns0:v>3.0</ns0:v>
      </ns0:c>
    </ns0:row>
    <ns0:row r="608" ht="21" customHeight="1">
      <ns0:c r="A608" s="25" t="n"/>
      <ns0:c r="B608" s="26" t="n"/>
      <ns0:c r="C608" s="27" t="n"/>
      <ns0:c r="D608" s="27" t="n"/>
      <ns0:c r="E608" s="28" t="str">
        <ns0:f>IF(A608="","",YEAR(A608)&amp;"-"&amp;RIGHT("0"&amp;MONTH(A608),2))</ns0:f>
        <ns0:v/>
      </ns0:c>
      <ns0:c r="F608" s="28" t="str">
        <ns0:f>IF(OR(A608="",B608="",C608&lt;=0),"",IF(SUMPRODUCT(('Müşteriler'!$B$2:$B$101&lt;&gt;"")*ISNUMBER(SEARCH('Müşteriler'!$B$2:$B$101,B608)))=1,IFERROR(INDEX('Müşteriler'!$A$2:$A$101,SUMPRODUCT(('Müşteriler'!$B$2:$B$101&lt;&gt;"")*ISNUMBER(SEARCH('Müşteriler'!$B$2:$B$101,B608)),ROW('Müşteriler'!$B$2:$B$101)-ROW('Müşteriler'!$B$2)+1)),""),""))</ns0:f>
        <ns0:v/>
      </ns0:c>
      <ns0:c r="G608" s="28" t="str">
        <ns0:f>IF(F608="","",IFERROR(INDEX('Müşteriler'!$C$2:$C$101,MATCH(F608,'Müşteriler'!$A$2:$A$101,0)),""))</ns0:f>
        <ns0:v/>
      </ns0:c>
      <ns0:c r="H608" s="28" t="str">
        <ns0:f>IF(A608="","",IF(C608&lt;=0,"Satış dışı",IF(OR(F608="",G608=""),"Eşleşmedi","Eşleşti")))</ns0:f>
        <ns0:v/>
      </ns0:c>
      <ns0:c r="I608" s="28">
        <ns0:f>I607+IF(AND(H608="Eşleşmedi",E608='Panel'!$B$4),1,0)</ns0:f>
        <ns0:v>3.0</ns0:v>
      </ns0:c>
    </ns0:row>
    <ns0:row r="609" ht="21" customHeight="1">
      <ns0:c r="A609" s="25" t="n"/>
      <ns0:c r="B609" s="26" t="n"/>
      <ns0:c r="C609" s="27" t="n"/>
      <ns0:c r="D609" s="27" t="n"/>
      <ns0:c r="E609" s="28" t="str">
        <ns0:f>IF(A609="","",YEAR(A609)&amp;"-"&amp;RIGHT("0"&amp;MONTH(A609),2))</ns0:f>
        <ns0:v/>
      </ns0:c>
      <ns0:c r="F609" s="28" t="str">
        <ns0:f>IF(OR(A609="",B609="",C609&lt;=0),"",IF(SUMPRODUCT(('Müşteriler'!$B$2:$B$101&lt;&gt;"")*ISNUMBER(SEARCH('Müşteriler'!$B$2:$B$101,B609)))=1,IFERROR(INDEX('Müşteriler'!$A$2:$A$101,SUMPRODUCT(('Müşteriler'!$B$2:$B$101&lt;&gt;"")*ISNUMBER(SEARCH('Müşteriler'!$B$2:$B$101,B609)),ROW('Müşteriler'!$B$2:$B$101)-ROW('Müşteriler'!$B$2)+1)),""),""))</ns0:f>
        <ns0:v/>
      </ns0:c>
      <ns0:c r="G609" s="28" t="str">
        <ns0:f>IF(F609="","",IFERROR(INDEX('Müşteriler'!$C$2:$C$101,MATCH(F609,'Müşteriler'!$A$2:$A$101,0)),""))</ns0:f>
        <ns0:v/>
      </ns0:c>
      <ns0:c r="H609" s="28" t="str">
        <ns0:f>IF(A609="","",IF(C609&lt;=0,"Satış dışı",IF(OR(F609="",G609=""),"Eşleşmedi","Eşleşti")))</ns0:f>
        <ns0:v/>
      </ns0:c>
      <ns0:c r="I609" s="28">
        <ns0:f>I608+IF(AND(H609="Eşleşmedi",E609='Panel'!$B$4),1,0)</ns0:f>
        <ns0:v>3.0</ns0:v>
      </ns0:c>
    </ns0:row>
    <ns0:row r="610" ht="21" customHeight="1">
      <ns0:c r="A610" s="25" t="n"/>
      <ns0:c r="B610" s="26" t="n"/>
      <ns0:c r="C610" s="27" t="n"/>
      <ns0:c r="D610" s="27" t="n"/>
      <ns0:c r="E610" s="28" t="str">
        <ns0:f>IF(A610="","",YEAR(A610)&amp;"-"&amp;RIGHT("0"&amp;MONTH(A610),2))</ns0:f>
        <ns0:v/>
      </ns0:c>
      <ns0:c r="F610" s="28" t="str">
        <ns0:f>IF(OR(A610="",B610="",C610&lt;=0),"",IF(SUMPRODUCT(('Müşteriler'!$B$2:$B$101&lt;&gt;"")*ISNUMBER(SEARCH('Müşteriler'!$B$2:$B$101,B610)))=1,IFERROR(INDEX('Müşteriler'!$A$2:$A$101,SUMPRODUCT(('Müşteriler'!$B$2:$B$101&lt;&gt;"")*ISNUMBER(SEARCH('Müşteriler'!$B$2:$B$101,B610)),ROW('Müşteriler'!$B$2:$B$101)-ROW('Müşteriler'!$B$2)+1)),""),""))</ns0:f>
        <ns0:v/>
      </ns0:c>
      <ns0:c r="G610" s="28" t="str">
        <ns0:f>IF(F610="","",IFERROR(INDEX('Müşteriler'!$C$2:$C$101,MATCH(F610,'Müşteriler'!$A$2:$A$101,0)),""))</ns0:f>
        <ns0:v/>
      </ns0:c>
      <ns0:c r="H610" s="28" t="str">
        <ns0:f>IF(A610="","",IF(C610&lt;=0,"Satış dışı",IF(OR(F610="",G610=""),"Eşleşmedi","Eşleşti")))</ns0:f>
        <ns0:v/>
      </ns0:c>
      <ns0:c r="I610" s="28">
        <ns0:f>I609+IF(AND(H610="Eşleşmedi",E610='Panel'!$B$4),1,0)</ns0:f>
        <ns0:v>3.0</ns0:v>
      </ns0:c>
    </ns0:row>
    <ns0:row r="611" ht="21" customHeight="1">
      <ns0:c r="A611" s="25" t="n"/>
      <ns0:c r="B611" s="26" t="n"/>
      <ns0:c r="C611" s="27" t="n"/>
      <ns0:c r="D611" s="27" t="n"/>
      <ns0:c r="E611" s="28" t="str">
        <ns0:f>IF(A611="","",YEAR(A611)&amp;"-"&amp;RIGHT("0"&amp;MONTH(A611),2))</ns0:f>
        <ns0:v/>
      </ns0:c>
      <ns0:c r="F611" s="28" t="str">
        <ns0:f>IF(OR(A611="",B611="",C611&lt;=0),"",IF(SUMPRODUCT(('Müşteriler'!$B$2:$B$101&lt;&gt;"")*ISNUMBER(SEARCH('Müşteriler'!$B$2:$B$101,B611)))=1,IFERROR(INDEX('Müşteriler'!$A$2:$A$101,SUMPRODUCT(('Müşteriler'!$B$2:$B$101&lt;&gt;"")*ISNUMBER(SEARCH('Müşteriler'!$B$2:$B$101,B611)),ROW('Müşteriler'!$B$2:$B$101)-ROW('Müşteriler'!$B$2)+1)),""),""))</ns0:f>
        <ns0:v/>
      </ns0:c>
      <ns0:c r="G611" s="28" t="str">
        <ns0:f>IF(F611="","",IFERROR(INDEX('Müşteriler'!$C$2:$C$101,MATCH(F611,'Müşteriler'!$A$2:$A$101,0)),""))</ns0:f>
        <ns0:v/>
      </ns0:c>
      <ns0:c r="H611" s="28" t="str">
        <ns0:f>IF(A611="","",IF(C611&lt;=0,"Satış dışı",IF(OR(F611="",G611=""),"Eşleşmedi","Eşleşti")))</ns0:f>
        <ns0:v/>
      </ns0:c>
      <ns0:c r="I611" s="28">
        <ns0:f>I610+IF(AND(H611="Eşleşmedi",E611='Panel'!$B$4),1,0)</ns0:f>
        <ns0:v>3.0</ns0:v>
      </ns0:c>
    </ns0:row>
    <ns0:row r="612" ht="21" customHeight="1">
      <ns0:c r="A612" s="25" t="n"/>
      <ns0:c r="B612" s="26" t="n"/>
      <ns0:c r="C612" s="27" t="n"/>
      <ns0:c r="D612" s="27" t="n"/>
      <ns0:c r="E612" s="28" t="str">
        <ns0:f>IF(A612="","",YEAR(A612)&amp;"-"&amp;RIGHT("0"&amp;MONTH(A612),2))</ns0:f>
        <ns0:v/>
      </ns0:c>
      <ns0:c r="F612" s="28" t="str">
        <ns0:f>IF(OR(A612="",B612="",C612&lt;=0),"",IF(SUMPRODUCT(('Müşteriler'!$B$2:$B$101&lt;&gt;"")*ISNUMBER(SEARCH('Müşteriler'!$B$2:$B$101,B612)))=1,IFERROR(INDEX('Müşteriler'!$A$2:$A$101,SUMPRODUCT(('Müşteriler'!$B$2:$B$101&lt;&gt;"")*ISNUMBER(SEARCH('Müşteriler'!$B$2:$B$101,B612)),ROW('Müşteriler'!$B$2:$B$101)-ROW('Müşteriler'!$B$2)+1)),""),""))</ns0:f>
        <ns0:v/>
      </ns0:c>
      <ns0:c r="G612" s="28" t="str">
        <ns0:f>IF(F612="","",IFERROR(INDEX('Müşteriler'!$C$2:$C$101,MATCH(F612,'Müşteriler'!$A$2:$A$101,0)),""))</ns0:f>
        <ns0:v/>
      </ns0:c>
      <ns0:c r="H612" s="28" t="str">
        <ns0:f>IF(A612="","",IF(C612&lt;=0,"Satış dışı",IF(OR(F612="",G612=""),"Eşleşmedi","Eşleşti")))</ns0:f>
        <ns0:v/>
      </ns0:c>
      <ns0:c r="I612" s="28">
        <ns0:f>I611+IF(AND(H612="Eşleşmedi",E612='Panel'!$B$4),1,0)</ns0:f>
        <ns0:v>3.0</ns0:v>
      </ns0:c>
    </ns0:row>
    <ns0:row r="613" ht="21" customHeight="1">
      <ns0:c r="A613" s="25" t="n"/>
      <ns0:c r="B613" s="26" t="n"/>
      <ns0:c r="C613" s="27" t="n"/>
      <ns0:c r="D613" s="27" t="n"/>
      <ns0:c r="E613" s="28" t="str">
        <ns0:f>IF(A613="","",YEAR(A613)&amp;"-"&amp;RIGHT("0"&amp;MONTH(A613),2))</ns0:f>
        <ns0:v/>
      </ns0:c>
      <ns0:c r="F613" s="28" t="str">
        <ns0:f>IF(OR(A613="",B613="",C613&lt;=0),"",IF(SUMPRODUCT(('Müşteriler'!$B$2:$B$101&lt;&gt;"")*ISNUMBER(SEARCH('Müşteriler'!$B$2:$B$101,B613)))=1,IFERROR(INDEX('Müşteriler'!$A$2:$A$101,SUMPRODUCT(('Müşteriler'!$B$2:$B$101&lt;&gt;"")*ISNUMBER(SEARCH('Müşteriler'!$B$2:$B$101,B613)),ROW('Müşteriler'!$B$2:$B$101)-ROW('Müşteriler'!$B$2)+1)),""),""))</ns0:f>
        <ns0:v/>
      </ns0:c>
      <ns0:c r="G613" s="28" t="str">
        <ns0:f>IF(F613="","",IFERROR(INDEX('Müşteriler'!$C$2:$C$101,MATCH(F613,'Müşteriler'!$A$2:$A$101,0)),""))</ns0:f>
        <ns0:v/>
      </ns0:c>
      <ns0:c r="H613" s="28" t="str">
        <ns0:f>IF(A613="","",IF(C613&lt;=0,"Satış dışı",IF(OR(F613="",G613=""),"Eşleşmedi","Eşleşti")))</ns0:f>
        <ns0:v/>
      </ns0:c>
      <ns0:c r="I613" s="28">
        <ns0:f>I612+IF(AND(H613="Eşleşmedi",E613='Panel'!$B$4),1,0)</ns0:f>
        <ns0:v>3.0</ns0:v>
      </ns0:c>
    </ns0:row>
    <ns0:row r="614" ht="21" customHeight="1">
      <ns0:c r="A614" s="25" t="n"/>
      <ns0:c r="B614" s="26" t="n"/>
      <ns0:c r="C614" s="27" t="n"/>
      <ns0:c r="D614" s="27" t="n"/>
      <ns0:c r="E614" s="28" t="str">
        <ns0:f>IF(A614="","",YEAR(A614)&amp;"-"&amp;RIGHT("0"&amp;MONTH(A614),2))</ns0:f>
        <ns0:v/>
      </ns0:c>
      <ns0:c r="F614" s="28" t="str">
        <ns0:f>IF(OR(A614="",B614="",C614&lt;=0),"",IF(SUMPRODUCT(('Müşteriler'!$B$2:$B$101&lt;&gt;"")*ISNUMBER(SEARCH('Müşteriler'!$B$2:$B$101,B614)))=1,IFERROR(INDEX('Müşteriler'!$A$2:$A$101,SUMPRODUCT(('Müşteriler'!$B$2:$B$101&lt;&gt;"")*ISNUMBER(SEARCH('Müşteriler'!$B$2:$B$101,B614)),ROW('Müşteriler'!$B$2:$B$101)-ROW('Müşteriler'!$B$2)+1)),""),""))</ns0:f>
        <ns0:v/>
      </ns0:c>
      <ns0:c r="G614" s="28" t="str">
        <ns0:f>IF(F614="","",IFERROR(INDEX('Müşteriler'!$C$2:$C$101,MATCH(F614,'Müşteriler'!$A$2:$A$101,0)),""))</ns0:f>
        <ns0:v/>
      </ns0:c>
      <ns0:c r="H614" s="28" t="str">
        <ns0:f>IF(A614="","",IF(C614&lt;=0,"Satış dışı",IF(OR(F614="",G614=""),"Eşleşmedi","Eşleşti")))</ns0:f>
        <ns0:v/>
      </ns0:c>
      <ns0:c r="I614" s="28">
        <ns0:f>I613+IF(AND(H614="Eşleşmedi",E614='Panel'!$B$4),1,0)</ns0:f>
        <ns0:v>3.0</ns0:v>
      </ns0:c>
    </ns0:row>
    <ns0:row r="615" ht="21" customHeight="1">
      <ns0:c r="A615" s="25" t="n"/>
      <ns0:c r="B615" s="26" t="n"/>
      <ns0:c r="C615" s="27" t="n"/>
      <ns0:c r="D615" s="27" t="n"/>
      <ns0:c r="E615" s="28" t="str">
        <ns0:f>IF(A615="","",YEAR(A615)&amp;"-"&amp;RIGHT("0"&amp;MONTH(A615),2))</ns0:f>
        <ns0:v/>
      </ns0:c>
      <ns0:c r="F615" s="28" t="str">
        <ns0:f>IF(OR(A615="",B615="",C615&lt;=0),"",IF(SUMPRODUCT(('Müşteriler'!$B$2:$B$101&lt;&gt;"")*ISNUMBER(SEARCH('Müşteriler'!$B$2:$B$101,B615)))=1,IFERROR(INDEX('Müşteriler'!$A$2:$A$101,SUMPRODUCT(('Müşteriler'!$B$2:$B$101&lt;&gt;"")*ISNUMBER(SEARCH('Müşteriler'!$B$2:$B$101,B615)),ROW('Müşteriler'!$B$2:$B$101)-ROW('Müşteriler'!$B$2)+1)),""),""))</ns0:f>
        <ns0:v/>
      </ns0:c>
      <ns0:c r="G615" s="28" t="str">
        <ns0:f>IF(F615="","",IFERROR(INDEX('Müşteriler'!$C$2:$C$101,MATCH(F615,'Müşteriler'!$A$2:$A$101,0)),""))</ns0:f>
        <ns0:v/>
      </ns0:c>
      <ns0:c r="H615" s="28" t="str">
        <ns0:f>IF(A615="","",IF(C615&lt;=0,"Satış dışı",IF(OR(F615="",G615=""),"Eşleşmedi","Eşleşti")))</ns0:f>
        <ns0:v/>
      </ns0:c>
      <ns0:c r="I615" s="28">
        <ns0:f>I614+IF(AND(H615="Eşleşmedi",E615='Panel'!$B$4),1,0)</ns0:f>
        <ns0:v>3.0</ns0:v>
      </ns0:c>
    </ns0:row>
    <ns0:row r="616" ht="21" customHeight="1">
      <ns0:c r="A616" s="25" t="n"/>
      <ns0:c r="B616" s="26" t="n"/>
      <ns0:c r="C616" s="27" t="n"/>
      <ns0:c r="D616" s="27" t="n"/>
      <ns0:c r="E616" s="28" t="str">
        <ns0:f>IF(A616="","",YEAR(A616)&amp;"-"&amp;RIGHT("0"&amp;MONTH(A616),2))</ns0:f>
        <ns0:v/>
      </ns0:c>
      <ns0:c r="F616" s="28" t="str">
        <ns0:f>IF(OR(A616="",B616="",C616&lt;=0),"",IF(SUMPRODUCT(('Müşteriler'!$B$2:$B$101&lt;&gt;"")*ISNUMBER(SEARCH('Müşteriler'!$B$2:$B$101,B616)))=1,IFERROR(INDEX('Müşteriler'!$A$2:$A$101,SUMPRODUCT(('Müşteriler'!$B$2:$B$101&lt;&gt;"")*ISNUMBER(SEARCH('Müşteriler'!$B$2:$B$101,B616)),ROW('Müşteriler'!$B$2:$B$101)-ROW('Müşteriler'!$B$2)+1)),""),""))</ns0:f>
        <ns0:v/>
      </ns0:c>
      <ns0:c r="G616" s="28" t="str">
        <ns0:f>IF(F616="","",IFERROR(INDEX('Müşteriler'!$C$2:$C$101,MATCH(F616,'Müşteriler'!$A$2:$A$101,0)),""))</ns0:f>
        <ns0:v/>
      </ns0:c>
      <ns0:c r="H616" s="28" t="str">
        <ns0:f>IF(A616="","",IF(C616&lt;=0,"Satış dışı",IF(OR(F616="",G616=""),"Eşleşmedi","Eşleşti")))</ns0:f>
        <ns0:v/>
      </ns0:c>
      <ns0:c r="I616" s="28">
        <ns0:f>I615+IF(AND(H616="Eşleşmedi",E616='Panel'!$B$4),1,0)</ns0:f>
        <ns0:v>3.0</ns0:v>
      </ns0:c>
    </ns0:row>
    <ns0:row r="617" ht="21" customHeight="1">
      <ns0:c r="A617" s="25" t="n"/>
      <ns0:c r="B617" s="26" t="n"/>
      <ns0:c r="C617" s="27" t="n"/>
      <ns0:c r="D617" s="27" t="n"/>
      <ns0:c r="E617" s="28" t="str">
        <ns0:f>IF(A617="","",YEAR(A617)&amp;"-"&amp;RIGHT("0"&amp;MONTH(A617),2))</ns0:f>
        <ns0:v/>
      </ns0:c>
      <ns0:c r="F617" s="28" t="str">
        <ns0:f>IF(OR(A617="",B617="",C617&lt;=0),"",IF(SUMPRODUCT(('Müşteriler'!$B$2:$B$101&lt;&gt;"")*ISNUMBER(SEARCH('Müşteriler'!$B$2:$B$101,B617)))=1,IFERROR(INDEX('Müşteriler'!$A$2:$A$101,SUMPRODUCT(('Müşteriler'!$B$2:$B$101&lt;&gt;"")*ISNUMBER(SEARCH('Müşteriler'!$B$2:$B$101,B617)),ROW('Müşteriler'!$B$2:$B$101)-ROW('Müşteriler'!$B$2)+1)),""),""))</ns0:f>
        <ns0:v/>
      </ns0:c>
      <ns0:c r="G617" s="28" t="str">
        <ns0:f>IF(F617="","",IFERROR(INDEX('Müşteriler'!$C$2:$C$101,MATCH(F617,'Müşteriler'!$A$2:$A$101,0)),""))</ns0:f>
        <ns0:v/>
      </ns0:c>
      <ns0:c r="H617" s="28" t="str">
        <ns0:f>IF(A617="","",IF(C617&lt;=0,"Satış dışı",IF(OR(F617="",G617=""),"Eşleşmedi","Eşleşti")))</ns0:f>
        <ns0:v/>
      </ns0:c>
      <ns0:c r="I617" s="28">
        <ns0:f>I616+IF(AND(H617="Eşleşmedi",E617='Panel'!$B$4),1,0)</ns0:f>
        <ns0:v>3.0</ns0:v>
      </ns0:c>
    </ns0:row>
    <ns0:row r="618" ht="21" customHeight="1">
      <ns0:c r="A618" s="25" t="n"/>
      <ns0:c r="B618" s="26" t="n"/>
      <ns0:c r="C618" s="27" t="n"/>
      <ns0:c r="D618" s="27" t="n"/>
      <ns0:c r="E618" s="28" t="str">
        <ns0:f>IF(A618="","",YEAR(A618)&amp;"-"&amp;RIGHT("0"&amp;MONTH(A618),2))</ns0:f>
        <ns0:v/>
      </ns0:c>
      <ns0:c r="F618" s="28" t="str">
        <ns0:f>IF(OR(A618="",B618="",C618&lt;=0),"",IF(SUMPRODUCT(('Müşteriler'!$B$2:$B$101&lt;&gt;"")*ISNUMBER(SEARCH('Müşteriler'!$B$2:$B$101,B618)))=1,IFERROR(INDEX('Müşteriler'!$A$2:$A$101,SUMPRODUCT(('Müşteriler'!$B$2:$B$101&lt;&gt;"")*ISNUMBER(SEARCH('Müşteriler'!$B$2:$B$101,B618)),ROW('Müşteriler'!$B$2:$B$101)-ROW('Müşteriler'!$B$2)+1)),""),""))</ns0:f>
        <ns0:v/>
      </ns0:c>
      <ns0:c r="G618" s="28" t="str">
        <ns0:f>IF(F618="","",IFERROR(INDEX('Müşteriler'!$C$2:$C$101,MATCH(F618,'Müşteriler'!$A$2:$A$101,0)),""))</ns0:f>
        <ns0:v/>
      </ns0:c>
      <ns0:c r="H618" s="28" t="str">
        <ns0:f>IF(A618="","",IF(C618&lt;=0,"Satış dışı",IF(OR(F618="",G618=""),"Eşleşmedi","Eşleşti")))</ns0:f>
        <ns0:v/>
      </ns0:c>
      <ns0:c r="I618" s="28">
        <ns0:f>I617+IF(AND(H618="Eşleşmedi",E618='Panel'!$B$4),1,0)</ns0:f>
        <ns0:v>3.0</ns0:v>
      </ns0:c>
    </ns0:row>
    <ns0:row r="619" ht="21" customHeight="1">
      <ns0:c r="A619" s="25" t="n"/>
      <ns0:c r="B619" s="26" t="n"/>
      <ns0:c r="C619" s="27" t="n"/>
      <ns0:c r="D619" s="27" t="n"/>
      <ns0:c r="E619" s="28" t="str">
        <ns0:f>IF(A619="","",YEAR(A619)&amp;"-"&amp;RIGHT("0"&amp;MONTH(A619),2))</ns0:f>
        <ns0:v/>
      </ns0:c>
      <ns0:c r="F619" s="28" t="str">
        <ns0:f>IF(OR(A619="",B619="",C619&lt;=0),"",IF(SUMPRODUCT(('Müşteriler'!$B$2:$B$101&lt;&gt;"")*ISNUMBER(SEARCH('Müşteriler'!$B$2:$B$101,B619)))=1,IFERROR(INDEX('Müşteriler'!$A$2:$A$101,SUMPRODUCT(('Müşteriler'!$B$2:$B$101&lt;&gt;"")*ISNUMBER(SEARCH('Müşteriler'!$B$2:$B$101,B619)),ROW('Müşteriler'!$B$2:$B$101)-ROW('Müşteriler'!$B$2)+1)),""),""))</ns0:f>
        <ns0:v/>
      </ns0:c>
      <ns0:c r="G619" s="28" t="str">
        <ns0:f>IF(F619="","",IFERROR(INDEX('Müşteriler'!$C$2:$C$101,MATCH(F619,'Müşteriler'!$A$2:$A$101,0)),""))</ns0:f>
        <ns0:v/>
      </ns0:c>
      <ns0:c r="H619" s="28" t="str">
        <ns0:f>IF(A619="","",IF(C619&lt;=0,"Satış dışı",IF(OR(F619="",G619=""),"Eşleşmedi","Eşleşti")))</ns0:f>
        <ns0:v/>
      </ns0:c>
      <ns0:c r="I619" s="28">
        <ns0:f>I618+IF(AND(H619="Eşleşmedi",E619='Panel'!$B$4),1,0)</ns0:f>
        <ns0:v>3.0</ns0:v>
      </ns0:c>
    </ns0:row>
    <ns0:row r="620" ht="21" customHeight="1">
      <ns0:c r="A620" s="25" t="n"/>
      <ns0:c r="B620" s="26" t="n"/>
      <ns0:c r="C620" s="27" t="n"/>
      <ns0:c r="D620" s="27" t="n"/>
      <ns0:c r="E620" s="28" t="str">
        <ns0:f>IF(A620="","",YEAR(A620)&amp;"-"&amp;RIGHT("0"&amp;MONTH(A620),2))</ns0:f>
        <ns0:v/>
      </ns0:c>
      <ns0:c r="F620" s="28" t="str">
        <ns0:f>IF(OR(A620="",B620="",C620&lt;=0),"",IF(SUMPRODUCT(('Müşteriler'!$B$2:$B$101&lt;&gt;"")*ISNUMBER(SEARCH('Müşteriler'!$B$2:$B$101,B620)))=1,IFERROR(INDEX('Müşteriler'!$A$2:$A$101,SUMPRODUCT(('Müşteriler'!$B$2:$B$101&lt;&gt;"")*ISNUMBER(SEARCH('Müşteriler'!$B$2:$B$101,B620)),ROW('Müşteriler'!$B$2:$B$101)-ROW('Müşteriler'!$B$2)+1)),""),""))</ns0:f>
        <ns0:v/>
      </ns0:c>
      <ns0:c r="G620" s="28" t="str">
        <ns0:f>IF(F620="","",IFERROR(INDEX('Müşteriler'!$C$2:$C$101,MATCH(F620,'Müşteriler'!$A$2:$A$101,0)),""))</ns0:f>
        <ns0:v/>
      </ns0:c>
      <ns0:c r="H620" s="28" t="str">
        <ns0:f>IF(A620="","",IF(C620&lt;=0,"Satış dışı",IF(OR(F620="",G620=""),"Eşleşmedi","Eşleşti")))</ns0:f>
        <ns0:v/>
      </ns0:c>
      <ns0:c r="I620" s="28">
        <ns0:f>I619+IF(AND(H620="Eşleşmedi",E620='Panel'!$B$4),1,0)</ns0:f>
        <ns0:v>3.0</ns0:v>
      </ns0:c>
    </ns0:row>
    <ns0:row r="621" ht="21" customHeight="1">
      <ns0:c r="A621" s="25" t="n"/>
      <ns0:c r="B621" s="26" t="n"/>
      <ns0:c r="C621" s="27" t="n"/>
      <ns0:c r="D621" s="27" t="n"/>
      <ns0:c r="E621" s="28" t="str">
        <ns0:f>IF(A621="","",YEAR(A621)&amp;"-"&amp;RIGHT("0"&amp;MONTH(A621),2))</ns0:f>
        <ns0:v/>
      </ns0:c>
      <ns0:c r="F621" s="28" t="str">
        <ns0:f>IF(OR(A621="",B621="",C621&lt;=0),"",IF(SUMPRODUCT(('Müşteriler'!$B$2:$B$101&lt;&gt;"")*ISNUMBER(SEARCH('Müşteriler'!$B$2:$B$101,B621)))=1,IFERROR(INDEX('Müşteriler'!$A$2:$A$101,SUMPRODUCT(('Müşteriler'!$B$2:$B$101&lt;&gt;"")*ISNUMBER(SEARCH('Müşteriler'!$B$2:$B$101,B621)),ROW('Müşteriler'!$B$2:$B$101)-ROW('Müşteriler'!$B$2)+1)),""),""))</ns0:f>
        <ns0:v/>
      </ns0:c>
      <ns0:c r="G621" s="28" t="str">
        <ns0:f>IF(F621="","",IFERROR(INDEX('Müşteriler'!$C$2:$C$101,MATCH(F621,'Müşteriler'!$A$2:$A$101,0)),""))</ns0:f>
        <ns0:v/>
      </ns0:c>
      <ns0:c r="H621" s="28" t="str">
        <ns0:f>IF(A621="","",IF(C621&lt;=0,"Satış dışı",IF(OR(F621="",G621=""),"Eşleşmedi","Eşleşti")))</ns0:f>
        <ns0:v/>
      </ns0:c>
      <ns0:c r="I621" s="28">
        <ns0:f>I620+IF(AND(H621="Eşleşmedi",E621='Panel'!$B$4),1,0)</ns0:f>
        <ns0:v>3.0</ns0:v>
      </ns0:c>
    </ns0:row>
    <ns0:row r="622" ht="21" customHeight="1">
      <ns0:c r="A622" s="25" t="n"/>
      <ns0:c r="B622" s="26" t="n"/>
      <ns0:c r="C622" s="27" t="n"/>
      <ns0:c r="D622" s="27" t="n"/>
      <ns0:c r="E622" s="28" t="str">
        <ns0:f>IF(A622="","",YEAR(A622)&amp;"-"&amp;RIGHT("0"&amp;MONTH(A622),2))</ns0:f>
        <ns0:v/>
      </ns0:c>
      <ns0:c r="F622" s="28" t="str">
        <ns0:f>IF(OR(A622="",B622="",C622&lt;=0),"",IF(SUMPRODUCT(('Müşteriler'!$B$2:$B$101&lt;&gt;"")*ISNUMBER(SEARCH('Müşteriler'!$B$2:$B$101,B622)))=1,IFERROR(INDEX('Müşteriler'!$A$2:$A$101,SUMPRODUCT(('Müşteriler'!$B$2:$B$101&lt;&gt;"")*ISNUMBER(SEARCH('Müşteriler'!$B$2:$B$101,B622)),ROW('Müşteriler'!$B$2:$B$101)-ROW('Müşteriler'!$B$2)+1)),""),""))</ns0:f>
        <ns0:v/>
      </ns0:c>
      <ns0:c r="G622" s="28" t="str">
        <ns0:f>IF(F622="","",IFERROR(INDEX('Müşteriler'!$C$2:$C$101,MATCH(F622,'Müşteriler'!$A$2:$A$101,0)),""))</ns0:f>
        <ns0:v/>
      </ns0:c>
      <ns0:c r="H622" s="28" t="str">
        <ns0:f>IF(A622="","",IF(C622&lt;=0,"Satış dışı",IF(OR(F622="",G622=""),"Eşleşmedi","Eşleşti")))</ns0:f>
        <ns0:v/>
      </ns0:c>
      <ns0:c r="I622" s="28">
        <ns0:f>I621+IF(AND(H622="Eşleşmedi",E622='Panel'!$B$4),1,0)</ns0:f>
        <ns0:v>3.0</ns0:v>
      </ns0:c>
    </ns0:row>
    <ns0:row r="623" ht="21" customHeight="1">
      <ns0:c r="A623" s="25" t="n"/>
      <ns0:c r="B623" s="26" t="n"/>
      <ns0:c r="C623" s="27" t="n"/>
      <ns0:c r="D623" s="27" t="n"/>
      <ns0:c r="E623" s="28" t="str">
        <ns0:f>IF(A623="","",YEAR(A623)&amp;"-"&amp;RIGHT("0"&amp;MONTH(A623),2))</ns0:f>
        <ns0:v/>
      </ns0:c>
      <ns0:c r="F623" s="28" t="str">
        <ns0:f>IF(OR(A623="",B623="",C623&lt;=0),"",IF(SUMPRODUCT(('Müşteriler'!$B$2:$B$101&lt;&gt;"")*ISNUMBER(SEARCH('Müşteriler'!$B$2:$B$101,B623)))=1,IFERROR(INDEX('Müşteriler'!$A$2:$A$101,SUMPRODUCT(('Müşteriler'!$B$2:$B$101&lt;&gt;"")*ISNUMBER(SEARCH('Müşteriler'!$B$2:$B$101,B623)),ROW('Müşteriler'!$B$2:$B$101)-ROW('Müşteriler'!$B$2)+1)),""),""))</ns0:f>
        <ns0:v/>
      </ns0:c>
      <ns0:c r="G623" s="28" t="str">
        <ns0:f>IF(F623="","",IFERROR(INDEX('Müşteriler'!$C$2:$C$101,MATCH(F623,'Müşteriler'!$A$2:$A$101,0)),""))</ns0:f>
        <ns0:v/>
      </ns0:c>
      <ns0:c r="H623" s="28" t="str">
        <ns0:f>IF(A623="","",IF(C623&lt;=0,"Satış dışı",IF(OR(F623="",G623=""),"Eşleşmedi","Eşleşti")))</ns0:f>
        <ns0:v/>
      </ns0:c>
      <ns0:c r="I623" s="28">
        <ns0:f>I622+IF(AND(H623="Eşleşmedi",E623='Panel'!$B$4),1,0)</ns0:f>
        <ns0:v>3.0</ns0:v>
      </ns0:c>
    </ns0:row>
    <ns0:row r="624" ht="21" customHeight="1">
      <ns0:c r="A624" s="25" t="n"/>
      <ns0:c r="B624" s="26" t="n"/>
      <ns0:c r="C624" s="27" t="n"/>
      <ns0:c r="D624" s="27" t="n"/>
      <ns0:c r="E624" s="28" t="str">
        <ns0:f>IF(A624="","",YEAR(A624)&amp;"-"&amp;RIGHT("0"&amp;MONTH(A624),2))</ns0:f>
        <ns0:v/>
      </ns0:c>
      <ns0:c r="F624" s="28" t="str">
        <ns0:f>IF(OR(A624="",B624="",C624&lt;=0),"",IF(SUMPRODUCT(('Müşteriler'!$B$2:$B$101&lt;&gt;"")*ISNUMBER(SEARCH('Müşteriler'!$B$2:$B$101,B624)))=1,IFERROR(INDEX('Müşteriler'!$A$2:$A$101,SUMPRODUCT(('Müşteriler'!$B$2:$B$101&lt;&gt;"")*ISNUMBER(SEARCH('Müşteriler'!$B$2:$B$101,B624)),ROW('Müşteriler'!$B$2:$B$101)-ROW('Müşteriler'!$B$2)+1)),""),""))</ns0:f>
        <ns0:v/>
      </ns0:c>
      <ns0:c r="G624" s="28" t="str">
        <ns0:f>IF(F624="","",IFERROR(INDEX('Müşteriler'!$C$2:$C$101,MATCH(F624,'Müşteriler'!$A$2:$A$101,0)),""))</ns0:f>
        <ns0:v/>
      </ns0:c>
      <ns0:c r="H624" s="28" t="str">
        <ns0:f>IF(A624="","",IF(C624&lt;=0,"Satış dışı",IF(OR(F624="",G624=""),"Eşleşmedi","Eşleşti")))</ns0:f>
        <ns0:v/>
      </ns0:c>
      <ns0:c r="I624" s="28">
        <ns0:f>I623+IF(AND(H624="Eşleşmedi",E624='Panel'!$B$4),1,0)</ns0:f>
        <ns0:v>3.0</ns0:v>
      </ns0:c>
    </ns0:row>
    <ns0:row r="625" ht="21" customHeight="1">
      <ns0:c r="A625" s="25" t="n"/>
      <ns0:c r="B625" s="26" t="n"/>
      <ns0:c r="C625" s="27" t="n"/>
      <ns0:c r="D625" s="27" t="n"/>
      <ns0:c r="E625" s="28" t="str">
        <ns0:f>IF(A625="","",YEAR(A625)&amp;"-"&amp;RIGHT("0"&amp;MONTH(A625),2))</ns0:f>
        <ns0:v/>
      </ns0:c>
      <ns0:c r="F625" s="28" t="str">
        <ns0:f>IF(OR(A625="",B625="",C625&lt;=0),"",IF(SUMPRODUCT(('Müşteriler'!$B$2:$B$101&lt;&gt;"")*ISNUMBER(SEARCH('Müşteriler'!$B$2:$B$101,B625)))=1,IFERROR(INDEX('Müşteriler'!$A$2:$A$101,SUMPRODUCT(('Müşteriler'!$B$2:$B$101&lt;&gt;"")*ISNUMBER(SEARCH('Müşteriler'!$B$2:$B$101,B625)),ROW('Müşteriler'!$B$2:$B$101)-ROW('Müşteriler'!$B$2)+1)),""),""))</ns0:f>
        <ns0:v/>
      </ns0:c>
      <ns0:c r="G625" s="28" t="str">
        <ns0:f>IF(F625="","",IFERROR(INDEX('Müşteriler'!$C$2:$C$101,MATCH(F625,'Müşteriler'!$A$2:$A$101,0)),""))</ns0:f>
        <ns0:v/>
      </ns0:c>
      <ns0:c r="H625" s="28" t="str">
        <ns0:f>IF(A625="","",IF(C625&lt;=0,"Satış dışı",IF(OR(F625="",G625=""),"Eşleşmedi","Eşleşti")))</ns0:f>
        <ns0:v/>
      </ns0:c>
      <ns0:c r="I625" s="28">
        <ns0:f>I624+IF(AND(H625="Eşleşmedi",E625='Panel'!$B$4),1,0)</ns0:f>
        <ns0:v>3.0</ns0:v>
      </ns0:c>
    </ns0:row>
    <ns0:row r="626" ht="21" customHeight="1">
      <ns0:c r="A626" s="25" t="n"/>
      <ns0:c r="B626" s="26" t="n"/>
      <ns0:c r="C626" s="27" t="n"/>
      <ns0:c r="D626" s="27" t="n"/>
      <ns0:c r="E626" s="28" t="str">
        <ns0:f>IF(A626="","",YEAR(A626)&amp;"-"&amp;RIGHT("0"&amp;MONTH(A626),2))</ns0:f>
        <ns0:v/>
      </ns0:c>
      <ns0:c r="F626" s="28" t="str">
        <ns0:f>IF(OR(A626="",B626="",C626&lt;=0),"",IF(SUMPRODUCT(('Müşteriler'!$B$2:$B$101&lt;&gt;"")*ISNUMBER(SEARCH('Müşteriler'!$B$2:$B$101,B626)))=1,IFERROR(INDEX('Müşteriler'!$A$2:$A$101,SUMPRODUCT(('Müşteriler'!$B$2:$B$101&lt;&gt;"")*ISNUMBER(SEARCH('Müşteriler'!$B$2:$B$101,B626)),ROW('Müşteriler'!$B$2:$B$101)-ROW('Müşteriler'!$B$2)+1)),""),""))</ns0:f>
        <ns0:v/>
      </ns0:c>
      <ns0:c r="G626" s="28" t="str">
        <ns0:f>IF(F626="","",IFERROR(INDEX('Müşteriler'!$C$2:$C$101,MATCH(F626,'Müşteriler'!$A$2:$A$101,0)),""))</ns0:f>
        <ns0:v/>
      </ns0:c>
      <ns0:c r="H626" s="28" t="str">
        <ns0:f>IF(A626="","",IF(C626&lt;=0,"Satış dışı",IF(OR(F626="",G626=""),"Eşleşmedi","Eşleşti")))</ns0:f>
        <ns0:v/>
      </ns0:c>
      <ns0:c r="I626" s="28">
        <ns0:f>I625+IF(AND(H626="Eşleşmedi",E626='Panel'!$B$4),1,0)</ns0:f>
        <ns0:v>3.0</ns0:v>
      </ns0:c>
    </ns0:row>
    <ns0:row r="627" ht="21" customHeight="1">
      <ns0:c r="A627" s="25" t="n"/>
      <ns0:c r="B627" s="26" t="n"/>
      <ns0:c r="C627" s="27" t="n"/>
      <ns0:c r="D627" s="27" t="n"/>
      <ns0:c r="E627" s="28" t="str">
        <ns0:f>IF(A627="","",YEAR(A627)&amp;"-"&amp;RIGHT("0"&amp;MONTH(A627),2))</ns0:f>
        <ns0:v/>
      </ns0:c>
      <ns0:c r="F627" s="28" t="str">
        <ns0:f>IF(OR(A627="",B627="",C627&lt;=0),"",IF(SUMPRODUCT(('Müşteriler'!$B$2:$B$101&lt;&gt;"")*ISNUMBER(SEARCH('Müşteriler'!$B$2:$B$101,B627)))=1,IFERROR(INDEX('Müşteriler'!$A$2:$A$101,SUMPRODUCT(('Müşteriler'!$B$2:$B$101&lt;&gt;"")*ISNUMBER(SEARCH('Müşteriler'!$B$2:$B$101,B627)),ROW('Müşteriler'!$B$2:$B$101)-ROW('Müşteriler'!$B$2)+1)),""),""))</ns0:f>
        <ns0:v/>
      </ns0:c>
      <ns0:c r="G627" s="28" t="str">
        <ns0:f>IF(F627="","",IFERROR(INDEX('Müşteriler'!$C$2:$C$101,MATCH(F627,'Müşteriler'!$A$2:$A$101,0)),""))</ns0:f>
        <ns0:v/>
      </ns0:c>
      <ns0:c r="H627" s="28" t="str">
        <ns0:f>IF(A627="","",IF(C627&lt;=0,"Satış dışı",IF(OR(F627="",G627=""),"Eşleşmedi","Eşleşti")))</ns0:f>
        <ns0:v/>
      </ns0:c>
      <ns0:c r="I627" s="28">
        <ns0:f>I626+IF(AND(H627="Eşleşmedi",E627='Panel'!$B$4),1,0)</ns0:f>
        <ns0:v>3.0</ns0:v>
      </ns0:c>
    </ns0:row>
    <ns0:row r="628" ht="21" customHeight="1">
      <ns0:c r="A628" s="25" t="n"/>
      <ns0:c r="B628" s="26" t="n"/>
      <ns0:c r="C628" s="27" t="n"/>
      <ns0:c r="D628" s="27" t="n"/>
      <ns0:c r="E628" s="28" t="str">
        <ns0:f>IF(A628="","",YEAR(A628)&amp;"-"&amp;RIGHT("0"&amp;MONTH(A628),2))</ns0:f>
        <ns0:v/>
      </ns0:c>
      <ns0:c r="F628" s="28" t="str">
        <ns0:f>IF(OR(A628="",B628="",C628&lt;=0),"",IF(SUMPRODUCT(('Müşteriler'!$B$2:$B$101&lt;&gt;"")*ISNUMBER(SEARCH('Müşteriler'!$B$2:$B$101,B628)))=1,IFERROR(INDEX('Müşteriler'!$A$2:$A$101,SUMPRODUCT(('Müşteriler'!$B$2:$B$101&lt;&gt;"")*ISNUMBER(SEARCH('Müşteriler'!$B$2:$B$101,B628)),ROW('Müşteriler'!$B$2:$B$101)-ROW('Müşteriler'!$B$2)+1)),""),""))</ns0:f>
        <ns0:v/>
      </ns0:c>
      <ns0:c r="G628" s="28" t="str">
        <ns0:f>IF(F628="","",IFERROR(INDEX('Müşteriler'!$C$2:$C$101,MATCH(F628,'Müşteriler'!$A$2:$A$101,0)),""))</ns0:f>
        <ns0:v/>
      </ns0:c>
      <ns0:c r="H628" s="28" t="str">
        <ns0:f>IF(A628="","",IF(C628&lt;=0,"Satış dışı",IF(OR(F628="",G628=""),"Eşleşmedi","Eşleşti")))</ns0:f>
        <ns0:v/>
      </ns0:c>
      <ns0:c r="I628" s="28">
        <ns0:f>I627+IF(AND(H628="Eşleşmedi",E628='Panel'!$B$4),1,0)</ns0:f>
        <ns0:v>3.0</ns0:v>
      </ns0:c>
    </ns0:row>
    <ns0:row r="629" ht="21" customHeight="1">
      <ns0:c r="A629" s="25" t="n"/>
      <ns0:c r="B629" s="26" t="n"/>
      <ns0:c r="C629" s="27" t="n"/>
      <ns0:c r="D629" s="27" t="n"/>
      <ns0:c r="E629" s="28" t="str">
        <ns0:f>IF(A629="","",YEAR(A629)&amp;"-"&amp;RIGHT("0"&amp;MONTH(A629),2))</ns0:f>
        <ns0:v/>
      </ns0:c>
      <ns0:c r="F629" s="28" t="str">
        <ns0:f>IF(OR(A629="",B629="",C629&lt;=0),"",IF(SUMPRODUCT(('Müşteriler'!$B$2:$B$101&lt;&gt;"")*ISNUMBER(SEARCH('Müşteriler'!$B$2:$B$101,B629)))=1,IFERROR(INDEX('Müşteriler'!$A$2:$A$101,SUMPRODUCT(('Müşteriler'!$B$2:$B$101&lt;&gt;"")*ISNUMBER(SEARCH('Müşteriler'!$B$2:$B$101,B629)),ROW('Müşteriler'!$B$2:$B$101)-ROW('Müşteriler'!$B$2)+1)),""),""))</ns0:f>
        <ns0:v/>
      </ns0:c>
      <ns0:c r="G629" s="28" t="str">
        <ns0:f>IF(F629="","",IFERROR(INDEX('Müşteriler'!$C$2:$C$101,MATCH(F629,'Müşteriler'!$A$2:$A$101,0)),""))</ns0:f>
        <ns0:v/>
      </ns0:c>
      <ns0:c r="H629" s="28" t="str">
        <ns0:f>IF(A629="","",IF(C629&lt;=0,"Satış dışı",IF(OR(F629="",G629=""),"Eşleşmedi","Eşleşti")))</ns0:f>
        <ns0:v/>
      </ns0:c>
      <ns0:c r="I629" s="28">
        <ns0:f>I628+IF(AND(H629="Eşleşmedi",E629='Panel'!$B$4),1,0)</ns0:f>
        <ns0:v>3.0</ns0:v>
      </ns0:c>
    </ns0:row>
    <ns0:row r="630" ht="21" customHeight="1">
      <ns0:c r="A630" s="25" t="n"/>
      <ns0:c r="B630" s="26" t="n"/>
      <ns0:c r="C630" s="27" t="n"/>
      <ns0:c r="D630" s="27" t="n"/>
      <ns0:c r="E630" s="28" t="str">
        <ns0:f>IF(A630="","",YEAR(A630)&amp;"-"&amp;RIGHT("0"&amp;MONTH(A630),2))</ns0:f>
        <ns0:v/>
      </ns0:c>
      <ns0:c r="F630" s="28" t="str">
        <ns0:f>IF(OR(A630="",B630="",C630&lt;=0),"",IF(SUMPRODUCT(('Müşteriler'!$B$2:$B$101&lt;&gt;"")*ISNUMBER(SEARCH('Müşteriler'!$B$2:$B$101,B630)))=1,IFERROR(INDEX('Müşteriler'!$A$2:$A$101,SUMPRODUCT(('Müşteriler'!$B$2:$B$101&lt;&gt;"")*ISNUMBER(SEARCH('Müşteriler'!$B$2:$B$101,B630)),ROW('Müşteriler'!$B$2:$B$101)-ROW('Müşteriler'!$B$2)+1)),""),""))</ns0:f>
        <ns0:v/>
      </ns0:c>
      <ns0:c r="G630" s="28" t="str">
        <ns0:f>IF(F630="","",IFERROR(INDEX('Müşteriler'!$C$2:$C$101,MATCH(F630,'Müşteriler'!$A$2:$A$101,0)),""))</ns0:f>
        <ns0:v/>
      </ns0:c>
      <ns0:c r="H630" s="28" t="str">
        <ns0:f>IF(A630="","",IF(C630&lt;=0,"Satış dışı",IF(OR(F630="",G630=""),"Eşleşmedi","Eşleşti")))</ns0:f>
        <ns0:v/>
      </ns0:c>
      <ns0:c r="I630" s="28">
        <ns0:f>I629+IF(AND(H630="Eşleşmedi",E630='Panel'!$B$4),1,0)</ns0:f>
        <ns0:v>3.0</ns0:v>
      </ns0:c>
    </ns0:row>
    <ns0:row r="631" ht="21" customHeight="1">
      <ns0:c r="A631" s="25" t="n"/>
      <ns0:c r="B631" s="26" t="n"/>
      <ns0:c r="C631" s="27" t="n"/>
      <ns0:c r="D631" s="27" t="n"/>
      <ns0:c r="E631" s="28" t="str">
        <ns0:f>IF(A631="","",YEAR(A631)&amp;"-"&amp;RIGHT("0"&amp;MONTH(A631),2))</ns0:f>
        <ns0:v/>
      </ns0:c>
      <ns0:c r="F631" s="28" t="str">
        <ns0:f>IF(OR(A631="",B631="",C631&lt;=0),"",IF(SUMPRODUCT(('Müşteriler'!$B$2:$B$101&lt;&gt;"")*ISNUMBER(SEARCH('Müşteriler'!$B$2:$B$101,B631)))=1,IFERROR(INDEX('Müşteriler'!$A$2:$A$101,SUMPRODUCT(('Müşteriler'!$B$2:$B$101&lt;&gt;"")*ISNUMBER(SEARCH('Müşteriler'!$B$2:$B$101,B631)),ROW('Müşteriler'!$B$2:$B$101)-ROW('Müşteriler'!$B$2)+1)),""),""))</ns0:f>
        <ns0:v/>
      </ns0:c>
      <ns0:c r="G631" s="28" t="str">
        <ns0:f>IF(F631="","",IFERROR(INDEX('Müşteriler'!$C$2:$C$101,MATCH(F631,'Müşteriler'!$A$2:$A$101,0)),""))</ns0:f>
        <ns0:v/>
      </ns0:c>
      <ns0:c r="H631" s="28" t="str">
        <ns0:f>IF(A631="","",IF(C631&lt;=0,"Satış dışı",IF(OR(F631="",G631=""),"Eşleşmedi","Eşleşti")))</ns0:f>
        <ns0:v/>
      </ns0:c>
      <ns0:c r="I631" s="28">
        <ns0:f>I630+IF(AND(H631="Eşleşmedi",E631='Panel'!$B$4),1,0)</ns0:f>
        <ns0:v>3.0</ns0:v>
      </ns0:c>
    </ns0:row>
    <ns0:row r="632" ht="21" customHeight="1">
      <ns0:c r="A632" s="25" t="n"/>
      <ns0:c r="B632" s="26" t="n"/>
      <ns0:c r="C632" s="27" t="n"/>
      <ns0:c r="D632" s="27" t="n"/>
      <ns0:c r="E632" s="28" t="str">
        <ns0:f>IF(A632="","",YEAR(A632)&amp;"-"&amp;RIGHT("0"&amp;MONTH(A632),2))</ns0:f>
        <ns0:v/>
      </ns0:c>
      <ns0:c r="F632" s="28" t="str">
        <ns0:f>IF(OR(A632="",B632="",C632&lt;=0),"",IF(SUMPRODUCT(('Müşteriler'!$B$2:$B$101&lt;&gt;"")*ISNUMBER(SEARCH('Müşteriler'!$B$2:$B$101,B632)))=1,IFERROR(INDEX('Müşteriler'!$A$2:$A$101,SUMPRODUCT(('Müşteriler'!$B$2:$B$101&lt;&gt;"")*ISNUMBER(SEARCH('Müşteriler'!$B$2:$B$101,B632)),ROW('Müşteriler'!$B$2:$B$101)-ROW('Müşteriler'!$B$2)+1)),""),""))</ns0:f>
        <ns0:v/>
      </ns0:c>
      <ns0:c r="G632" s="28" t="str">
        <ns0:f>IF(F632="","",IFERROR(INDEX('Müşteriler'!$C$2:$C$101,MATCH(F632,'Müşteriler'!$A$2:$A$101,0)),""))</ns0:f>
        <ns0:v/>
      </ns0:c>
      <ns0:c r="H632" s="28" t="str">
        <ns0:f>IF(A632="","",IF(C632&lt;=0,"Satış dışı",IF(OR(F632="",G632=""),"Eşleşmedi","Eşleşti")))</ns0:f>
        <ns0:v/>
      </ns0:c>
      <ns0:c r="I632" s="28">
        <ns0:f>I631+IF(AND(H632="Eşleşmedi",E632='Panel'!$B$4),1,0)</ns0:f>
        <ns0:v>3.0</ns0:v>
      </ns0:c>
    </ns0:row>
    <ns0:row r="633" ht="21" customHeight="1">
      <ns0:c r="A633" s="25" t="n"/>
      <ns0:c r="B633" s="26" t="n"/>
      <ns0:c r="C633" s="27" t="n"/>
      <ns0:c r="D633" s="27" t="n"/>
      <ns0:c r="E633" s="28" t="str">
        <ns0:f>IF(A633="","",YEAR(A633)&amp;"-"&amp;RIGHT("0"&amp;MONTH(A633),2))</ns0:f>
        <ns0:v/>
      </ns0:c>
      <ns0:c r="F633" s="28" t="str">
        <ns0:f>IF(OR(A633="",B633="",C633&lt;=0),"",IF(SUMPRODUCT(('Müşteriler'!$B$2:$B$101&lt;&gt;"")*ISNUMBER(SEARCH('Müşteriler'!$B$2:$B$101,B633)))=1,IFERROR(INDEX('Müşteriler'!$A$2:$A$101,SUMPRODUCT(('Müşteriler'!$B$2:$B$101&lt;&gt;"")*ISNUMBER(SEARCH('Müşteriler'!$B$2:$B$101,B633)),ROW('Müşteriler'!$B$2:$B$101)-ROW('Müşteriler'!$B$2)+1)),""),""))</ns0:f>
        <ns0:v/>
      </ns0:c>
      <ns0:c r="G633" s="28" t="str">
        <ns0:f>IF(F633="","",IFERROR(INDEX('Müşteriler'!$C$2:$C$101,MATCH(F633,'Müşteriler'!$A$2:$A$101,0)),""))</ns0:f>
        <ns0:v/>
      </ns0:c>
      <ns0:c r="H633" s="28" t="str">
        <ns0:f>IF(A633="","",IF(C633&lt;=0,"Satış dışı",IF(OR(F633="",G633=""),"Eşleşmedi","Eşleşti")))</ns0:f>
        <ns0:v/>
      </ns0:c>
      <ns0:c r="I633" s="28">
        <ns0:f>I632+IF(AND(H633="Eşleşmedi",E633='Panel'!$B$4),1,0)</ns0:f>
        <ns0:v>3.0</ns0:v>
      </ns0:c>
    </ns0:row>
    <ns0:row r="634" ht="21" customHeight="1">
      <ns0:c r="A634" s="25" t="n"/>
      <ns0:c r="B634" s="26" t="n"/>
      <ns0:c r="C634" s="27" t="n"/>
      <ns0:c r="D634" s="27" t="n"/>
      <ns0:c r="E634" s="28" t="str">
        <ns0:f>IF(A634="","",YEAR(A634)&amp;"-"&amp;RIGHT("0"&amp;MONTH(A634),2))</ns0:f>
        <ns0:v/>
      </ns0:c>
      <ns0:c r="F634" s="28" t="str">
        <ns0:f>IF(OR(A634="",B634="",C634&lt;=0),"",IF(SUMPRODUCT(('Müşteriler'!$B$2:$B$101&lt;&gt;"")*ISNUMBER(SEARCH('Müşteriler'!$B$2:$B$101,B634)))=1,IFERROR(INDEX('Müşteriler'!$A$2:$A$101,SUMPRODUCT(('Müşteriler'!$B$2:$B$101&lt;&gt;"")*ISNUMBER(SEARCH('Müşteriler'!$B$2:$B$101,B634)),ROW('Müşteriler'!$B$2:$B$101)-ROW('Müşteriler'!$B$2)+1)),""),""))</ns0:f>
        <ns0:v/>
      </ns0:c>
      <ns0:c r="G634" s="28" t="str">
        <ns0:f>IF(F634="","",IFERROR(INDEX('Müşteriler'!$C$2:$C$101,MATCH(F634,'Müşteriler'!$A$2:$A$101,0)),""))</ns0:f>
        <ns0:v/>
      </ns0:c>
      <ns0:c r="H634" s="28" t="str">
        <ns0:f>IF(A634="","",IF(C634&lt;=0,"Satış dışı",IF(OR(F634="",G634=""),"Eşleşmedi","Eşleşti")))</ns0:f>
        <ns0:v/>
      </ns0:c>
      <ns0:c r="I634" s="28">
        <ns0:f>I633+IF(AND(H634="Eşleşmedi",E634='Panel'!$B$4),1,0)</ns0:f>
        <ns0:v>3.0</ns0:v>
      </ns0:c>
    </ns0:row>
    <ns0:row r="635" ht="21" customHeight="1">
      <ns0:c r="A635" s="25" t="n"/>
      <ns0:c r="B635" s="26" t="n"/>
      <ns0:c r="C635" s="27" t="n"/>
      <ns0:c r="D635" s="27" t="n"/>
      <ns0:c r="E635" s="28" t="str">
        <ns0:f>IF(A635="","",YEAR(A635)&amp;"-"&amp;RIGHT("0"&amp;MONTH(A635),2))</ns0:f>
        <ns0:v/>
      </ns0:c>
      <ns0:c r="F635" s="28" t="str">
        <ns0:f>IF(OR(A635="",B635="",C635&lt;=0),"",IF(SUMPRODUCT(('Müşteriler'!$B$2:$B$101&lt;&gt;"")*ISNUMBER(SEARCH('Müşteriler'!$B$2:$B$101,B635)))=1,IFERROR(INDEX('Müşteriler'!$A$2:$A$101,SUMPRODUCT(('Müşteriler'!$B$2:$B$101&lt;&gt;"")*ISNUMBER(SEARCH('Müşteriler'!$B$2:$B$101,B635)),ROW('Müşteriler'!$B$2:$B$101)-ROW('Müşteriler'!$B$2)+1)),""),""))</ns0:f>
        <ns0:v/>
      </ns0:c>
      <ns0:c r="G635" s="28" t="str">
        <ns0:f>IF(F635="","",IFERROR(INDEX('Müşteriler'!$C$2:$C$101,MATCH(F635,'Müşteriler'!$A$2:$A$101,0)),""))</ns0:f>
        <ns0:v/>
      </ns0:c>
      <ns0:c r="H635" s="28" t="str">
        <ns0:f>IF(A635="","",IF(C635&lt;=0,"Satış dışı",IF(OR(F635="",G635=""),"Eşleşmedi","Eşleşti")))</ns0:f>
        <ns0:v/>
      </ns0:c>
      <ns0:c r="I635" s="28">
        <ns0:f>I634+IF(AND(H635="Eşleşmedi",E635='Panel'!$B$4),1,0)</ns0:f>
        <ns0:v>3.0</ns0:v>
      </ns0:c>
    </ns0:row>
    <ns0:row r="636" ht="21" customHeight="1">
      <ns0:c r="A636" s="25" t="n"/>
      <ns0:c r="B636" s="26" t="n"/>
      <ns0:c r="C636" s="27" t="n"/>
      <ns0:c r="D636" s="27" t="n"/>
      <ns0:c r="E636" s="28" t="str">
        <ns0:f>IF(A636="","",YEAR(A636)&amp;"-"&amp;RIGHT("0"&amp;MONTH(A636),2))</ns0:f>
        <ns0:v/>
      </ns0:c>
      <ns0:c r="F636" s="28" t="str">
        <ns0:f>IF(OR(A636="",B636="",C636&lt;=0),"",IF(SUMPRODUCT(('Müşteriler'!$B$2:$B$101&lt;&gt;"")*ISNUMBER(SEARCH('Müşteriler'!$B$2:$B$101,B636)))=1,IFERROR(INDEX('Müşteriler'!$A$2:$A$101,SUMPRODUCT(('Müşteriler'!$B$2:$B$101&lt;&gt;"")*ISNUMBER(SEARCH('Müşteriler'!$B$2:$B$101,B636)),ROW('Müşteriler'!$B$2:$B$101)-ROW('Müşteriler'!$B$2)+1)),""),""))</ns0:f>
        <ns0:v/>
      </ns0:c>
      <ns0:c r="G636" s="28" t="str">
        <ns0:f>IF(F636="","",IFERROR(INDEX('Müşteriler'!$C$2:$C$101,MATCH(F636,'Müşteriler'!$A$2:$A$101,0)),""))</ns0:f>
        <ns0:v/>
      </ns0:c>
      <ns0:c r="H636" s="28" t="str">
        <ns0:f>IF(A636="","",IF(C636&lt;=0,"Satış dışı",IF(OR(F636="",G636=""),"Eşleşmedi","Eşleşti")))</ns0:f>
        <ns0:v/>
      </ns0:c>
      <ns0:c r="I636" s="28">
        <ns0:f>I635+IF(AND(H636="Eşleşmedi",E636='Panel'!$B$4),1,0)</ns0:f>
        <ns0:v>3.0</ns0:v>
      </ns0:c>
    </ns0:row>
    <ns0:row r="637" ht="21" customHeight="1">
      <ns0:c r="A637" s="25" t="n"/>
      <ns0:c r="B637" s="26" t="n"/>
      <ns0:c r="C637" s="27" t="n"/>
      <ns0:c r="D637" s="27" t="n"/>
      <ns0:c r="E637" s="28" t="str">
        <ns0:f>IF(A637="","",YEAR(A637)&amp;"-"&amp;RIGHT("0"&amp;MONTH(A637),2))</ns0:f>
        <ns0:v/>
      </ns0:c>
      <ns0:c r="F637" s="28" t="str">
        <ns0:f>IF(OR(A637="",B637="",C637&lt;=0),"",IF(SUMPRODUCT(('Müşteriler'!$B$2:$B$101&lt;&gt;"")*ISNUMBER(SEARCH('Müşteriler'!$B$2:$B$101,B637)))=1,IFERROR(INDEX('Müşteriler'!$A$2:$A$101,SUMPRODUCT(('Müşteriler'!$B$2:$B$101&lt;&gt;"")*ISNUMBER(SEARCH('Müşteriler'!$B$2:$B$101,B637)),ROW('Müşteriler'!$B$2:$B$101)-ROW('Müşteriler'!$B$2)+1)),""),""))</ns0:f>
        <ns0:v/>
      </ns0:c>
      <ns0:c r="G637" s="28" t="str">
        <ns0:f>IF(F637="","",IFERROR(INDEX('Müşteriler'!$C$2:$C$101,MATCH(F637,'Müşteriler'!$A$2:$A$101,0)),""))</ns0:f>
        <ns0:v/>
      </ns0:c>
      <ns0:c r="H637" s="28" t="str">
        <ns0:f>IF(A637="","",IF(C637&lt;=0,"Satış dışı",IF(OR(F637="",G637=""),"Eşleşmedi","Eşleşti")))</ns0:f>
        <ns0:v/>
      </ns0:c>
      <ns0:c r="I637" s="28">
        <ns0:f>I636+IF(AND(H637="Eşleşmedi",E637='Panel'!$B$4),1,0)</ns0:f>
        <ns0:v>3.0</ns0:v>
      </ns0:c>
    </ns0:row>
    <ns0:row r="638" ht="21" customHeight="1">
      <ns0:c r="A638" s="25" t="n"/>
      <ns0:c r="B638" s="26" t="n"/>
      <ns0:c r="C638" s="27" t="n"/>
      <ns0:c r="D638" s="27" t="n"/>
      <ns0:c r="E638" s="28" t="str">
        <ns0:f>IF(A638="","",YEAR(A638)&amp;"-"&amp;RIGHT("0"&amp;MONTH(A638),2))</ns0:f>
        <ns0:v/>
      </ns0:c>
      <ns0:c r="F638" s="28" t="str">
        <ns0:f>IF(OR(A638="",B638="",C638&lt;=0),"",IF(SUMPRODUCT(('Müşteriler'!$B$2:$B$101&lt;&gt;"")*ISNUMBER(SEARCH('Müşteriler'!$B$2:$B$101,B638)))=1,IFERROR(INDEX('Müşteriler'!$A$2:$A$101,SUMPRODUCT(('Müşteriler'!$B$2:$B$101&lt;&gt;"")*ISNUMBER(SEARCH('Müşteriler'!$B$2:$B$101,B638)),ROW('Müşteriler'!$B$2:$B$101)-ROW('Müşteriler'!$B$2)+1)),""),""))</ns0:f>
        <ns0:v/>
      </ns0:c>
      <ns0:c r="G638" s="28" t="str">
        <ns0:f>IF(F638="","",IFERROR(INDEX('Müşteriler'!$C$2:$C$101,MATCH(F638,'Müşteriler'!$A$2:$A$101,0)),""))</ns0:f>
        <ns0:v/>
      </ns0:c>
      <ns0:c r="H638" s="28" t="str">
        <ns0:f>IF(A638="","",IF(C638&lt;=0,"Satış dışı",IF(OR(F638="",G638=""),"Eşleşmedi","Eşleşti")))</ns0:f>
        <ns0:v/>
      </ns0:c>
      <ns0:c r="I638" s="28">
        <ns0:f>I637+IF(AND(H638="Eşleşmedi",E638='Panel'!$B$4),1,0)</ns0:f>
        <ns0:v>3.0</ns0:v>
      </ns0:c>
    </ns0:row>
    <ns0:row r="639" ht="21" customHeight="1">
      <ns0:c r="A639" s="25" t="n"/>
      <ns0:c r="B639" s="26" t="n"/>
      <ns0:c r="C639" s="27" t="n"/>
      <ns0:c r="D639" s="27" t="n"/>
      <ns0:c r="E639" s="28" t="str">
        <ns0:f>IF(A639="","",YEAR(A639)&amp;"-"&amp;RIGHT("0"&amp;MONTH(A639),2))</ns0:f>
        <ns0:v/>
      </ns0:c>
      <ns0:c r="F639" s="28" t="str">
        <ns0:f>IF(OR(A639="",B639="",C639&lt;=0),"",IF(SUMPRODUCT(('Müşteriler'!$B$2:$B$101&lt;&gt;"")*ISNUMBER(SEARCH('Müşteriler'!$B$2:$B$101,B639)))=1,IFERROR(INDEX('Müşteriler'!$A$2:$A$101,SUMPRODUCT(('Müşteriler'!$B$2:$B$101&lt;&gt;"")*ISNUMBER(SEARCH('Müşteriler'!$B$2:$B$101,B639)),ROW('Müşteriler'!$B$2:$B$101)-ROW('Müşteriler'!$B$2)+1)),""),""))</ns0:f>
        <ns0:v/>
      </ns0:c>
      <ns0:c r="G639" s="28" t="str">
        <ns0:f>IF(F639="","",IFERROR(INDEX('Müşteriler'!$C$2:$C$101,MATCH(F639,'Müşteriler'!$A$2:$A$101,0)),""))</ns0:f>
        <ns0:v/>
      </ns0:c>
      <ns0:c r="H639" s="28" t="str">
        <ns0:f>IF(A639="","",IF(C639&lt;=0,"Satış dışı",IF(OR(F639="",G639=""),"Eşleşmedi","Eşleşti")))</ns0:f>
        <ns0:v/>
      </ns0:c>
      <ns0:c r="I639" s="28">
        <ns0:f>I638+IF(AND(H639="Eşleşmedi",E639='Panel'!$B$4),1,0)</ns0:f>
        <ns0:v>3.0</ns0:v>
      </ns0:c>
    </ns0:row>
    <ns0:row r="640" ht="21" customHeight="1">
      <ns0:c r="A640" s="25" t="n"/>
      <ns0:c r="B640" s="26" t="n"/>
      <ns0:c r="C640" s="27" t="n"/>
      <ns0:c r="D640" s="27" t="n"/>
      <ns0:c r="E640" s="28" t="str">
        <ns0:f>IF(A640="","",YEAR(A640)&amp;"-"&amp;RIGHT("0"&amp;MONTH(A640),2))</ns0:f>
        <ns0:v/>
      </ns0:c>
      <ns0:c r="F640" s="28" t="str">
        <ns0:f>IF(OR(A640="",B640="",C640&lt;=0),"",IF(SUMPRODUCT(('Müşteriler'!$B$2:$B$101&lt;&gt;"")*ISNUMBER(SEARCH('Müşteriler'!$B$2:$B$101,B640)))=1,IFERROR(INDEX('Müşteriler'!$A$2:$A$101,SUMPRODUCT(('Müşteriler'!$B$2:$B$101&lt;&gt;"")*ISNUMBER(SEARCH('Müşteriler'!$B$2:$B$101,B640)),ROW('Müşteriler'!$B$2:$B$101)-ROW('Müşteriler'!$B$2)+1)),""),""))</ns0:f>
        <ns0:v/>
      </ns0:c>
      <ns0:c r="G640" s="28" t="str">
        <ns0:f>IF(F640="","",IFERROR(INDEX('Müşteriler'!$C$2:$C$101,MATCH(F640,'Müşteriler'!$A$2:$A$101,0)),""))</ns0:f>
        <ns0:v/>
      </ns0:c>
      <ns0:c r="H640" s="28" t="str">
        <ns0:f>IF(A640="","",IF(C640&lt;=0,"Satış dışı",IF(OR(F640="",G640=""),"Eşleşmedi","Eşleşti")))</ns0:f>
        <ns0:v/>
      </ns0:c>
      <ns0:c r="I640" s="28">
        <ns0:f>I639+IF(AND(H640="Eşleşmedi",E640='Panel'!$B$4),1,0)</ns0:f>
        <ns0:v>3.0</ns0:v>
      </ns0:c>
    </ns0:row>
    <ns0:row r="641" ht="21" customHeight="1">
      <ns0:c r="A641" s="25" t="n"/>
      <ns0:c r="B641" s="26" t="n"/>
      <ns0:c r="C641" s="27" t="n"/>
      <ns0:c r="D641" s="27" t="n"/>
      <ns0:c r="E641" s="28" t="str">
        <ns0:f>IF(A641="","",YEAR(A641)&amp;"-"&amp;RIGHT("0"&amp;MONTH(A641),2))</ns0:f>
        <ns0:v/>
      </ns0:c>
      <ns0:c r="F641" s="28" t="str">
        <ns0:f>IF(OR(A641="",B641="",C641&lt;=0),"",IF(SUMPRODUCT(('Müşteriler'!$B$2:$B$101&lt;&gt;"")*ISNUMBER(SEARCH('Müşteriler'!$B$2:$B$101,B641)))=1,IFERROR(INDEX('Müşteriler'!$A$2:$A$101,SUMPRODUCT(('Müşteriler'!$B$2:$B$101&lt;&gt;"")*ISNUMBER(SEARCH('Müşteriler'!$B$2:$B$101,B641)),ROW('Müşteriler'!$B$2:$B$101)-ROW('Müşteriler'!$B$2)+1)),""),""))</ns0:f>
        <ns0:v/>
      </ns0:c>
      <ns0:c r="G641" s="28" t="str">
        <ns0:f>IF(F641="","",IFERROR(INDEX('Müşteriler'!$C$2:$C$101,MATCH(F641,'Müşteriler'!$A$2:$A$101,0)),""))</ns0:f>
        <ns0:v/>
      </ns0:c>
      <ns0:c r="H641" s="28" t="str">
        <ns0:f>IF(A641="","",IF(C641&lt;=0,"Satış dışı",IF(OR(F641="",G641=""),"Eşleşmedi","Eşleşti")))</ns0:f>
        <ns0:v/>
      </ns0:c>
      <ns0:c r="I641" s="28">
        <ns0:f>I640+IF(AND(H641="Eşleşmedi",E641='Panel'!$B$4),1,0)</ns0:f>
        <ns0:v>3.0</ns0:v>
      </ns0:c>
    </ns0:row>
    <ns0:row r="642" ht="21" customHeight="1">
      <ns0:c r="A642" s="25" t="n"/>
      <ns0:c r="B642" s="26" t="n"/>
      <ns0:c r="C642" s="27" t="n"/>
      <ns0:c r="D642" s="27" t="n"/>
      <ns0:c r="E642" s="28" t="str">
        <ns0:f>IF(A642="","",YEAR(A642)&amp;"-"&amp;RIGHT("0"&amp;MONTH(A642),2))</ns0:f>
        <ns0:v/>
      </ns0:c>
      <ns0:c r="F642" s="28" t="str">
        <ns0:f>IF(OR(A642="",B642="",C642&lt;=0),"",IF(SUMPRODUCT(('Müşteriler'!$B$2:$B$101&lt;&gt;"")*ISNUMBER(SEARCH('Müşteriler'!$B$2:$B$101,B642)))=1,IFERROR(INDEX('Müşteriler'!$A$2:$A$101,SUMPRODUCT(('Müşteriler'!$B$2:$B$101&lt;&gt;"")*ISNUMBER(SEARCH('Müşteriler'!$B$2:$B$101,B642)),ROW('Müşteriler'!$B$2:$B$101)-ROW('Müşteriler'!$B$2)+1)),""),""))</ns0:f>
        <ns0:v/>
      </ns0:c>
      <ns0:c r="G642" s="28" t="str">
        <ns0:f>IF(F642="","",IFERROR(INDEX('Müşteriler'!$C$2:$C$101,MATCH(F642,'Müşteriler'!$A$2:$A$101,0)),""))</ns0:f>
        <ns0:v/>
      </ns0:c>
      <ns0:c r="H642" s="28" t="str">
        <ns0:f>IF(A642="","",IF(C642&lt;=0,"Satış dışı",IF(OR(F642="",G642=""),"Eşleşmedi","Eşleşti")))</ns0:f>
        <ns0:v/>
      </ns0:c>
      <ns0:c r="I642" s="28">
        <ns0:f>I641+IF(AND(H642="Eşleşmedi",E642='Panel'!$B$4),1,0)</ns0:f>
        <ns0:v>3.0</ns0:v>
      </ns0:c>
    </ns0:row>
    <ns0:row r="643" ht="21" customHeight="1">
      <ns0:c r="A643" s="25" t="n"/>
      <ns0:c r="B643" s="26" t="n"/>
      <ns0:c r="C643" s="27" t="n"/>
      <ns0:c r="D643" s="27" t="n"/>
      <ns0:c r="E643" s="28" t="str">
        <ns0:f>IF(A643="","",YEAR(A643)&amp;"-"&amp;RIGHT("0"&amp;MONTH(A643),2))</ns0:f>
        <ns0:v/>
      </ns0:c>
      <ns0:c r="F643" s="28" t="str">
        <ns0:f>IF(OR(A643="",B643="",C643&lt;=0),"",IF(SUMPRODUCT(('Müşteriler'!$B$2:$B$101&lt;&gt;"")*ISNUMBER(SEARCH('Müşteriler'!$B$2:$B$101,B643)))=1,IFERROR(INDEX('Müşteriler'!$A$2:$A$101,SUMPRODUCT(('Müşteriler'!$B$2:$B$101&lt;&gt;"")*ISNUMBER(SEARCH('Müşteriler'!$B$2:$B$101,B643)),ROW('Müşteriler'!$B$2:$B$101)-ROW('Müşteriler'!$B$2)+1)),""),""))</ns0:f>
        <ns0:v/>
      </ns0:c>
      <ns0:c r="G643" s="28" t="str">
        <ns0:f>IF(F643="","",IFERROR(INDEX('Müşteriler'!$C$2:$C$101,MATCH(F643,'Müşteriler'!$A$2:$A$101,0)),""))</ns0:f>
        <ns0:v/>
      </ns0:c>
      <ns0:c r="H643" s="28" t="str">
        <ns0:f>IF(A643="","",IF(C643&lt;=0,"Satış dışı",IF(OR(F643="",G643=""),"Eşleşmedi","Eşleşti")))</ns0:f>
        <ns0:v/>
      </ns0:c>
      <ns0:c r="I643" s="28">
        <ns0:f>I642+IF(AND(H643="Eşleşmedi",E643='Panel'!$B$4),1,0)</ns0:f>
        <ns0:v>3.0</ns0:v>
      </ns0:c>
    </ns0:row>
    <ns0:row r="644" ht="21" customHeight="1">
      <ns0:c r="A644" s="25" t="n"/>
      <ns0:c r="B644" s="26" t="n"/>
      <ns0:c r="C644" s="27" t="n"/>
      <ns0:c r="D644" s="27" t="n"/>
      <ns0:c r="E644" s="28" t="str">
        <ns0:f>IF(A644="","",YEAR(A644)&amp;"-"&amp;RIGHT("0"&amp;MONTH(A644),2))</ns0:f>
        <ns0:v/>
      </ns0:c>
      <ns0:c r="F644" s="28" t="str">
        <ns0:f>IF(OR(A644="",B644="",C644&lt;=0),"",IF(SUMPRODUCT(('Müşteriler'!$B$2:$B$101&lt;&gt;"")*ISNUMBER(SEARCH('Müşteriler'!$B$2:$B$101,B644)))=1,IFERROR(INDEX('Müşteriler'!$A$2:$A$101,SUMPRODUCT(('Müşteriler'!$B$2:$B$101&lt;&gt;"")*ISNUMBER(SEARCH('Müşteriler'!$B$2:$B$101,B644)),ROW('Müşteriler'!$B$2:$B$101)-ROW('Müşteriler'!$B$2)+1)),""),""))</ns0:f>
        <ns0:v/>
      </ns0:c>
      <ns0:c r="G644" s="28" t="str">
        <ns0:f>IF(F644="","",IFERROR(INDEX('Müşteriler'!$C$2:$C$101,MATCH(F644,'Müşteriler'!$A$2:$A$101,0)),""))</ns0:f>
        <ns0:v/>
      </ns0:c>
      <ns0:c r="H644" s="28" t="str">
        <ns0:f>IF(A644="","",IF(C644&lt;=0,"Satış dışı",IF(OR(F644="",G644=""),"Eşleşmedi","Eşleşti")))</ns0:f>
        <ns0:v/>
      </ns0:c>
      <ns0:c r="I644" s="28">
        <ns0:f>I643+IF(AND(H644="Eşleşmedi",E644='Panel'!$B$4),1,0)</ns0:f>
        <ns0:v>3.0</ns0:v>
      </ns0:c>
    </ns0:row>
    <ns0:row r="645" ht="21" customHeight="1">
      <ns0:c r="A645" s="25" t="n"/>
      <ns0:c r="B645" s="26" t="n"/>
      <ns0:c r="C645" s="27" t="n"/>
      <ns0:c r="D645" s="27" t="n"/>
      <ns0:c r="E645" s="28" t="str">
        <ns0:f>IF(A645="","",YEAR(A645)&amp;"-"&amp;RIGHT("0"&amp;MONTH(A645),2))</ns0:f>
        <ns0:v/>
      </ns0:c>
      <ns0:c r="F645" s="28" t="str">
        <ns0:f>IF(OR(A645="",B645="",C645&lt;=0),"",IF(SUMPRODUCT(('Müşteriler'!$B$2:$B$101&lt;&gt;"")*ISNUMBER(SEARCH('Müşteriler'!$B$2:$B$101,B645)))=1,IFERROR(INDEX('Müşteriler'!$A$2:$A$101,SUMPRODUCT(('Müşteriler'!$B$2:$B$101&lt;&gt;"")*ISNUMBER(SEARCH('Müşteriler'!$B$2:$B$101,B645)),ROW('Müşteriler'!$B$2:$B$101)-ROW('Müşteriler'!$B$2)+1)),""),""))</ns0:f>
        <ns0:v/>
      </ns0:c>
      <ns0:c r="G645" s="28" t="str">
        <ns0:f>IF(F645="","",IFERROR(INDEX('Müşteriler'!$C$2:$C$101,MATCH(F645,'Müşteriler'!$A$2:$A$101,0)),""))</ns0:f>
        <ns0:v/>
      </ns0:c>
      <ns0:c r="H645" s="28" t="str">
        <ns0:f>IF(A645="","",IF(C645&lt;=0,"Satış dışı",IF(OR(F645="",G645=""),"Eşleşmedi","Eşleşti")))</ns0:f>
        <ns0:v/>
      </ns0:c>
      <ns0:c r="I645" s="28">
        <ns0:f>I644+IF(AND(H645="Eşleşmedi",E645='Panel'!$B$4),1,0)</ns0:f>
        <ns0:v>3.0</ns0:v>
      </ns0:c>
    </ns0:row>
    <ns0:row r="646" ht="21" customHeight="1">
      <ns0:c r="A646" s="25" t="n"/>
      <ns0:c r="B646" s="26" t="n"/>
      <ns0:c r="C646" s="27" t="n"/>
      <ns0:c r="D646" s="27" t="n"/>
      <ns0:c r="E646" s="28" t="str">
        <ns0:f>IF(A646="","",YEAR(A646)&amp;"-"&amp;RIGHT("0"&amp;MONTH(A646),2))</ns0:f>
        <ns0:v/>
      </ns0:c>
      <ns0:c r="F646" s="28" t="str">
        <ns0:f>IF(OR(A646="",B646="",C646&lt;=0),"",IF(SUMPRODUCT(('Müşteriler'!$B$2:$B$101&lt;&gt;"")*ISNUMBER(SEARCH('Müşteriler'!$B$2:$B$101,B646)))=1,IFERROR(INDEX('Müşteriler'!$A$2:$A$101,SUMPRODUCT(('Müşteriler'!$B$2:$B$101&lt;&gt;"")*ISNUMBER(SEARCH('Müşteriler'!$B$2:$B$101,B646)),ROW('Müşteriler'!$B$2:$B$101)-ROW('Müşteriler'!$B$2)+1)),""),""))</ns0:f>
        <ns0:v/>
      </ns0:c>
      <ns0:c r="G646" s="28" t="str">
        <ns0:f>IF(F646="","",IFERROR(INDEX('Müşteriler'!$C$2:$C$101,MATCH(F646,'Müşteriler'!$A$2:$A$101,0)),""))</ns0:f>
        <ns0:v/>
      </ns0:c>
      <ns0:c r="H646" s="28" t="str">
        <ns0:f>IF(A646="","",IF(C646&lt;=0,"Satış dışı",IF(OR(F646="",G646=""),"Eşleşmedi","Eşleşti")))</ns0:f>
        <ns0:v/>
      </ns0:c>
      <ns0:c r="I646" s="28">
        <ns0:f>I645+IF(AND(H646="Eşleşmedi",E646='Panel'!$B$4),1,0)</ns0:f>
        <ns0:v>3.0</ns0:v>
      </ns0:c>
    </ns0:row>
    <ns0:row r="647" ht="21" customHeight="1">
      <ns0:c r="A647" s="25" t="n"/>
      <ns0:c r="B647" s="26" t="n"/>
      <ns0:c r="C647" s="27" t="n"/>
      <ns0:c r="D647" s="27" t="n"/>
      <ns0:c r="E647" s="28" t="str">
        <ns0:f>IF(A647="","",YEAR(A647)&amp;"-"&amp;RIGHT("0"&amp;MONTH(A647),2))</ns0:f>
        <ns0:v/>
      </ns0:c>
      <ns0:c r="F647" s="28" t="str">
        <ns0:f>IF(OR(A647="",B647="",C647&lt;=0),"",IF(SUMPRODUCT(('Müşteriler'!$B$2:$B$101&lt;&gt;"")*ISNUMBER(SEARCH('Müşteriler'!$B$2:$B$101,B647)))=1,IFERROR(INDEX('Müşteriler'!$A$2:$A$101,SUMPRODUCT(('Müşteriler'!$B$2:$B$101&lt;&gt;"")*ISNUMBER(SEARCH('Müşteriler'!$B$2:$B$101,B647)),ROW('Müşteriler'!$B$2:$B$101)-ROW('Müşteriler'!$B$2)+1)),""),""))</ns0:f>
        <ns0:v/>
      </ns0:c>
      <ns0:c r="G647" s="28" t="str">
        <ns0:f>IF(F647="","",IFERROR(INDEX('Müşteriler'!$C$2:$C$101,MATCH(F647,'Müşteriler'!$A$2:$A$101,0)),""))</ns0:f>
        <ns0:v/>
      </ns0:c>
      <ns0:c r="H647" s="28" t="str">
        <ns0:f>IF(A647="","",IF(C647&lt;=0,"Satış dışı",IF(OR(F647="",G647=""),"Eşleşmedi","Eşleşti")))</ns0:f>
        <ns0:v/>
      </ns0:c>
      <ns0:c r="I647" s="28">
        <ns0:f>I646+IF(AND(H647="Eşleşmedi",E647='Panel'!$B$4),1,0)</ns0:f>
        <ns0:v>3.0</ns0:v>
      </ns0:c>
    </ns0:row>
    <ns0:row r="648" ht="21" customHeight="1">
      <ns0:c r="A648" s="25" t="n"/>
      <ns0:c r="B648" s="26" t="n"/>
      <ns0:c r="C648" s="27" t="n"/>
      <ns0:c r="D648" s="27" t="n"/>
      <ns0:c r="E648" s="28" t="str">
        <ns0:f>IF(A648="","",YEAR(A648)&amp;"-"&amp;RIGHT("0"&amp;MONTH(A648),2))</ns0:f>
        <ns0:v/>
      </ns0:c>
      <ns0:c r="F648" s="28" t="str">
        <ns0:f>IF(OR(A648="",B648="",C648&lt;=0),"",IF(SUMPRODUCT(('Müşteriler'!$B$2:$B$101&lt;&gt;"")*ISNUMBER(SEARCH('Müşteriler'!$B$2:$B$101,B648)))=1,IFERROR(INDEX('Müşteriler'!$A$2:$A$101,SUMPRODUCT(('Müşteriler'!$B$2:$B$101&lt;&gt;"")*ISNUMBER(SEARCH('Müşteriler'!$B$2:$B$101,B648)),ROW('Müşteriler'!$B$2:$B$101)-ROW('Müşteriler'!$B$2)+1)),""),""))</ns0:f>
        <ns0:v/>
      </ns0:c>
      <ns0:c r="G648" s="28" t="str">
        <ns0:f>IF(F648="","",IFERROR(INDEX('Müşteriler'!$C$2:$C$101,MATCH(F648,'Müşteriler'!$A$2:$A$101,0)),""))</ns0:f>
        <ns0:v/>
      </ns0:c>
      <ns0:c r="H648" s="28" t="str">
        <ns0:f>IF(A648="","",IF(C648&lt;=0,"Satış dışı",IF(OR(F648="",G648=""),"Eşleşmedi","Eşleşti")))</ns0:f>
        <ns0:v/>
      </ns0:c>
      <ns0:c r="I648" s="28">
        <ns0:f>I647+IF(AND(H648="Eşleşmedi",E648='Panel'!$B$4),1,0)</ns0:f>
        <ns0:v>3.0</ns0:v>
      </ns0:c>
    </ns0:row>
    <ns0:row r="649" ht="21" customHeight="1">
      <ns0:c r="A649" s="25" t="n"/>
      <ns0:c r="B649" s="26" t="n"/>
      <ns0:c r="C649" s="27" t="n"/>
      <ns0:c r="D649" s="27" t="n"/>
      <ns0:c r="E649" s="28" t="str">
        <ns0:f>IF(A649="","",YEAR(A649)&amp;"-"&amp;RIGHT("0"&amp;MONTH(A649),2))</ns0:f>
        <ns0:v/>
      </ns0:c>
      <ns0:c r="F649" s="28" t="str">
        <ns0:f>IF(OR(A649="",B649="",C649&lt;=0),"",IF(SUMPRODUCT(('Müşteriler'!$B$2:$B$101&lt;&gt;"")*ISNUMBER(SEARCH('Müşteriler'!$B$2:$B$101,B649)))=1,IFERROR(INDEX('Müşteriler'!$A$2:$A$101,SUMPRODUCT(('Müşteriler'!$B$2:$B$101&lt;&gt;"")*ISNUMBER(SEARCH('Müşteriler'!$B$2:$B$101,B649)),ROW('Müşteriler'!$B$2:$B$101)-ROW('Müşteriler'!$B$2)+1)),""),""))</ns0:f>
        <ns0:v/>
      </ns0:c>
      <ns0:c r="G649" s="28" t="str">
        <ns0:f>IF(F649="","",IFERROR(INDEX('Müşteriler'!$C$2:$C$101,MATCH(F649,'Müşteriler'!$A$2:$A$101,0)),""))</ns0:f>
        <ns0:v/>
      </ns0:c>
      <ns0:c r="H649" s="28" t="str">
        <ns0:f>IF(A649="","",IF(C649&lt;=0,"Satış dışı",IF(OR(F649="",G649=""),"Eşleşmedi","Eşleşti")))</ns0:f>
        <ns0:v/>
      </ns0:c>
      <ns0:c r="I649" s="28">
        <ns0:f>I648+IF(AND(H649="Eşleşmedi",E649='Panel'!$B$4),1,0)</ns0:f>
        <ns0:v>3.0</ns0:v>
      </ns0:c>
    </ns0:row>
    <ns0:row r="650" ht="21" customHeight="1">
      <ns0:c r="A650" s="25" t="n"/>
      <ns0:c r="B650" s="26" t="n"/>
      <ns0:c r="C650" s="27" t="n"/>
      <ns0:c r="D650" s="27" t="n"/>
      <ns0:c r="E650" s="28" t="str">
        <ns0:f>IF(A650="","",YEAR(A650)&amp;"-"&amp;RIGHT("0"&amp;MONTH(A650),2))</ns0:f>
        <ns0:v/>
      </ns0:c>
      <ns0:c r="F650" s="28" t="str">
        <ns0:f>IF(OR(A650="",B650="",C650&lt;=0),"",IF(SUMPRODUCT(('Müşteriler'!$B$2:$B$101&lt;&gt;"")*ISNUMBER(SEARCH('Müşteriler'!$B$2:$B$101,B650)))=1,IFERROR(INDEX('Müşteriler'!$A$2:$A$101,SUMPRODUCT(('Müşteriler'!$B$2:$B$101&lt;&gt;"")*ISNUMBER(SEARCH('Müşteriler'!$B$2:$B$101,B650)),ROW('Müşteriler'!$B$2:$B$101)-ROW('Müşteriler'!$B$2)+1)),""),""))</ns0:f>
        <ns0:v/>
      </ns0:c>
      <ns0:c r="G650" s="28" t="str">
        <ns0:f>IF(F650="","",IFERROR(INDEX('Müşteriler'!$C$2:$C$101,MATCH(F650,'Müşteriler'!$A$2:$A$101,0)),""))</ns0:f>
        <ns0:v/>
      </ns0:c>
      <ns0:c r="H650" s="28" t="str">
        <ns0:f>IF(A650="","",IF(C650&lt;=0,"Satış dışı",IF(OR(F650="",G650=""),"Eşleşmedi","Eşleşti")))</ns0:f>
        <ns0:v/>
      </ns0:c>
      <ns0:c r="I650" s="28">
        <ns0:f>I649+IF(AND(H650="Eşleşmedi",E650='Panel'!$B$4),1,0)</ns0:f>
        <ns0:v>3.0</ns0:v>
      </ns0:c>
    </ns0:row>
    <ns0:row r="651" ht="21" customHeight="1">
      <ns0:c r="A651" s="25" t="n"/>
      <ns0:c r="B651" s="26" t="n"/>
      <ns0:c r="C651" s="27" t="n"/>
      <ns0:c r="D651" s="27" t="n"/>
      <ns0:c r="E651" s="28" t="str">
        <ns0:f>IF(A651="","",YEAR(A651)&amp;"-"&amp;RIGHT("0"&amp;MONTH(A651),2))</ns0:f>
        <ns0:v/>
      </ns0:c>
      <ns0:c r="F651" s="28" t="str">
        <ns0:f>IF(OR(A651="",B651="",C651&lt;=0),"",IF(SUMPRODUCT(('Müşteriler'!$B$2:$B$101&lt;&gt;"")*ISNUMBER(SEARCH('Müşteriler'!$B$2:$B$101,B651)))=1,IFERROR(INDEX('Müşteriler'!$A$2:$A$101,SUMPRODUCT(('Müşteriler'!$B$2:$B$101&lt;&gt;"")*ISNUMBER(SEARCH('Müşteriler'!$B$2:$B$101,B651)),ROW('Müşteriler'!$B$2:$B$101)-ROW('Müşteriler'!$B$2)+1)),""),""))</ns0:f>
        <ns0:v/>
      </ns0:c>
      <ns0:c r="G651" s="28" t="str">
        <ns0:f>IF(F651="","",IFERROR(INDEX('Müşteriler'!$C$2:$C$101,MATCH(F651,'Müşteriler'!$A$2:$A$101,0)),""))</ns0:f>
        <ns0:v/>
      </ns0:c>
      <ns0:c r="H651" s="28" t="str">
        <ns0:f>IF(A651="","",IF(C651&lt;=0,"Satış dışı",IF(OR(F651="",G651=""),"Eşleşmedi","Eşleşti")))</ns0:f>
        <ns0:v/>
      </ns0:c>
      <ns0:c r="I651" s="28">
        <ns0:f>I650+IF(AND(H651="Eşleşmedi",E651='Panel'!$B$4),1,0)</ns0:f>
        <ns0:v>3.0</ns0:v>
      </ns0:c>
    </ns0:row>
    <ns0:row r="652" ht="21" customHeight="1">
      <ns0:c r="A652" s="25" t="n"/>
      <ns0:c r="B652" s="26" t="n"/>
      <ns0:c r="C652" s="27" t="n"/>
      <ns0:c r="D652" s="27" t="n"/>
      <ns0:c r="E652" s="28" t="str">
        <ns0:f>IF(A652="","",YEAR(A652)&amp;"-"&amp;RIGHT("0"&amp;MONTH(A652),2))</ns0:f>
        <ns0:v/>
      </ns0:c>
      <ns0:c r="F652" s="28" t="str">
        <ns0:f>IF(OR(A652="",B652="",C652&lt;=0),"",IF(SUMPRODUCT(('Müşteriler'!$B$2:$B$101&lt;&gt;"")*ISNUMBER(SEARCH('Müşteriler'!$B$2:$B$101,B652)))=1,IFERROR(INDEX('Müşteriler'!$A$2:$A$101,SUMPRODUCT(('Müşteriler'!$B$2:$B$101&lt;&gt;"")*ISNUMBER(SEARCH('Müşteriler'!$B$2:$B$101,B652)),ROW('Müşteriler'!$B$2:$B$101)-ROW('Müşteriler'!$B$2)+1)),""),""))</ns0:f>
        <ns0:v/>
      </ns0:c>
      <ns0:c r="G652" s="28" t="str">
        <ns0:f>IF(F652="","",IFERROR(INDEX('Müşteriler'!$C$2:$C$101,MATCH(F652,'Müşteriler'!$A$2:$A$101,0)),""))</ns0:f>
        <ns0:v/>
      </ns0:c>
      <ns0:c r="H652" s="28" t="str">
        <ns0:f>IF(A652="","",IF(C652&lt;=0,"Satış dışı",IF(OR(F652="",G652=""),"Eşleşmedi","Eşleşti")))</ns0:f>
        <ns0:v/>
      </ns0:c>
      <ns0:c r="I652" s="28">
        <ns0:f>I651+IF(AND(H652="Eşleşmedi",E652='Panel'!$B$4),1,0)</ns0:f>
        <ns0:v>3.0</ns0:v>
      </ns0:c>
    </ns0:row>
    <ns0:row r="653" ht="21" customHeight="1">
      <ns0:c r="A653" s="25" t="n"/>
      <ns0:c r="B653" s="26" t="n"/>
      <ns0:c r="C653" s="27" t="n"/>
      <ns0:c r="D653" s="27" t="n"/>
      <ns0:c r="E653" s="28" t="str">
        <ns0:f>IF(A653="","",YEAR(A653)&amp;"-"&amp;RIGHT("0"&amp;MONTH(A653),2))</ns0:f>
        <ns0:v/>
      </ns0:c>
      <ns0:c r="F653" s="28" t="str">
        <ns0:f>IF(OR(A653="",B653="",C653&lt;=0),"",IF(SUMPRODUCT(('Müşteriler'!$B$2:$B$101&lt;&gt;"")*ISNUMBER(SEARCH('Müşteriler'!$B$2:$B$101,B653)))=1,IFERROR(INDEX('Müşteriler'!$A$2:$A$101,SUMPRODUCT(('Müşteriler'!$B$2:$B$101&lt;&gt;"")*ISNUMBER(SEARCH('Müşteriler'!$B$2:$B$101,B653)),ROW('Müşteriler'!$B$2:$B$101)-ROW('Müşteriler'!$B$2)+1)),""),""))</ns0:f>
        <ns0:v/>
      </ns0:c>
      <ns0:c r="G653" s="28" t="str">
        <ns0:f>IF(F653="","",IFERROR(INDEX('Müşteriler'!$C$2:$C$101,MATCH(F653,'Müşteriler'!$A$2:$A$101,0)),""))</ns0:f>
        <ns0:v/>
      </ns0:c>
      <ns0:c r="H653" s="28" t="str">
        <ns0:f>IF(A653="","",IF(C653&lt;=0,"Satış dışı",IF(OR(F653="",G653=""),"Eşleşmedi","Eşleşti")))</ns0:f>
        <ns0:v/>
      </ns0:c>
      <ns0:c r="I653" s="28">
        <ns0:f>I652+IF(AND(H653="Eşleşmedi",E653='Panel'!$B$4),1,0)</ns0:f>
        <ns0:v>3.0</ns0:v>
      </ns0:c>
    </ns0:row>
    <ns0:row r="654" ht="21" customHeight="1">
      <ns0:c r="A654" s="25" t="n"/>
      <ns0:c r="B654" s="26" t="n"/>
      <ns0:c r="C654" s="27" t="n"/>
      <ns0:c r="D654" s="27" t="n"/>
      <ns0:c r="E654" s="28" t="str">
        <ns0:f>IF(A654="","",YEAR(A654)&amp;"-"&amp;RIGHT("0"&amp;MONTH(A654),2))</ns0:f>
        <ns0:v/>
      </ns0:c>
      <ns0:c r="F654" s="28" t="str">
        <ns0:f>IF(OR(A654="",B654="",C654&lt;=0),"",IF(SUMPRODUCT(('Müşteriler'!$B$2:$B$101&lt;&gt;"")*ISNUMBER(SEARCH('Müşteriler'!$B$2:$B$101,B654)))=1,IFERROR(INDEX('Müşteriler'!$A$2:$A$101,SUMPRODUCT(('Müşteriler'!$B$2:$B$101&lt;&gt;"")*ISNUMBER(SEARCH('Müşteriler'!$B$2:$B$101,B654)),ROW('Müşteriler'!$B$2:$B$101)-ROW('Müşteriler'!$B$2)+1)),""),""))</ns0:f>
        <ns0:v/>
      </ns0:c>
      <ns0:c r="G654" s="28" t="str">
        <ns0:f>IF(F654="","",IFERROR(INDEX('Müşteriler'!$C$2:$C$101,MATCH(F654,'Müşteriler'!$A$2:$A$101,0)),""))</ns0:f>
        <ns0:v/>
      </ns0:c>
      <ns0:c r="H654" s="28" t="str">
        <ns0:f>IF(A654="","",IF(C654&lt;=0,"Satış dışı",IF(OR(F654="",G654=""),"Eşleşmedi","Eşleşti")))</ns0:f>
        <ns0:v/>
      </ns0:c>
      <ns0:c r="I654" s="28">
        <ns0:f>I653+IF(AND(H654="Eşleşmedi",E654='Panel'!$B$4),1,0)</ns0:f>
        <ns0:v>3.0</ns0:v>
      </ns0:c>
    </ns0:row>
    <ns0:row r="655" ht="21" customHeight="1">
      <ns0:c r="A655" s="25" t="n"/>
      <ns0:c r="B655" s="26" t="n"/>
      <ns0:c r="C655" s="27" t="n"/>
      <ns0:c r="D655" s="27" t="n"/>
      <ns0:c r="E655" s="28" t="str">
        <ns0:f>IF(A655="","",YEAR(A655)&amp;"-"&amp;RIGHT("0"&amp;MONTH(A655),2))</ns0:f>
        <ns0:v/>
      </ns0:c>
      <ns0:c r="F655" s="28" t="str">
        <ns0:f>IF(OR(A655="",B655="",C655&lt;=0),"",IF(SUMPRODUCT(('Müşteriler'!$B$2:$B$101&lt;&gt;"")*ISNUMBER(SEARCH('Müşteriler'!$B$2:$B$101,B655)))=1,IFERROR(INDEX('Müşteriler'!$A$2:$A$101,SUMPRODUCT(('Müşteriler'!$B$2:$B$101&lt;&gt;"")*ISNUMBER(SEARCH('Müşteriler'!$B$2:$B$101,B655)),ROW('Müşteriler'!$B$2:$B$101)-ROW('Müşteriler'!$B$2)+1)),""),""))</ns0:f>
        <ns0:v/>
      </ns0:c>
      <ns0:c r="G655" s="28" t="str">
        <ns0:f>IF(F655="","",IFERROR(INDEX('Müşteriler'!$C$2:$C$101,MATCH(F655,'Müşteriler'!$A$2:$A$101,0)),""))</ns0:f>
        <ns0:v/>
      </ns0:c>
      <ns0:c r="H655" s="28" t="str">
        <ns0:f>IF(A655="","",IF(C655&lt;=0,"Satış dışı",IF(OR(F655="",G655=""),"Eşleşmedi","Eşleşti")))</ns0:f>
        <ns0:v/>
      </ns0:c>
      <ns0:c r="I655" s="28">
        <ns0:f>I654+IF(AND(H655="Eşleşmedi",E655='Panel'!$B$4),1,0)</ns0:f>
        <ns0:v>3.0</ns0:v>
      </ns0:c>
    </ns0:row>
    <ns0:row r="656" ht="21" customHeight="1">
      <ns0:c r="A656" s="25" t="n"/>
      <ns0:c r="B656" s="26" t="n"/>
      <ns0:c r="C656" s="27" t="n"/>
      <ns0:c r="D656" s="27" t="n"/>
      <ns0:c r="E656" s="28" t="str">
        <ns0:f>IF(A656="","",YEAR(A656)&amp;"-"&amp;RIGHT("0"&amp;MONTH(A656),2))</ns0:f>
        <ns0:v/>
      </ns0:c>
      <ns0:c r="F656" s="28" t="str">
        <ns0:f>IF(OR(A656="",B656="",C656&lt;=0),"",IF(SUMPRODUCT(('Müşteriler'!$B$2:$B$101&lt;&gt;"")*ISNUMBER(SEARCH('Müşteriler'!$B$2:$B$101,B656)))=1,IFERROR(INDEX('Müşteriler'!$A$2:$A$101,SUMPRODUCT(('Müşteriler'!$B$2:$B$101&lt;&gt;"")*ISNUMBER(SEARCH('Müşteriler'!$B$2:$B$101,B656)),ROW('Müşteriler'!$B$2:$B$101)-ROW('Müşteriler'!$B$2)+1)),""),""))</ns0:f>
        <ns0:v/>
      </ns0:c>
      <ns0:c r="G656" s="28" t="str">
        <ns0:f>IF(F656="","",IFERROR(INDEX('Müşteriler'!$C$2:$C$101,MATCH(F656,'Müşteriler'!$A$2:$A$101,0)),""))</ns0:f>
        <ns0:v/>
      </ns0:c>
      <ns0:c r="H656" s="28" t="str">
        <ns0:f>IF(A656="","",IF(C656&lt;=0,"Satış dışı",IF(OR(F656="",G656=""),"Eşleşmedi","Eşleşti")))</ns0:f>
        <ns0:v/>
      </ns0:c>
      <ns0:c r="I656" s="28">
        <ns0:f>I655+IF(AND(H656="Eşleşmedi",E656='Panel'!$B$4),1,0)</ns0:f>
        <ns0:v>3.0</ns0:v>
      </ns0:c>
    </ns0:row>
    <ns0:row r="657" ht="21" customHeight="1">
      <ns0:c r="A657" s="25" t="n"/>
      <ns0:c r="B657" s="26" t="n"/>
      <ns0:c r="C657" s="27" t="n"/>
      <ns0:c r="D657" s="27" t="n"/>
      <ns0:c r="E657" s="28" t="str">
        <ns0:f>IF(A657="","",YEAR(A657)&amp;"-"&amp;RIGHT("0"&amp;MONTH(A657),2))</ns0:f>
        <ns0:v/>
      </ns0:c>
      <ns0:c r="F657" s="28" t="str">
        <ns0:f>IF(OR(A657="",B657="",C657&lt;=0),"",IF(SUMPRODUCT(('Müşteriler'!$B$2:$B$101&lt;&gt;"")*ISNUMBER(SEARCH('Müşteriler'!$B$2:$B$101,B657)))=1,IFERROR(INDEX('Müşteriler'!$A$2:$A$101,SUMPRODUCT(('Müşteriler'!$B$2:$B$101&lt;&gt;"")*ISNUMBER(SEARCH('Müşteriler'!$B$2:$B$101,B657)),ROW('Müşteriler'!$B$2:$B$101)-ROW('Müşteriler'!$B$2)+1)),""),""))</ns0:f>
        <ns0:v/>
      </ns0:c>
      <ns0:c r="G657" s="28" t="str">
        <ns0:f>IF(F657="","",IFERROR(INDEX('Müşteriler'!$C$2:$C$101,MATCH(F657,'Müşteriler'!$A$2:$A$101,0)),""))</ns0:f>
        <ns0:v/>
      </ns0:c>
      <ns0:c r="H657" s="28" t="str">
        <ns0:f>IF(A657="","",IF(C657&lt;=0,"Satış dışı",IF(OR(F657="",G657=""),"Eşleşmedi","Eşleşti")))</ns0:f>
        <ns0:v/>
      </ns0:c>
      <ns0:c r="I657" s="28">
        <ns0:f>I656+IF(AND(H657="Eşleşmedi",E657='Panel'!$B$4),1,0)</ns0:f>
        <ns0:v>3.0</ns0:v>
      </ns0:c>
    </ns0:row>
    <ns0:row r="658" ht="21" customHeight="1">
      <ns0:c r="A658" s="25" t="n"/>
      <ns0:c r="B658" s="26" t="n"/>
      <ns0:c r="C658" s="27" t="n"/>
      <ns0:c r="D658" s="27" t="n"/>
      <ns0:c r="E658" s="28" t="str">
        <ns0:f>IF(A658="","",YEAR(A658)&amp;"-"&amp;RIGHT("0"&amp;MONTH(A658),2))</ns0:f>
        <ns0:v/>
      </ns0:c>
      <ns0:c r="F658" s="28" t="str">
        <ns0:f>IF(OR(A658="",B658="",C658&lt;=0),"",IF(SUMPRODUCT(('Müşteriler'!$B$2:$B$101&lt;&gt;"")*ISNUMBER(SEARCH('Müşteriler'!$B$2:$B$101,B658)))=1,IFERROR(INDEX('Müşteriler'!$A$2:$A$101,SUMPRODUCT(('Müşteriler'!$B$2:$B$101&lt;&gt;"")*ISNUMBER(SEARCH('Müşteriler'!$B$2:$B$101,B658)),ROW('Müşteriler'!$B$2:$B$101)-ROW('Müşteriler'!$B$2)+1)),""),""))</ns0:f>
        <ns0:v/>
      </ns0:c>
      <ns0:c r="G658" s="28" t="str">
        <ns0:f>IF(F658="","",IFERROR(INDEX('Müşteriler'!$C$2:$C$101,MATCH(F658,'Müşteriler'!$A$2:$A$101,0)),""))</ns0:f>
        <ns0:v/>
      </ns0:c>
      <ns0:c r="H658" s="28" t="str">
        <ns0:f>IF(A658="","",IF(C658&lt;=0,"Satış dışı",IF(OR(F658="",G658=""),"Eşleşmedi","Eşleşti")))</ns0:f>
        <ns0:v/>
      </ns0:c>
      <ns0:c r="I658" s="28">
        <ns0:f>I657+IF(AND(H658="Eşleşmedi",E658='Panel'!$B$4),1,0)</ns0:f>
        <ns0:v>3.0</ns0:v>
      </ns0:c>
    </ns0:row>
    <ns0:row r="659" ht="21" customHeight="1">
      <ns0:c r="A659" s="25" t="n"/>
      <ns0:c r="B659" s="26" t="n"/>
      <ns0:c r="C659" s="27" t="n"/>
      <ns0:c r="D659" s="27" t="n"/>
      <ns0:c r="E659" s="28" t="str">
        <ns0:f>IF(A659="","",YEAR(A659)&amp;"-"&amp;RIGHT("0"&amp;MONTH(A659),2))</ns0:f>
        <ns0:v/>
      </ns0:c>
      <ns0:c r="F659" s="28" t="str">
        <ns0:f>IF(OR(A659="",B659="",C659&lt;=0),"",IF(SUMPRODUCT(('Müşteriler'!$B$2:$B$101&lt;&gt;"")*ISNUMBER(SEARCH('Müşteriler'!$B$2:$B$101,B659)))=1,IFERROR(INDEX('Müşteriler'!$A$2:$A$101,SUMPRODUCT(('Müşteriler'!$B$2:$B$101&lt;&gt;"")*ISNUMBER(SEARCH('Müşteriler'!$B$2:$B$101,B659)),ROW('Müşteriler'!$B$2:$B$101)-ROW('Müşteriler'!$B$2)+1)),""),""))</ns0:f>
        <ns0:v/>
      </ns0:c>
      <ns0:c r="G659" s="28" t="str">
        <ns0:f>IF(F659="","",IFERROR(INDEX('Müşteriler'!$C$2:$C$101,MATCH(F659,'Müşteriler'!$A$2:$A$101,0)),""))</ns0:f>
        <ns0:v/>
      </ns0:c>
      <ns0:c r="H659" s="28" t="str">
        <ns0:f>IF(A659="","",IF(C659&lt;=0,"Satış dışı",IF(OR(F659="",G659=""),"Eşleşmedi","Eşleşti")))</ns0:f>
        <ns0:v/>
      </ns0:c>
      <ns0:c r="I659" s="28">
        <ns0:f>I658+IF(AND(H659="Eşleşmedi",E659='Panel'!$B$4),1,0)</ns0:f>
        <ns0:v>3.0</ns0:v>
      </ns0:c>
    </ns0:row>
    <ns0:row r="660" ht="21" customHeight="1">
      <ns0:c r="A660" s="25" t="n"/>
      <ns0:c r="B660" s="26" t="n"/>
      <ns0:c r="C660" s="27" t="n"/>
      <ns0:c r="D660" s="27" t="n"/>
      <ns0:c r="E660" s="28" t="str">
        <ns0:f>IF(A660="","",YEAR(A660)&amp;"-"&amp;RIGHT("0"&amp;MONTH(A660),2))</ns0:f>
        <ns0:v/>
      </ns0:c>
      <ns0:c r="F660" s="28" t="str">
        <ns0:f>IF(OR(A660="",B660="",C660&lt;=0),"",IF(SUMPRODUCT(('Müşteriler'!$B$2:$B$101&lt;&gt;"")*ISNUMBER(SEARCH('Müşteriler'!$B$2:$B$101,B660)))=1,IFERROR(INDEX('Müşteriler'!$A$2:$A$101,SUMPRODUCT(('Müşteriler'!$B$2:$B$101&lt;&gt;"")*ISNUMBER(SEARCH('Müşteriler'!$B$2:$B$101,B660)),ROW('Müşteriler'!$B$2:$B$101)-ROW('Müşteriler'!$B$2)+1)),""),""))</ns0:f>
        <ns0:v/>
      </ns0:c>
      <ns0:c r="G660" s="28" t="str">
        <ns0:f>IF(F660="","",IFERROR(INDEX('Müşteriler'!$C$2:$C$101,MATCH(F660,'Müşteriler'!$A$2:$A$101,0)),""))</ns0:f>
        <ns0:v/>
      </ns0:c>
      <ns0:c r="H660" s="28" t="str">
        <ns0:f>IF(A660="","",IF(C660&lt;=0,"Satış dışı",IF(OR(F660="",G660=""),"Eşleşmedi","Eşleşti")))</ns0:f>
        <ns0:v/>
      </ns0:c>
      <ns0:c r="I660" s="28">
        <ns0:f>I659+IF(AND(H660="Eşleşmedi",E660='Panel'!$B$4),1,0)</ns0:f>
        <ns0:v>3.0</ns0:v>
      </ns0:c>
    </ns0:row>
    <ns0:row r="661" ht="21" customHeight="1">
      <ns0:c r="A661" s="25" t="n"/>
      <ns0:c r="B661" s="26" t="n"/>
      <ns0:c r="C661" s="27" t="n"/>
      <ns0:c r="D661" s="27" t="n"/>
      <ns0:c r="E661" s="28" t="str">
        <ns0:f>IF(A661="","",YEAR(A661)&amp;"-"&amp;RIGHT("0"&amp;MONTH(A661),2))</ns0:f>
        <ns0:v/>
      </ns0:c>
      <ns0:c r="F661" s="28" t="str">
        <ns0:f>IF(OR(A661="",B661="",C661&lt;=0),"",IF(SUMPRODUCT(('Müşteriler'!$B$2:$B$101&lt;&gt;"")*ISNUMBER(SEARCH('Müşteriler'!$B$2:$B$101,B661)))=1,IFERROR(INDEX('Müşteriler'!$A$2:$A$101,SUMPRODUCT(('Müşteriler'!$B$2:$B$101&lt;&gt;"")*ISNUMBER(SEARCH('Müşteriler'!$B$2:$B$101,B661)),ROW('Müşteriler'!$B$2:$B$101)-ROW('Müşteriler'!$B$2)+1)),""),""))</ns0:f>
        <ns0:v/>
      </ns0:c>
      <ns0:c r="G661" s="28" t="str">
        <ns0:f>IF(F661="","",IFERROR(INDEX('Müşteriler'!$C$2:$C$101,MATCH(F661,'Müşteriler'!$A$2:$A$101,0)),""))</ns0:f>
        <ns0:v/>
      </ns0:c>
      <ns0:c r="H661" s="28" t="str">
        <ns0:f>IF(A661="","",IF(C661&lt;=0,"Satış dışı",IF(OR(F661="",G661=""),"Eşleşmedi","Eşleşti")))</ns0:f>
        <ns0:v/>
      </ns0:c>
      <ns0:c r="I661" s="28">
        <ns0:f>I660+IF(AND(H661="Eşleşmedi",E661='Panel'!$B$4),1,0)</ns0:f>
        <ns0:v>3.0</ns0:v>
      </ns0:c>
    </ns0:row>
    <ns0:row r="662" ht="21" customHeight="1">
      <ns0:c r="A662" s="25" t="n"/>
      <ns0:c r="B662" s="26" t="n"/>
      <ns0:c r="C662" s="27" t="n"/>
      <ns0:c r="D662" s="27" t="n"/>
      <ns0:c r="E662" s="28" t="str">
        <ns0:f>IF(A662="","",YEAR(A662)&amp;"-"&amp;RIGHT("0"&amp;MONTH(A662),2))</ns0:f>
        <ns0:v/>
      </ns0:c>
      <ns0:c r="F662" s="28" t="str">
        <ns0:f>IF(OR(A662="",B662="",C662&lt;=0),"",IF(SUMPRODUCT(('Müşteriler'!$B$2:$B$101&lt;&gt;"")*ISNUMBER(SEARCH('Müşteriler'!$B$2:$B$101,B662)))=1,IFERROR(INDEX('Müşteriler'!$A$2:$A$101,SUMPRODUCT(('Müşteriler'!$B$2:$B$101&lt;&gt;"")*ISNUMBER(SEARCH('Müşteriler'!$B$2:$B$101,B662)),ROW('Müşteriler'!$B$2:$B$101)-ROW('Müşteriler'!$B$2)+1)),""),""))</ns0:f>
        <ns0:v/>
      </ns0:c>
      <ns0:c r="G662" s="28" t="str">
        <ns0:f>IF(F662="","",IFERROR(INDEX('Müşteriler'!$C$2:$C$101,MATCH(F662,'Müşteriler'!$A$2:$A$101,0)),""))</ns0:f>
        <ns0:v/>
      </ns0:c>
      <ns0:c r="H662" s="28" t="str">
        <ns0:f>IF(A662="","",IF(C662&lt;=0,"Satış dışı",IF(OR(F662="",G662=""),"Eşleşmedi","Eşleşti")))</ns0:f>
        <ns0:v/>
      </ns0:c>
      <ns0:c r="I662" s="28">
        <ns0:f>I661+IF(AND(H662="Eşleşmedi",E662='Panel'!$B$4),1,0)</ns0:f>
        <ns0:v>3.0</ns0:v>
      </ns0:c>
    </ns0:row>
    <ns0:row r="663" ht="21" customHeight="1">
      <ns0:c r="A663" s="25" t="n"/>
      <ns0:c r="B663" s="26" t="n"/>
      <ns0:c r="C663" s="27" t="n"/>
      <ns0:c r="D663" s="27" t="n"/>
      <ns0:c r="E663" s="28" t="str">
        <ns0:f>IF(A663="","",YEAR(A663)&amp;"-"&amp;RIGHT("0"&amp;MONTH(A663),2))</ns0:f>
        <ns0:v/>
      </ns0:c>
      <ns0:c r="F663" s="28" t="str">
        <ns0:f>IF(OR(A663="",B663="",C663&lt;=0),"",IF(SUMPRODUCT(('Müşteriler'!$B$2:$B$101&lt;&gt;"")*ISNUMBER(SEARCH('Müşteriler'!$B$2:$B$101,B663)))=1,IFERROR(INDEX('Müşteriler'!$A$2:$A$101,SUMPRODUCT(('Müşteriler'!$B$2:$B$101&lt;&gt;"")*ISNUMBER(SEARCH('Müşteriler'!$B$2:$B$101,B663)),ROW('Müşteriler'!$B$2:$B$101)-ROW('Müşteriler'!$B$2)+1)),""),""))</ns0:f>
        <ns0:v/>
      </ns0:c>
      <ns0:c r="G663" s="28" t="str">
        <ns0:f>IF(F663="","",IFERROR(INDEX('Müşteriler'!$C$2:$C$101,MATCH(F663,'Müşteriler'!$A$2:$A$101,0)),""))</ns0:f>
        <ns0:v/>
      </ns0:c>
      <ns0:c r="H663" s="28" t="str">
        <ns0:f>IF(A663="","",IF(C663&lt;=0,"Satış dışı",IF(OR(F663="",G663=""),"Eşleşmedi","Eşleşti")))</ns0:f>
        <ns0:v/>
      </ns0:c>
      <ns0:c r="I663" s="28">
        <ns0:f>I662+IF(AND(H663="Eşleşmedi",E663='Panel'!$B$4),1,0)</ns0:f>
        <ns0:v>3.0</ns0:v>
      </ns0:c>
    </ns0:row>
    <ns0:row r="664" ht="21" customHeight="1">
      <ns0:c r="A664" s="25" t="n"/>
      <ns0:c r="B664" s="26" t="n"/>
      <ns0:c r="C664" s="27" t="n"/>
      <ns0:c r="D664" s="27" t="n"/>
      <ns0:c r="E664" s="28" t="str">
        <ns0:f>IF(A664="","",YEAR(A664)&amp;"-"&amp;RIGHT("0"&amp;MONTH(A664),2))</ns0:f>
        <ns0:v/>
      </ns0:c>
      <ns0:c r="F664" s="28" t="str">
        <ns0:f>IF(OR(A664="",B664="",C664&lt;=0),"",IF(SUMPRODUCT(('Müşteriler'!$B$2:$B$101&lt;&gt;"")*ISNUMBER(SEARCH('Müşteriler'!$B$2:$B$101,B664)))=1,IFERROR(INDEX('Müşteriler'!$A$2:$A$101,SUMPRODUCT(('Müşteriler'!$B$2:$B$101&lt;&gt;"")*ISNUMBER(SEARCH('Müşteriler'!$B$2:$B$101,B664)),ROW('Müşteriler'!$B$2:$B$101)-ROW('Müşteriler'!$B$2)+1)),""),""))</ns0:f>
        <ns0:v/>
      </ns0:c>
      <ns0:c r="G664" s="28" t="str">
        <ns0:f>IF(F664="","",IFERROR(INDEX('Müşteriler'!$C$2:$C$101,MATCH(F664,'Müşteriler'!$A$2:$A$101,0)),""))</ns0:f>
        <ns0:v/>
      </ns0:c>
      <ns0:c r="H664" s="28" t="str">
        <ns0:f>IF(A664="","",IF(C664&lt;=0,"Satış dışı",IF(OR(F664="",G664=""),"Eşleşmedi","Eşleşti")))</ns0:f>
        <ns0:v/>
      </ns0:c>
      <ns0:c r="I664" s="28">
        <ns0:f>I663+IF(AND(H664="Eşleşmedi",E664='Panel'!$B$4),1,0)</ns0:f>
        <ns0:v>3.0</ns0:v>
      </ns0:c>
    </ns0:row>
    <ns0:row r="665" ht="21" customHeight="1">
      <ns0:c r="A665" s="25" t="n"/>
      <ns0:c r="B665" s="26" t="n"/>
      <ns0:c r="C665" s="27" t="n"/>
      <ns0:c r="D665" s="27" t="n"/>
      <ns0:c r="E665" s="28" t="str">
        <ns0:f>IF(A665="","",YEAR(A665)&amp;"-"&amp;RIGHT("0"&amp;MONTH(A665),2))</ns0:f>
        <ns0:v/>
      </ns0:c>
      <ns0:c r="F665" s="28" t="str">
        <ns0:f>IF(OR(A665="",B665="",C665&lt;=0),"",IF(SUMPRODUCT(('Müşteriler'!$B$2:$B$101&lt;&gt;"")*ISNUMBER(SEARCH('Müşteriler'!$B$2:$B$101,B665)))=1,IFERROR(INDEX('Müşteriler'!$A$2:$A$101,SUMPRODUCT(('Müşteriler'!$B$2:$B$101&lt;&gt;"")*ISNUMBER(SEARCH('Müşteriler'!$B$2:$B$101,B665)),ROW('Müşteriler'!$B$2:$B$101)-ROW('Müşteriler'!$B$2)+1)),""),""))</ns0:f>
        <ns0:v/>
      </ns0:c>
      <ns0:c r="G665" s="28" t="str">
        <ns0:f>IF(F665="","",IFERROR(INDEX('Müşteriler'!$C$2:$C$101,MATCH(F665,'Müşteriler'!$A$2:$A$101,0)),""))</ns0:f>
        <ns0:v/>
      </ns0:c>
      <ns0:c r="H665" s="28" t="str">
        <ns0:f>IF(A665="","",IF(C665&lt;=0,"Satış dışı",IF(OR(F665="",G665=""),"Eşleşmedi","Eşleşti")))</ns0:f>
        <ns0:v/>
      </ns0:c>
      <ns0:c r="I665" s="28">
        <ns0:f>I664+IF(AND(H665="Eşleşmedi",E665='Panel'!$B$4),1,0)</ns0:f>
        <ns0:v>3.0</ns0:v>
      </ns0:c>
    </ns0:row>
    <ns0:row r="666" ht="21" customHeight="1">
      <ns0:c r="A666" s="25" t="n"/>
      <ns0:c r="B666" s="26" t="n"/>
      <ns0:c r="C666" s="27" t="n"/>
      <ns0:c r="D666" s="27" t="n"/>
      <ns0:c r="E666" s="28" t="str">
        <ns0:f>IF(A666="","",YEAR(A666)&amp;"-"&amp;RIGHT("0"&amp;MONTH(A666),2))</ns0:f>
        <ns0:v/>
      </ns0:c>
      <ns0:c r="F666" s="28" t="str">
        <ns0:f>IF(OR(A666="",B666="",C666&lt;=0),"",IF(SUMPRODUCT(('Müşteriler'!$B$2:$B$101&lt;&gt;"")*ISNUMBER(SEARCH('Müşteriler'!$B$2:$B$101,B666)))=1,IFERROR(INDEX('Müşteriler'!$A$2:$A$101,SUMPRODUCT(('Müşteriler'!$B$2:$B$101&lt;&gt;"")*ISNUMBER(SEARCH('Müşteriler'!$B$2:$B$101,B666)),ROW('Müşteriler'!$B$2:$B$101)-ROW('Müşteriler'!$B$2)+1)),""),""))</ns0:f>
        <ns0:v/>
      </ns0:c>
      <ns0:c r="G666" s="28" t="str">
        <ns0:f>IF(F666="","",IFERROR(INDEX('Müşteriler'!$C$2:$C$101,MATCH(F666,'Müşteriler'!$A$2:$A$101,0)),""))</ns0:f>
        <ns0:v/>
      </ns0:c>
      <ns0:c r="H666" s="28" t="str">
        <ns0:f>IF(A666="","",IF(C666&lt;=0,"Satış dışı",IF(OR(F666="",G666=""),"Eşleşmedi","Eşleşti")))</ns0:f>
        <ns0:v/>
      </ns0:c>
      <ns0:c r="I666" s="28">
        <ns0:f>I665+IF(AND(H666="Eşleşmedi",E666='Panel'!$B$4),1,0)</ns0:f>
        <ns0:v>3.0</ns0:v>
      </ns0:c>
    </ns0:row>
    <ns0:row r="667" ht="21" customHeight="1">
      <ns0:c r="A667" s="25" t="n"/>
      <ns0:c r="B667" s="26" t="n"/>
      <ns0:c r="C667" s="27" t="n"/>
      <ns0:c r="D667" s="27" t="n"/>
      <ns0:c r="E667" s="28" t="str">
        <ns0:f>IF(A667="","",YEAR(A667)&amp;"-"&amp;RIGHT("0"&amp;MONTH(A667),2))</ns0:f>
        <ns0:v/>
      </ns0:c>
      <ns0:c r="F667" s="28" t="str">
        <ns0:f>IF(OR(A667="",B667="",C667&lt;=0),"",IF(SUMPRODUCT(('Müşteriler'!$B$2:$B$101&lt;&gt;"")*ISNUMBER(SEARCH('Müşteriler'!$B$2:$B$101,B667)))=1,IFERROR(INDEX('Müşteriler'!$A$2:$A$101,SUMPRODUCT(('Müşteriler'!$B$2:$B$101&lt;&gt;"")*ISNUMBER(SEARCH('Müşteriler'!$B$2:$B$101,B667)),ROW('Müşteriler'!$B$2:$B$101)-ROW('Müşteriler'!$B$2)+1)),""),""))</ns0:f>
        <ns0:v/>
      </ns0:c>
      <ns0:c r="G667" s="28" t="str">
        <ns0:f>IF(F667="","",IFERROR(INDEX('Müşteriler'!$C$2:$C$101,MATCH(F667,'Müşteriler'!$A$2:$A$101,0)),""))</ns0:f>
        <ns0:v/>
      </ns0:c>
      <ns0:c r="H667" s="28" t="str">
        <ns0:f>IF(A667="","",IF(C667&lt;=0,"Satış dışı",IF(OR(F667="",G667=""),"Eşleşmedi","Eşleşti")))</ns0:f>
        <ns0:v/>
      </ns0:c>
      <ns0:c r="I667" s="28">
        <ns0:f>I666+IF(AND(H667="Eşleşmedi",E667='Panel'!$B$4),1,0)</ns0:f>
        <ns0:v>3.0</ns0:v>
      </ns0:c>
    </ns0:row>
    <ns0:row r="668" ht="21" customHeight="1">
      <ns0:c r="A668" s="25" t="n"/>
      <ns0:c r="B668" s="26" t="n"/>
      <ns0:c r="C668" s="27" t="n"/>
      <ns0:c r="D668" s="27" t="n"/>
      <ns0:c r="E668" s="28" t="str">
        <ns0:f>IF(A668="","",YEAR(A668)&amp;"-"&amp;RIGHT("0"&amp;MONTH(A668),2))</ns0:f>
        <ns0:v/>
      </ns0:c>
      <ns0:c r="F668" s="28" t="str">
        <ns0:f>IF(OR(A668="",B668="",C668&lt;=0),"",IF(SUMPRODUCT(('Müşteriler'!$B$2:$B$101&lt;&gt;"")*ISNUMBER(SEARCH('Müşteriler'!$B$2:$B$101,B668)))=1,IFERROR(INDEX('Müşteriler'!$A$2:$A$101,SUMPRODUCT(('Müşteriler'!$B$2:$B$101&lt;&gt;"")*ISNUMBER(SEARCH('Müşteriler'!$B$2:$B$101,B668)),ROW('Müşteriler'!$B$2:$B$101)-ROW('Müşteriler'!$B$2)+1)),""),""))</ns0:f>
        <ns0:v/>
      </ns0:c>
      <ns0:c r="G668" s="28" t="str">
        <ns0:f>IF(F668="","",IFERROR(INDEX('Müşteriler'!$C$2:$C$101,MATCH(F668,'Müşteriler'!$A$2:$A$101,0)),""))</ns0:f>
        <ns0:v/>
      </ns0:c>
      <ns0:c r="H668" s="28" t="str">
        <ns0:f>IF(A668="","",IF(C668&lt;=0,"Satış dışı",IF(OR(F668="",G668=""),"Eşleşmedi","Eşleşti")))</ns0:f>
        <ns0:v/>
      </ns0:c>
      <ns0:c r="I668" s="28">
        <ns0:f>I667+IF(AND(H668="Eşleşmedi",E668='Panel'!$B$4),1,0)</ns0:f>
        <ns0:v>3.0</ns0:v>
      </ns0:c>
    </ns0:row>
    <ns0:row r="669" ht="21" customHeight="1">
      <ns0:c r="A669" s="25" t="n"/>
      <ns0:c r="B669" s="26" t="n"/>
      <ns0:c r="C669" s="27" t="n"/>
      <ns0:c r="D669" s="27" t="n"/>
      <ns0:c r="E669" s="28" t="str">
        <ns0:f>IF(A669="","",YEAR(A669)&amp;"-"&amp;RIGHT("0"&amp;MONTH(A669),2))</ns0:f>
        <ns0:v/>
      </ns0:c>
      <ns0:c r="F669" s="28" t="str">
        <ns0:f>IF(OR(A669="",B669="",C669&lt;=0),"",IF(SUMPRODUCT(('Müşteriler'!$B$2:$B$101&lt;&gt;"")*ISNUMBER(SEARCH('Müşteriler'!$B$2:$B$101,B669)))=1,IFERROR(INDEX('Müşteriler'!$A$2:$A$101,SUMPRODUCT(('Müşteriler'!$B$2:$B$101&lt;&gt;"")*ISNUMBER(SEARCH('Müşteriler'!$B$2:$B$101,B669)),ROW('Müşteriler'!$B$2:$B$101)-ROW('Müşteriler'!$B$2)+1)),""),""))</ns0:f>
        <ns0:v/>
      </ns0:c>
      <ns0:c r="G669" s="28" t="str">
        <ns0:f>IF(F669="","",IFERROR(INDEX('Müşteriler'!$C$2:$C$101,MATCH(F669,'Müşteriler'!$A$2:$A$101,0)),""))</ns0:f>
        <ns0:v/>
      </ns0:c>
      <ns0:c r="H669" s="28" t="str">
        <ns0:f>IF(A669="","",IF(C669&lt;=0,"Satış dışı",IF(OR(F669="",G669=""),"Eşleşmedi","Eşleşti")))</ns0:f>
        <ns0:v/>
      </ns0:c>
      <ns0:c r="I669" s="28">
        <ns0:f>I668+IF(AND(H669="Eşleşmedi",E669='Panel'!$B$4),1,0)</ns0:f>
        <ns0:v>3.0</ns0:v>
      </ns0:c>
    </ns0:row>
    <ns0:row r="670" ht="21" customHeight="1">
      <ns0:c r="A670" s="25" t="n"/>
      <ns0:c r="B670" s="26" t="n"/>
      <ns0:c r="C670" s="27" t="n"/>
      <ns0:c r="D670" s="27" t="n"/>
      <ns0:c r="E670" s="28" t="str">
        <ns0:f>IF(A670="","",YEAR(A670)&amp;"-"&amp;RIGHT("0"&amp;MONTH(A670),2))</ns0:f>
        <ns0:v/>
      </ns0:c>
      <ns0:c r="F670" s="28" t="str">
        <ns0:f>IF(OR(A670="",B670="",C670&lt;=0),"",IF(SUMPRODUCT(('Müşteriler'!$B$2:$B$101&lt;&gt;"")*ISNUMBER(SEARCH('Müşteriler'!$B$2:$B$101,B670)))=1,IFERROR(INDEX('Müşteriler'!$A$2:$A$101,SUMPRODUCT(('Müşteriler'!$B$2:$B$101&lt;&gt;"")*ISNUMBER(SEARCH('Müşteriler'!$B$2:$B$101,B670)),ROW('Müşteriler'!$B$2:$B$101)-ROW('Müşteriler'!$B$2)+1)),""),""))</ns0:f>
        <ns0:v/>
      </ns0:c>
      <ns0:c r="G670" s="28" t="str">
        <ns0:f>IF(F670="","",IFERROR(INDEX('Müşteriler'!$C$2:$C$101,MATCH(F670,'Müşteriler'!$A$2:$A$101,0)),""))</ns0:f>
        <ns0:v/>
      </ns0:c>
      <ns0:c r="H670" s="28" t="str">
        <ns0:f>IF(A670="","",IF(C670&lt;=0,"Satış dışı",IF(OR(F670="",G670=""),"Eşleşmedi","Eşleşti")))</ns0:f>
        <ns0:v/>
      </ns0:c>
      <ns0:c r="I670" s="28">
        <ns0:f>I669+IF(AND(H670="Eşleşmedi",E670='Panel'!$B$4),1,0)</ns0:f>
        <ns0:v>3.0</ns0:v>
      </ns0:c>
    </ns0:row>
    <ns0:row r="671" ht="21" customHeight="1">
      <ns0:c r="A671" s="25" t="n"/>
      <ns0:c r="B671" s="26" t="n"/>
      <ns0:c r="C671" s="27" t="n"/>
      <ns0:c r="D671" s="27" t="n"/>
      <ns0:c r="E671" s="28" t="str">
        <ns0:f>IF(A671="","",YEAR(A671)&amp;"-"&amp;RIGHT("0"&amp;MONTH(A671),2))</ns0:f>
        <ns0:v/>
      </ns0:c>
      <ns0:c r="F671" s="28" t="str">
        <ns0:f>IF(OR(A671="",B671="",C671&lt;=0),"",IF(SUMPRODUCT(('Müşteriler'!$B$2:$B$101&lt;&gt;"")*ISNUMBER(SEARCH('Müşteriler'!$B$2:$B$101,B671)))=1,IFERROR(INDEX('Müşteriler'!$A$2:$A$101,SUMPRODUCT(('Müşteriler'!$B$2:$B$101&lt;&gt;"")*ISNUMBER(SEARCH('Müşteriler'!$B$2:$B$101,B671)),ROW('Müşteriler'!$B$2:$B$101)-ROW('Müşteriler'!$B$2)+1)),""),""))</ns0:f>
        <ns0:v/>
      </ns0:c>
      <ns0:c r="G671" s="28" t="str">
        <ns0:f>IF(F671="","",IFERROR(INDEX('Müşteriler'!$C$2:$C$101,MATCH(F671,'Müşteriler'!$A$2:$A$101,0)),""))</ns0:f>
        <ns0:v/>
      </ns0:c>
      <ns0:c r="H671" s="28" t="str">
        <ns0:f>IF(A671="","",IF(C671&lt;=0,"Satış dışı",IF(OR(F671="",G671=""),"Eşleşmedi","Eşleşti")))</ns0:f>
        <ns0:v/>
      </ns0:c>
      <ns0:c r="I671" s="28">
        <ns0:f>I670+IF(AND(H671="Eşleşmedi",E671='Panel'!$B$4),1,0)</ns0:f>
        <ns0:v>3.0</ns0:v>
      </ns0:c>
    </ns0:row>
    <ns0:row r="672" ht="21" customHeight="1">
      <ns0:c r="A672" s="25" t="n"/>
      <ns0:c r="B672" s="26" t="n"/>
      <ns0:c r="C672" s="27" t="n"/>
      <ns0:c r="D672" s="27" t="n"/>
      <ns0:c r="E672" s="28" t="str">
        <ns0:f>IF(A672="","",YEAR(A672)&amp;"-"&amp;RIGHT("0"&amp;MONTH(A672),2))</ns0:f>
        <ns0:v/>
      </ns0:c>
      <ns0:c r="F672" s="28" t="str">
        <ns0:f>IF(OR(A672="",B672="",C672&lt;=0),"",IF(SUMPRODUCT(('Müşteriler'!$B$2:$B$101&lt;&gt;"")*ISNUMBER(SEARCH('Müşteriler'!$B$2:$B$101,B672)))=1,IFERROR(INDEX('Müşteriler'!$A$2:$A$101,SUMPRODUCT(('Müşteriler'!$B$2:$B$101&lt;&gt;"")*ISNUMBER(SEARCH('Müşteriler'!$B$2:$B$101,B672)),ROW('Müşteriler'!$B$2:$B$101)-ROW('Müşteriler'!$B$2)+1)),""),""))</ns0:f>
        <ns0:v/>
      </ns0:c>
      <ns0:c r="G672" s="28" t="str">
        <ns0:f>IF(F672="","",IFERROR(INDEX('Müşteriler'!$C$2:$C$101,MATCH(F672,'Müşteriler'!$A$2:$A$101,0)),""))</ns0:f>
        <ns0:v/>
      </ns0:c>
      <ns0:c r="H672" s="28" t="str">
        <ns0:f>IF(A672="","",IF(C672&lt;=0,"Satış dışı",IF(OR(F672="",G672=""),"Eşleşmedi","Eşleşti")))</ns0:f>
        <ns0:v/>
      </ns0:c>
      <ns0:c r="I672" s="28">
        <ns0:f>I671+IF(AND(H672="Eşleşmedi",E672='Panel'!$B$4),1,0)</ns0:f>
        <ns0:v>3.0</ns0:v>
      </ns0:c>
    </ns0:row>
    <ns0:row r="673" ht="21" customHeight="1">
      <ns0:c r="A673" s="25" t="n"/>
      <ns0:c r="B673" s="26" t="n"/>
      <ns0:c r="C673" s="27" t="n"/>
      <ns0:c r="D673" s="27" t="n"/>
      <ns0:c r="E673" s="28" t="str">
        <ns0:f>IF(A673="","",YEAR(A673)&amp;"-"&amp;RIGHT("0"&amp;MONTH(A673),2))</ns0:f>
        <ns0:v/>
      </ns0:c>
      <ns0:c r="F673" s="28" t="str">
        <ns0:f>IF(OR(A673="",B673="",C673&lt;=0),"",IF(SUMPRODUCT(('Müşteriler'!$B$2:$B$101&lt;&gt;"")*ISNUMBER(SEARCH('Müşteriler'!$B$2:$B$101,B673)))=1,IFERROR(INDEX('Müşteriler'!$A$2:$A$101,SUMPRODUCT(('Müşteriler'!$B$2:$B$101&lt;&gt;"")*ISNUMBER(SEARCH('Müşteriler'!$B$2:$B$101,B673)),ROW('Müşteriler'!$B$2:$B$101)-ROW('Müşteriler'!$B$2)+1)),""),""))</ns0:f>
        <ns0:v/>
      </ns0:c>
      <ns0:c r="G673" s="28" t="str">
        <ns0:f>IF(F673="","",IFERROR(INDEX('Müşteriler'!$C$2:$C$101,MATCH(F673,'Müşteriler'!$A$2:$A$101,0)),""))</ns0:f>
        <ns0:v/>
      </ns0:c>
      <ns0:c r="H673" s="28" t="str">
        <ns0:f>IF(A673="","",IF(C673&lt;=0,"Satış dışı",IF(OR(F673="",G673=""),"Eşleşmedi","Eşleşti")))</ns0:f>
        <ns0:v/>
      </ns0:c>
      <ns0:c r="I673" s="28">
        <ns0:f>I672+IF(AND(H673="Eşleşmedi",E673='Panel'!$B$4),1,0)</ns0:f>
        <ns0:v>3.0</ns0:v>
      </ns0:c>
    </ns0:row>
    <ns0:row r="674" ht="21" customHeight="1">
      <ns0:c r="A674" s="25" t="n"/>
      <ns0:c r="B674" s="26" t="n"/>
      <ns0:c r="C674" s="27" t="n"/>
      <ns0:c r="D674" s="27" t="n"/>
      <ns0:c r="E674" s="28" t="str">
        <ns0:f>IF(A674="","",YEAR(A674)&amp;"-"&amp;RIGHT("0"&amp;MONTH(A674),2))</ns0:f>
        <ns0:v/>
      </ns0:c>
      <ns0:c r="F674" s="28" t="str">
        <ns0:f>IF(OR(A674="",B674="",C674&lt;=0),"",IF(SUMPRODUCT(('Müşteriler'!$B$2:$B$101&lt;&gt;"")*ISNUMBER(SEARCH('Müşteriler'!$B$2:$B$101,B674)))=1,IFERROR(INDEX('Müşteriler'!$A$2:$A$101,SUMPRODUCT(('Müşteriler'!$B$2:$B$101&lt;&gt;"")*ISNUMBER(SEARCH('Müşteriler'!$B$2:$B$101,B674)),ROW('Müşteriler'!$B$2:$B$101)-ROW('Müşteriler'!$B$2)+1)),""),""))</ns0:f>
        <ns0:v/>
      </ns0:c>
      <ns0:c r="G674" s="28" t="str">
        <ns0:f>IF(F674="","",IFERROR(INDEX('Müşteriler'!$C$2:$C$101,MATCH(F674,'Müşteriler'!$A$2:$A$101,0)),""))</ns0:f>
        <ns0:v/>
      </ns0:c>
      <ns0:c r="H674" s="28" t="str">
        <ns0:f>IF(A674="","",IF(C674&lt;=0,"Satış dışı",IF(OR(F674="",G674=""),"Eşleşmedi","Eşleşti")))</ns0:f>
        <ns0:v/>
      </ns0:c>
      <ns0:c r="I674" s="28">
        <ns0:f>I673+IF(AND(H674="Eşleşmedi",E674='Panel'!$B$4),1,0)</ns0:f>
        <ns0:v>3.0</ns0:v>
      </ns0:c>
    </ns0:row>
    <ns0:row r="675" ht="21" customHeight="1">
      <ns0:c r="A675" s="25" t="n"/>
      <ns0:c r="B675" s="26" t="n"/>
      <ns0:c r="C675" s="27" t="n"/>
      <ns0:c r="D675" s="27" t="n"/>
      <ns0:c r="E675" s="28" t="str">
        <ns0:f>IF(A675="","",YEAR(A675)&amp;"-"&amp;RIGHT("0"&amp;MONTH(A675),2))</ns0:f>
        <ns0:v/>
      </ns0:c>
      <ns0:c r="F675" s="28" t="str">
        <ns0:f>IF(OR(A675="",B675="",C675&lt;=0),"",IF(SUMPRODUCT(('Müşteriler'!$B$2:$B$101&lt;&gt;"")*ISNUMBER(SEARCH('Müşteriler'!$B$2:$B$101,B675)))=1,IFERROR(INDEX('Müşteriler'!$A$2:$A$101,SUMPRODUCT(('Müşteriler'!$B$2:$B$101&lt;&gt;"")*ISNUMBER(SEARCH('Müşteriler'!$B$2:$B$101,B675)),ROW('Müşteriler'!$B$2:$B$101)-ROW('Müşteriler'!$B$2)+1)),""),""))</ns0:f>
        <ns0:v/>
      </ns0:c>
      <ns0:c r="G675" s="28" t="str">
        <ns0:f>IF(F675="","",IFERROR(INDEX('Müşteriler'!$C$2:$C$101,MATCH(F675,'Müşteriler'!$A$2:$A$101,0)),""))</ns0:f>
        <ns0:v/>
      </ns0:c>
      <ns0:c r="H675" s="28" t="str">
        <ns0:f>IF(A675="","",IF(C675&lt;=0,"Satış dışı",IF(OR(F675="",G675=""),"Eşleşmedi","Eşleşti")))</ns0:f>
        <ns0:v/>
      </ns0:c>
      <ns0:c r="I675" s="28">
        <ns0:f>I674+IF(AND(H675="Eşleşmedi",E675='Panel'!$B$4),1,0)</ns0:f>
        <ns0:v>3.0</ns0:v>
      </ns0:c>
    </ns0:row>
    <ns0:row r="676" ht="21" customHeight="1">
      <ns0:c r="A676" s="25" t="n"/>
      <ns0:c r="B676" s="26" t="n"/>
      <ns0:c r="C676" s="27" t="n"/>
      <ns0:c r="D676" s="27" t="n"/>
      <ns0:c r="E676" s="28" t="str">
        <ns0:f>IF(A676="","",YEAR(A676)&amp;"-"&amp;RIGHT("0"&amp;MONTH(A676),2))</ns0:f>
        <ns0:v/>
      </ns0:c>
      <ns0:c r="F676" s="28" t="str">
        <ns0:f>IF(OR(A676="",B676="",C676&lt;=0),"",IF(SUMPRODUCT(('Müşteriler'!$B$2:$B$101&lt;&gt;"")*ISNUMBER(SEARCH('Müşteriler'!$B$2:$B$101,B676)))=1,IFERROR(INDEX('Müşteriler'!$A$2:$A$101,SUMPRODUCT(('Müşteriler'!$B$2:$B$101&lt;&gt;"")*ISNUMBER(SEARCH('Müşteriler'!$B$2:$B$101,B676)),ROW('Müşteriler'!$B$2:$B$101)-ROW('Müşteriler'!$B$2)+1)),""),""))</ns0:f>
        <ns0:v/>
      </ns0:c>
      <ns0:c r="G676" s="28" t="str">
        <ns0:f>IF(F676="","",IFERROR(INDEX('Müşteriler'!$C$2:$C$101,MATCH(F676,'Müşteriler'!$A$2:$A$101,0)),""))</ns0:f>
        <ns0:v/>
      </ns0:c>
      <ns0:c r="H676" s="28" t="str">
        <ns0:f>IF(A676="","",IF(C676&lt;=0,"Satış dışı",IF(OR(F676="",G676=""),"Eşleşmedi","Eşleşti")))</ns0:f>
        <ns0:v/>
      </ns0:c>
      <ns0:c r="I676" s="28">
        <ns0:f>I675+IF(AND(H676="Eşleşmedi",E676='Panel'!$B$4),1,0)</ns0:f>
        <ns0:v>3.0</ns0:v>
      </ns0:c>
    </ns0:row>
    <ns0:row r="677" ht="21" customHeight="1">
      <ns0:c r="A677" s="25" t="n"/>
      <ns0:c r="B677" s="26" t="n"/>
      <ns0:c r="C677" s="27" t="n"/>
      <ns0:c r="D677" s="27" t="n"/>
      <ns0:c r="E677" s="28" t="str">
        <ns0:f>IF(A677="","",YEAR(A677)&amp;"-"&amp;RIGHT("0"&amp;MONTH(A677),2))</ns0:f>
        <ns0:v/>
      </ns0:c>
      <ns0:c r="F677" s="28" t="str">
        <ns0:f>IF(OR(A677="",B677="",C677&lt;=0),"",IF(SUMPRODUCT(('Müşteriler'!$B$2:$B$101&lt;&gt;"")*ISNUMBER(SEARCH('Müşteriler'!$B$2:$B$101,B677)))=1,IFERROR(INDEX('Müşteriler'!$A$2:$A$101,SUMPRODUCT(('Müşteriler'!$B$2:$B$101&lt;&gt;"")*ISNUMBER(SEARCH('Müşteriler'!$B$2:$B$101,B677)),ROW('Müşteriler'!$B$2:$B$101)-ROW('Müşteriler'!$B$2)+1)),""),""))</ns0:f>
        <ns0:v/>
      </ns0:c>
      <ns0:c r="G677" s="28" t="str">
        <ns0:f>IF(F677="","",IFERROR(INDEX('Müşteriler'!$C$2:$C$101,MATCH(F677,'Müşteriler'!$A$2:$A$101,0)),""))</ns0:f>
        <ns0:v/>
      </ns0:c>
      <ns0:c r="H677" s="28" t="str">
        <ns0:f>IF(A677="","",IF(C677&lt;=0,"Satış dışı",IF(OR(F677="",G677=""),"Eşleşmedi","Eşleşti")))</ns0:f>
        <ns0:v/>
      </ns0:c>
      <ns0:c r="I677" s="28">
        <ns0:f>I676+IF(AND(H677="Eşleşmedi",E677='Panel'!$B$4),1,0)</ns0:f>
        <ns0:v>3.0</ns0:v>
      </ns0:c>
    </ns0:row>
    <ns0:row r="678" ht="21" customHeight="1">
      <ns0:c r="A678" s="25" t="n"/>
      <ns0:c r="B678" s="26" t="n"/>
      <ns0:c r="C678" s="27" t="n"/>
      <ns0:c r="D678" s="27" t="n"/>
      <ns0:c r="E678" s="28" t="str">
        <ns0:f>IF(A678="","",YEAR(A678)&amp;"-"&amp;RIGHT("0"&amp;MONTH(A678),2))</ns0:f>
        <ns0:v/>
      </ns0:c>
      <ns0:c r="F678" s="28" t="str">
        <ns0:f>IF(OR(A678="",B678="",C678&lt;=0),"",IF(SUMPRODUCT(('Müşteriler'!$B$2:$B$101&lt;&gt;"")*ISNUMBER(SEARCH('Müşteriler'!$B$2:$B$101,B678)))=1,IFERROR(INDEX('Müşteriler'!$A$2:$A$101,SUMPRODUCT(('Müşteriler'!$B$2:$B$101&lt;&gt;"")*ISNUMBER(SEARCH('Müşteriler'!$B$2:$B$101,B678)),ROW('Müşteriler'!$B$2:$B$101)-ROW('Müşteriler'!$B$2)+1)),""),""))</ns0:f>
        <ns0:v/>
      </ns0:c>
      <ns0:c r="G678" s="28" t="str">
        <ns0:f>IF(F678="","",IFERROR(INDEX('Müşteriler'!$C$2:$C$101,MATCH(F678,'Müşteriler'!$A$2:$A$101,0)),""))</ns0:f>
        <ns0:v/>
      </ns0:c>
      <ns0:c r="H678" s="28" t="str">
        <ns0:f>IF(A678="","",IF(C678&lt;=0,"Satış dışı",IF(OR(F678="",G678=""),"Eşleşmedi","Eşleşti")))</ns0:f>
        <ns0:v/>
      </ns0:c>
      <ns0:c r="I678" s="28">
        <ns0:f>I677+IF(AND(H678="Eşleşmedi",E678='Panel'!$B$4),1,0)</ns0:f>
        <ns0:v>3.0</ns0:v>
      </ns0:c>
    </ns0:row>
    <ns0:row r="679" ht="21" customHeight="1">
      <ns0:c r="A679" s="25" t="n"/>
      <ns0:c r="B679" s="26" t="n"/>
      <ns0:c r="C679" s="27" t="n"/>
      <ns0:c r="D679" s="27" t="n"/>
      <ns0:c r="E679" s="28" t="str">
        <ns0:f>IF(A679="","",YEAR(A679)&amp;"-"&amp;RIGHT("0"&amp;MONTH(A679),2))</ns0:f>
        <ns0:v/>
      </ns0:c>
      <ns0:c r="F679" s="28" t="str">
        <ns0:f>IF(OR(A679="",B679="",C679&lt;=0),"",IF(SUMPRODUCT(('Müşteriler'!$B$2:$B$101&lt;&gt;"")*ISNUMBER(SEARCH('Müşteriler'!$B$2:$B$101,B679)))=1,IFERROR(INDEX('Müşteriler'!$A$2:$A$101,SUMPRODUCT(('Müşteriler'!$B$2:$B$101&lt;&gt;"")*ISNUMBER(SEARCH('Müşteriler'!$B$2:$B$101,B679)),ROW('Müşteriler'!$B$2:$B$101)-ROW('Müşteriler'!$B$2)+1)),""),""))</ns0:f>
        <ns0:v/>
      </ns0:c>
      <ns0:c r="G679" s="28" t="str">
        <ns0:f>IF(F679="","",IFERROR(INDEX('Müşteriler'!$C$2:$C$101,MATCH(F679,'Müşteriler'!$A$2:$A$101,0)),""))</ns0:f>
        <ns0:v/>
      </ns0:c>
      <ns0:c r="H679" s="28" t="str">
        <ns0:f>IF(A679="","",IF(C679&lt;=0,"Satış dışı",IF(OR(F679="",G679=""),"Eşleşmedi","Eşleşti")))</ns0:f>
        <ns0:v/>
      </ns0:c>
      <ns0:c r="I679" s="28">
        <ns0:f>I678+IF(AND(H679="Eşleşmedi",E679='Panel'!$B$4),1,0)</ns0:f>
        <ns0:v>3.0</ns0:v>
      </ns0:c>
    </ns0:row>
    <ns0:row r="680" ht="21" customHeight="1">
      <ns0:c r="A680" s="25" t="n"/>
      <ns0:c r="B680" s="26" t="n"/>
      <ns0:c r="C680" s="27" t="n"/>
      <ns0:c r="D680" s="27" t="n"/>
      <ns0:c r="E680" s="28" t="str">
        <ns0:f>IF(A680="","",YEAR(A680)&amp;"-"&amp;RIGHT("0"&amp;MONTH(A680),2))</ns0:f>
        <ns0:v/>
      </ns0:c>
      <ns0:c r="F680" s="28" t="str">
        <ns0:f>IF(OR(A680="",B680="",C680&lt;=0),"",IF(SUMPRODUCT(('Müşteriler'!$B$2:$B$101&lt;&gt;"")*ISNUMBER(SEARCH('Müşteriler'!$B$2:$B$101,B680)))=1,IFERROR(INDEX('Müşteriler'!$A$2:$A$101,SUMPRODUCT(('Müşteriler'!$B$2:$B$101&lt;&gt;"")*ISNUMBER(SEARCH('Müşteriler'!$B$2:$B$101,B680)),ROW('Müşteriler'!$B$2:$B$101)-ROW('Müşteriler'!$B$2)+1)),""),""))</ns0:f>
        <ns0:v/>
      </ns0:c>
      <ns0:c r="G680" s="28" t="str">
        <ns0:f>IF(F680="","",IFERROR(INDEX('Müşteriler'!$C$2:$C$101,MATCH(F680,'Müşteriler'!$A$2:$A$101,0)),""))</ns0:f>
        <ns0:v/>
      </ns0:c>
      <ns0:c r="H680" s="28" t="str">
        <ns0:f>IF(A680="","",IF(C680&lt;=0,"Satış dışı",IF(OR(F680="",G680=""),"Eşleşmedi","Eşleşti")))</ns0:f>
        <ns0:v/>
      </ns0:c>
      <ns0:c r="I680" s="28">
        <ns0:f>I679+IF(AND(H680="Eşleşmedi",E680='Panel'!$B$4),1,0)</ns0:f>
        <ns0:v>3.0</ns0:v>
      </ns0:c>
    </ns0:row>
    <ns0:row r="681" ht="21" customHeight="1">
      <ns0:c r="A681" s="25" t="n"/>
      <ns0:c r="B681" s="26" t="n"/>
      <ns0:c r="C681" s="27" t="n"/>
      <ns0:c r="D681" s="27" t="n"/>
      <ns0:c r="E681" s="28" t="str">
        <ns0:f>IF(A681="","",YEAR(A681)&amp;"-"&amp;RIGHT("0"&amp;MONTH(A681),2))</ns0:f>
        <ns0:v/>
      </ns0:c>
      <ns0:c r="F681" s="28" t="str">
        <ns0:f>IF(OR(A681="",B681="",C681&lt;=0),"",IF(SUMPRODUCT(('Müşteriler'!$B$2:$B$101&lt;&gt;"")*ISNUMBER(SEARCH('Müşteriler'!$B$2:$B$101,B681)))=1,IFERROR(INDEX('Müşteriler'!$A$2:$A$101,SUMPRODUCT(('Müşteriler'!$B$2:$B$101&lt;&gt;"")*ISNUMBER(SEARCH('Müşteriler'!$B$2:$B$101,B681)),ROW('Müşteriler'!$B$2:$B$101)-ROW('Müşteriler'!$B$2)+1)),""),""))</ns0:f>
        <ns0:v/>
      </ns0:c>
      <ns0:c r="G681" s="28" t="str">
        <ns0:f>IF(F681="","",IFERROR(INDEX('Müşteriler'!$C$2:$C$101,MATCH(F681,'Müşteriler'!$A$2:$A$101,0)),""))</ns0:f>
        <ns0:v/>
      </ns0:c>
      <ns0:c r="H681" s="28" t="str">
        <ns0:f>IF(A681="","",IF(C681&lt;=0,"Satış dışı",IF(OR(F681="",G681=""),"Eşleşmedi","Eşleşti")))</ns0:f>
        <ns0:v/>
      </ns0:c>
      <ns0:c r="I681" s="28">
        <ns0:f>I680+IF(AND(H681="Eşleşmedi",E681='Panel'!$B$4),1,0)</ns0:f>
        <ns0:v>3.0</ns0:v>
      </ns0:c>
    </ns0:row>
    <ns0:row r="682" ht="21" customHeight="1">
      <ns0:c r="A682" s="25" t="n"/>
      <ns0:c r="B682" s="26" t="n"/>
      <ns0:c r="C682" s="27" t="n"/>
      <ns0:c r="D682" s="27" t="n"/>
      <ns0:c r="E682" s="28" t="str">
        <ns0:f>IF(A682="","",YEAR(A682)&amp;"-"&amp;RIGHT("0"&amp;MONTH(A682),2))</ns0:f>
        <ns0:v/>
      </ns0:c>
      <ns0:c r="F682" s="28" t="str">
        <ns0:f>IF(OR(A682="",B682="",C682&lt;=0),"",IF(SUMPRODUCT(('Müşteriler'!$B$2:$B$101&lt;&gt;"")*ISNUMBER(SEARCH('Müşteriler'!$B$2:$B$101,B682)))=1,IFERROR(INDEX('Müşteriler'!$A$2:$A$101,SUMPRODUCT(('Müşteriler'!$B$2:$B$101&lt;&gt;"")*ISNUMBER(SEARCH('Müşteriler'!$B$2:$B$101,B682)),ROW('Müşteriler'!$B$2:$B$101)-ROW('Müşteriler'!$B$2)+1)),""),""))</ns0:f>
        <ns0:v/>
      </ns0:c>
      <ns0:c r="G682" s="28" t="str">
        <ns0:f>IF(F682="","",IFERROR(INDEX('Müşteriler'!$C$2:$C$101,MATCH(F682,'Müşteriler'!$A$2:$A$101,0)),""))</ns0:f>
        <ns0:v/>
      </ns0:c>
      <ns0:c r="H682" s="28" t="str">
        <ns0:f>IF(A682="","",IF(C682&lt;=0,"Satış dışı",IF(OR(F682="",G682=""),"Eşleşmedi","Eşleşti")))</ns0:f>
        <ns0:v/>
      </ns0:c>
      <ns0:c r="I682" s="28">
        <ns0:f>I681+IF(AND(H682="Eşleşmedi",E682='Panel'!$B$4),1,0)</ns0:f>
        <ns0:v>3.0</ns0:v>
      </ns0:c>
    </ns0:row>
    <ns0:row r="683" ht="21" customHeight="1">
      <ns0:c r="A683" s="25" t="n"/>
      <ns0:c r="B683" s="26" t="n"/>
      <ns0:c r="C683" s="27" t="n"/>
      <ns0:c r="D683" s="27" t="n"/>
      <ns0:c r="E683" s="28" t="str">
        <ns0:f>IF(A683="","",YEAR(A683)&amp;"-"&amp;RIGHT("0"&amp;MONTH(A683),2))</ns0:f>
        <ns0:v/>
      </ns0:c>
      <ns0:c r="F683" s="28" t="str">
        <ns0:f>IF(OR(A683="",B683="",C683&lt;=0),"",IF(SUMPRODUCT(('Müşteriler'!$B$2:$B$101&lt;&gt;"")*ISNUMBER(SEARCH('Müşteriler'!$B$2:$B$101,B683)))=1,IFERROR(INDEX('Müşteriler'!$A$2:$A$101,SUMPRODUCT(('Müşteriler'!$B$2:$B$101&lt;&gt;"")*ISNUMBER(SEARCH('Müşteriler'!$B$2:$B$101,B683)),ROW('Müşteriler'!$B$2:$B$101)-ROW('Müşteriler'!$B$2)+1)),""),""))</ns0:f>
        <ns0:v/>
      </ns0:c>
      <ns0:c r="G683" s="28" t="str">
        <ns0:f>IF(F683="","",IFERROR(INDEX('Müşteriler'!$C$2:$C$101,MATCH(F683,'Müşteriler'!$A$2:$A$101,0)),""))</ns0:f>
        <ns0:v/>
      </ns0:c>
      <ns0:c r="H683" s="28" t="str">
        <ns0:f>IF(A683="","",IF(C683&lt;=0,"Satış dışı",IF(OR(F683="",G683=""),"Eşleşmedi","Eşleşti")))</ns0:f>
        <ns0:v/>
      </ns0:c>
      <ns0:c r="I683" s="28">
        <ns0:f>I682+IF(AND(H683="Eşleşmedi",E683='Panel'!$B$4),1,0)</ns0:f>
        <ns0:v>3.0</ns0:v>
      </ns0:c>
    </ns0:row>
    <ns0:row r="684" ht="21" customHeight="1">
      <ns0:c r="A684" s="25" t="n"/>
      <ns0:c r="B684" s="26" t="n"/>
      <ns0:c r="C684" s="27" t="n"/>
      <ns0:c r="D684" s="27" t="n"/>
      <ns0:c r="E684" s="28" t="str">
        <ns0:f>IF(A684="","",YEAR(A684)&amp;"-"&amp;RIGHT("0"&amp;MONTH(A684),2))</ns0:f>
        <ns0:v/>
      </ns0:c>
      <ns0:c r="F684" s="28" t="str">
        <ns0:f>IF(OR(A684="",B684="",C684&lt;=0),"",IF(SUMPRODUCT(('Müşteriler'!$B$2:$B$101&lt;&gt;"")*ISNUMBER(SEARCH('Müşteriler'!$B$2:$B$101,B684)))=1,IFERROR(INDEX('Müşteriler'!$A$2:$A$101,SUMPRODUCT(('Müşteriler'!$B$2:$B$101&lt;&gt;"")*ISNUMBER(SEARCH('Müşteriler'!$B$2:$B$101,B684)),ROW('Müşteriler'!$B$2:$B$101)-ROW('Müşteriler'!$B$2)+1)),""),""))</ns0:f>
        <ns0:v/>
      </ns0:c>
      <ns0:c r="G684" s="28" t="str">
        <ns0:f>IF(F684="","",IFERROR(INDEX('Müşteriler'!$C$2:$C$101,MATCH(F684,'Müşteriler'!$A$2:$A$101,0)),""))</ns0:f>
        <ns0:v/>
      </ns0:c>
      <ns0:c r="H684" s="28" t="str">
        <ns0:f>IF(A684="","",IF(C684&lt;=0,"Satış dışı",IF(OR(F684="",G684=""),"Eşleşmedi","Eşleşti")))</ns0:f>
        <ns0:v/>
      </ns0:c>
      <ns0:c r="I684" s="28">
        <ns0:f>I683+IF(AND(H684="Eşleşmedi",E684='Panel'!$B$4),1,0)</ns0:f>
        <ns0:v>3.0</ns0:v>
      </ns0:c>
    </ns0:row>
    <ns0:row r="685" ht="21" customHeight="1">
      <ns0:c r="A685" s="25" t="n"/>
      <ns0:c r="B685" s="26" t="n"/>
      <ns0:c r="C685" s="27" t="n"/>
      <ns0:c r="D685" s="27" t="n"/>
      <ns0:c r="E685" s="28" t="str">
        <ns0:f>IF(A685="","",YEAR(A685)&amp;"-"&amp;RIGHT("0"&amp;MONTH(A685),2))</ns0:f>
        <ns0:v/>
      </ns0:c>
      <ns0:c r="F685" s="28" t="str">
        <ns0:f>IF(OR(A685="",B685="",C685&lt;=0),"",IF(SUMPRODUCT(('Müşteriler'!$B$2:$B$101&lt;&gt;"")*ISNUMBER(SEARCH('Müşteriler'!$B$2:$B$101,B685)))=1,IFERROR(INDEX('Müşteriler'!$A$2:$A$101,SUMPRODUCT(('Müşteriler'!$B$2:$B$101&lt;&gt;"")*ISNUMBER(SEARCH('Müşteriler'!$B$2:$B$101,B685)),ROW('Müşteriler'!$B$2:$B$101)-ROW('Müşteriler'!$B$2)+1)),""),""))</ns0:f>
        <ns0:v/>
      </ns0:c>
      <ns0:c r="G685" s="28" t="str">
        <ns0:f>IF(F685="","",IFERROR(INDEX('Müşteriler'!$C$2:$C$101,MATCH(F685,'Müşteriler'!$A$2:$A$101,0)),""))</ns0:f>
        <ns0:v/>
      </ns0:c>
      <ns0:c r="H685" s="28" t="str">
        <ns0:f>IF(A685="","",IF(C685&lt;=0,"Satış dışı",IF(OR(F685="",G685=""),"Eşleşmedi","Eşleşti")))</ns0:f>
        <ns0:v/>
      </ns0:c>
      <ns0:c r="I685" s="28">
        <ns0:f>I684+IF(AND(H685="Eşleşmedi",E685='Panel'!$B$4),1,0)</ns0:f>
        <ns0:v>3.0</ns0:v>
      </ns0:c>
    </ns0:row>
    <ns0:row r="686" ht="21" customHeight="1">
      <ns0:c r="A686" s="25" t="n"/>
      <ns0:c r="B686" s="26" t="n"/>
      <ns0:c r="C686" s="27" t="n"/>
      <ns0:c r="D686" s="27" t="n"/>
      <ns0:c r="E686" s="28" t="str">
        <ns0:f>IF(A686="","",YEAR(A686)&amp;"-"&amp;RIGHT("0"&amp;MONTH(A686),2))</ns0:f>
        <ns0:v/>
      </ns0:c>
      <ns0:c r="F686" s="28" t="str">
        <ns0:f>IF(OR(A686="",B686="",C686&lt;=0),"",IF(SUMPRODUCT(('Müşteriler'!$B$2:$B$101&lt;&gt;"")*ISNUMBER(SEARCH('Müşteriler'!$B$2:$B$101,B686)))=1,IFERROR(INDEX('Müşteriler'!$A$2:$A$101,SUMPRODUCT(('Müşteriler'!$B$2:$B$101&lt;&gt;"")*ISNUMBER(SEARCH('Müşteriler'!$B$2:$B$101,B686)),ROW('Müşteriler'!$B$2:$B$101)-ROW('Müşteriler'!$B$2)+1)),""),""))</ns0:f>
        <ns0:v/>
      </ns0:c>
      <ns0:c r="G686" s="28" t="str">
        <ns0:f>IF(F686="","",IFERROR(INDEX('Müşteriler'!$C$2:$C$101,MATCH(F686,'Müşteriler'!$A$2:$A$101,0)),""))</ns0:f>
        <ns0:v/>
      </ns0:c>
      <ns0:c r="H686" s="28" t="str">
        <ns0:f>IF(A686="","",IF(C686&lt;=0,"Satış dışı",IF(OR(F686="",G686=""),"Eşleşmedi","Eşleşti")))</ns0:f>
        <ns0:v/>
      </ns0:c>
      <ns0:c r="I686" s="28">
        <ns0:f>I685+IF(AND(H686="Eşleşmedi",E686='Panel'!$B$4),1,0)</ns0:f>
        <ns0:v>3.0</ns0:v>
      </ns0:c>
    </ns0:row>
    <ns0:row r="687" ht="21" customHeight="1">
      <ns0:c r="A687" s="25" t="n"/>
      <ns0:c r="B687" s="26" t="n"/>
      <ns0:c r="C687" s="27" t="n"/>
      <ns0:c r="D687" s="27" t="n"/>
      <ns0:c r="E687" s="28" t="str">
        <ns0:f>IF(A687="","",YEAR(A687)&amp;"-"&amp;RIGHT("0"&amp;MONTH(A687),2))</ns0:f>
        <ns0:v/>
      </ns0:c>
      <ns0:c r="F687" s="28" t="str">
        <ns0:f>IF(OR(A687="",B687="",C687&lt;=0),"",IF(SUMPRODUCT(('Müşteriler'!$B$2:$B$101&lt;&gt;"")*ISNUMBER(SEARCH('Müşteriler'!$B$2:$B$101,B687)))=1,IFERROR(INDEX('Müşteriler'!$A$2:$A$101,SUMPRODUCT(('Müşteriler'!$B$2:$B$101&lt;&gt;"")*ISNUMBER(SEARCH('Müşteriler'!$B$2:$B$101,B687)),ROW('Müşteriler'!$B$2:$B$101)-ROW('Müşteriler'!$B$2)+1)),""),""))</ns0:f>
        <ns0:v/>
      </ns0:c>
      <ns0:c r="G687" s="28" t="str">
        <ns0:f>IF(F687="","",IFERROR(INDEX('Müşteriler'!$C$2:$C$101,MATCH(F687,'Müşteriler'!$A$2:$A$101,0)),""))</ns0:f>
        <ns0:v/>
      </ns0:c>
      <ns0:c r="H687" s="28" t="str">
        <ns0:f>IF(A687="","",IF(C687&lt;=0,"Satış dışı",IF(OR(F687="",G687=""),"Eşleşmedi","Eşleşti")))</ns0:f>
        <ns0:v/>
      </ns0:c>
      <ns0:c r="I687" s="28">
        <ns0:f>I686+IF(AND(H687="Eşleşmedi",E687='Panel'!$B$4),1,0)</ns0:f>
        <ns0:v>3.0</ns0:v>
      </ns0:c>
    </ns0:row>
    <ns0:row r="688" ht="21" customHeight="1">
      <ns0:c r="A688" s="25" t="n"/>
      <ns0:c r="B688" s="26" t="n"/>
      <ns0:c r="C688" s="27" t="n"/>
      <ns0:c r="D688" s="27" t="n"/>
      <ns0:c r="E688" s="28" t="str">
        <ns0:f>IF(A688="","",YEAR(A688)&amp;"-"&amp;RIGHT("0"&amp;MONTH(A688),2))</ns0:f>
        <ns0:v/>
      </ns0:c>
      <ns0:c r="F688" s="28" t="str">
        <ns0:f>IF(OR(A688="",B688="",C688&lt;=0),"",IF(SUMPRODUCT(('Müşteriler'!$B$2:$B$101&lt;&gt;"")*ISNUMBER(SEARCH('Müşteriler'!$B$2:$B$101,B688)))=1,IFERROR(INDEX('Müşteriler'!$A$2:$A$101,SUMPRODUCT(('Müşteriler'!$B$2:$B$101&lt;&gt;"")*ISNUMBER(SEARCH('Müşteriler'!$B$2:$B$101,B688)),ROW('Müşteriler'!$B$2:$B$101)-ROW('Müşteriler'!$B$2)+1)),""),""))</ns0:f>
        <ns0:v/>
      </ns0:c>
      <ns0:c r="G688" s="28" t="str">
        <ns0:f>IF(F688="","",IFERROR(INDEX('Müşteriler'!$C$2:$C$101,MATCH(F688,'Müşteriler'!$A$2:$A$101,0)),""))</ns0:f>
        <ns0:v/>
      </ns0:c>
      <ns0:c r="H688" s="28" t="str">
        <ns0:f>IF(A688="","",IF(C688&lt;=0,"Satış dışı",IF(OR(F688="",G688=""),"Eşleşmedi","Eşleşti")))</ns0:f>
        <ns0:v/>
      </ns0:c>
      <ns0:c r="I688" s="28">
        <ns0:f>I687+IF(AND(H688="Eşleşmedi",E688='Panel'!$B$4),1,0)</ns0:f>
        <ns0:v>3.0</ns0:v>
      </ns0:c>
    </ns0:row>
    <ns0:row r="689" ht="21" customHeight="1">
      <ns0:c r="A689" s="25" t="n"/>
      <ns0:c r="B689" s="26" t="n"/>
      <ns0:c r="C689" s="27" t="n"/>
      <ns0:c r="D689" s="27" t="n"/>
      <ns0:c r="E689" s="28" t="str">
        <ns0:f>IF(A689="","",YEAR(A689)&amp;"-"&amp;RIGHT("0"&amp;MONTH(A689),2))</ns0:f>
        <ns0:v/>
      </ns0:c>
      <ns0:c r="F689" s="28" t="str">
        <ns0:f>IF(OR(A689="",B689="",C689&lt;=0),"",IF(SUMPRODUCT(('Müşteriler'!$B$2:$B$101&lt;&gt;"")*ISNUMBER(SEARCH('Müşteriler'!$B$2:$B$101,B689)))=1,IFERROR(INDEX('Müşteriler'!$A$2:$A$101,SUMPRODUCT(('Müşteriler'!$B$2:$B$101&lt;&gt;"")*ISNUMBER(SEARCH('Müşteriler'!$B$2:$B$101,B689)),ROW('Müşteriler'!$B$2:$B$101)-ROW('Müşteriler'!$B$2)+1)),""),""))</ns0:f>
        <ns0:v/>
      </ns0:c>
      <ns0:c r="G689" s="28" t="str">
        <ns0:f>IF(F689="","",IFERROR(INDEX('Müşteriler'!$C$2:$C$101,MATCH(F689,'Müşteriler'!$A$2:$A$101,0)),""))</ns0:f>
        <ns0:v/>
      </ns0:c>
      <ns0:c r="H689" s="28" t="str">
        <ns0:f>IF(A689="","",IF(C689&lt;=0,"Satış dışı",IF(OR(F689="",G689=""),"Eşleşmedi","Eşleşti")))</ns0:f>
        <ns0:v/>
      </ns0:c>
      <ns0:c r="I689" s="28">
        <ns0:f>I688+IF(AND(H689="Eşleşmedi",E689='Panel'!$B$4),1,0)</ns0:f>
        <ns0:v>3.0</ns0:v>
      </ns0:c>
    </ns0:row>
    <ns0:row r="690" ht="21" customHeight="1">
      <ns0:c r="A690" s="25" t="n"/>
      <ns0:c r="B690" s="26" t="n"/>
      <ns0:c r="C690" s="27" t="n"/>
      <ns0:c r="D690" s="27" t="n"/>
      <ns0:c r="E690" s="28" t="str">
        <ns0:f>IF(A690="","",YEAR(A690)&amp;"-"&amp;RIGHT("0"&amp;MONTH(A690),2))</ns0:f>
        <ns0:v/>
      </ns0:c>
      <ns0:c r="F690" s="28" t="str">
        <ns0:f>IF(OR(A690="",B690="",C690&lt;=0),"",IF(SUMPRODUCT(('Müşteriler'!$B$2:$B$101&lt;&gt;"")*ISNUMBER(SEARCH('Müşteriler'!$B$2:$B$101,B690)))=1,IFERROR(INDEX('Müşteriler'!$A$2:$A$101,SUMPRODUCT(('Müşteriler'!$B$2:$B$101&lt;&gt;"")*ISNUMBER(SEARCH('Müşteriler'!$B$2:$B$101,B690)),ROW('Müşteriler'!$B$2:$B$101)-ROW('Müşteriler'!$B$2)+1)),""),""))</ns0:f>
        <ns0:v/>
      </ns0:c>
      <ns0:c r="G690" s="28" t="str">
        <ns0:f>IF(F690="","",IFERROR(INDEX('Müşteriler'!$C$2:$C$101,MATCH(F690,'Müşteriler'!$A$2:$A$101,0)),""))</ns0:f>
        <ns0:v/>
      </ns0:c>
      <ns0:c r="H690" s="28" t="str">
        <ns0:f>IF(A690="","",IF(C690&lt;=0,"Satış dışı",IF(OR(F690="",G690=""),"Eşleşmedi","Eşleşti")))</ns0:f>
        <ns0:v/>
      </ns0:c>
      <ns0:c r="I690" s="28">
        <ns0:f>I689+IF(AND(H690="Eşleşmedi",E690='Panel'!$B$4),1,0)</ns0:f>
        <ns0:v>3.0</ns0:v>
      </ns0:c>
    </ns0:row>
    <ns0:row r="691" ht="21" customHeight="1">
      <ns0:c r="A691" s="25" t="n"/>
      <ns0:c r="B691" s="26" t="n"/>
      <ns0:c r="C691" s="27" t="n"/>
      <ns0:c r="D691" s="27" t="n"/>
      <ns0:c r="E691" s="28" t="str">
        <ns0:f>IF(A691="","",YEAR(A691)&amp;"-"&amp;RIGHT("0"&amp;MONTH(A691),2))</ns0:f>
        <ns0:v/>
      </ns0:c>
      <ns0:c r="F691" s="28" t="str">
        <ns0:f>IF(OR(A691="",B691="",C691&lt;=0),"",IF(SUMPRODUCT(('Müşteriler'!$B$2:$B$101&lt;&gt;"")*ISNUMBER(SEARCH('Müşteriler'!$B$2:$B$101,B691)))=1,IFERROR(INDEX('Müşteriler'!$A$2:$A$101,SUMPRODUCT(('Müşteriler'!$B$2:$B$101&lt;&gt;"")*ISNUMBER(SEARCH('Müşteriler'!$B$2:$B$101,B691)),ROW('Müşteriler'!$B$2:$B$101)-ROW('Müşteriler'!$B$2)+1)),""),""))</ns0:f>
        <ns0:v/>
      </ns0:c>
      <ns0:c r="G691" s="28" t="str">
        <ns0:f>IF(F691="","",IFERROR(INDEX('Müşteriler'!$C$2:$C$101,MATCH(F691,'Müşteriler'!$A$2:$A$101,0)),""))</ns0:f>
        <ns0:v/>
      </ns0:c>
      <ns0:c r="H691" s="28" t="str">
        <ns0:f>IF(A691="","",IF(C691&lt;=0,"Satış dışı",IF(OR(F691="",G691=""),"Eşleşmedi","Eşleşti")))</ns0:f>
        <ns0:v/>
      </ns0:c>
      <ns0:c r="I691" s="28">
        <ns0:f>I690+IF(AND(H691="Eşleşmedi",E691='Panel'!$B$4),1,0)</ns0:f>
        <ns0:v>3.0</ns0:v>
      </ns0:c>
    </ns0:row>
    <ns0:row r="692" ht="21" customHeight="1">
      <ns0:c r="A692" s="25" t="n"/>
      <ns0:c r="B692" s="26" t="n"/>
      <ns0:c r="C692" s="27" t="n"/>
      <ns0:c r="D692" s="27" t="n"/>
      <ns0:c r="E692" s="28" t="str">
        <ns0:f>IF(A692="","",YEAR(A692)&amp;"-"&amp;RIGHT("0"&amp;MONTH(A692),2))</ns0:f>
        <ns0:v/>
      </ns0:c>
      <ns0:c r="F692" s="28" t="str">
        <ns0:f>IF(OR(A692="",B692="",C692&lt;=0),"",IF(SUMPRODUCT(('Müşteriler'!$B$2:$B$101&lt;&gt;"")*ISNUMBER(SEARCH('Müşteriler'!$B$2:$B$101,B692)))=1,IFERROR(INDEX('Müşteriler'!$A$2:$A$101,SUMPRODUCT(('Müşteriler'!$B$2:$B$101&lt;&gt;"")*ISNUMBER(SEARCH('Müşteriler'!$B$2:$B$101,B692)),ROW('Müşteriler'!$B$2:$B$101)-ROW('Müşteriler'!$B$2)+1)),""),""))</ns0:f>
        <ns0:v/>
      </ns0:c>
      <ns0:c r="G692" s="28" t="str">
        <ns0:f>IF(F692="","",IFERROR(INDEX('Müşteriler'!$C$2:$C$101,MATCH(F692,'Müşteriler'!$A$2:$A$101,0)),""))</ns0:f>
        <ns0:v/>
      </ns0:c>
      <ns0:c r="H692" s="28" t="str">
        <ns0:f>IF(A692="","",IF(C692&lt;=0,"Satış dışı",IF(OR(F692="",G692=""),"Eşleşmedi","Eşleşti")))</ns0:f>
        <ns0:v/>
      </ns0:c>
      <ns0:c r="I692" s="28">
        <ns0:f>I691+IF(AND(H692="Eşleşmedi",E692='Panel'!$B$4),1,0)</ns0:f>
        <ns0:v>3.0</ns0:v>
      </ns0:c>
    </ns0:row>
    <ns0:row r="693" ht="21" customHeight="1">
      <ns0:c r="A693" s="25" t="n"/>
      <ns0:c r="B693" s="26" t="n"/>
      <ns0:c r="C693" s="27" t="n"/>
      <ns0:c r="D693" s="27" t="n"/>
      <ns0:c r="E693" s="28" t="str">
        <ns0:f>IF(A693="","",YEAR(A693)&amp;"-"&amp;RIGHT("0"&amp;MONTH(A693),2))</ns0:f>
        <ns0:v/>
      </ns0:c>
      <ns0:c r="F693" s="28" t="str">
        <ns0:f>IF(OR(A693="",B693="",C693&lt;=0),"",IF(SUMPRODUCT(('Müşteriler'!$B$2:$B$101&lt;&gt;"")*ISNUMBER(SEARCH('Müşteriler'!$B$2:$B$101,B693)))=1,IFERROR(INDEX('Müşteriler'!$A$2:$A$101,SUMPRODUCT(('Müşteriler'!$B$2:$B$101&lt;&gt;"")*ISNUMBER(SEARCH('Müşteriler'!$B$2:$B$101,B693)),ROW('Müşteriler'!$B$2:$B$101)-ROW('Müşteriler'!$B$2)+1)),""),""))</ns0:f>
        <ns0:v/>
      </ns0:c>
      <ns0:c r="G693" s="28" t="str">
        <ns0:f>IF(F693="","",IFERROR(INDEX('Müşteriler'!$C$2:$C$101,MATCH(F693,'Müşteriler'!$A$2:$A$101,0)),""))</ns0:f>
        <ns0:v/>
      </ns0:c>
      <ns0:c r="H693" s="28" t="str">
        <ns0:f>IF(A693="","",IF(C693&lt;=0,"Satış dışı",IF(OR(F693="",G693=""),"Eşleşmedi","Eşleşti")))</ns0:f>
        <ns0:v/>
      </ns0:c>
      <ns0:c r="I693" s="28">
        <ns0:f>I692+IF(AND(H693="Eşleşmedi",E693='Panel'!$B$4),1,0)</ns0:f>
        <ns0:v>3.0</ns0:v>
      </ns0:c>
    </ns0:row>
    <ns0:row r="694" ht="21" customHeight="1">
      <ns0:c r="A694" s="25" t="n"/>
      <ns0:c r="B694" s="26" t="n"/>
      <ns0:c r="C694" s="27" t="n"/>
      <ns0:c r="D694" s="27" t="n"/>
      <ns0:c r="E694" s="28" t="str">
        <ns0:f>IF(A694="","",YEAR(A694)&amp;"-"&amp;RIGHT("0"&amp;MONTH(A694),2))</ns0:f>
        <ns0:v/>
      </ns0:c>
      <ns0:c r="F694" s="28" t="str">
        <ns0:f>IF(OR(A694="",B694="",C694&lt;=0),"",IF(SUMPRODUCT(('Müşteriler'!$B$2:$B$101&lt;&gt;"")*ISNUMBER(SEARCH('Müşteriler'!$B$2:$B$101,B694)))=1,IFERROR(INDEX('Müşteriler'!$A$2:$A$101,SUMPRODUCT(('Müşteriler'!$B$2:$B$101&lt;&gt;"")*ISNUMBER(SEARCH('Müşteriler'!$B$2:$B$101,B694)),ROW('Müşteriler'!$B$2:$B$101)-ROW('Müşteriler'!$B$2)+1)),""),""))</ns0:f>
        <ns0:v/>
      </ns0:c>
      <ns0:c r="G694" s="28" t="str">
        <ns0:f>IF(F694="","",IFERROR(INDEX('Müşteriler'!$C$2:$C$101,MATCH(F694,'Müşteriler'!$A$2:$A$101,0)),""))</ns0:f>
        <ns0:v/>
      </ns0:c>
      <ns0:c r="H694" s="28" t="str">
        <ns0:f>IF(A694="","",IF(C694&lt;=0,"Satış dışı",IF(OR(F694="",G694=""),"Eşleşmedi","Eşleşti")))</ns0:f>
        <ns0:v/>
      </ns0:c>
      <ns0:c r="I694" s="28">
        <ns0:f>I693+IF(AND(H694="Eşleşmedi",E694='Panel'!$B$4),1,0)</ns0:f>
        <ns0:v>3.0</ns0:v>
      </ns0:c>
    </ns0:row>
    <ns0:row r="695" ht="21" customHeight="1">
      <ns0:c r="A695" s="25" t="n"/>
      <ns0:c r="B695" s="26" t="n"/>
      <ns0:c r="C695" s="27" t="n"/>
      <ns0:c r="D695" s="27" t="n"/>
      <ns0:c r="E695" s="28" t="str">
        <ns0:f>IF(A695="","",YEAR(A695)&amp;"-"&amp;RIGHT("0"&amp;MONTH(A695),2))</ns0:f>
        <ns0:v/>
      </ns0:c>
      <ns0:c r="F695" s="28" t="str">
        <ns0:f>IF(OR(A695="",B695="",C695&lt;=0),"",IF(SUMPRODUCT(('Müşteriler'!$B$2:$B$101&lt;&gt;"")*ISNUMBER(SEARCH('Müşteriler'!$B$2:$B$101,B695)))=1,IFERROR(INDEX('Müşteriler'!$A$2:$A$101,SUMPRODUCT(('Müşteriler'!$B$2:$B$101&lt;&gt;"")*ISNUMBER(SEARCH('Müşteriler'!$B$2:$B$101,B695)),ROW('Müşteriler'!$B$2:$B$101)-ROW('Müşteriler'!$B$2)+1)),""),""))</ns0:f>
        <ns0:v/>
      </ns0:c>
      <ns0:c r="G695" s="28" t="str">
        <ns0:f>IF(F695="","",IFERROR(INDEX('Müşteriler'!$C$2:$C$101,MATCH(F695,'Müşteriler'!$A$2:$A$101,0)),""))</ns0:f>
        <ns0:v/>
      </ns0:c>
      <ns0:c r="H695" s="28" t="str">
        <ns0:f>IF(A695="","",IF(C695&lt;=0,"Satış dışı",IF(OR(F695="",G695=""),"Eşleşmedi","Eşleşti")))</ns0:f>
        <ns0:v/>
      </ns0:c>
      <ns0:c r="I695" s="28">
        <ns0:f>I694+IF(AND(H695="Eşleşmedi",E695='Panel'!$B$4),1,0)</ns0:f>
        <ns0:v>3.0</ns0:v>
      </ns0:c>
    </ns0:row>
    <ns0:row r="696" ht="21" customHeight="1">
      <ns0:c r="A696" s="25" t="n"/>
      <ns0:c r="B696" s="26" t="n"/>
      <ns0:c r="C696" s="27" t="n"/>
      <ns0:c r="D696" s="27" t="n"/>
      <ns0:c r="E696" s="28" t="str">
        <ns0:f>IF(A696="","",YEAR(A696)&amp;"-"&amp;RIGHT("0"&amp;MONTH(A696),2))</ns0:f>
        <ns0:v/>
      </ns0:c>
      <ns0:c r="F696" s="28" t="str">
        <ns0:f>IF(OR(A696="",B696="",C696&lt;=0),"",IF(SUMPRODUCT(('Müşteriler'!$B$2:$B$101&lt;&gt;"")*ISNUMBER(SEARCH('Müşteriler'!$B$2:$B$101,B696)))=1,IFERROR(INDEX('Müşteriler'!$A$2:$A$101,SUMPRODUCT(('Müşteriler'!$B$2:$B$101&lt;&gt;"")*ISNUMBER(SEARCH('Müşteriler'!$B$2:$B$101,B696)),ROW('Müşteriler'!$B$2:$B$101)-ROW('Müşteriler'!$B$2)+1)),""),""))</ns0:f>
        <ns0:v/>
      </ns0:c>
      <ns0:c r="G696" s="28" t="str">
        <ns0:f>IF(F696="","",IFERROR(INDEX('Müşteriler'!$C$2:$C$101,MATCH(F696,'Müşteriler'!$A$2:$A$101,0)),""))</ns0:f>
        <ns0:v/>
      </ns0:c>
      <ns0:c r="H696" s="28" t="str">
        <ns0:f>IF(A696="","",IF(C696&lt;=0,"Satış dışı",IF(OR(F696="",G696=""),"Eşleşmedi","Eşleşti")))</ns0:f>
        <ns0:v/>
      </ns0:c>
      <ns0:c r="I696" s="28">
        <ns0:f>I695+IF(AND(H696="Eşleşmedi",E696='Panel'!$B$4),1,0)</ns0:f>
        <ns0:v>3.0</ns0:v>
      </ns0:c>
    </ns0:row>
    <ns0:row r="697" ht="21" customHeight="1">
      <ns0:c r="A697" s="25" t="n"/>
      <ns0:c r="B697" s="26" t="n"/>
      <ns0:c r="C697" s="27" t="n"/>
      <ns0:c r="D697" s="27" t="n"/>
      <ns0:c r="E697" s="28" t="str">
        <ns0:f>IF(A697="","",YEAR(A697)&amp;"-"&amp;RIGHT("0"&amp;MONTH(A697),2))</ns0:f>
        <ns0:v/>
      </ns0:c>
      <ns0:c r="F697" s="28" t="str">
        <ns0:f>IF(OR(A697="",B697="",C697&lt;=0),"",IF(SUMPRODUCT(('Müşteriler'!$B$2:$B$101&lt;&gt;"")*ISNUMBER(SEARCH('Müşteriler'!$B$2:$B$101,B697)))=1,IFERROR(INDEX('Müşteriler'!$A$2:$A$101,SUMPRODUCT(('Müşteriler'!$B$2:$B$101&lt;&gt;"")*ISNUMBER(SEARCH('Müşteriler'!$B$2:$B$101,B697)),ROW('Müşteriler'!$B$2:$B$101)-ROW('Müşteriler'!$B$2)+1)),""),""))</ns0:f>
        <ns0:v/>
      </ns0:c>
      <ns0:c r="G697" s="28" t="str">
        <ns0:f>IF(F697="","",IFERROR(INDEX('Müşteriler'!$C$2:$C$101,MATCH(F697,'Müşteriler'!$A$2:$A$101,0)),""))</ns0:f>
        <ns0:v/>
      </ns0:c>
      <ns0:c r="H697" s="28" t="str">
        <ns0:f>IF(A697="","",IF(C697&lt;=0,"Satış dışı",IF(OR(F697="",G697=""),"Eşleşmedi","Eşleşti")))</ns0:f>
        <ns0:v/>
      </ns0:c>
      <ns0:c r="I697" s="28">
        <ns0:f>I696+IF(AND(H697="Eşleşmedi",E697='Panel'!$B$4),1,0)</ns0:f>
        <ns0:v>3.0</ns0:v>
      </ns0:c>
    </ns0:row>
    <ns0:row r="698" ht="21" customHeight="1">
      <ns0:c r="A698" s="25" t="n"/>
      <ns0:c r="B698" s="26" t="n"/>
      <ns0:c r="C698" s="27" t="n"/>
      <ns0:c r="D698" s="27" t="n"/>
      <ns0:c r="E698" s="28" t="str">
        <ns0:f>IF(A698="","",YEAR(A698)&amp;"-"&amp;RIGHT("0"&amp;MONTH(A698),2))</ns0:f>
        <ns0:v/>
      </ns0:c>
      <ns0:c r="F698" s="28" t="str">
        <ns0:f>IF(OR(A698="",B698="",C698&lt;=0),"",IF(SUMPRODUCT(('Müşteriler'!$B$2:$B$101&lt;&gt;"")*ISNUMBER(SEARCH('Müşteriler'!$B$2:$B$101,B698)))=1,IFERROR(INDEX('Müşteriler'!$A$2:$A$101,SUMPRODUCT(('Müşteriler'!$B$2:$B$101&lt;&gt;"")*ISNUMBER(SEARCH('Müşteriler'!$B$2:$B$101,B698)),ROW('Müşteriler'!$B$2:$B$101)-ROW('Müşteriler'!$B$2)+1)),""),""))</ns0:f>
        <ns0:v/>
      </ns0:c>
      <ns0:c r="G698" s="28" t="str">
        <ns0:f>IF(F698="","",IFERROR(INDEX('Müşteriler'!$C$2:$C$101,MATCH(F698,'Müşteriler'!$A$2:$A$101,0)),""))</ns0:f>
        <ns0:v/>
      </ns0:c>
      <ns0:c r="H698" s="28" t="str">
        <ns0:f>IF(A698="","",IF(C698&lt;=0,"Satış dışı",IF(OR(F698="",G698=""),"Eşleşmedi","Eşleşti")))</ns0:f>
        <ns0:v/>
      </ns0:c>
      <ns0:c r="I698" s="28">
        <ns0:f>I697+IF(AND(H698="Eşleşmedi",E698='Panel'!$B$4),1,0)</ns0:f>
        <ns0:v>3.0</ns0:v>
      </ns0:c>
    </ns0:row>
    <ns0:row r="699" ht="21" customHeight="1">
      <ns0:c r="A699" s="25" t="n"/>
      <ns0:c r="B699" s="26" t="n"/>
      <ns0:c r="C699" s="27" t="n"/>
      <ns0:c r="D699" s="27" t="n"/>
      <ns0:c r="E699" s="28" t="str">
        <ns0:f>IF(A699="","",YEAR(A699)&amp;"-"&amp;RIGHT("0"&amp;MONTH(A699),2))</ns0:f>
        <ns0:v/>
      </ns0:c>
      <ns0:c r="F699" s="28" t="str">
        <ns0:f>IF(OR(A699="",B699="",C699&lt;=0),"",IF(SUMPRODUCT(('Müşteriler'!$B$2:$B$101&lt;&gt;"")*ISNUMBER(SEARCH('Müşteriler'!$B$2:$B$101,B699)))=1,IFERROR(INDEX('Müşteriler'!$A$2:$A$101,SUMPRODUCT(('Müşteriler'!$B$2:$B$101&lt;&gt;"")*ISNUMBER(SEARCH('Müşteriler'!$B$2:$B$101,B699)),ROW('Müşteriler'!$B$2:$B$101)-ROW('Müşteriler'!$B$2)+1)),""),""))</ns0:f>
        <ns0:v/>
      </ns0:c>
      <ns0:c r="G699" s="28" t="str">
        <ns0:f>IF(F699="","",IFERROR(INDEX('Müşteriler'!$C$2:$C$101,MATCH(F699,'Müşteriler'!$A$2:$A$101,0)),""))</ns0:f>
        <ns0:v/>
      </ns0:c>
      <ns0:c r="H699" s="28" t="str">
        <ns0:f>IF(A699="","",IF(C699&lt;=0,"Satış dışı",IF(OR(F699="",G699=""),"Eşleşmedi","Eşleşti")))</ns0:f>
        <ns0:v/>
      </ns0:c>
      <ns0:c r="I699" s="28">
        <ns0:f>I698+IF(AND(H699="Eşleşmedi",E699='Panel'!$B$4),1,0)</ns0:f>
        <ns0:v>3.0</ns0:v>
      </ns0:c>
    </ns0:row>
    <ns0:row r="700" ht="21" customHeight="1">
      <ns0:c r="A700" s="25" t="n"/>
      <ns0:c r="B700" s="26" t="n"/>
      <ns0:c r="C700" s="27" t="n"/>
      <ns0:c r="D700" s="27" t="n"/>
      <ns0:c r="E700" s="28" t="str">
        <ns0:f>IF(A700="","",YEAR(A700)&amp;"-"&amp;RIGHT("0"&amp;MONTH(A700),2))</ns0:f>
        <ns0:v/>
      </ns0:c>
      <ns0:c r="F700" s="28" t="str">
        <ns0:f>IF(OR(A700="",B700="",C700&lt;=0),"",IF(SUMPRODUCT(('Müşteriler'!$B$2:$B$101&lt;&gt;"")*ISNUMBER(SEARCH('Müşteriler'!$B$2:$B$101,B700)))=1,IFERROR(INDEX('Müşteriler'!$A$2:$A$101,SUMPRODUCT(('Müşteriler'!$B$2:$B$101&lt;&gt;"")*ISNUMBER(SEARCH('Müşteriler'!$B$2:$B$101,B700)),ROW('Müşteriler'!$B$2:$B$101)-ROW('Müşteriler'!$B$2)+1)),""),""))</ns0:f>
        <ns0:v/>
      </ns0:c>
      <ns0:c r="G700" s="28" t="str">
        <ns0:f>IF(F700="","",IFERROR(INDEX('Müşteriler'!$C$2:$C$101,MATCH(F700,'Müşteriler'!$A$2:$A$101,0)),""))</ns0:f>
        <ns0:v/>
      </ns0:c>
      <ns0:c r="H700" s="28" t="str">
        <ns0:f>IF(A700="","",IF(C700&lt;=0,"Satış dışı",IF(OR(F700="",G700=""),"Eşleşmedi","Eşleşti")))</ns0:f>
        <ns0:v/>
      </ns0:c>
      <ns0:c r="I700" s="28">
        <ns0:f>I699+IF(AND(H700="Eşleşmedi",E700='Panel'!$B$4),1,0)</ns0:f>
        <ns0:v>3.0</ns0:v>
      </ns0:c>
    </ns0:row>
    <ns0:row r="701" ht="21" customHeight="1">
      <ns0:c r="A701" s="25" t="n"/>
      <ns0:c r="B701" s="26" t="n"/>
      <ns0:c r="C701" s="27" t="n"/>
      <ns0:c r="D701" s="27" t="n"/>
      <ns0:c r="E701" s="28" t="str">
        <ns0:f>IF(A701="","",YEAR(A701)&amp;"-"&amp;RIGHT("0"&amp;MONTH(A701),2))</ns0:f>
        <ns0:v/>
      </ns0:c>
      <ns0:c r="F701" s="28" t="str">
        <ns0:f>IF(OR(A701="",B701="",C701&lt;=0),"",IF(SUMPRODUCT(('Müşteriler'!$B$2:$B$101&lt;&gt;"")*ISNUMBER(SEARCH('Müşteriler'!$B$2:$B$101,B701)))=1,IFERROR(INDEX('Müşteriler'!$A$2:$A$101,SUMPRODUCT(('Müşteriler'!$B$2:$B$101&lt;&gt;"")*ISNUMBER(SEARCH('Müşteriler'!$B$2:$B$101,B701)),ROW('Müşteriler'!$B$2:$B$101)-ROW('Müşteriler'!$B$2)+1)),""),""))</ns0:f>
        <ns0:v/>
      </ns0:c>
      <ns0:c r="G701" s="28" t="str">
        <ns0:f>IF(F701="","",IFERROR(INDEX('Müşteriler'!$C$2:$C$101,MATCH(F701,'Müşteriler'!$A$2:$A$101,0)),""))</ns0:f>
        <ns0:v/>
      </ns0:c>
      <ns0:c r="H701" s="28" t="str">
        <ns0:f>IF(A701="","",IF(C701&lt;=0,"Satış dışı",IF(OR(F701="",G701=""),"Eşleşmedi","Eşleşti")))</ns0:f>
        <ns0:v/>
      </ns0:c>
      <ns0:c r="I701" s="28">
        <ns0:f>I700+IF(AND(H701="Eşleşmedi",E701='Panel'!$B$4),1,0)</ns0:f>
        <ns0:v>3.0</ns0:v>
      </ns0:c>
    </ns0:row>
    <ns0:row r="702" ht="21" customHeight="1">
      <ns0:c r="A702" s="25" t="n"/>
      <ns0:c r="B702" s="26" t="n"/>
      <ns0:c r="C702" s="27" t="n"/>
      <ns0:c r="D702" s="27" t="n"/>
      <ns0:c r="E702" s="28" t="str">
        <ns0:f>IF(A702="","",YEAR(A702)&amp;"-"&amp;RIGHT("0"&amp;MONTH(A702),2))</ns0:f>
        <ns0:v/>
      </ns0:c>
      <ns0:c r="F702" s="28" t="str">
        <ns0:f>IF(OR(A702="",B702="",C702&lt;=0),"",IF(SUMPRODUCT(('Müşteriler'!$B$2:$B$101&lt;&gt;"")*ISNUMBER(SEARCH('Müşteriler'!$B$2:$B$101,B702)))=1,IFERROR(INDEX('Müşteriler'!$A$2:$A$101,SUMPRODUCT(('Müşteriler'!$B$2:$B$101&lt;&gt;"")*ISNUMBER(SEARCH('Müşteriler'!$B$2:$B$101,B702)),ROW('Müşteriler'!$B$2:$B$101)-ROW('Müşteriler'!$B$2)+1)),""),""))</ns0:f>
        <ns0:v/>
      </ns0:c>
      <ns0:c r="G702" s="28" t="str">
        <ns0:f>IF(F702="","",IFERROR(INDEX('Müşteriler'!$C$2:$C$101,MATCH(F702,'Müşteriler'!$A$2:$A$101,0)),""))</ns0:f>
        <ns0:v/>
      </ns0:c>
      <ns0:c r="H702" s="28" t="str">
        <ns0:f>IF(A702="","",IF(C702&lt;=0,"Satış dışı",IF(OR(F702="",G702=""),"Eşleşmedi","Eşleşti")))</ns0:f>
        <ns0:v/>
      </ns0:c>
      <ns0:c r="I702" s="28">
        <ns0:f>I701+IF(AND(H702="Eşleşmedi",E702='Panel'!$B$4),1,0)</ns0:f>
        <ns0:v>3.0</ns0:v>
      </ns0:c>
    </ns0:row>
    <ns0:row r="703" ht="21" customHeight="1">
      <ns0:c r="A703" s="25" t="n"/>
      <ns0:c r="B703" s="26" t="n"/>
      <ns0:c r="C703" s="27" t="n"/>
      <ns0:c r="D703" s="27" t="n"/>
      <ns0:c r="E703" s="28" t="str">
        <ns0:f>IF(A703="","",YEAR(A703)&amp;"-"&amp;RIGHT("0"&amp;MONTH(A703),2))</ns0:f>
        <ns0:v/>
      </ns0:c>
      <ns0:c r="F703" s="28" t="str">
        <ns0:f>IF(OR(A703="",B703="",C703&lt;=0),"",IF(SUMPRODUCT(('Müşteriler'!$B$2:$B$101&lt;&gt;"")*ISNUMBER(SEARCH('Müşteriler'!$B$2:$B$101,B703)))=1,IFERROR(INDEX('Müşteriler'!$A$2:$A$101,SUMPRODUCT(('Müşteriler'!$B$2:$B$101&lt;&gt;"")*ISNUMBER(SEARCH('Müşteriler'!$B$2:$B$101,B703)),ROW('Müşteriler'!$B$2:$B$101)-ROW('Müşteriler'!$B$2)+1)),""),""))</ns0:f>
        <ns0:v/>
      </ns0:c>
      <ns0:c r="G703" s="28" t="str">
        <ns0:f>IF(F703="","",IFERROR(INDEX('Müşteriler'!$C$2:$C$101,MATCH(F703,'Müşteriler'!$A$2:$A$101,0)),""))</ns0:f>
        <ns0:v/>
      </ns0:c>
      <ns0:c r="H703" s="28" t="str">
        <ns0:f>IF(A703="","",IF(C703&lt;=0,"Satış dışı",IF(OR(F703="",G703=""),"Eşleşmedi","Eşleşti")))</ns0:f>
        <ns0:v/>
      </ns0:c>
      <ns0:c r="I703" s="28">
        <ns0:f>I702+IF(AND(H703="Eşleşmedi",E703='Panel'!$B$4),1,0)</ns0:f>
        <ns0:v>3.0</ns0:v>
      </ns0:c>
    </ns0:row>
    <ns0:row r="704" ht="21" customHeight="1">
      <ns0:c r="A704" s="25" t="n"/>
      <ns0:c r="B704" s="26" t="n"/>
      <ns0:c r="C704" s="27" t="n"/>
      <ns0:c r="D704" s="27" t="n"/>
      <ns0:c r="E704" s="28" t="str">
        <ns0:f>IF(A704="","",YEAR(A704)&amp;"-"&amp;RIGHT("0"&amp;MONTH(A704),2))</ns0:f>
        <ns0:v/>
      </ns0:c>
      <ns0:c r="F704" s="28" t="str">
        <ns0:f>IF(OR(A704="",B704="",C704&lt;=0),"",IF(SUMPRODUCT(('Müşteriler'!$B$2:$B$101&lt;&gt;"")*ISNUMBER(SEARCH('Müşteriler'!$B$2:$B$101,B704)))=1,IFERROR(INDEX('Müşteriler'!$A$2:$A$101,SUMPRODUCT(('Müşteriler'!$B$2:$B$101&lt;&gt;"")*ISNUMBER(SEARCH('Müşteriler'!$B$2:$B$101,B704)),ROW('Müşteriler'!$B$2:$B$101)-ROW('Müşteriler'!$B$2)+1)),""),""))</ns0:f>
        <ns0:v/>
      </ns0:c>
      <ns0:c r="G704" s="28" t="str">
        <ns0:f>IF(F704="","",IFERROR(INDEX('Müşteriler'!$C$2:$C$101,MATCH(F704,'Müşteriler'!$A$2:$A$101,0)),""))</ns0:f>
        <ns0:v/>
      </ns0:c>
      <ns0:c r="H704" s="28" t="str">
        <ns0:f>IF(A704="","",IF(C704&lt;=0,"Satış dışı",IF(OR(F704="",G704=""),"Eşleşmedi","Eşleşti")))</ns0:f>
        <ns0:v/>
      </ns0:c>
      <ns0:c r="I704" s="28">
        <ns0:f>I703+IF(AND(H704="Eşleşmedi",E704='Panel'!$B$4),1,0)</ns0:f>
        <ns0:v>3.0</ns0:v>
      </ns0:c>
    </ns0:row>
    <ns0:row r="705" ht="21" customHeight="1">
      <ns0:c r="A705" s="25" t="n"/>
      <ns0:c r="B705" s="26" t="n"/>
      <ns0:c r="C705" s="27" t="n"/>
      <ns0:c r="D705" s="27" t="n"/>
      <ns0:c r="E705" s="28" t="str">
        <ns0:f>IF(A705="","",YEAR(A705)&amp;"-"&amp;RIGHT("0"&amp;MONTH(A705),2))</ns0:f>
        <ns0:v/>
      </ns0:c>
      <ns0:c r="F705" s="28" t="str">
        <ns0:f>IF(OR(A705="",B705="",C705&lt;=0),"",IF(SUMPRODUCT(('Müşteriler'!$B$2:$B$101&lt;&gt;"")*ISNUMBER(SEARCH('Müşteriler'!$B$2:$B$101,B705)))=1,IFERROR(INDEX('Müşteriler'!$A$2:$A$101,SUMPRODUCT(('Müşteriler'!$B$2:$B$101&lt;&gt;"")*ISNUMBER(SEARCH('Müşteriler'!$B$2:$B$101,B705)),ROW('Müşteriler'!$B$2:$B$101)-ROW('Müşteriler'!$B$2)+1)),""),""))</ns0:f>
        <ns0:v/>
      </ns0:c>
      <ns0:c r="G705" s="28" t="str">
        <ns0:f>IF(F705="","",IFERROR(INDEX('Müşteriler'!$C$2:$C$101,MATCH(F705,'Müşteriler'!$A$2:$A$101,0)),""))</ns0:f>
        <ns0:v/>
      </ns0:c>
      <ns0:c r="H705" s="28" t="str">
        <ns0:f>IF(A705="","",IF(C705&lt;=0,"Satış dışı",IF(OR(F705="",G705=""),"Eşleşmedi","Eşleşti")))</ns0:f>
        <ns0:v/>
      </ns0:c>
      <ns0:c r="I705" s="28">
        <ns0:f>I704+IF(AND(H705="Eşleşmedi",E705='Panel'!$B$4),1,0)</ns0:f>
        <ns0:v>3.0</ns0:v>
      </ns0:c>
    </ns0:row>
    <ns0:row r="706" ht="21" customHeight="1">
      <ns0:c r="A706" s="25" t="n"/>
      <ns0:c r="B706" s="26" t="n"/>
      <ns0:c r="C706" s="27" t="n"/>
      <ns0:c r="D706" s="27" t="n"/>
      <ns0:c r="E706" s="28" t="str">
        <ns0:f>IF(A706="","",YEAR(A706)&amp;"-"&amp;RIGHT("0"&amp;MONTH(A706),2))</ns0:f>
        <ns0:v/>
      </ns0:c>
      <ns0:c r="F706" s="28" t="str">
        <ns0:f>IF(OR(A706="",B706="",C706&lt;=0),"",IF(SUMPRODUCT(('Müşteriler'!$B$2:$B$101&lt;&gt;"")*ISNUMBER(SEARCH('Müşteriler'!$B$2:$B$101,B706)))=1,IFERROR(INDEX('Müşteriler'!$A$2:$A$101,SUMPRODUCT(('Müşteriler'!$B$2:$B$101&lt;&gt;"")*ISNUMBER(SEARCH('Müşteriler'!$B$2:$B$101,B706)),ROW('Müşteriler'!$B$2:$B$101)-ROW('Müşteriler'!$B$2)+1)),""),""))</ns0:f>
        <ns0:v/>
      </ns0:c>
      <ns0:c r="G706" s="28" t="str">
        <ns0:f>IF(F706="","",IFERROR(INDEX('Müşteriler'!$C$2:$C$101,MATCH(F706,'Müşteriler'!$A$2:$A$101,0)),""))</ns0:f>
        <ns0:v/>
      </ns0:c>
      <ns0:c r="H706" s="28" t="str">
        <ns0:f>IF(A706="","",IF(C706&lt;=0,"Satış dışı",IF(OR(F706="",G706=""),"Eşleşmedi","Eşleşti")))</ns0:f>
        <ns0:v/>
      </ns0:c>
      <ns0:c r="I706" s="28">
        <ns0:f>I705+IF(AND(H706="Eşleşmedi",E706='Panel'!$B$4),1,0)</ns0:f>
        <ns0:v>3.0</ns0:v>
      </ns0:c>
    </ns0:row>
    <ns0:row r="707" ht="21" customHeight="1">
      <ns0:c r="A707" s="25" t="n"/>
      <ns0:c r="B707" s="26" t="n"/>
      <ns0:c r="C707" s="27" t="n"/>
      <ns0:c r="D707" s="27" t="n"/>
      <ns0:c r="E707" s="28" t="str">
        <ns0:f>IF(A707="","",YEAR(A707)&amp;"-"&amp;RIGHT("0"&amp;MONTH(A707),2))</ns0:f>
        <ns0:v/>
      </ns0:c>
      <ns0:c r="F707" s="28" t="str">
        <ns0:f>IF(OR(A707="",B707="",C707&lt;=0),"",IF(SUMPRODUCT(('Müşteriler'!$B$2:$B$101&lt;&gt;"")*ISNUMBER(SEARCH('Müşteriler'!$B$2:$B$101,B707)))=1,IFERROR(INDEX('Müşteriler'!$A$2:$A$101,SUMPRODUCT(('Müşteriler'!$B$2:$B$101&lt;&gt;"")*ISNUMBER(SEARCH('Müşteriler'!$B$2:$B$101,B707)),ROW('Müşteriler'!$B$2:$B$101)-ROW('Müşteriler'!$B$2)+1)),""),""))</ns0:f>
        <ns0:v/>
      </ns0:c>
      <ns0:c r="G707" s="28" t="str">
        <ns0:f>IF(F707="","",IFERROR(INDEX('Müşteriler'!$C$2:$C$101,MATCH(F707,'Müşteriler'!$A$2:$A$101,0)),""))</ns0:f>
        <ns0:v/>
      </ns0:c>
      <ns0:c r="H707" s="28" t="str">
        <ns0:f>IF(A707="","",IF(C707&lt;=0,"Satış dışı",IF(OR(F707="",G707=""),"Eşleşmedi","Eşleşti")))</ns0:f>
        <ns0:v/>
      </ns0:c>
      <ns0:c r="I707" s="28">
        <ns0:f>I706+IF(AND(H707="Eşleşmedi",E707='Panel'!$B$4),1,0)</ns0:f>
        <ns0:v>3.0</ns0:v>
      </ns0:c>
    </ns0:row>
    <ns0:row r="708" ht="21" customHeight="1">
      <ns0:c r="A708" s="25" t="n"/>
      <ns0:c r="B708" s="26" t="n"/>
      <ns0:c r="C708" s="27" t="n"/>
      <ns0:c r="D708" s="27" t="n"/>
      <ns0:c r="E708" s="28" t="str">
        <ns0:f>IF(A708="","",YEAR(A708)&amp;"-"&amp;RIGHT("0"&amp;MONTH(A708),2))</ns0:f>
        <ns0:v/>
      </ns0:c>
      <ns0:c r="F708" s="28" t="str">
        <ns0:f>IF(OR(A708="",B708="",C708&lt;=0),"",IF(SUMPRODUCT(('Müşteriler'!$B$2:$B$101&lt;&gt;"")*ISNUMBER(SEARCH('Müşteriler'!$B$2:$B$101,B708)))=1,IFERROR(INDEX('Müşteriler'!$A$2:$A$101,SUMPRODUCT(('Müşteriler'!$B$2:$B$101&lt;&gt;"")*ISNUMBER(SEARCH('Müşteriler'!$B$2:$B$101,B708)),ROW('Müşteriler'!$B$2:$B$101)-ROW('Müşteriler'!$B$2)+1)),""),""))</ns0:f>
        <ns0:v/>
      </ns0:c>
      <ns0:c r="G708" s="28" t="str">
        <ns0:f>IF(F708="","",IFERROR(INDEX('Müşteriler'!$C$2:$C$101,MATCH(F708,'Müşteriler'!$A$2:$A$101,0)),""))</ns0:f>
        <ns0:v/>
      </ns0:c>
      <ns0:c r="H708" s="28" t="str">
        <ns0:f>IF(A708="","",IF(C708&lt;=0,"Satış dışı",IF(OR(F708="",G708=""),"Eşleşmedi","Eşleşti")))</ns0:f>
        <ns0:v/>
      </ns0:c>
      <ns0:c r="I708" s="28">
        <ns0:f>I707+IF(AND(H708="Eşleşmedi",E708='Panel'!$B$4),1,0)</ns0:f>
        <ns0:v>3.0</ns0:v>
      </ns0:c>
    </ns0:row>
    <ns0:row r="709" ht="21" customHeight="1">
      <ns0:c r="A709" s="25" t="n"/>
      <ns0:c r="B709" s="26" t="n"/>
      <ns0:c r="C709" s="27" t="n"/>
      <ns0:c r="D709" s="27" t="n"/>
      <ns0:c r="E709" s="28" t="str">
        <ns0:f>IF(A709="","",YEAR(A709)&amp;"-"&amp;RIGHT("0"&amp;MONTH(A709),2))</ns0:f>
        <ns0:v/>
      </ns0:c>
      <ns0:c r="F709" s="28" t="str">
        <ns0:f>IF(OR(A709="",B709="",C709&lt;=0),"",IF(SUMPRODUCT(('Müşteriler'!$B$2:$B$101&lt;&gt;"")*ISNUMBER(SEARCH('Müşteriler'!$B$2:$B$101,B709)))=1,IFERROR(INDEX('Müşteriler'!$A$2:$A$101,SUMPRODUCT(('Müşteriler'!$B$2:$B$101&lt;&gt;"")*ISNUMBER(SEARCH('Müşteriler'!$B$2:$B$101,B709)),ROW('Müşteriler'!$B$2:$B$101)-ROW('Müşteriler'!$B$2)+1)),""),""))</ns0:f>
        <ns0:v/>
      </ns0:c>
      <ns0:c r="G709" s="28" t="str">
        <ns0:f>IF(F709="","",IFERROR(INDEX('Müşteriler'!$C$2:$C$101,MATCH(F709,'Müşteriler'!$A$2:$A$101,0)),""))</ns0:f>
        <ns0:v/>
      </ns0:c>
      <ns0:c r="H709" s="28" t="str">
        <ns0:f>IF(A709="","",IF(C709&lt;=0,"Satış dışı",IF(OR(F709="",G709=""),"Eşleşmedi","Eşleşti")))</ns0:f>
        <ns0:v/>
      </ns0:c>
      <ns0:c r="I709" s="28">
        <ns0:f>I708+IF(AND(H709="Eşleşmedi",E709='Panel'!$B$4),1,0)</ns0:f>
        <ns0:v>3.0</ns0:v>
      </ns0:c>
    </ns0:row>
    <ns0:row r="710" ht="21" customHeight="1">
      <ns0:c r="A710" s="25" t="n"/>
      <ns0:c r="B710" s="26" t="n"/>
      <ns0:c r="C710" s="27" t="n"/>
      <ns0:c r="D710" s="27" t="n"/>
      <ns0:c r="E710" s="28" t="str">
        <ns0:f>IF(A710="","",YEAR(A710)&amp;"-"&amp;RIGHT("0"&amp;MONTH(A710),2))</ns0:f>
        <ns0:v/>
      </ns0:c>
      <ns0:c r="F710" s="28" t="str">
        <ns0:f>IF(OR(A710="",B710="",C710&lt;=0),"",IF(SUMPRODUCT(('Müşteriler'!$B$2:$B$101&lt;&gt;"")*ISNUMBER(SEARCH('Müşteriler'!$B$2:$B$101,B710)))=1,IFERROR(INDEX('Müşteriler'!$A$2:$A$101,SUMPRODUCT(('Müşteriler'!$B$2:$B$101&lt;&gt;"")*ISNUMBER(SEARCH('Müşteriler'!$B$2:$B$101,B710)),ROW('Müşteriler'!$B$2:$B$101)-ROW('Müşteriler'!$B$2)+1)),""),""))</ns0:f>
        <ns0:v/>
      </ns0:c>
      <ns0:c r="G710" s="28" t="str">
        <ns0:f>IF(F710="","",IFERROR(INDEX('Müşteriler'!$C$2:$C$101,MATCH(F710,'Müşteriler'!$A$2:$A$101,0)),""))</ns0:f>
        <ns0:v/>
      </ns0:c>
      <ns0:c r="H710" s="28" t="str">
        <ns0:f>IF(A710="","",IF(C710&lt;=0,"Satış dışı",IF(OR(F710="",G710=""),"Eşleşmedi","Eşleşti")))</ns0:f>
        <ns0:v/>
      </ns0:c>
      <ns0:c r="I710" s="28">
        <ns0:f>I709+IF(AND(H710="Eşleşmedi",E710='Panel'!$B$4),1,0)</ns0:f>
        <ns0:v>3.0</ns0:v>
      </ns0:c>
    </ns0:row>
    <ns0:row r="711" ht="21" customHeight="1">
      <ns0:c r="A711" s="25" t="n"/>
      <ns0:c r="B711" s="26" t="n"/>
      <ns0:c r="C711" s="27" t="n"/>
      <ns0:c r="D711" s="27" t="n"/>
      <ns0:c r="E711" s="28" t="str">
        <ns0:f>IF(A711="","",YEAR(A711)&amp;"-"&amp;RIGHT("0"&amp;MONTH(A711),2))</ns0:f>
        <ns0:v/>
      </ns0:c>
      <ns0:c r="F711" s="28" t="str">
        <ns0:f>IF(OR(A711="",B711="",C711&lt;=0),"",IF(SUMPRODUCT(('Müşteriler'!$B$2:$B$101&lt;&gt;"")*ISNUMBER(SEARCH('Müşteriler'!$B$2:$B$101,B711)))=1,IFERROR(INDEX('Müşteriler'!$A$2:$A$101,SUMPRODUCT(('Müşteriler'!$B$2:$B$101&lt;&gt;"")*ISNUMBER(SEARCH('Müşteriler'!$B$2:$B$101,B711)),ROW('Müşteriler'!$B$2:$B$101)-ROW('Müşteriler'!$B$2)+1)),""),""))</ns0:f>
        <ns0:v/>
      </ns0:c>
      <ns0:c r="G711" s="28" t="str">
        <ns0:f>IF(F711="","",IFERROR(INDEX('Müşteriler'!$C$2:$C$101,MATCH(F711,'Müşteriler'!$A$2:$A$101,0)),""))</ns0:f>
        <ns0:v/>
      </ns0:c>
      <ns0:c r="H711" s="28" t="str">
        <ns0:f>IF(A711="","",IF(C711&lt;=0,"Satış dışı",IF(OR(F711="",G711=""),"Eşleşmedi","Eşleşti")))</ns0:f>
        <ns0:v/>
      </ns0:c>
      <ns0:c r="I711" s="28">
        <ns0:f>I710+IF(AND(H711="Eşleşmedi",E711='Panel'!$B$4),1,0)</ns0:f>
        <ns0:v>3.0</ns0:v>
      </ns0:c>
    </ns0:row>
    <ns0:row r="712" ht="21" customHeight="1">
      <ns0:c r="A712" s="25" t="n"/>
      <ns0:c r="B712" s="26" t="n"/>
      <ns0:c r="C712" s="27" t="n"/>
      <ns0:c r="D712" s="27" t="n"/>
      <ns0:c r="E712" s="28" t="str">
        <ns0:f>IF(A712="","",YEAR(A712)&amp;"-"&amp;RIGHT("0"&amp;MONTH(A712),2))</ns0:f>
        <ns0:v/>
      </ns0:c>
      <ns0:c r="F712" s="28" t="str">
        <ns0:f>IF(OR(A712="",B712="",C712&lt;=0),"",IF(SUMPRODUCT(('Müşteriler'!$B$2:$B$101&lt;&gt;"")*ISNUMBER(SEARCH('Müşteriler'!$B$2:$B$101,B712)))=1,IFERROR(INDEX('Müşteriler'!$A$2:$A$101,SUMPRODUCT(('Müşteriler'!$B$2:$B$101&lt;&gt;"")*ISNUMBER(SEARCH('Müşteriler'!$B$2:$B$101,B712)),ROW('Müşteriler'!$B$2:$B$101)-ROW('Müşteriler'!$B$2)+1)),""),""))</ns0:f>
        <ns0:v/>
      </ns0:c>
      <ns0:c r="G712" s="28" t="str">
        <ns0:f>IF(F712="","",IFERROR(INDEX('Müşteriler'!$C$2:$C$101,MATCH(F712,'Müşteriler'!$A$2:$A$101,0)),""))</ns0:f>
        <ns0:v/>
      </ns0:c>
      <ns0:c r="H712" s="28" t="str">
        <ns0:f>IF(A712="","",IF(C712&lt;=0,"Satış dışı",IF(OR(F712="",G712=""),"Eşleşmedi","Eşleşti")))</ns0:f>
        <ns0:v/>
      </ns0:c>
      <ns0:c r="I712" s="28">
        <ns0:f>I711+IF(AND(H712="Eşleşmedi",E712='Panel'!$B$4),1,0)</ns0:f>
        <ns0:v>3.0</ns0:v>
      </ns0:c>
    </ns0:row>
    <ns0:row r="713" ht="21" customHeight="1">
      <ns0:c r="A713" s="25" t="n"/>
      <ns0:c r="B713" s="26" t="n"/>
      <ns0:c r="C713" s="27" t="n"/>
      <ns0:c r="D713" s="27" t="n"/>
      <ns0:c r="E713" s="28" t="str">
        <ns0:f>IF(A713="","",YEAR(A713)&amp;"-"&amp;RIGHT("0"&amp;MONTH(A713),2))</ns0:f>
        <ns0:v/>
      </ns0:c>
      <ns0:c r="F713" s="28" t="str">
        <ns0:f>IF(OR(A713="",B713="",C713&lt;=0),"",IF(SUMPRODUCT(('Müşteriler'!$B$2:$B$101&lt;&gt;"")*ISNUMBER(SEARCH('Müşteriler'!$B$2:$B$101,B713)))=1,IFERROR(INDEX('Müşteriler'!$A$2:$A$101,SUMPRODUCT(('Müşteriler'!$B$2:$B$101&lt;&gt;"")*ISNUMBER(SEARCH('Müşteriler'!$B$2:$B$101,B713)),ROW('Müşteriler'!$B$2:$B$101)-ROW('Müşteriler'!$B$2)+1)),""),""))</ns0:f>
        <ns0:v/>
      </ns0:c>
      <ns0:c r="G713" s="28" t="str">
        <ns0:f>IF(F713="","",IFERROR(INDEX('Müşteriler'!$C$2:$C$101,MATCH(F713,'Müşteriler'!$A$2:$A$101,0)),""))</ns0:f>
        <ns0:v/>
      </ns0:c>
      <ns0:c r="H713" s="28" t="str">
        <ns0:f>IF(A713="","",IF(C713&lt;=0,"Satış dışı",IF(OR(F713="",G713=""),"Eşleşmedi","Eşleşti")))</ns0:f>
        <ns0:v/>
      </ns0:c>
      <ns0:c r="I713" s="28">
        <ns0:f>I712+IF(AND(H713="Eşleşmedi",E713='Panel'!$B$4),1,0)</ns0:f>
        <ns0:v>3.0</ns0:v>
      </ns0:c>
    </ns0:row>
    <ns0:row r="714" ht="21" customHeight="1">
      <ns0:c r="A714" s="25" t="n"/>
      <ns0:c r="B714" s="26" t="n"/>
      <ns0:c r="C714" s="27" t="n"/>
      <ns0:c r="D714" s="27" t="n"/>
      <ns0:c r="E714" s="28" t="str">
        <ns0:f>IF(A714="","",YEAR(A714)&amp;"-"&amp;RIGHT("0"&amp;MONTH(A714),2))</ns0:f>
        <ns0:v/>
      </ns0:c>
      <ns0:c r="F714" s="28" t="str">
        <ns0:f>IF(OR(A714="",B714="",C714&lt;=0),"",IF(SUMPRODUCT(('Müşteriler'!$B$2:$B$101&lt;&gt;"")*ISNUMBER(SEARCH('Müşteriler'!$B$2:$B$101,B714)))=1,IFERROR(INDEX('Müşteriler'!$A$2:$A$101,SUMPRODUCT(('Müşteriler'!$B$2:$B$101&lt;&gt;"")*ISNUMBER(SEARCH('Müşteriler'!$B$2:$B$101,B714)),ROW('Müşteriler'!$B$2:$B$101)-ROW('Müşteriler'!$B$2)+1)),""),""))</ns0:f>
        <ns0:v/>
      </ns0:c>
      <ns0:c r="G714" s="28" t="str">
        <ns0:f>IF(F714="","",IFERROR(INDEX('Müşteriler'!$C$2:$C$101,MATCH(F714,'Müşteriler'!$A$2:$A$101,0)),""))</ns0:f>
        <ns0:v/>
      </ns0:c>
      <ns0:c r="H714" s="28" t="str">
        <ns0:f>IF(A714="","",IF(C714&lt;=0,"Satış dışı",IF(OR(F714="",G714=""),"Eşleşmedi","Eşleşti")))</ns0:f>
        <ns0:v/>
      </ns0:c>
      <ns0:c r="I714" s="28">
        <ns0:f>I713+IF(AND(H714="Eşleşmedi",E714='Panel'!$B$4),1,0)</ns0:f>
        <ns0:v>3.0</ns0:v>
      </ns0:c>
    </ns0:row>
    <ns0:row r="715" ht="21" customHeight="1">
      <ns0:c r="A715" s="25" t="n"/>
      <ns0:c r="B715" s="26" t="n"/>
      <ns0:c r="C715" s="27" t="n"/>
      <ns0:c r="D715" s="27" t="n"/>
      <ns0:c r="E715" s="28" t="str">
        <ns0:f>IF(A715="","",YEAR(A715)&amp;"-"&amp;RIGHT("0"&amp;MONTH(A715),2))</ns0:f>
        <ns0:v/>
      </ns0:c>
      <ns0:c r="F715" s="28" t="str">
        <ns0:f>IF(OR(A715="",B715="",C715&lt;=0),"",IF(SUMPRODUCT(('Müşteriler'!$B$2:$B$101&lt;&gt;"")*ISNUMBER(SEARCH('Müşteriler'!$B$2:$B$101,B715)))=1,IFERROR(INDEX('Müşteriler'!$A$2:$A$101,SUMPRODUCT(('Müşteriler'!$B$2:$B$101&lt;&gt;"")*ISNUMBER(SEARCH('Müşteriler'!$B$2:$B$101,B715)),ROW('Müşteriler'!$B$2:$B$101)-ROW('Müşteriler'!$B$2)+1)),""),""))</ns0:f>
        <ns0:v/>
      </ns0:c>
      <ns0:c r="G715" s="28" t="str">
        <ns0:f>IF(F715="","",IFERROR(INDEX('Müşteriler'!$C$2:$C$101,MATCH(F715,'Müşteriler'!$A$2:$A$101,0)),""))</ns0:f>
        <ns0:v/>
      </ns0:c>
      <ns0:c r="H715" s="28" t="str">
        <ns0:f>IF(A715="","",IF(C715&lt;=0,"Satış dışı",IF(OR(F715="",G715=""),"Eşleşmedi","Eşleşti")))</ns0:f>
        <ns0:v/>
      </ns0:c>
      <ns0:c r="I715" s="28">
        <ns0:f>I714+IF(AND(H715="Eşleşmedi",E715='Panel'!$B$4),1,0)</ns0:f>
        <ns0:v>3.0</ns0:v>
      </ns0:c>
    </ns0:row>
    <ns0:row r="716" ht="21" customHeight="1">
      <ns0:c r="A716" s="25" t="n"/>
      <ns0:c r="B716" s="26" t="n"/>
      <ns0:c r="C716" s="27" t="n"/>
      <ns0:c r="D716" s="27" t="n"/>
      <ns0:c r="E716" s="28" t="str">
        <ns0:f>IF(A716="","",YEAR(A716)&amp;"-"&amp;RIGHT("0"&amp;MONTH(A716),2))</ns0:f>
        <ns0:v/>
      </ns0:c>
      <ns0:c r="F716" s="28" t="str">
        <ns0:f>IF(OR(A716="",B716="",C716&lt;=0),"",IF(SUMPRODUCT(('Müşteriler'!$B$2:$B$101&lt;&gt;"")*ISNUMBER(SEARCH('Müşteriler'!$B$2:$B$101,B716)))=1,IFERROR(INDEX('Müşteriler'!$A$2:$A$101,SUMPRODUCT(('Müşteriler'!$B$2:$B$101&lt;&gt;"")*ISNUMBER(SEARCH('Müşteriler'!$B$2:$B$101,B716)),ROW('Müşteriler'!$B$2:$B$101)-ROW('Müşteriler'!$B$2)+1)),""),""))</ns0:f>
        <ns0:v/>
      </ns0:c>
      <ns0:c r="G716" s="28" t="str">
        <ns0:f>IF(F716="","",IFERROR(INDEX('Müşteriler'!$C$2:$C$101,MATCH(F716,'Müşteriler'!$A$2:$A$101,0)),""))</ns0:f>
        <ns0:v/>
      </ns0:c>
      <ns0:c r="H716" s="28" t="str">
        <ns0:f>IF(A716="","",IF(C716&lt;=0,"Satış dışı",IF(OR(F716="",G716=""),"Eşleşmedi","Eşleşti")))</ns0:f>
        <ns0:v/>
      </ns0:c>
      <ns0:c r="I716" s="28">
        <ns0:f>I715+IF(AND(H716="Eşleşmedi",E716='Panel'!$B$4),1,0)</ns0:f>
        <ns0:v>3.0</ns0:v>
      </ns0:c>
    </ns0:row>
    <ns0:row r="717" ht="21" customHeight="1">
      <ns0:c r="A717" s="25" t="n"/>
      <ns0:c r="B717" s="26" t="n"/>
      <ns0:c r="C717" s="27" t="n"/>
      <ns0:c r="D717" s="27" t="n"/>
      <ns0:c r="E717" s="28" t="str">
        <ns0:f>IF(A717="","",YEAR(A717)&amp;"-"&amp;RIGHT("0"&amp;MONTH(A717),2))</ns0:f>
        <ns0:v/>
      </ns0:c>
      <ns0:c r="F717" s="28" t="str">
        <ns0:f>IF(OR(A717="",B717="",C717&lt;=0),"",IF(SUMPRODUCT(('Müşteriler'!$B$2:$B$101&lt;&gt;"")*ISNUMBER(SEARCH('Müşteriler'!$B$2:$B$101,B717)))=1,IFERROR(INDEX('Müşteriler'!$A$2:$A$101,SUMPRODUCT(('Müşteriler'!$B$2:$B$101&lt;&gt;"")*ISNUMBER(SEARCH('Müşteriler'!$B$2:$B$101,B717)),ROW('Müşteriler'!$B$2:$B$101)-ROW('Müşteriler'!$B$2)+1)),""),""))</ns0:f>
        <ns0:v/>
      </ns0:c>
      <ns0:c r="G717" s="28" t="str">
        <ns0:f>IF(F717="","",IFERROR(INDEX('Müşteriler'!$C$2:$C$101,MATCH(F717,'Müşteriler'!$A$2:$A$101,0)),""))</ns0:f>
        <ns0:v/>
      </ns0:c>
      <ns0:c r="H717" s="28" t="str">
        <ns0:f>IF(A717="","",IF(C717&lt;=0,"Satış dışı",IF(OR(F717="",G717=""),"Eşleşmedi","Eşleşti")))</ns0:f>
        <ns0:v/>
      </ns0:c>
      <ns0:c r="I717" s="28">
        <ns0:f>I716+IF(AND(H717="Eşleşmedi",E717='Panel'!$B$4),1,0)</ns0:f>
        <ns0:v>3.0</ns0:v>
      </ns0:c>
    </ns0:row>
    <ns0:row r="718" ht="21" customHeight="1">
      <ns0:c r="A718" s="25" t="n"/>
      <ns0:c r="B718" s="26" t="n"/>
      <ns0:c r="C718" s="27" t="n"/>
      <ns0:c r="D718" s="27" t="n"/>
      <ns0:c r="E718" s="28" t="str">
        <ns0:f>IF(A718="","",YEAR(A718)&amp;"-"&amp;RIGHT("0"&amp;MONTH(A718),2))</ns0:f>
        <ns0:v/>
      </ns0:c>
      <ns0:c r="F718" s="28" t="str">
        <ns0:f>IF(OR(A718="",B718="",C718&lt;=0),"",IF(SUMPRODUCT(('Müşteriler'!$B$2:$B$101&lt;&gt;"")*ISNUMBER(SEARCH('Müşteriler'!$B$2:$B$101,B718)))=1,IFERROR(INDEX('Müşteriler'!$A$2:$A$101,SUMPRODUCT(('Müşteriler'!$B$2:$B$101&lt;&gt;"")*ISNUMBER(SEARCH('Müşteriler'!$B$2:$B$101,B718)),ROW('Müşteriler'!$B$2:$B$101)-ROW('Müşteriler'!$B$2)+1)),""),""))</ns0:f>
        <ns0:v/>
      </ns0:c>
      <ns0:c r="G718" s="28" t="str">
        <ns0:f>IF(F718="","",IFERROR(INDEX('Müşteriler'!$C$2:$C$101,MATCH(F718,'Müşteriler'!$A$2:$A$101,0)),""))</ns0:f>
        <ns0:v/>
      </ns0:c>
      <ns0:c r="H718" s="28" t="str">
        <ns0:f>IF(A718="","",IF(C718&lt;=0,"Satış dışı",IF(OR(F718="",G718=""),"Eşleşmedi","Eşleşti")))</ns0:f>
        <ns0:v/>
      </ns0:c>
      <ns0:c r="I718" s="28">
        <ns0:f>I717+IF(AND(H718="Eşleşmedi",E718='Panel'!$B$4),1,0)</ns0:f>
        <ns0:v>3.0</ns0:v>
      </ns0:c>
    </ns0:row>
    <ns0:row r="719" ht="21" customHeight="1">
      <ns0:c r="A719" s="25" t="n"/>
      <ns0:c r="B719" s="26" t="n"/>
      <ns0:c r="C719" s="27" t="n"/>
      <ns0:c r="D719" s="27" t="n"/>
      <ns0:c r="E719" s="28" t="str">
        <ns0:f>IF(A719="","",YEAR(A719)&amp;"-"&amp;RIGHT("0"&amp;MONTH(A719),2))</ns0:f>
        <ns0:v/>
      </ns0:c>
      <ns0:c r="F719" s="28" t="str">
        <ns0:f>IF(OR(A719="",B719="",C719&lt;=0),"",IF(SUMPRODUCT(('Müşteriler'!$B$2:$B$101&lt;&gt;"")*ISNUMBER(SEARCH('Müşteriler'!$B$2:$B$101,B719)))=1,IFERROR(INDEX('Müşteriler'!$A$2:$A$101,SUMPRODUCT(('Müşteriler'!$B$2:$B$101&lt;&gt;"")*ISNUMBER(SEARCH('Müşteriler'!$B$2:$B$101,B719)),ROW('Müşteriler'!$B$2:$B$101)-ROW('Müşteriler'!$B$2)+1)),""),""))</ns0:f>
        <ns0:v/>
      </ns0:c>
      <ns0:c r="G719" s="28" t="str">
        <ns0:f>IF(F719="","",IFERROR(INDEX('Müşteriler'!$C$2:$C$101,MATCH(F719,'Müşteriler'!$A$2:$A$101,0)),""))</ns0:f>
        <ns0:v/>
      </ns0:c>
      <ns0:c r="H719" s="28" t="str">
        <ns0:f>IF(A719="","",IF(C719&lt;=0,"Satış dışı",IF(OR(F719="",G719=""),"Eşleşmedi","Eşleşti")))</ns0:f>
        <ns0:v/>
      </ns0:c>
      <ns0:c r="I719" s="28">
        <ns0:f>I718+IF(AND(H719="Eşleşmedi",E719='Panel'!$B$4),1,0)</ns0:f>
        <ns0:v>3.0</ns0:v>
      </ns0:c>
    </ns0:row>
    <ns0:row r="720" ht="21" customHeight="1">
      <ns0:c r="A720" s="25" t="n"/>
      <ns0:c r="B720" s="26" t="n"/>
      <ns0:c r="C720" s="27" t="n"/>
      <ns0:c r="D720" s="27" t="n"/>
      <ns0:c r="E720" s="28" t="str">
        <ns0:f>IF(A720="","",YEAR(A720)&amp;"-"&amp;RIGHT("0"&amp;MONTH(A720),2))</ns0:f>
        <ns0:v/>
      </ns0:c>
      <ns0:c r="F720" s="28" t="str">
        <ns0:f>IF(OR(A720="",B720="",C720&lt;=0),"",IF(SUMPRODUCT(('Müşteriler'!$B$2:$B$101&lt;&gt;"")*ISNUMBER(SEARCH('Müşteriler'!$B$2:$B$101,B720)))=1,IFERROR(INDEX('Müşteriler'!$A$2:$A$101,SUMPRODUCT(('Müşteriler'!$B$2:$B$101&lt;&gt;"")*ISNUMBER(SEARCH('Müşteriler'!$B$2:$B$101,B720)),ROW('Müşteriler'!$B$2:$B$101)-ROW('Müşteriler'!$B$2)+1)),""),""))</ns0:f>
        <ns0:v/>
      </ns0:c>
      <ns0:c r="G720" s="28" t="str">
        <ns0:f>IF(F720="","",IFERROR(INDEX('Müşteriler'!$C$2:$C$101,MATCH(F720,'Müşteriler'!$A$2:$A$101,0)),""))</ns0:f>
        <ns0:v/>
      </ns0:c>
      <ns0:c r="H720" s="28" t="str">
        <ns0:f>IF(A720="","",IF(C720&lt;=0,"Satış dışı",IF(OR(F720="",G720=""),"Eşleşmedi","Eşleşti")))</ns0:f>
        <ns0:v/>
      </ns0:c>
      <ns0:c r="I720" s="28">
        <ns0:f>I719+IF(AND(H720="Eşleşmedi",E720='Panel'!$B$4),1,0)</ns0:f>
        <ns0:v>3.0</ns0:v>
      </ns0:c>
    </ns0:row>
    <ns0:row r="721" ht="21" customHeight="1">
      <ns0:c r="A721" s="25" t="n"/>
      <ns0:c r="B721" s="26" t="n"/>
      <ns0:c r="C721" s="27" t="n"/>
      <ns0:c r="D721" s="27" t="n"/>
      <ns0:c r="E721" s="28" t="str">
        <ns0:f>IF(A721="","",YEAR(A721)&amp;"-"&amp;RIGHT("0"&amp;MONTH(A721),2))</ns0:f>
        <ns0:v/>
      </ns0:c>
      <ns0:c r="F721" s="28" t="str">
        <ns0:f>IF(OR(A721="",B721="",C721&lt;=0),"",IF(SUMPRODUCT(('Müşteriler'!$B$2:$B$101&lt;&gt;"")*ISNUMBER(SEARCH('Müşteriler'!$B$2:$B$101,B721)))=1,IFERROR(INDEX('Müşteriler'!$A$2:$A$101,SUMPRODUCT(('Müşteriler'!$B$2:$B$101&lt;&gt;"")*ISNUMBER(SEARCH('Müşteriler'!$B$2:$B$101,B721)),ROW('Müşteriler'!$B$2:$B$101)-ROW('Müşteriler'!$B$2)+1)),""),""))</ns0:f>
        <ns0:v/>
      </ns0:c>
      <ns0:c r="G721" s="28" t="str">
        <ns0:f>IF(F721="","",IFERROR(INDEX('Müşteriler'!$C$2:$C$101,MATCH(F721,'Müşteriler'!$A$2:$A$101,0)),""))</ns0:f>
        <ns0:v/>
      </ns0:c>
      <ns0:c r="H721" s="28" t="str">
        <ns0:f>IF(A721="","",IF(C721&lt;=0,"Satış dışı",IF(OR(F721="",G721=""),"Eşleşmedi","Eşleşti")))</ns0:f>
        <ns0:v/>
      </ns0:c>
      <ns0:c r="I721" s="28">
        <ns0:f>I720+IF(AND(H721="Eşleşmedi",E721='Panel'!$B$4),1,0)</ns0:f>
        <ns0:v>3.0</ns0:v>
      </ns0:c>
    </ns0:row>
    <ns0:row r="722" ht="21" customHeight="1">
      <ns0:c r="A722" s="25" t="n"/>
      <ns0:c r="B722" s="26" t="n"/>
      <ns0:c r="C722" s="27" t="n"/>
      <ns0:c r="D722" s="27" t="n"/>
      <ns0:c r="E722" s="28" t="str">
        <ns0:f>IF(A722="","",YEAR(A722)&amp;"-"&amp;RIGHT("0"&amp;MONTH(A722),2))</ns0:f>
        <ns0:v/>
      </ns0:c>
      <ns0:c r="F722" s="28" t="str">
        <ns0:f>IF(OR(A722="",B722="",C722&lt;=0),"",IF(SUMPRODUCT(('Müşteriler'!$B$2:$B$101&lt;&gt;"")*ISNUMBER(SEARCH('Müşteriler'!$B$2:$B$101,B722)))=1,IFERROR(INDEX('Müşteriler'!$A$2:$A$101,SUMPRODUCT(('Müşteriler'!$B$2:$B$101&lt;&gt;"")*ISNUMBER(SEARCH('Müşteriler'!$B$2:$B$101,B722)),ROW('Müşteriler'!$B$2:$B$101)-ROW('Müşteriler'!$B$2)+1)),""),""))</ns0:f>
        <ns0:v/>
      </ns0:c>
      <ns0:c r="G722" s="28" t="str">
        <ns0:f>IF(F722="","",IFERROR(INDEX('Müşteriler'!$C$2:$C$101,MATCH(F722,'Müşteriler'!$A$2:$A$101,0)),""))</ns0:f>
        <ns0:v/>
      </ns0:c>
      <ns0:c r="H722" s="28" t="str">
        <ns0:f>IF(A722="","",IF(C722&lt;=0,"Satış dışı",IF(OR(F722="",G722=""),"Eşleşmedi","Eşleşti")))</ns0:f>
        <ns0:v/>
      </ns0:c>
      <ns0:c r="I722" s="28">
        <ns0:f>I721+IF(AND(H722="Eşleşmedi",E722='Panel'!$B$4),1,0)</ns0:f>
        <ns0:v>3.0</ns0:v>
      </ns0:c>
    </ns0:row>
    <ns0:row r="723" ht="21" customHeight="1">
      <ns0:c r="A723" s="25" t="n"/>
      <ns0:c r="B723" s="26" t="n"/>
      <ns0:c r="C723" s="27" t="n"/>
      <ns0:c r="D723" s="27" t="n"/>
      <ns0:c r="E723" s="28" t="str">
        <ns0:f>IF(A723="","",YEAR(A723)&amp;"-"&amp;RIGHT("0"&amp;MONTH(A723),2))</ns0:f>
        <ns0:v/>
      </ns0:c>
      <ns0:c r="F723" s="28" t="str">
        <ns0:f>IF(OR(A723="",B723="",C723&lt;=0),"",IF(SUMPRODUCT(('Müşteriler'!$B$2:$B$101&lt;&gt;"")*ISNUMBER(SEARCH('Müşteriler'!$B$2:$B$101,B723)))=1,IFERROR(INDEX('Müşteriler'!$A$2:$A$101,SUMPRODUCT(('Müşteriler'!$B$2:$B$101&lt;&gt;"")*ISNUMBER(SEARCH('Müşteriler'!$B$2:$B$101,B723)),ROW('Müşteriler'!$B$2:$B$101)-ROW('Müşteriler'!$B$2)+1)),""),""))</ns0:f>
        <ns0:v/>
      </ns0:c>
      <ns0:c r="G723" s="28" t="str">
        <ns0:f>IF(F723="","",IFERROR(INDEX('Müşteriler'!$C$2:$C$101,MATCH(F723,'Müşteriler'!$A$2:$A$101,0)),""))</ns0:f>
        <ns0:v/>
      </ns0:c>
      <ns0:c r="H723" s="28" t="str">
        <ns0:f>IF(A723="","",IF(C723&lt;=0,"Satış dışı",IF(OR(F723="",G723=""),"Eşleşmedi","Eşleşti")))</ns0:f>
        <ns0:v/>
      </ns0:c>
      <ns0:c r="I723" s="28">
        <ns0:f>I722+IF(AND(H723="Eşleşmedi",E723='Panel'!$B$4),1,0)</ns0:f>
        <ns0:v>3.0</ns0:v>
      </ns0:c>
    </ns0:row>
    <ns0:row r="724" ht="21" customHeight="1">
      <ns0:c r="A724" s="25" t="n"/>
      <ns0:c r="B724" s="26" t="n"/>
      <ns0:c r="C724" s="27" t="n"/>
      <ns0:c r="D724" s="27" t="n"/>
      <ns0:c r="E724" s="28" t="str">
        <ns0:f>IF(A724="","",YEAR(A724)&amp;"-"&amp;RIGHT("0"&amp;MONTH(A724),2))</ns0:f>
        <ns0:v/>
      </ns0:c>
      <ns0:c r="F724" s="28" t="str">
        <ns0:f>IF(OR(A724="",B724="",C724&lt;=0),"",IF(SUMPRODUCT(('Müşteriler'!$B$2:$B$101&lt;&gt;"")*ISNUMBER(SEARCH('Müşteriler'!$B$2:$B$101,B724)))=1,IFERROR(INDEX('Müşteriler'!$A$2:$A$101,SUMPRODUCT(('Müşteriler'!$B$2:$B$101&lt;&gt;"")*ISNUMBER(SEARCH('Müşteriler'!$B$2:$B$101,B724)),ROW('Müşteriler'!$B$2:$B$101)-ROW('Müşteriler'!$B$2)+1)),""),""))</ns0:f>
        <ns0:v/>
      </ns0:c>
      <ns0:c r="G724" s="28" t="str">
        <ns0:f>IF(F724="","",IFERROR(INDEX('Müşteriler'!$C$2:$C$101,MATCH(F724,'Müşteriler'!$A$2:$A$101,0)),""))</ns0:f>
        <ns0:v/>
      </ns0:c>
      <ns0:c r="H724" s="28" t="str">
        <ns0:f>IF(A724="","",IF(C724&lt;=0,"Satış dışı",IF(OR(F724="",G724=""),"Eşleşmedi","Eşleşti")))</ns0:f>
        <ns0:v/>
      </ns0:c>
      <ns0:c r="I724" s="28">
        <ns0:f>I723+IF(AND(H724="Eşleşmedi",E724='Panel'!$B$4),1,0)</ns0:f>
        <ns0:v>3.0</ns0:v>
      </ns0:c>
    </ns0:row>
    <ns0:row r="725" ht="21" customHeight="1">
      <ns0:c r="A725" s="25" t="n"/>
      <ns0:c r="B725" s="26" t="n"/>
      <ns0:c r="C725" s="27" t="n"/>
      <ns0:c r="D725" s="27" t="n"/>
      <ns0:c r="E725" s="28" t="str">
        <ns0:f>IF(A725="","",YEAR(A725)&amp;"-"&amp;RIGHT("0"&amp;MONTH(A725),2))</ns0:f>
        <ns0:v/>
      </ns0:c>
      <ns0:c r="F725" s="28" t="str">
        <ns0:f>IF(OR(A725="",B725="",C725&lt;=0),"",IF(SUMPRODUCT(('Müşteriler'!$B$2:$B$101&lt;&gt;"")*ISNUMBER(SEARCH('Müşteriler'!$B$2:$B$101,B725)))=1,IFERROR(INDEX('Müşteriler'!$A$2:$A$101,SUMPRODUCT(('Müşteriler'!$B$2:$B$101&lt;&gt;"")*ISNUMBER(SEARCH('Müşteriler'!$B$2:$B$101,B725)),ROW('Müşteriler'!$B$2:$B$101)-ROW('Müşteriler'!$B$2)+1)),""),""))</ns0:f>
        <ns0:v/>
      </ns0:c>
      <ns0:c r="G725" s="28" t="str">
        <ns0:f>IF(F725="","",IFERROR(INDEX('Müşteriler'!$C$2:$C$101,MATCH(F725,'Müşteriler'!$A$2:$A$101,0)),""))</ns0:f>
        <ns0:v/>
      </ns0:c>
      <ns0:c r="H725" s="28" t="str">
        <ns0:f>IF(A725="","",IF(C725&lt;=0,"Satış dışı",IF(OR(F725="",G725=""),"Eşleşmedi","Eşleşti")))</ns0:f>
        <ns0:v/>
      </ns0:c>
      <ns0:c r="I725" s="28">
        <ns0:f>I724+IF(AND(H725="Eşleşmedi",E725='Panel'!$B$4),1,0)</ns0:f>
        <ns0:v>3.0</ns0:v>
      </ns0:c>
    </ns0:row>
    <ns0:row r="726" ht="21" customHeight="1">
      <ns0:c r="A726" s="25" t="n"/>
      <ns0:c r="B726" s="26" t="n"/>
      <ns0:c r="C726" s="27" t="n"/>
      <ns0:c r="D726" s="27" t="n"/>
      <ns0:c r="E726" s="28" t="str">
        <ns0:f>IF(A726="","",YEAR(A726)&amp;"-"&amp;RIGHT("0"&amp;MONTH(A726),2))</ns0:f>
        <ns0:v/>
      </ns0:c>
      <ns0:c r="F726" s="28" t="str">
        <ns0:f>IF(OR(A726="",B726="",C726&lt;=0),"",IF(SUMPRODUCT(('Müşteriler'!$B$2:$B$101&lt;&gt;"")*ISNUMBER(SEARCH('Müşteriler'!$B$2:$B$101,B726)))=1,IFERROR(INDEX('Müşteriler'!$A$2:$A$101,SUMPRODUCT(('Müşteriler'!$B$2:$B$101&lt;&gt;"")*ISNUMBER(SEARCH('Müşteriler'!$B$2:$B$101,B726)),ROW('Müşteriler'!$B$2:$B$101)-ROW('Müşteriler'!$B$2)+1)),""),""))</ns0:f>
        <ns0:v/>
      </ns0:c>
      <ns0:c r="G726" s="28" t="str">
        <ns0:f>IF(F726="","",IFERROR(INDEX('Müşteriler'!$C$2:$C$101,MATCH(F726,'Müşteriler'!$A$2:$A$101,0)),""))</ns0:f>
        <ns0:v/>
      </ns0:c>
      <ns0:c r="H726" s="28" t="str">
        <ns0:f>IF(A726="","",IF(C726&lt;=0,"Satış dışı",IF(OR(F726="",G726=""),"Eşleşmedi","Eşleşti")))</ns0:f>
        <ns0:v/>
      </ns0:c>
      <ns0:c r="I726" s="28">
        <ns0:f>I725+IF(AND(H726="Eşleşmedi",E726='Panel'!$B$4),1,0)</ns0:f>
        <ns0:v>3.0</ns0:v>
      </ns0:c>
    </ns0:row>
    <ns0:row r="727" ht="21" customHeight="1">
      <ns0:c r="A727" s="25" t="n"/>
      <ns0:c r="B727" s="26" t="n"/>
      <ns0:c r="C727" s="27" t="n"/>
      <ns0:c r="D727" s="27" t="n"/>
      <ns0:c r="E727" s="28" t="str">
        <ns0:f>IF(A727="","",YEAR(A727)&amp;"-"&amp;RIGHT("0"&amp;MONTH(A727),2))</ns0:f>
        <ns0:v/>
      </ns0:c>
      <ns0:c r="F727" s="28" t="str">
        <ns0:f>IF(OR(A727="",B727="",C727&lt;=0),"",IF(SUMPRODUCT(('Müşteriler'!$B$2:$B$101&lt;&gt;"")*ISNUMBER(SEARCH('Müşteriler'!$B$2:$B$101,B727)))=1,IFERROR(INDEX('Müşteriler'!$A$2:$A$101,SUMPRODUCT(('Müşteriler'!$B$2:$B$101&lt;&gt;"")*ISNUMBER(SEARCH('Müşteriler'!$B$2:$B$101,B727)),ROW('Müşteriler'!$B$2:$B$101)-ROW('Müşteriler'!$B$2)+1)),""),""))</ns0:f>
        <ns0:v/>
      </ns0:c>
      <ns0:c r="G727" s="28" t="str">
        <ns0:f>IF(F727="","",IFERROR(INDEX('Müşteriler'!$C$2:$C$101,MATCH(F727,'Müşteriler'!$A$2:$A$101,0)),""))</ns0:f>
        <ns0:v/>
      </ns0:c>
      <ns0:c r="H727" s="28" t="str">
        <ns0:f>IF(A727="","",IF(C727&lt;=0,"Satış dışı",IF(OR(F727="",G727=""),"Eşleşmedi","Eşleşti")))</ns0:f>
        <ns0:v/>
      </ns0:c>
      <ns0:c r="I727" s="28">
        <ns0:f>I726+IF(AND(H727="Eşleşmedi",E727='Panel'!$B$4),1,0)</ns0:f>
        <ns0:v>3.0</ns0:v>
      </ns0:c>
    </ns0:row>
    <ns0:row r="728" ht="21" customHeight="1">
      <ns0:c r="A728" s="25" t="n"/>
      <ns0:c r="B728" s="26" t="n"/>
      <ns0:c r="C728" s="27" t="n"/>
      <ns0:c r="D728" s="27" t="n"/>
      <ns0:c r="E728" s="28" t="str">
        <ns0:f>IF(A728="","",YEAR(A728)&amp;"-"&amp;RIGHT("0"&amp;MONTH(A728),2))</ns0:f>
        <ns0:v/>
      </ns0:c>
      <ns0:c r="F728" s="28" t="str">
        <ns0:f>IF(OR(A728="",B728="",C728&lt;=0),"",IF(SUMPRODUCT(('Müşteriler'!$B$2:$B$101&lt;&gt;"")*ISNUMBER(SEARCH('Müşteriler'!$B$2:$B$101,B728)))=1,IFERROR(INDEX('Müşteriler'!$A$2:$A$101,SUMPRODUCT(('Müşteriler'!$B$2:$B$101&lt;&gt;"")*ISNUMBER(SEARCH('Müşteriler'!$B$2:$B$101,B728)),ROW('Müşteriler'!$B$2:$B$101)-ROW('Müşteriler'!$B$2)+1)),""),""))</ns0:f>
        <ns0:v/>
      </ns0:c>
      <ns0:c r="G728" s="28" t="str">
        <ns0:f>IF(F728="","",IFERROR(INDEX('Müşteriler'!$C$2:$C$101,MATCH(F728,'Müşteriler'!$A$2:$A$101,0)),""))</ns0:f>
        <ns0:v/>
      </ns0:c>
      <ns0:c r="H728" s="28" t="str">
        <ns0:f>IF(A728="","",IF(C728&lt;=0,"Satış dışı",IF(OR(F728="",G728=""),"Eşleşmedi","Eşleşti")))</ns0:f>
        <ns0:v/>
      </ns0:c>
      <ns0:c r="I728" s="28">
        <ns0:f>I727+IF(AND(H728="Eşleşmedi",E728='Panel'!$B$4),1,0)</ns0:f>
        <ns0:v>3.0</ns0:v>
      </ns0:c>
    </ns0:row>
    <ns0:row r="729" ht="21" customHeight="1">
      <ns0:c r="A729" s="25" t="n"/>
      <ns0:c r="B729" s="26" t="n"/>
      <ns0:c r="C729" s="27" t="n"/>
      <ns0:c r="D729" s="27" t="n"/>
      <ns0:c r="E729" s="28" t="str">
        <ns0:f>IF(A729="","",YEAR(A729)&amp;"-"&amp;RIGHT("0"&amp;MONTH(A729),2))</ns0:f>
        <ns0:v/>
      </ns0:c>
      <ns0:c r="F729" s="28" t="str">
        <ns0:f>IF(OR(A729="",B729="",C729&lt;=0),"",IF(SUMPRODUCT(('Müşteriler'!$B$2:$B$101&lt;&gt;"")*ISNUMBER(SEARCH('Müşteriler'!$B$2:$B$101,B729)))=1,IFERROR(INDEX('Müşteriler'!$A$2:$A$101,SUMPRODUCT(('Müşteriler'!$B$2:$B$101&lt;&gt;"")*ISNUMBER(SEARCH('Müşteriler'!$B$2:$B$101,B729)),ROW('Müşteriler'!$B$2:$B$101)-ROW('Müşteriler'!$B$2)+1)),""),""))</ns0:f>
        <ns0:v/>
      </ns0:c>
      <ns0:c r="G729" s="28" t="str">
        <ns0:f>IF(F729="","",IFERROR(INDEX('Müşteriler'!$C$2:$C$101,MATCH(F729,'Müşteriler'!$A$2:$A$101,0)),""))</ns0:f>
        <ns0:v/>
      </ns0:c>
      <ns0:c r="H729" s="28" t="str">
        <ns0:f>IF(A729="","",IF(C729&lt;=0,"Satış dışı",IF(OR(F729="",G729=""),"Eşleşmedi","Eşleşti")))</ns0:f>
        <ns0:v/>
      </ns0:c>
      <ns0:c r="I729" s="28">
        <ns0:f>I728+IF(AND(H729="Eşleşmedi",E729='Panel'!$B$4),1,0)</ns0:f>
        <ns0:v>3.0</ns0:v>
      </ns0:c>
    </ns0:row>
    <ns0:row r="730" ht="21" customHeight="1">
      <ns0:c r="A730" s="25" t="n"/>
      <ns0:c r="B730" s="26" t="n"/>
      <ns0:c r="C730" s="27" t="n"/>
      <ns0:c r="D730" s="27" t="n"/>
      <ns0:c r="E730" s="28" t="str">
        <ns0:f>IF(A730="","",YEAR(A730)&amp;"-"&amp;RIGHT("0"&amp;MONTH(A730),2))</ns0:f>
        <ns0:v/>
      </ns0:c>
      <ns0:c r="F730" s="28" t="str">
        <ns0:f>IF(OR(A730="",B730="",C730&lt;=0),"",IF(SUMPRODUCT(('Müşteriler'!$B$2:$B$101&lt;&gt;"")*ISNUMBER(SEARCH('Müşteriler'!$B$2:$B$101,B730)))=1,IFERROR(INDEX('Müşteriler'!$A$2:$A$101,SUMPRODUCT(('Müşteriler'!$B$2:$B$101&lt;&gt;"")*ISNUMBER(SEARCH('Müşteriler'!$B$2:$B$101,B730)),ROW('Müşteriler'!$B$2:$B$101)-ROW('Müşteriler'!$B$2)+1)),""),""))</ns0:f>
        <ns0:v/>
      </ns0:c>
      <ns0:c r="G730" s="28" t="str">
        <ns0:f>IF(F730="","",IFERROR(INDEX('Müşteriler'!$C$2:$C$101,MATCH(F730,'Müşteriler'!$A$2:$A$101,0)),""))</ns0:f>
        <ns0:v/>
      </ns0:c>
      <ns0:c r="H730" s="28" t="str">
        <ns0:f>IF(A730="","",IF(C730&lt;=0,"Satış dışı",IF(OR(F730="",G730=""),"Eşleşmedi","Eşleşti")))</ns0:f>
        <ns0:v/>
      </ns0:c>
      <ns0:c r="I730" s="28">
        <ns0:f>I729+IF(AND(H730="Eşleşmedi",E730='Panel'!$B$4),1,0)</ns0:f>
        <ns0:v>3.0</ns0:v>
      </ns0:c>
    </ns0:row>
    <ns0:row r="731" ht="21" customHeight="1">
      <ns0:c r="A731" s="25" t="n"/>
      <ns0:c r="B731" s="26" t="n"/>
      <ns0:c r="C731" s="27" t="n"/>
      <ns0:c r="D731" s="27" t="n"/>
      <ns0:c r="E731" s="28" t="str">
        <ns0:f>IF(A731="","",YEAR(A731)&amp;"-"&amp;RIGHT("0"&amp;MONTH(A731),2))</ns0:f>
        <ns0:v/>
      </ns0:c>
      <ns0:c r="F731" s="28" t="str">
        <ns0:f>IF(OR(A731="",B731="",C731&lt;=0),"",IF(SUMPRODUCT(('Müşteriler'!$B$2:$B$101&lt;&gt;"")*ISNUMBER(SEARCH('Müşteriler'!$B$2:$B$101,B731)))=1,IFERROR(INDEX('Müşteriler'!$A$2:$A$101,SUMPRODUCT(('Müşteriler'!$B$2:$B$101&lt;&gt;"")*ISNUMBER(SEARCH('Müşteriler'!$B$2:$B$101,B731)),ROW('Müşteriler'!$B$2:$B$101)-ROW('Müşteriler'!$B$2)+1)),""),""))</ns0:f>
        <ns0:v/>
      </ns0:c>
      <ns0:c r="G731" s="28" t="str">
        <ns0:f>IF(F731="","",IFERROR(INDEX('Müşteriler'!$C$2:$C$101,MATCH(F731,'Müşteriler'!$A$2:$A$101,0)),""))</ns0:f>
        <ns0:v/>
      </ns0:c>
      <ns0:c r="H731" s="28" t="str">
        <ns0:f>IF(A731="","",IF(C731&lt;=0,"Satış dışı",IF(OR(F731="",G731=""),"Eşleşmedi","Eşleşti")))</ns0:f>
        <ns0:v/>
      </ns0:c>
      <ns0:c r="I731" s="28">
        <ns0:f>I730+IF(AND(H731="Eşleşmedi",E731='Panel'!$B$4),1,0)</ns0:f>
        <ns0:v>3.0</ns0:v>
      </ns0:c>
    </ns0:row>
    <ns0:row r="732" ht="21" customHeight="1">
      <ns0:c r="A732" s="25" t="n"/>
      <ns0:c r="B732" s="26" t="n"/>
      <ns0:c r="C732" s="27" t="n"/>
      <ns0:c r="D732" s="27" t="n"/>
      <ns0:c r="E732" s="28" t="str">
        <ns0:f>IF(A732="","",YEAR(A732)&amp;"-"&amp;RIGHT("0"&amp;MONTH(A732),2))</ns0:f>
        <ns0:v/>
      </ns0:c>
      <ns0:c r="F732" s="28" t="str">
        <ns0:f>IF(OR(A732="",B732="",C732&lt;=0),"",IF(SUMPRODUCT(('Müşteriler'!$B$2:$B$101&lt;&gt;"")*ISNUMBER(SEARCH('Müşteriler'!$B$2:$B$101,B732)))=1,IFERROR(INDEX('Müşteriler'!$A$2:$A$101,SUMPRODUCT(('Müşteriler'!$B$2:$B$101&lt;&gt;"")*ISNUMBER(SEARCH('Müşteriler'!$B$2:$B$101,B732)),ROW('Müşteriler'!$B$2:$B$101)-ROW('Müşteriler'!$B$2)+1)),""),""))</ns0:f>
        <ns0:v/>
      </ns0:c>
      <ns0:c r="G732" s="28" t="str">
        <ns0:f>IF(F732="","",IFERROR(INDEX('Müşteriler'!$C$2:$C$101,MATCH(F732,'Müşteriler'!$A$2:$A$101,0)),""))</ns0:f>
        <ns0:v/>
      </ns0:c>
      <ns0:c r="H732" s="28" t="str">
        <ns0:f>IF(A732="","",IF(C732&lt;=0,"Satış dışı",IF(OR(F732="",G732=""),"Eşleşmedi","Eşleşti")))</ns0:f>
        <ns0:v/>
      </ns0:c>
      <ns0:c r="I732" s="28">
        <ns0:f>I731+IF(AND(H732="Eşleşmedi",E732='Panel'!$B$4),1,0)</ns0:f>
        <ns0:v>3.0</ns0:v>
      </ns0:c>
    </ns0:row>
    <ns0:row r="733" ht="21" customHeight="1">
      <ns0:c r="A733" s="25" t="n"/>
      <ns0:c r="B733" s="26" t="n"/>
      <ns0:c r="C733" s="27" t="n"/>
      <ns0:c r="D733" s="27" t="n"/>
      <ns0:c r="E733" s="28" t="str">
        <ns0:f>IF(A733="","",YEAR(A733)&amp;"-"&amp;RIGHT("0"&amp;MONTH(A733),2))</ns0:f>
        <ns0:v/>
      </ns0:c>
      <ns0:c r="F733" s="28" t="str">
        <ns0:f>IF(OR(A733="",B733="",C733&lt;=0),"",IF(SUMPRODUCT(('Müşteriler'!$B$2:$B$101&lt;&gt;"")*ISNUMBER(SEARCH('Müşteriler'!$B$2:$B$101,B733)))=1,IFERROR(INDEX('Müşteriler'!$A$2:$A$101,SUMPRODUCT(('Müşteriler'!$B$2:$B$101&lt;&gt;"")*ISNUMBER(SEARCH('Müşteriler'!$B$2:$B$101,B733)),ROW('Müşteriler'!$B$2:$B$101)-ROW('Müşteriler'!$B$2)+1)),""),""))</ns0:f>
        <ns0:v/>
      </ns0:c>
      <ns0:c r="G733" s="28" t="str">
        <ns0:f>IF(F733="","",IFERROR(INDEX('Müşteriler'!$C$2:$C$101,MATCH(F733,'Müşteriler'!$A$2:$A$101,0)),""))</ns0:f>
        <ns0:v/>
      </ns0:c>
      <ns0:c r="H733" s="28" t="str">
        <ns0:f>IF(A733="","",IF(C733&lt;=0,"Satış dışı",IF(OR(F733="",G733=""),"Eşleşmedi","Eşleşti")))</ns0:f>
        <ns0:v/>
      </ns0:c>
      <ns0:c r="I733" s="28">
        <ns0:f>I732+IF(AND(H733="Eşleşmedi",E733='Panel'!$B$4),1,0)</ns0:f>
        <ns0:v>3.0</ns0:v>
      </ns0:c>
    </ns0:row>
    <ns0:row r="734" ht="21" customHeight="1">
      <ns0:c r="A734" s="25" t="n"/>
      <ns0:c r="B734" s="26" t="n"/>
      <ns0:c r="C734" s="27" t="n"/>
      <ns0:c r="D734" s="27" t="n"/>
      <ns0:c r="E734" s="28" t="str">
        <ns0:f>IF(A734="","",YEAR(A734)&amp;"-"&amp;RIGHT("0"&amp;MONTH(A734),2))</ns0:f>
        <ns0:v/>
      </ns0:c>
      <ns0:c r="F734" s="28" t="str">
        <ns0:f>IF(OR(A734="",B734="",C734&lt;=0),"",IF(SUMPRODUCT(('Müşteriler'!$B$2:$B$101&lt;&gt;"")*ISNUMBER(SEARCH('Müşteriler'!$B$2:$B$101,B734)))=1,IFERROR(INDEX('Müşteriler'!$A$2:$A$101,SUMPRODUCT(('Müşteriler'!$B$2:$B$101&lt;&gt;"")*ISNUMBER(SEARCH('Müşteriler'!$B$2:$B$101,B734)),ROW('Müşteriler'!$B$2:$B$101)-ROW('Müşteriler'!$B$2)+1)),""),""))</ns0:f>
        <ns0:v/>
      </ns0:c>
      <ns0:c r="G734" s="28" t="str">
        <ns0:f>IF(F734="","",IFERROR(INDEX('Müşteriler'!$C$2:$C$101,MATCH(F734,'Müşteriler'!$A$2:$A$101,0)),""))</ns0:f>
        <ns0:v/>
      </ns0:c>
      <ns0:c r="H734" s="28" t="str">
        <ns0:f>IF(A734="","",IF(C734&lt;=0,"Satış dışı",IF(OR(F734="",G734=""),"Eşleşmedi","Eşleşti")))</ns0:f>
        <ns0:v/>
      </ns0:c>
      <ns0:c r="I734" s="28">
        <ns0:f>I733+IF(AND(H734="Eşleşmedi",E734='Panel'!$B$4),1,0)</ns0:f>
        <ns0:v>3.0</ns0:v>
      </ns0:c>
    </ns0:row>
    <ns0:row r="735" ht="21" customHeight="1">
      <ns0:c r="A735" s="25" t="n"/>
      <ns0:c r="B735" s="26" t="n"/>
      <ns0:c r="C735" s="27" t="n"/>
      <ns0:c r="D735" s="27" t="n"/>
      <ns0:c r="E735" s="28" t="str">
        <ns0:f>IF(A735="","",YEAR(A735)&amp;"-"&amp;RIGHT("0"&amp;MONTH(A735),2))</ns0:f>
        <ns0:v/>
      </ns0:c>
      <ns0:c r="F735" s="28" t="str">
        <ns0:f>IF(OR(A735="",B735="",C735&lt;=0),"",IF(SUMPRODUCT(('Müşteriler'!$B$2:$B$101&lt;&gt;"")*ISNUMBER(SEARCH('Müşteriler'!$B$2:$B$101,B735)))=1,IFERROR(INDEX('Müşteriler'!$A$2:$A$101,SUMPRODUCT(('Müşteriler'!$B$2:$B$101&lt;&gt;"")*ISNUMBER(SEARCH('Müşteriler'!$B$2:$B$101,B735)),ROW('Müşteriler'!$B$2:$B$101)-ROW('Müşteriler'!$B$2)+1)),""),""))</ns0:f>
        <ns0:v/>
      </ns0:c>
      <ns0:c r="G735" s="28" t="str">
        <ns0:f>IF(F735="","",IFERROR(INDEX('Müşteriler'!$C$2:$C$101,MATCH(F735,'Müşteriler'!$A$2:$A$101,0)),""))</ns0:f>
        <ns0:v/>
      </ns0:c>
      <ns0:c r="H735" s="28" t="str">
        <ns0:f>IF(A735="","",IF(C735&lt;=0,"Satış dışı",IF(OR(F735="",G735=""),"Eşleşmedi","Eşleşti")))</ns0:f>
        <ns0:v/>
      </ns0:c>
      <ns0:c r="I735" s="28">
        <ns0:f>I734+IF(AND(H735="Eşleşmedi",E735='Panel'!$B$4),1,0)</ns0:f>
        <ns0:v>3.0</ns0:v>
      </ns0:c>
    </ns0:row>
    <ns0:row r="736" ht="21" customHeight="1">
      <ns0:c r="A736" s="25" t="n"/>
      <ns0:c r="B736" s="26" t="n"/>
      <ns0:c r="C736" s="27" t="n"/>
      <ns0:c r="D736" s="27" t="n"/>
      <ns0:c r="E736" s="28" t="str">
        <ns0:f>IF(A736="","",YEAR(A736)&amp;"-"&amp;RIGHT("0"&amp;MONTH(A736),2))</ns0:f>
        <ns0:v/>
      </ns0:c>
      <ns0:c r="F736" s="28" t="str">
        <ns0:f>IF(OR(A736="",B736="",C736&lt;=0),"",IF(SUMPRODUCT(('Müşteriler'!$B$2:$B$101&lt;&gt;"")*ISNUMBER(SEARCH('Müşteriler'!$B$2:$B$101,B736)))=1,IFERROR(INDEX('Müşteriler'!$A$2:$A$101,SUMPRODUCT(('Müşteriler'!$B$2:$B$101&lt;&gt;"")*ISNUMBER(SEARCH('Müşteriler'!$B$2:$B$101,B736)),ROW('Müşteriler'!$B$2:$B$101)-ROW('Müşteriler'!$B$2)+1)),""),""))</ns0:f>
        <ns0:v/>
      </ns0:c>
      <ns0:c r="G736" s="28" t="str">
        <ns0:f>IF(F736="","",IFERROR(INDEX('Müşteriler'!$C$2:$C$101,MATCH(F736,'Müşteriler'!$A$2:$A$101,0)),""))</ns0:f>
        <ns0:v/>
      </ns0:c>
      <ns0:c r="H736" s="28" t="str">
        <ns0:f>IF(A736="","",IF(C736&lt;=0,"Satış dışı",IF(OR(F736="",G736=""),"Eşleşmedi","Eşleşti")))</ns0:f>
        <ns0:v/>
      </ns0:c>
      <ns0:c r="I736" s="28">
        <ns0:f>I735+IF(AND(H736="Eşleşmedi",E736='Panel'!$B$4),1,0)</ns0:f>
        <ns0:v>3.0</ns0:v>
      </ns0:c>
    </ns0:row>
    <ns0:row r="737" ht="21" customHeight="1">
      <ns0:c r="A737" s="25" t="n"/>
      <ns0:c r="B737" s="26" t="n"/>
      <ns0:c r="C737" s="27" t="n"/>
      <ns0:c r="D737" s="27" t="n"/>
      <ns0:c r="E737" s="28" t="str">
        <ns0:f>IF(A737="","",YEAR(A737)&amp;"-"&amp;RIGHT("0"&amp;MONTH(A737),2))</ns0:f>
        <ns0:v/>
      </ns0:c>
      <ns0:c r="F737" s="28" t="str">
        <ns0:f>IF(OR(A737="",B737="",C737&lt;=0),"",IF(SUMPRODUCT(('Müşteriler'!$B$2:$B$101&lt;&gt;"")*ISNUMBER(SEARCH('Müşteriler'!$B$2:$B$101,B737)))=1,IFERROR(INDEX('Müşteriler'!$A$2:$A$101,SUMPRODUCT(('Müşteriler'!$B$2:$B$101&lt;&gt;"")*ISNUMBER(SEARCH('Müşteriler'!$B$2:$B$101,B737)),ROW('Müşteriler'!$B$2:$B$101)-ROW('Müşteriler'!$B$2)+1)),""),""))</ns0:f>
        <ns0:v/>
      </ns0:c>
      <ns0:c r="G737" s="28" t="str">
        <ns0:f>IF(F737="","",IFERROR(INDEX('Müşteriler'!$C$2:$C$101,MATCH(F737,'Müşteriler'!$A$2:$A$101,0)),""))</ns0:f>
        <ns0:v/>
      </ns0:c>
      <ns0:c r="H737" s="28" t="str">
        <ns0:f>IF(A737="","",IF(C737&lt;=0,"Satış dışı",IF(OR(F737="",G737=""),"Eşleşmedi","Eşleşti")))</ns0:f>
        <ns0:v/>
      </ns0:c>
      <ns0:c r="I737" s="28">
        <ns0:f>I736+IF(AND(H737="Eşleşmedi",E737='Panel'!$B$4),1,0)</ns0:f>
        <ns0:v>3.0</ns0:v>
      </ns0:c>
    </ns0:row>
    <ns0:row r="738" ht="21" customHeight="1">
      <ns0:c r="A738" s="25" t="n"/>
      <ns0:c r="B738" s="26" t="n"/>
      <ns0:c r="C738" s="27" t="n"/>
      <ns0:c r="D738" s="27" t="n"/>
      <ns0:c r="E738" s="28" t="str">
        <ns0:f>IF(A738="","",YEAR(A738)&amp;"-"&amp;RIGHT("0"&amp;MONTH(A738),2))</ns0:f>
        <ns0:v/>
      </ns0:c>
      <ns0:c r="F738" s="28" t="str">
        <ns0:f>IF(OR(A738="",B738="",C738&lt;=0),"",IF(SUMPRODUCT(('Müşteriler'!$B$2:$B$101&lt;&gt;"")*ISNUMBER(SEARCH('Müşteriler'!$B$2:$B$101,B738)))=1,IFERROR(INDEX('Müşteriler'!$A$2:$A$101,SUMPRODUCT(('Müşteriler'!$B$2:$B$101&lt;&gt;"")*ISNUMBER(SEARCH('Müşteriler'!$B$2:$B$101,B738)),ROW('Müşteriler'!$B$2:$B$101)-ROW('Müşteriler'!$B$2)+1)),""),""))</ns0:f>
        <ns0:v/>
      </ns0:c>
      <ns0:c r="G738" s="28" t="str">
        <ns0:f>IF(F738="","",IFERROR(INDEX('Müşteriler'!$C$2:$C$101,MATCH(F738,'Müşteriler'!$A$2:$A$101,0)),""))</ns0:f>
        <ns0:v/>
      </ns0:c>
      <ns0:c r="H738" s="28" t="str">
        <ns0:f>IF(A738="","",IF(C738&lt;=0,"Satış dışı",IF(OR(F738="",G738=""),"Eşleşmedi","Eşleşti")))</ns0:f>
        <ns0:v/>
      </ns0:c>
      <ns0:c r="I738" s="28">
        <ns0:f>I737+IF(AND(H738="Eşleşmedi",E738='Panel'!$B$4),1,0)</ns0:f>
        <ns0:v>3.0</ns0:v>
      </ns0:c>
    </ns0:row>
    <ns0:row r="739" ht="21" customHeight="1">
      <ns0:c r="A739" s="25" t="n"/>
      <ns0:c r="B739" s="26" t="n"/>
      <ns0:c r="C739" s="27" t="n"/>
      <ns0:c r="D739" s="27" t="n"/>
      <ns0:c r="E739" s="28" t="str">
        <ns0:f>IF(A739="","",YEAR(A739)&amp;"-"&amp;RIGHT("0"&amp;MONTH(A739),2))</ns0:f>
        <ns0:v/>
      </ns0:c>
      <ns0:c r="F739" s="28" t="str">
        <ns0:f>IF(OR(A739="",B739="",C739&lt;=0),"",IF(SUMPRODUCT(('Müşteriler'!$B$2:$B$101&lt;&gt;"")*ISNUMBER(SEARCH('Müşteriler'!$B$2:$B$101,B739)))=1,IFERROR(INDEX('Müşteriler'!$A$2:$A$101,SUMPRODUCT(('Müşteriler'!$B$2:$B$101&lt;&gt;"")*ISNUMBER(SEARCH('Müşteriler'!$B$2:$B$101,B739)),ROW('Müşteriler'!$B$2:$B$101)-ROW('Müşteriler'!$B$2)+1)),""),""))</ns0:f>
        <ns0:v/>
      </ns0:c>
      <ns0:c r="G739" s="28" t="str">
        <ns0:f>IF(F739="","",IFERROR(INDEX('Müşteriler'!$C$2:$C$101,MATCH(F739,'Müşteriler'!$A$2:$A$101,0)),""))</ns0:f>
        <ns0:v/>
      </ns0:c>
      <ns0:c r="H739" s="28" t="str">
        <ns0:f>IF(A739="","",IF(C739&lt;=0,"Satış dışı",IF(OR(F739="",G739=""),"Eşleşmedi","Eşleşti")))</ns0:f>
        <ns0:v/>
      </ns0:c>
      <ns0:c r="I739" s="28">
        <ns0:f>I738+IF(AND(H739="Eşleşmedi",E739='Panel'!$B$4),1,0)</ns0:f>
        <ns0:v>3.0</ns0:v>
      </ns0:c>
    </ns0:row>
    <ns0:row r="740" ht="21" customHeight="1">
      <ns0:c r="A740" s="25" t="n"/>
      <ns0:c r="B740" s="26" t="n"/>
      <ns0:c r="C740" s="27" t="n"/>
      <ns0:c r="D740" s="27" t="n"/>
      <ns0:c r="E740" s="28" t="str">
        <ns0:f>IF(A740="","",YEAR(A740)&amp;"-"&amp;RIGHT("0"&amp;MONTH(A740),2))</ns0:f>
        <ns0:v/>
      </ns0:c>
      <ns0:c r="F740" s="28" t="str">
        <ns0:f>IF(OR(A740="",B740="",C740&lt;=0),"",IF(SUMPRODUCT(('Müşteriler'!$B$2:$B$101&lt;&gt;"")*ISNUMBER(SEARCH('Müşteriler'!$B$2:$B$101,B740)))=1,IFERROR(INDEX('Müşteriler'!$A$2:$A$101,SUMPRODUCT(('Müşteriler'!$B$2:$B$101&lt;&gt;"")*ISNUMBER(SEARCH('Müşteriler'!$B$2:$B$101,B740)),ROW('Müşteriler'!$B$2:$B$101)-ROW('Müşteriler'!$B$2)+1)),""),""))</ns0:f>
        <ns0:v/>
      </ns0:c>
      <ns0:c r="G740" s="28" t="str">
        <ns0:f>IF(F740="","",IFERROR(INDEX('Müşteriler'!$C$2:$C$101,MATCH(F740,'Müşteriler'!$A$2:$A$101,0)),""))</ns0:f>
        <ns0:v/>
      </ns0:c>
      <ns0:c r="H740" s="28" t="str">
        <ns0:f>IF(A740="","",IF(C740&lt;=0,"Satış dışı",IF(OR(F740="",G740=""),"Eşleşmedi","Eşleşti")))</ns0:f>
        <ns0:v/>
      </ns0:c>
      <ns0:c r="I740" s="28">
        <ns0:f>I739+IF(AND(H740="Eşleşmedi",E740='Panel'!$B$4),1,0)</ns0:f>
        <ns0:v>3.0</ns0:v>
      </ns0:c>
    </ns0:row>
    <ns0:row r="741" ht="21" customHeight="1">
      <ns0:c r="A741" s="25" t="n"/>
      <ns0:c r="B741" s="26" t="n"/>
      <ns0:c r="C741" s="27" t="n"/>
      <ns0:c r="D741" s="27" t="n"/>
      <ns0:c r="E741" s="28" t="str">
        <ns0:f>IF(A741="","",YEAR(A741)&amp;"-"&amp;RIGHT("0"&amp;MONTH(A741),2))</ns0:f>
        <ns0:v/>
      </ns0:c>
      <ns0:c r="F741" s="28" t="str">
        <ns0:f>IF(OR(A741="",B741="",C741&lt;=0),"",IF(SUMPRODUCT(('Müşteriler'!$B$2:$B$101&lt;&gt;"")*ISNUMBER(SEARCH('Müşteriler'!$B$2:$B$101,B741)))=1,IFERROR(INDEX('Müşteriler'!$A$2:$A$101,SUMPRODUCT(('Müşteriler'!$B$2:$B$101&lt;&gt;"")*ISNUMBER(SEARCH('Müşteriler'!$B$2:$B$101,B741)),ROW('Müşteriler'!$B$2:$B$101)-ROW('Müşteriler'!$B$2)+1)),""),""))</ns0:f>
        <ns0:v/>
      </ns0:c>
      <ns0:c r="G741" s="28" t="str">
        <ns0:f>IF(F741="","",IFERROR(INDEX('Müşteriler'!$C$2:$C$101,MATCH(F741,'Müşteriler'!$A$2:$A$101,0)),""))</ns0:f>
        <ns0:v/>
      </ns0:c>
      <ns0:c r="H741" s="28" t="str">
        <ns0:f>IF(A741="","",IF(C741&lt;=0,"Satış dışı",IF(OR(F741="",G741=""),"Eşleşmedi","Eşleşti")))</ns0:f>
        <ns0:v/>
      </ns0:c>
      <ns0:c r="I741" s="28">
        <ns0:f>I740+IF(AND(H741="Eşleşmedi",E741='Panel'!$B$4),1,0)</ns0:f>
        <ns0:v>3.0</ns0:v>
      </ns0:c>
    </ns0:row>
    <ns0:row r="742" ht="21" customHeight="1">
      <ns0:c r="A742" s="25" t="n"/>
      <ns0:c r="B742" s="26" t="n"/>
      <ns0:c r="C742" s="27" t="n"/>
      <ns0:c r="D742" s="27" t="n"/>
      <ns0:c r="E742" s="28" t="str">
        <ns0:f>IF(A742="","",YEAR(A742)&amp;"-"&amp;RIGHT("0"&amp;MONTH(A742),2))</ns0:f>
        <ns0:v/>
      </ns0:c>
      <ns0:c r="F742" s="28" t="str">
        <ns0:f>IF(OR(A742="",B742="",C742&lt;=0),"",IF(SUMPRODUCT(('Müşteriler'!$B$2:$B$101&lt;&gt;"")*ISNUMBER(SEARCH('Müşteriler'!$B$2:$B$101,B742)))=1,IFERROR(INDEX('Müşteriler'!$A$2:$A$101,SUMPRODUCT(('Müşteriler'!$B$2:$B$101&lt;&gt;"")*ISNUMBER(SEARCH('Müşteriler'!$B$2:$B$101,B742)),ROW('Müşteriler'!$B$2:$B$101)-ROW('Müşteriler'!$B$2)+1)),""),""))</ns0:f>
        <ns0:v/>
      </ns0:c>
      <ns0:c r="G742" s="28" t="str">
        <ns0:f>IF(F742="","",IFERROR(INDEX('Müşteriler'!$C$2:$C$101,MATCH(F742,'Müşteriler'!$A$2:$A$101,0)),""))</ns0:f>
        <ns0:v/>
      </ns0:c>
      <ns0:c r="H742" s="28" t="str">
        <ns0:f>IF(A742="","",IF(C742&lt;=0,"Satış dışı",IF(OR(F742="",G742=""),"Eşleşmedi","Eşleşti")))</ns0:f>
        <ns0:v/>
      </ns0:c>
      <ns0:c r="I742" s="28">
        <ns0:f>I741+IF(AND(H742="Eşleşmedi",E742='Panel'!$B$4),1,0)</ns0:f>
        <ns0:v>3.0</ns0:v>
      </ns0:c>
    </ns0:row>
    <ns0:row r="743" ht="21" customHeight="1">
      <ns0:c r="A743" s="25" t="n"/>
      <ns0:c r="B743" s="26" t="n"/>
      <ns0:c r="C743" s="27" t="n"/>
      <ns0:c r="D743" s="27" t="n"/>
      <ns0:c r="E743" s="28" t="str">
        <ns0:f>IF(A743="","",YEAR(A743)&amp;"-"&amp;RIGHT("0"&amp;MONTH(A743),2))</ns0:f>
        <ns0:v/>
      </ns0:c>
      <ns0:c r="F743" s="28" t="str">
        <ns0:f>IF(OR(A743="",B743="",C743&lt;=0),"",IF(SUMPRODUCT(('Müşteriler'!$B$2:$B$101&lt;&gt;"")*ISNUMBER(SEARCH('Müşteriler'!$B$2:$B$101,B743)))=1,IFERROR(INDEX('Müşteriler'!$A$2:$A$101,SUMPRODUCT(('Müşteriler'!$B$2:$B$101&lt;&gt;"")*ISNUMBER(SEARCH('Müşteriler'!$B$2:$B$101,B743)),ROW('Müşteriler'!$B$2:$B$101)-ROW('Müşteriler'!$B$2)+1)),""),""))</ns0:f>
        <ns0:v/>
      </ns0:c>
      <ns0:c r="G743" s="28" t="str">
        <ns0:f>IF(F743="","",IFERROR(INDEX('Müşteriler'!$C$2:$C$101,MATCH(F743,'Müşteriler'!$A$2:$A$101,0)),""))</ns0:f>
        <ns0:v/>
      </ns0:c>
      <ns0:c r="H743" s="28" t="str">
        <ns0:f>IF(A743="","",IF(C743&lt;=0,"Satış dışı",IF(OR(F743="",G743=""),"Eşleşmedi","Eşleşti")))</ns0:f>
        <ns0:v/>
      </ns0:c>
      <ns0:c r="I743" s="28">
        <ns0:f>I742+IF(AND(H743="Eşleşmedi",E743='Panel'!$B$4),1,0)</ns0:f>
        <ns0:v>3.0</ns0:v>
      </ns0:c>
    </ns0:row>
    <ns0:row r="744" ht="21" customHeight="1">
      <ns0:c r="A744" s="25" t="n"/>
      <ns0:c r="B744" s="26" t="n"/>
      <ns0:c r="C744" s="27" t="n"/>
      <ns0:c r="D744" s="27" t="n"/>
      <ns0:c r="E744" s="28" t="str">
        <ns0:f>IF(A744="","",YEAR(A744)&amp;"-"&amp;RIGHT("0"&amp;MONTH(A744),2))</ns0:f>
        <ns0:v/>
      </ns0:c>
      <ns0:c r="F744" s="28" t="str">
        <ns0:f>IF(OR(A744="",B744="",C744&lt;=0),"",IF(SUMPRODUCT(('Müşteriler'!$B$2:$B$101&lt;&gt;"")*ISNUMBER(SEARCH('Müşteriler'!$B$2:$B$101,B744)))=1,IFERROR(INDEX('Müşteriler'!$A$2:$A$101,SUMPRODUCT(('Müşteriler'!$B$2:$B$101&lt;&gt;"")*ISNUMBER(SEARCH('Müşteriler'!$B$2:$B$101,B744)),ROW('Müşteriler'!$B$2:$B$101)-ROW('Müşteriler'!$B$2)+1)),""),""))</ns0:f>
        <ns0:v/>
      </ns0:c>
      <ns0:c r="G744" s="28" t="str">
        <ns0:f>IF(F744="","",IFERROR(INDEX('Müşteriler'!$C$2:$C$101,MATCH(F744,'Müşteriler'!$A$2:$A$101,0)),""))</ns0:f>
        <ns0:v/>
      </ns0:c>
      <ns0:c r="H744" s="28" t="str">
        <ns0:f>IF(A744="","",IF(C744&lt;=0,"Satış dışı",IF(OR(F744="",G744=""),"Eşleşmedi","Eşleşti")))</ns0:f>
        <ns0:v/>
      </ns0:c>
      <ns0:c r="I744" s="28">
        <ns0:f>I743+IF(AND(H744="Eşleşmedi",E744='Panel'!$B$4),1,0)</ns0:f>
        <ns0:v>3.0</ns0:v>
      </ns0:c>
    </ns0:row>
    <ns0:row r="745" ht="21" customHeight="1">
      <ns0:c r="A745" s="25" t="n"/>
      <ns0:c r="B745" s="26" t="n"/>
      <ns0:c r="C745" s="27" t="n"/>
      <ns0:c r="D745" s="27" t="n"/>
      <ns0:c r="E745" s="28" t="str">
        <ns0:f>IF(A745="","",YEAR(A745)&amp;"-"&amp;RIGHT("0"&amp;MONTH(A745),2))</ns0:f>
        <ns0:v/>
      </ns0:c>
      <ns0:c r="F745" s="28" t="str">
        <ns0:f>IF(OR(A745="",B745="",C745&lt;=0),"",IF(SUMPRODUCT(('Müşteriler'!$B$2:$B$101&lt;&gt;"")*ISNUMBER(SEARCH('Müşteriler'!$B$2:$B$101,B745)))=1,IFERROR(INDEX('Müşteriler'!$A$2:$A$101,SUMPRODUCT(('Müşteriler'!$B$2:$B$101&lt;&gt;"")*ISNUMBER(SEARCH('Müşteriler'!$B$2:$B$101,B745)),ROW('Müşteriler'!$B$2:$B$101)-ROW('Müşteriler'!$B$2)+1)),""),""))</ns0:f>
        <ns0:v/>
      </ns0:c>
      <ns0:c r="G745" s="28" t="str">
        <ns0:f>IF(F745="","",IFERROR(INDEX('Müşteriler'!$C$2:$C$101,MATCH(F745,'Müşteriler'!$A$2:$A$101,0)),""))</ns0:f>
        <ns0:v/>
      </ns0:c>
      <ns0:c r="H745" s="28" t="str">
        <ns0:f>IF(A745="","",IF(C745&lt;=0,"Satış dışı",IF(OR(F745="",G745=""),"Eşleşmedi","Eşleşti")))</ns0:f>
        <ns0:v/>
      </ns0:c>
      <ns0:c r="I745" s="28">
        <ns0:f>I744+IF(AND(H745="Eşleşmedi",E745='Panel'!$B$4),1,0)</ns0:f>
        <ns0:v>3.0</ns0:v>
      </ns0:c>
    </ns0:row>
    <ns0:row r="746" ht="21" customHeight="1">
      <ns0:c r="A746" s="25" t="n"/>
      <ns0:c r="B746" s="26" t="n"/>
      <ns0:c r="C746" s="27" t="n"/>
      <ns0:c r="D746" s="27" t="n"/>
      <ns0:c r="E746" s="28" t="str">
        <ns0:f>IF(A746="","",YEAR(A746)&amp;"-"&amp;RIGHT("0"&amp;MONTH(A746),2))</ns0:f>
        <ns0:v/>
      </ns0:c>
      <ns0:c r="F746" s="28" t="str">
        <ns0:f>IF(OR(A746="",B746="",C746&lt;=0),"",IF(SUMPRODUCT(('Müşteriler'!$B$2:$B$101&lt;&gt;"")*ISNUMBER(SEARCH('Müşteriler'!$B$2:$B$101,B746)))=1,IFERROR(INDEX('Müşteriler'!$A$2:$A$101,SUMPRODUCT(('Müşteriler'!$B$2:$B$101&lt;&gt;"")*ISNUMBER(SEARCH('Müşteriler'!$B$2:$B$101,B746)),ROW('Müşteriler'!$B$2:$B$101)-ROW('Müşteriler'!$B$2)+1)),""),""))</ns0:f>
        <ns0:v/>
      </ns0:c>
      <ns0:c r="G746" s="28" t="str">
        <ns0:f>IF(F746="","",IFERROR(INDEX('Müşteriler'!$C$2:$C$101,MATCH(F746,'Müşteriler'!$A$2:$A$101,0)),""))</ns0:f>
        <ns0:v/>
      </ns0:c>
      <ns0:c r="H746" s="28" t="str">
        <ns0:f>IF(A746="","",IF(C746&lt;=0,"Satış dışı",IF(OR(F746="",G746=""),"Eşleşmedi","Eşleşti")))</ns0:f>
        <ns0:v/>
      </ns0:c>
      <ns0:c r="I746" s="28">
        <ns0:f>I745+IF(AND(H746="Eşleşmedi",E746='Panel'!$B$4),1,0)</ns0:f>
        <ns0:v>3.0</ns0:v>
      </ns0:c>
    </ns0:row>
    <ns0:row r="747" ht="21" customHeight="1">
      <ns0:c r="A747" s="25" t="n"/>
      <ns0:c r="B747" s="26" t="n"/>
      <ns0:c r="C747" s="27" t="n"/>
      <ns0:c r="D747" s="27" t="n"/>
      <ns0:c r="E747" s="28" t="str">
        <ns0:f>IF(A747="","",YEAR(A747)&amp;"-"&amp;RIGHT("0"&amp;MONTH(A747),2))</ns0:f>
        <ns0:v/>
      </ns0:c>
      <ns0:c r="F747" s="28" t="str">
        <ns0:f>IF(OR(A747="",B747="",C747&lt;=0),"",IF(SUMPRODUCT(('Müşteriler'!$B$2:$B$101&lt;&gt;"")*ISNUMBER(SEARCH('Müşteriler'!$B$2:$B$101,B747)))=1,IFERROR(INDEX('Müşteriler'!$A$2:$A$101,SUMPRODUCT(('Müşteriler'!$B$2:$B$101&lt;&gt;"")*ISNUMBER(SEARCH('Müşteriler'!$B$2:$B$101,B747)),ROW('Müşteriler'!$B$2:$B$101)-ROW('Müşteriler'!$B$2)+1)),""),""))</ns0:f>
        <ns0:v/>
      </ns0:c>
      <ns0:c r="G747" s="28" t="str">
        <ns0:f>IF(F747="","",IFERROR(INDEX('Müşteriler'!$C$2:$C$101,MATCH(F747,'Müşteriler'!$A$2:$A$101,0)),""))</ns0:f>
        <ns0:v/>
      </ns0:c>
      <ns0:c r="H747" s="28" t="str">
        <ns0:f>IF(A747="","",IF(C747&lt;=0,"Satış dışı",IF(OR(F747="",G747=""),"Eşleşmedi","Eşleşti")))</ns0:f>
        <ns0:v/>
      </ns0:c>
      <ns0:c r="I747" s="28">
        <ns0:f>I746+IF(AND(H747="Eşleşmedi",E747='Panel'!$B$4),1,0)</ns0:f>
        <ns0:v>3.0</ns0:v>
      </ns0:c>
    </ns0:row>
    <ns0:row r="748" ht="21" customHeight="1">
      <ns0:c r="A748" s="25" t="n"/>
      <ns0:c r="B748" s="26" t="n"/>
      <ns0:c r="C748" s="27" t="n"/>
      <ns0:c r="D748" s="27" t="n"/>
      <ns0:c r="E748" s="28" t="str">
        <ns0:f>IF(A748="","",YEAR(A748)&amp;"-"&amp;RIGHT("0"&amp;MONTH(A748),2))</ns0:f>
        <ns0:v/>
      </ns0:c>
      <ns0:c r="F748" s="28" t="str">
        <ns0:f>IF(OR(A748="",B748="",C748&lt;=0),"",IF(SUMPRODUCT(('Müşteriler'!$B$2:$B$101&lt;&gt;"")*ISNUMBER(SEARCH('Müşteriler'!$B$2:$B$101,B748)))=1,IFERROR(INDEX('Müşteriler'!$A$2:$A$101,SUMPRODUCT(('Müşteriler'!$B$2:$B$101&lt;&gt;"")*ISNUMBER(SEARCH('Müşteriler'!$B$2:$B$101,B748)),ROW('Müşteriler'!$B$2:$B$101)-ROW('Müşteriler'!$B$2)+1)),""),""))</ns0:f>
        <ns0:v/>
      </ns0:c>
      <ns0:c r="G748" s="28" t="str">
        <ns0:f>IF(F748="","",IFERROR(INDEX('Müşteriler'!$C$2:$C$101,MATCH(F748,'Müşteriler'!$A$2:$A$101,0)),""))</ns0:f>
        <ns0:v/>
      </ns0:c>
      <ns0:c r="H748" s="28" t="str">
        <ns0:f>IF(A748="","",IF(C748&lt;=0,"Satış dışı",IF(OR(F748="",G748=""),"Eşleşmedi","Eşleşti")))</ns0:f>
        <ns0:v/>
      </ns0:c>
      <ns0:c r="I748" s="28">
        <ns0:f>I747+IF(AND(H748="Eşleşmedi",E748='Panel'!$B$4),1,0)</ns0:f>
        <ns0:v>3.0</ns0:v>
      </ns0:c>
    </ns0:row>
    <ns0:row r="749" ht="21" customHeight="1">
      <ns0:c r="A749" s="25" t="n"/>
      <ns0:c r="B749" s="26" t="n"/>
      <ns0:c r="C749" s="27" t="n"/>
      <ns0:c r="D749" s="27" t="n"/>
      <ns0:c r="E749" s="28" t="str">
        <ns0:f>IF(A749="","",YEAR(A749)&amp;"-"&amp;RIGHT("0"&amp;MONTH(A749),2))</ns0:f>
        <ns0:v/>
      </ns0:c>
      <ns0:c r="F749" s="28" t="str">
        <ns0:f>IF(OR(A749="",B749="",C749&lt;=0),"",IF(SUMPRODUCT(('Müşteriler'!$B$2:$B$101&lt;&gt;"")*ISNUMBER(SEARCH('Müşteriler'!$B$2:$B$101,B749)))=1,IFERROR(INDEX('Müşteriler'!$A$2:$A$101,SUMPRODUCT(('Müşteriler'!$B$2:$B$101&lt;&gt;"")*ISNUMBER(SEARCH('Müşteriler'!$B$2:$B$101,B749)),ROW('Müşteriler'!$B$2:$B$101)-ROW('Müşteriler'!$B$2)+1)),""),""))</ns0:f>
        <ns0:v/>
      </ns0:c>
      <ns0:c r="G749" s="28" t="str">
        <ns0:f>IF(F749="","",IFERROR(INDEX('Müşteriler'!$C$2:$C$101,MATCH(F749,'Müşteriler'!$A$2:$A$101,0)),""))</ns0:f>
        <ns0:v/>
      </ns0:c>
      <ns0:c r="H749" s="28" t="str">
        <ns0:f>IF(A749="","",IF(C749&lt;=0,"Satış dışı",IF(OR(F749="",G749=""),"Eşleşmedi","Eşleşti")))</ns0:f>
        <ns0:v/>
      </ns0:c>
      <ns0:c r="I749" s="28">
        <ns0:f>I748+IF(AND(H749="Eşleşmedi",E749='Panel'!$B$4),1,0)</ns0:f>
        <ns0:v>3.0</ns0:v>
      </ns0:c>
    </ns0:row>
    <ns0:row r="750" ht="21" customHeight="1">
      <ns0:c r="A750" s="25" t="n"/>
      <ns0:c r="B750" s="26" t="n"/>
      <ns0:c r="C750" s="27" t="n"/>
      <ns0:c r="D750" s="27" t="n"/>
      <ns0:c r="E750" s="28" t="str">
        <ns0:f>IF(A750="","",YEAR(A750)&amp;"-"&amp;RIGHT("0"&amp;MONTH(A750),2))</ns0:f>
        <ns0:v/>
      </ns0:c>
      <ns0:c r="F750" s="28" t="str">
        <ns0:f>IF(OR(A750="",B750="",C750&lt;=0),"",IF(SUMPRODUCT(('Müşteriler'!$B$2:$B$101&lt;&gt;"")*ISNUMBER(SEARCH('Müşteriler'!$B$2:$B$101,B750)))=1,IFERROR(INDEX('Müşteriler'!$A$2:$A$101,SUMPRODUCT(('Müşteriler'!$B$2:$B$101&lt;&gt;"")*ISNUMBER(SEARCH('Müşteriler'!$B$2:$B$101,B750)),ROW('Müşteriler'!$B$2:$B$101)-ROW('Müşteriler'!$B$2)+1)),""),""))</ns0:f>
        <ns0:v/>
      </ns0:c>
      <ns0:c r="G750" s="28" t="str">
        <ns0:f>IF(F750="","",IFERROR(INDEX('Müşteriler'!$C$2:$C$101,MATCH(F750,'Müşteriler'!$A$2:$A$101,0)),""))</ns0:f>
        <ns0:v/>
      </ns0:c>
      <ns0:c r="H750" s="28" t="str">
        <ns0:f>IF(A750="","",IF(C750&lt;=0,"Satış dışı",IF(OR(F750="",G750=""),"Eşleşmedi","Eşleşti")))</ns0:f>
        <ns0:v/>
      </ns0:c>
      <ns0:c r="I750" s="28">
        <ns0:f>I749+IF(AND(H750="Eşleşmedi",E750='Panel'!$B$4),1,0)</ns0:f>
        <ns0:v>3.0</ns0:v>
      </ns0:c>
    </ns0:row>
    <ns0:row r="751" ht="21" customHeight="1">
      <ns0:c r="A751" s="25" t="n"/>
      <ns0:c r="B751" s="26" t="n"/>
      <ns0:c r="C751" s="27" t="n"/>
      <ns0:c r="D751" s="27" t="n"/>
      <ns0:c r="E751" s="28" t="str">
        <ns0:f>IF(A751="","",YEAR(A751)&amp;"-"&amp;RIGHT("0"&amp;MONTH(A751),2))</ns0:f>
        <ns0:v/>
      </ns0:c>
      <ns0:c r="F751" s="28" t="str">
        <ns0:f>IF(OR(A751="",B751="",C751&lt;=0),"",IF(SUMPRODUCT(('Müşteriler'!$B$2:$B$101&lt;&gt;"")*ISNUMBER(SEARCH('Müşteriler'!$B$2:$B$101,B751)))=1,IFERROR(INDEX('Müşteriler'!$A$2:$A$101,SUMPRODUCT(('Müşteriler'!$B$2:$B$101&lt;&gt;"")*ISNUMBER(SEARCH('Müşteriler'!$B$2:$B$101,B751)),ROW('Müşteriler'!$B$2:$B$101)-ROW('Müşteriler'!$B$2)+1)),""),""))</ns0:f>
        <ns0:v/>
      </ns0:c>
      <ns0:c r="G751" s="28" t="str">
        <ns0:f>IF(F751="","",IFERROR(INDEX('Müşteriler'!$C$2:$C$101,MATCH(F751,'Müşteriler'!$A$2:$A$101,0)),""))</ns0:f>
        <ns0:v/>
      </ns0:c>
      <ns0:c r="H751" s="28" t="str">
        <ns0:f>IF(A751="","",IF(C751&lt;=0,"Satış dışı",IF(OR(F751="",G751=""),"Eşleşmedi","Eşleşti")))</ns0:f>
        <ns0:v/>
      </ns0:c>
      <ns0:c r="I751" s="28">
        <ns0:f>I750+IF(AND(H751="Eşleşmedi",E751='Panel'!$B$4),1,0)</ns0:f>
        <ns0:v>3.0</ns0:v>
      </ns0:c>
    </ns0:row>
    <ns0:row r="752" ht="21" customHeight="1">
      <ns0:c r="A752" s="25" t="n"/>
      <ns0:c r="B752" s="26" t="n"/>
      <ns0:c r="C752" s="27" t="n"/>
      <ns0:c r="D752" s="27" t="n"/>
      <ns0:c r="E752" s="28" t="str">
        <ns0:f>IF(A752="","",YEAR(A752)&amp;"-"&amp;RIGHT("0"&amp;MONTH(A752),2))</ns0:f>
        <ns0:v/>
      </ns0:c>
      <ns0:c r="F752" s="28" t="str">
        <ns0:f>IF(OR(A752="",B752="",C752&lt;=0),"",IF(SUMPRODUCT(('Müşteriler'!$B$2:$B$101&lt;&gt;"")*ISNUMBER(SEARCH('Müşteriler'!$B$2:$B$101,B752)))=1,IFERROR(INDEX('Müşteriler'!$A$2:$A$101,SUMPRODUCT(('Müşteriler'!$B$2:$B$101&lt;&gt;"")*ISNUMBER(SEARCH('Müşteriler'!$B$2:$B$101,B752)),ROW('Müşteriler'!$B$2:$B$101)-ROW('Müşteriler'!$B$2)+1)),""),""))</ns0:f>
        <ns0:v/>
      </ns0:c>
      <ns0:c r="G752" s="28" t="str">
        <ns0:f>IF(F752="","",IFERROR(INDEX('Müşteriler'!$C$2:$C$101,MATCH(F752,'Müşteriler'!$A$2:$A$101,0)),""))</ns0:f>
        <ns0:v/>
      </ns0:c>
      <ns0:c r="H752" s="28" t="str">
        <ns0:f>IF(A752="","",IF(C752&lt;=0,"Satış dışı",IF(OR(F752="",G752=""),"Eşleşmedi","Eşleşti")))</ns0:f>
        <ns0:v/>
      </ns0:c>
      <ns0:c r="I752" s="28">
        <ns0:f>I751+IF(AND(H752="Eşleşmedi",E752='Panel'!$B$4),1,0)</ns0:f>
        <ns0:v>3.0</ns0:v>
      </ns0:c>
    </ns0:row>
    <ns0:row r="753" ht="21" customHeight="1">
      <ns0:c r="A753" s="25" t="n"/>
      <ns0:c r="B753" s="26" t="n"/>
      <ns0:c r="C753" s="27" t="n"/>
      <ns0:c r="D753" s="27" t="n"/>
      <ns0:c r="E753" s="28" t="str">
        <ns0:f>IF(A753="","",YEAR(A753)&amp;"-"&amp;RIGHT("0"&amp;MONTH(A753),2))</ns0:f>
        <ns0:v/>
      </ns0:c>
      <ns0:c r="F753" s="28" t="str">
        <ns0:f>IF(OR(A753="",B753="",C753&lt;=0),"",IF(SUMPRODUCT(('Müşteriler'!$B$2:$B$101&lt;&gt;"")*ISNUMBER(SEARCH('Müşteriler'!$B$2:$B$101,B753)))=1,IFERROR(INDEX('Müşteriler'!$A$2:$A$101,SUMPRODUCT(('Müşteriler'!$B$2:$B$101&lt;&gt;"")*ISNUMBER(SEARCH('Müşteriler'!$B$2:$B$101,B753)),ROW('Müşteriler'!$B$2:$B$101)-ROW('Müşteriler'!$B$2)+1)),""),""))</ns0:f>
        <ns0:v/>
      </ns0:c>
      <ns0:c r="G753" s="28" t="str">
        <ns0:f>IF(F753="","",IFERROR(INDEX('Müşteriler'!$C$2:$C$101,MATCH(F753,'Müşteriler'!$A$2:$A$101,0)),""))</ns0:f>
        <ns0:v/>
      </ns0:c>
      <ns0:c r="H753" s="28" t="str">
        <ns0:f>IF(A753="","",IF(C753&lt;=0,"Satış dışı",IF(OR(F753="",G753=""),"Eşleşmedi","Eşleşti")))</ns0:f>
        <ns0:v/>
      </ns0:c>
      <ns0:c r="I753" s="28">
        <ns0:f>I752+IF(AND(H753="Eşleşmedi",E753='Panel'!$B$4),1,0)</ns0:f>
        <ns0:v>3.0</ns0:v>
      </ns0:c>
    </ns0:row>
    <ns0:row r="754" ht="21" customHeight="1">
      <ns0:c r="A754" s="25" t="n"/>
      <ns0:c r="B754" s="26" t="n"/>
      <ns0:c r="C754" s="27" t="n"/>
      <ns0:c r="D754" s="27" t="n"/>
      <ns0:c r="E754" s="28" t="str">
        <ns0:f>IF(A754="","",YEAR(A754)&amp;"-"&amp;RIGHT("0"&amp;MONTH(A754),2))</ns0:f>
        <ns0:v/>
      </ns0:c>
      <ns0:c r="F754" s="28" t="str">
        <ns0:f>IF(OR(A754="",B754="",C754&lt;=0),"",IF(SUMPRODUCT(('Müşteriler'!$B$2:$B$101&lt;&gt;"")*ISNUMBER(SEARCH('Müşteriler'!$B$2:$B$101,B754)))=1,IFERROR(INDEX('Müşteriler'!$A$2:$A$101,SUMPRODUCT(('Müşteriler'!$B$2:$B$101&lt;&gt;"")*ISNUMBER(SEARCH('Müşteriler'!$B$2:$B$101,B754)),ROW('Müşteriler'!$B$2:$B$101)-ROW('Müşteriler'!$B$2)+1)),""),""))</ns0:f>
        <ns0:v/>
      </ns0:c>
      <ns0:c r="G754" s="28" t="str">
        <ns0:f>IF(F754="","",IFERROR(INDEX('Müşteriler'!$C$2:$C$101,MATCH(F754,'Müşteriler'!$A$2:$A$101,0)),""))</ns0:f>
        <ns0:v/>
      </ns0:c>
      <ns0:c r="H754" s="28" t="str">
        <ns0:f>IF(A754="","",IF(C754&lt;=0,"Satış dışı",IF(OR(F754="",G754=""),"Eşleşmedi","Eşleşti")))</ns0:f>
        <ns0:v/>
      </ns0:c>
      <ns0:c r="I754" s="28">
        <ns0:f>I753+IF(AND(H754="Eşleşmedi",E754='Panel'!$B$4),1,0)</ns0:f>
        <ns0:v>3.0</ns0:v>
      </ns0:c>
    </ns0:row>
    <ns0:row r="755" ht="21" customHeight="1">
      <ns0:c r="A755" s="25" t="n"/>
      <ns0:c r="B755" s="26" t="n"/>
      <ns0:c r="C755" s="27" t="n"/>
      <ns0:c r="D755" s="27" t="n"/>
      <ns0:c r="E755" s="28" t="str">
        <ns0:f>IF(A755="","",YEAR(A755)&amp;"-"&amp;RIGHT("0"&amp;MONTH(A755),2))</ns0:f>
        <ns0:v/>
      </ns0:c>
      <ns0:c r="F755" s="28" t="str">
        <ns0:f>IF(OR(A755="",B755="",C755&lt;=0),"",IF(SUMPRODUCT(('Müşteriler'!$B$2:$B$101&lt;&gt;"")*ISNUMBER(SEARCH('Müşteriler'!$B$2:$B$101,B755)))=1,IFERROR(INDEX('Müşteriler'!$A$2:$A$101,SUMPRODUCT(('Müşteriler'!$B$2:$B$101&lt;&gt;"")*ISNUMBER(SEARCH('Müşteriler'!$B$2:$B$101,B755)),ROW('Müşteriler'!$B$2:$B$101)-ROW('Müşteriler'!$B$2)+1)),""),""))</ns0:f>
        <ns0:v/>
      </ns0:c>
      <ns0:c r="G755" s="28" t="str">
        <ns0:f>IF(F755="","",IFERROR(INDEX('Müşteriler'!$C$2:$C$101,MATCH(F755,'Müşteriler'!$A$2:$A$101,0)),""))</ns0:f>
        <ns0:v/>
      </ns0:c>
      <ns0:c r="H755" s="28" t="str">
        <ns0:f>IF(A755="","",IF(C755&lt;=0,"Satış dışı",IF(OR(F755="",G755=""),"Eşleşmedi","Eşleşti")))</ns0:f>
        <ns0:v/>
      </ns0:c>
      <ns0:c r="I755" s="28">
        <ns0:f>I754+IF(AND(H755="Eşleşmedi",E755='Panel'!$B$4),1,0)</ns0:f>
        <ns0:v>3.0</ns0:v>
      </ns0:c>
    </ns0:row>
    <ns0:row r="756" ht="21" customHeight="1">
      <ns0:c r="A756" s="25" t="n"/>
      <ns0:c r="B756" s="26" t="n"/>
      <ns0:c r="C756" s="27" t="n"/>
      <ns0:c r="D756" s="27" t="n"/>
      <ns0:c r="E756" s="28" t="str">
        <ns0:f>IF(A756="","",YEAR(A756)&amp;"-"&amp;RIGHT("0"&amp;MONTH(A756),2))</ns0:f>
        <ns0:v/>
      </ns0:c>
      <ns0:c r="F756" s="28" t="str">
        <ns0:f>IF(OR(A756="",B756="",C756&lt;=0),"",IF(SUMPRODUCT(('Müşteriler'!$B$2:$B$101&lt;&gt;"")*ISNUMBER(SEARCH('Müşteriler'!$B$2:$B$101,B756)))=1,IFERROR(INDEX('Müşteriler'!$A$2:$A$101,SUMPRODUCT(('Müşteriler'!$B$2:$B$101&lt;&gt;"")*ISNUMBER(SEARCH('Müşteriler'!$B$2:$B$101,B756)),ROW('Müşteriler'!$B$2:$B$101)-ROW('Müşteriler'!$B$2)+1)),""),""))</ns0:f>
        <ns0:v/>
      </ns0:c>
      <ns0:c r="G756" s="28" t="str">
        <ns0:f>IF(F756="","",IFERROR(INDEX('Müşteriler'!$C$2:$C$101,MATCH(F756,'Müşteriler'!$A$2:$A$101,0)),""))</ns0:f>
        <ns0:v/>
      </ns0:c>
      <ns0:c r="H756" s="28" t="str">
        <ns0:f>IF(A756="","",IF(C756&lt;=0,"Satış dışı",IF(OR(F756="",G756=""),"Eşleşmedi","Eşleşti")))</ns0:f>
        <ns0:v/>
      </ns0:c>
      <ns0:c r="I756" s="28">
        <ns0:f>I755+IF(AND(H756="Eşleşmedi",E756='Panel'!$B$4),1,0)</ns0:f>
        <ns0:v>3.0</ns0:v>
      </ns0:c>
    </ns0:row>
    <ns0:row r="757" ht="21" customHeight="1">
      <ns0:c r="A757" s="25" t="n"/>
      <ns0:c r="B757" s="26" t="n"/>
      <ns0:c r="C757" s="27" t="n"/>
      <ns0:c r="D757" s="27" t="n"/>
      <ns0:c r="E757" s="28" t="str">
        <ns0:f>IF(A757="","",YEAR(A757)&amp;"-"&amp;RIGHT("0"&amp;MONTH(A757),2))</ns0:f>
        <ns0:v/>
      </ns0:c>
      <ns0:c r="F757" s="28" t="str">
        <ns0:f>IF(OR(A757="",B757="",C757&lt;=0),"",IF(SUMPRODUCT(('Müşteriler'!$B$2:$B$101&lt;&gt;"")*ISNUMBER(SEARCH('Müşteriler'!$B$2:$B$101,B757)))=1,IFERROR(INDEX('Müşteriler'!$A$2:$A$101,SUMPRODUCT(('Müşteriler'!$B$2:$B$101&lt;&gt;"")*ISNUMBER(SEARCH('Müşteriler'!$B$2:$B$101,B757)),ROW('Müşteriler'!$B$2:$B$101)-ROW('Müşteriler'!$B$2)+1)),""),""))</ns0:f>
        <ns0:v/>
      </ns0:c>
      <ns0:c r="G757" s="28" t="str">
        <ns0:f>IF(F757="","",IFERROR(INDEX('Müşteriler'!$C$2:$C$101,MATCH(F757,'Müşteriler'!$A$2:$A$101,0)),""))</ns0:f>
        <ns0:v/>
      </ns0:c>
      <ns0:c r="H757" s="28" t="str">
        <ns0:f>IF(A757="","",IF(C757&lt;=0,"Satış dışı",IF(OR(F757="",G757=""),"Eşleşmedi","Eşleşti")))</ns0:f>
        <ns0:v/>
      </ns0:c>
      <ns0:c r="I757" s="28">
        <ns0:f>I756+IF(AND(H757="Eşleşmedi",E757='Panel'!$B$4),1,0)</ns0:f>
        <ns0:v>3.0</ns0:v>
      </ns0:c>
    </ns0:row>
    <ns0:row r="758" ht="21" customHeight="1">
      <ns0:c r="A758" s="25" t="n"/>
      <ns0:c r="B758" s="26" t="n"/>
      <ns0:c r="C758" s="27" t="n"/>
      <ns0:c r="D758" s="27" t="n"/>
      <ns0:c r="E758" s="28" t="str">
        <ns0:f>IF(A758="","",YEAR(A758)&amp;"-"&amp;RIGHT("0"&amp;MONTH(A758),2))</ns0:f>
        <ns0:v/>
      </ns0:c>
      <ns0:c r="F758" s="28" t="str">
        <ns0:f>IF(OR(A758="",B758="",C758&lt;=0),"",IF(SUMPRODUCT(('Müşteriler'!$B$2:$B$101&lt;&gt;"")*ISNUMBER(SEARCH('Müşteriler'!$B$2:$B$101,B758)))=1,IFERROR(INDEX('Müşteriler'!$A$2:$A$101,SUMPRODUCT(('Müşteriler'!$B$2:$B$101&lt;&gt;"")*ISNUMBER(SEARCH('Müşteriler'!$B$2:$B$101,B758)),ROW('Müşteriler'!$B$2:$B$101)-ROW('Müşteriler'!$B$2)+1)),""),""))</ns0:f>
        <ns0:v/>
      </ns0:c>
      <ns0:c r="G758" s="28" t="str">
        <ns0:f>IF(F758="","",IFERROR(INDEX('Müşteriler'!$C$2:$C$101,MATCH(F758,'Müşteriler'!$A$2:$A$101,0)),""))</ns0:f>
        <ns0:v/>
      </ns0:c>
      <ns0:c r="H758" s="28" t="str">
        <ns0:f>IF(A758="","",IF(C758&lt;=0,"Satış dışı",IF(OR(F758="",G758=""),"Eşleşmedi","Eşleşti")))</ns0:f>
        <ns0:v/>
      </ns0:c>
      <ns0:c r="I758" s="28">
        <ns0:f>I757+IF(AND(H758="Eşleşmedi",E758='Panel'!$B$4),1,0)</ns0:f>
        <ns0:v>3.0</ns0:v>
      </ns0:c>
    </ns0:row>
    <ns0:row r="759" ht="21" customHeight="1">
      <ns0:c r="A759" s="25" t="n"/>
      <ns0:c r="B759" s="26" t="n"/>
      <ns0:c r="C759" s="27" t="n"/>
      <ns0:c r="D759" s="27" t="n"/>
      <ns0:c r="E759" s="28" t="str">
        <ns0:f>IF(A759="","",YEAR(A759)&amp;"-"&amp;RIGHT("0"&amp;MONTH(A759),2))</ns0:f>
        <ns0:v/>
      </ns0:c>
      <ns0:c r="F759" s="28" t="str">
        <ns0:f>IF(OR(A759="",B759="",C759&lt;=0),"",IF(SUMPRODUCT(('Müşteriler'!$B$2:$B$101&lt;&gt;"")*ISNUMBER(SEARCH('Müşteriler'!$B$2:$B$101,B759)))=1,IFERROR(INDEX('Müşteriler'!$A$2:$A$101,SUMPRODUCT(('Müşteriler'!$B$2:$B$101&lt;&gt;"")*ISNUMBER(SEARCH('Müşteriler'!$B$2:$B$101,B759)),ROW('Müşteriler'!$B$2:$B$101)-ROW('Müşteriler'!$B$2)+1)),""),""))</ns0:f>
        <ns0:v/>
      </ns0:c>
      <ns0:c r="G759" s="28" t="str">
        <ns0:f>IF(F759="","",IFERROR(INDEX('Müşteriler'!$C$2:$C$101,MATCH(F759,'Müşteriler'!$A$2:$A$101,0)),""))</ns0:f>
        <ns0:v/>
      </ns0:c>
      <ns0:c r="H759" s="28" t="str">
        <ns0:f>IF(A759="","",IF(C759&lt;=0,"Satış dışı",IF(OR(F759="",G759=""),"Eşleşmedi","Eşleşti")))</ns0:f>
        <ns0:v/>
      </ns0:c>
      <ns0:c r="I759" s="28">
        <ns0:f>I758+IF(AND(H759="Eşleşmedi",E759='Panel'!$B$4),1,0)</ns0:f>
        <ns0:v>3.0</ns0:v>
      </ns0:c>
    </ns0:row>
    <ns0:row r="760" ht="21" customHeight="1">
      <ns0:c r="A760" s="25" t="n"/>
      <ns0:c r="B760" s="26" t="n"/>
      <ns0:c r="C760" s="27" t="n"/>
      <ns0:c r="D760" s="27" t="n"/>
      <ns0:c r="E760" s="28" t="str">
        <ns0:f>IF(A760="","",YEAR(A760)&amp;"-"&amp;RIGHT("0"&amp;MONTH(A760),2))</ns0:f>
        <ns0:v/>
      </ns0:c>
      <ns0:c r="F760" s="28" t="str">
        <ns0:f>IF(OR(A760="",B760="",C760&lt;=0),"",IF(SUMPRODUCT(('Müşteriler'!$B$2:$B$101&lt;&gt;"")*ISNUMBER(SEARCH('Müşteriler'!$B$2:$B$101,B760)))=1,IFERROR(INDEX('Müşteriler'!$A$2:$A$101,SUMPRODUCT(('Müşteriler'!$B$2:$B$101&lt;&gt;"")*ISNUMBER(SEARCH('Müşteriler'!$B$2:$B$101,B760)),ROW('Müşteriler'!$B$2:$B$101)-ROW('Müşteriler'!$B$2)+1)),""),""))</ns0:f>
        <ns0:v/>
      </ns0:c>
      <ns0:c r="G760" s="28" t="str">
        <ns0:f>IF(F760="","",IFERROR(INDEX('Müşteriler'!$C$2:$C$101,MATCH(F760,'Müşteriler'!$A$2:$A$101,0)),""))</ns0:f>
        <ns0:v/>
      </ns0:c>
      <ns0:c r="H760" s="28" t="str">
        <ns0:f>IF(A760="","",IF(C760&lt;=0,"Satış dışı",IF(OR(F760="",G760=""),"Eşleşmedi","Eşleşti")))</ns0:f>
        <ns0:v/>
      </ns0:c>
      <ns0:c r="I760" s="28">
        <ns0:f>I759+IF(AND(H760="Eşleşmedi",E760='Panel'!$B$4),1,0)</ns0:f>
        <ns0:v>3.0</ns0:v>
      </ns0:c>
    </ns0:row>
    <ns0:row r="761" ht="21" customHeight="1">
      <ns0:c r="A761" s="25" t="n"/>
      <ns0:c r="B761" s="26" t="n"/>
      <ns0:c r="C761" s="27" t="n"/>
      <ns0:c r="D761" s="27" t="n"/>
      <ns0:c r="E761" s="28" t="str">
        <ns0:f>IF(A761="","",YEAR(A761)&amp;"-"&amp;RIGHT("0"&amp;MONTH(A761),2))</ns0:f>
        <ns0:v/>
      </ns0:c>
      <ns0:c r="F761" s="28" t="str">
        <ns0:f>IF(OR(A761="",B761="",C761&lt;=0),"",IF(SUMPRODUCT(('Müşteriler'!$B$2:$B$101&lt;&gt;"")*ISNUMBER(SEARCH('Müşteriler'!$B$2:$B$101,B761)))=1,IFERROR(INDEX('Müşteriler'!$A$2:$A$101,SUMPRODUCT(('Müşteriler'!$B$2:$B$101&lt;&gt;"")*ISNUMBER(SEARCH('Müşteriler'!$B$2:$B$101,B761)),ROW('Müşteriler'!$B$2:$B$101)-ROW('Müşteriler'!$B$2)+1)),""),""))</ns0:f>
        <ns0:v/>
      </ns0:c>
      <ns0:c r="G761" s="28" t="str">
        <ns0:f>IF(F761="","",IFERROR(INDEX('Müşteriler'!$C$2:$C$101,MATCH(F761,'Müşteriler'!$A$2:$A$101,0)),""))</ns0:f>
        <ns0:v/>
      </ns0:c>
      <ns0:c r="H761" s="28" t="str">
        <ns0:f>IF(A761="","",IF(C761&lt;=0,"Satış dışı",IF(OR(F761="",G761=""),"Eşleşmedi","Eşleşti")))</ns0:f>
        <ns0:v/>
      </ns0:c>
      <ns0:c r="I761" s="28">
        <ns0:f>I760+IF(AND(H761="Eşleşmedi",E761='Panel'!$B$4),1,0)</ns0:f>
        <ns0:v>3.0</ns0:v>
      </ns0:c>
    </ns0:row>
    <ns0:row r="762" ht="21" customHeight="1">
      <ns0:c r="A762" s="25" t="n"/>
      <ns0:c r="B762" s="26" t="n"/>
      <ns0:c r="C762" s="27" t="n"/>
      <ns0:c r="D762" s="27" t="n"/>
      <ns0:c r="E762" s="28" t="str">
        <ns0:f>IF(A762="","",YEAR(A762)&amp;"-"&amp;RIGHT("0"&amp;MONTH(A762),2))</ns0:f>
        <ns0:v/>
      </ns0:c>
      <ns0:c r="F762" s="28" t="str">
        <ns0:f>IF(OR(A762="",B762="",C762&lt;=0),"",IF(SUMPRODUCT(('Müşteriler'!$B$2:$B$101&lt;&gt;"")*ISNUMBER(SEARCH('Müşteriler'!$B$2:$B$101,B762)))=1,IFERROR(INDEX('Müşteriler'!$A$2:$A$101,SUMPRODUCT(('Müşteriler'!$B$2:$B$101&lt;&gt;"")*ISNUMBER(SEARCH('Müşteriler'!$B$2:$B$101,B762)),ROW('Müşteriler'!$B$2:$B$101)-ROW('Müşteriler'!$B$2)+1)),""),""))</ns0:f>
        <ns0:v/>
      </ns0:c>
      <ns0:c r="G762" s="28" t="str">
        <ns0:f>IF(F762="","",IFERROR(INDEX('Müşteriler'!$C$2:$C$101,MATCH(F762,'Müşteriler'!$A$2:$A$101,0)),""))</ns0:f>
        <ns0:v/>
      </ns0:c>
      <ns0:c r="H762" s="28" t="str">
        <ns0:f>IF(A762="","",IF(C762&lt;=0,"Satış dışı",IF(OR(F762="",G762=""),"Eşleşmedi","Eşleşti")))</ns0:f>
        <ns0:v/>
      </ns0:c>
      <ns0:c r="I762" s="28">
        <ns0:f>I761+IF(AND(H762="Eşleşmedi",E762='Panel'!$B$4),1,0)</ns0:f>
        <ns0:v>3.0</ns0:v>
      </ns0:c>
    </ns0:row>
    <ns0:row r="763" ht="21" customHeight="1">
      <ns0:c r="A763" s="25" t="n"/>
      <ns0:c r="B763" s="26" t="n"/>
      <ns0:c r="C763" s="27" t="n"/>
      <ns0:c r="D763" s="27" t="n"/>
      <ns0:c r="E763" s="28" t="str">
        <ns0:f>IF(A763="","",YEAR(A763)&amp;"-"&amp;RIGHT("0"&amp;MONTH(A763),2))</ns0:f>
        <ns0:v/>
      </ns0:c>
      <ns0:c r="F763" s="28" t="str">
        <ns0:f>IF(OR(A763="",B763="",C763&lt;=0),"",IF(SUMPRODUCT(('Müşteriler'!$B$2:$B$101&lt;&gt;"")*ISNUMBER(SEARCH('Müşteriler'!$B$2:$B$101,B763)))=1,IFERROR(INDEX('Müşteriler'!$A$2:$A$101,SUMPRODUCT(('Müşteriler'!$B$2:$B$101&lt;&gt;"")*ISNUMBER(SEARCH('Müşteriler'!$B$2:$B$101,B763)),ROW('Müşteriler'!$B$2:$B$101)-ROW('Müşteriler'!$B$2)+1)),""),""))</ns0:f>
        <ns0:v/>
      </ns0:c>
      <ns0:c r="G763" s="28" t="str">
        <ns0:f>IF(F763="","",IFERROR(INDEX('Müşteriler'!$C$2:$C$101,MATCH(F763,'Müşteriler'!$A$2:$A$101,0)),""))</ns0:f>
        <ns0:v/>
      </ns0:c>
      <ns0:c r="H763" s="28" t="str">
        <ns0:f>IF(A763="","",IF(C763&lt;=0,"Satış dışı",IF(OR(F763="",G763=""),"Eşleşmedi","Eşleşti")))</ns0:f>
        <ns0:v/>
      </ns0:c>
      <ns0:c r="I763" s="28">
        <ns0:f>I762+IF(AND(H763="Eşleşmedi",E763='Panel'!$B$4),1,0)</ns0:f>
        <ns0:v>3.0</ns0:v>
      </ns0:c>
    </ns0:row>
    <ns0:row r="764" ht="21" customHeight="1">
      <ns0:c r="A764" s="25" t="n"/>
      <ns0:c r="B764" s="26" t="n"/>
      <ns0:c r="C764" s="27" t="n"/>
      <ns0:c r="D764" s="27" t="n"/>
      <ns0:c r="E764" s="28" t="str">
        <ns0:f>IF(A764="","",YEAR(A764)&amp;"-"&amp;RIGHT("0"&amp;MONTH(A764),2))</ns0:f>
        <ns0:v/>
      </ns0:c>
      <ns0:c r="F764" s="28" t="str">
        <ns0:f>IF(OR(A764="",B764="",C764&lt;=0),"",IF(SUMPRODUCT(('Müşteriler'!$B$2:$B$101&lt;&gt;"")*ISNUMBER(SEARCH('Müşteriler'!$B$2:$B$101,B764)))=1,IFERROR(INDEX('Müşteriler'!$A$2:$A$101,SUMPRODUCT(('Müşteriler'!$B$2:$B$101&lt;&gt;"")*ISNUMBER(SEARCH('Müşteriler'!$B$2:$B$101,B764)),ROW('Müşteriler'!$B$2:$B$101)-ROW('Müşteriler'!$B$2)+1)),""),""))</ns0:f>
        <ns0:v/>
      </ns0:c>
      <ns0:c r="G764" s="28" t="str">
        <ns0:f>IF(F764="","",IFERROR(INDEX('Müşteriler'!$C$2:$C$101,MATCH(F764,'Müşteriler'!$A$2:$A$101,0)),""))</ns0:f>
        <ns0:v/>
      </ns0:c>
      <ns0:c r="H764" s="28" t="str">
        <ns0:f>IF(A764="","",IF(C764&lt;=0,"Satış dışı",IF(OR(F764="",G764=""),"Eşleşmedi","Eşleşti")))</ns0:f>
        <ns0:v/>
      </ns0:c>
      <ns0:c r="I764" s="28">
        <ns0:f>I763+IF(AND(H764="Eşleşmedi",E764='Panel'!$B$4),1,0)</ns0:f>
        <ns0:v>3.0</ns0:v>
      </ns0:c>
    </ns0:row>
    <ns0:row r="765" ht="21" customHeight="1">
      <ns0:c r="A765" s="25" t="n"/>
      <ns0:c r="B765" s="26" t="n"/>
      <ns0:c r="C765" s="27" t="n"/>
      <ns0:c r="D765" s="27" t="n"/>
      <ns0:c r="E765" s="28" t="str">
        <ns0:f>IF(A765="","",YEAR(A765)&amp;"-"&amp;RIGHT("0"&amp;MONTH(A765),2))</ns0:f>
        <ns0:v/>
      </ns0:c>
      <ns0:c r="F765" s="28" t="str">
        <ns0:f>IF(OR(A765="",B765="",C765&lt;=0),"",IF(SUMPRODUCT(('Müşteriler'!$B$2:$B$101&lt;&gt;"")*ISNUMBER(SEARCH('Müşteriler'!$B$2:$B$101,B765)))=1,IFERROR(INDEX('Müşteriler'!$A$2:$A$101,SUMPRODUCT(('Müşteriler'!$B$2:$B$101&lt;&gt;"")*ISNUMBER(SEARCH('Müşteriler'!$B$2:$B$101,B765)),ROW('Müşteriler'!$B$2:$B$101)-ROW('Müşteriler'!$B$2)+1)),""),""))</ns0:f>
        <ns0:v/>
      </ns0:c>
      <ns0:c r="G765" s="28" t="str">
        <ns0:f>IF(F765="","",IFERROR(INDEX('Müşteriler'!$C$2:$C$101,MATCH(F765,'Müşteriler'!$A$2:$A$101,0)),""))</ns0:f>
        <ns0:v/>
      </ns0:c>
      <ns0:c r="H765" s="28" t="str">
        <ns0:f>IF(A765="","",IF(C765&lt;=0,"Satış dışı",IF(OR(F765="",G765=""),"Eşleşmedi","Eşleşti")))</ns0:f>
        <ns0:v/>
      </ns0:c>
      <ns0:c r="I765" s="28">
        <ns0:f>I764+IF(AND(H765="Eşleşmedi",E765='Panel'!$B$4),1,0)</ns0:f>
        <ns0:v>3.0</ns0:v>
      </ns0:c>
    </ns0:row>
    <ns0:row r="766" ht="21" customHeight="1">
      <ns0:c r="A766" s="25" t="n"/>
      <ns0:c r="B766" s="26" t="n"/>
      <ns0:c r="C766" s="27" t="n"/>
      <ns0:c r="D766" s="27" t="n"/>
      <ns0:c r="E766" s="28" t="str">
        <ns0:f>IF(A766="","",YEAR(A766)&amp;"-"&amp;RIGHT("0"&amp;MONTH(A766),2))</ns0:f>
        <ns0:v/>
      </ns0:c>
      <ns0:c r="F766" s="28" t="str">
        <ns0:f>IF(OR(A766="",B766="",C766&lt;=0),"",IF(SUMPRODUCT(('Müşteriler'!$B$2:$B$101&lt;&gt;"")*ISNUMBER(SEARCH('Müşteriler'!$B$2:$B$101,B766)))=1,IFERROR(INDEX('Müşteriler'!$A$2:$A$101,SUMPRODUCT(('Müşteriler'!$B$2:$B$101&lt;&gt;"")*ISNUMBER(SEARCH('Müşteriler'!$B$2:$B$101,B766)),ROW('Müşteriler'!$B$2:$B$101)-ROW('Müşteriler'!$B$2)+1)),""),""))</ns0:f>
        <ns0:v/>
      </ns0:c>
      <ns0:c r="G766" s="28" t="str">
        <ns0:f>IF(F766="","",IFERROR(INDEX('Müşteriler'!$C$2:$C$101,MATCH(F766,'Müşteriler'!$A$2:$A$101,0)),""))</ns0:f>
        <ns0:v/>
      </ns0:c>
      <ns0:c r="H766" s="28" t="str">
        <ns0:f>IF(A766="","",IF(C766&lt;=0,"Satış dışı",IF(OR(F766="",G766=""),"Eşleşmedi","Eşleşti")))</ns0:f>
        <ns0:v/>
      </ns0:c>
      <ns0:c r="I766" s="28">
        <ns0:f>I765+IF(AND(H766="Eşleşmedi",E766='Panel'!$B$4),1,0)</ns0:f>
        <ns0:v>3.0</ns0:v>
      </ns0:c>
    </ns0:row>
    <ns0:row r="767" ht="21" customHeight="1">
      <ns0:c r="A767" s="25" t="n"/>
      <ns0:c r="B767" s="26" t="n"/>
      <ns0:c r="C767" s="27" t="n"/>
      <ns0:c r="D767" s="27" t="n"/>
      <ns0:c r="E767" s="28" t="str">
        <ns0:f>IF(A767="","",YEAR(A767)&amp;"-"&amp;RIGHT("0"&amp;MONTH(A767),2))</ns0:f>
        <ns0:v/>
      </ns0:c>
      <ns0:c r="F767" s="28" t="str">
        <ns0:f>IF(OR(A767="",B767="",C767&lt;=0),"",IF(SUMPRODUCT(('Müşteriler'!$B$2:$B$101&lt;&gt;"")*ISNUMBER(SEARCH('Müşteriler'!$B$2:$B$101,B767)))=1,IFERROR(INDEX('Müşteriler'!$A$2:$A$101,SUMPRODUCT(('Müşteriler'!$B$2:$B$101&lt;&gt;"")*ISNUMBER(SEARCH('Müşteriler'!$B$2:$B$101,B767)),ROW('Müşteriler'!$B$2:$B$101)-ROW('Müşteriler'!$B$2)+1)),""),""))</ns0:f>
        <ns0:v/>
      </ns0:c>
      <ns0:c r="G767" s="28" t="str">
        <ns0:f>IF(F767="","",IFERROR(INDEX('Müşteriler'!$C$2:$C$101,MATCH(F767,'Müşteriler'!$A$2:$A$101,0)),""))</ns0:f>
        <ns0:v/>
      </ns0:c>
      <ns0:c r="H767" s="28" t="str">
        <ns0:f>IF(A767="","",IF(C767&lt;=0,"Satış dışı",IF(OR(F767="",G767=""),"Eşleşmedi","Eşleşti")))</ns0:f>
        <ns0:v/>
      </ns0:c>
      <ns0:c r="I767" s="28">
        <ns0:f>I766+IF(AND(H767="Eşleşmedi",E767='Panel'!$B$4),1,0)</ns0:f>
        <ns0:v>3.0</ns0:v>
      </ns0:c>
    </ns0:row>
    <ns0:row r="768" ht="21" customHeight="1">
      <ns0:c r="A768" s="25" t="n"/>
      <ns0:c r="B768" s="26" t="n"/>
      <ns0:c r="C768" s="27" t="n"/>
      <ns0:c r="D768" s="27" t="n"/>
      <ns0:c r="E768" s="28" t="str">
        <ns0:f>IF(A768="","",YEAR(A768)&amp;"-"&amp;RIGHT("0"&amp;MONTH(A768),2))</ns0:f>
        <ns0:v/>
      </ns0:c>
      <ns0:c r="F768" s="28" t="str">
        <ns0:f>IF(OR(A768="",B768="",C768&lt;=0),"",IF(SUMPRODUCT(('Müşteriler'!$B$2:$B$101&lt;&gt;"")*ISNUMBER(SEARCH('Müşteriler'!$B$2:$B$101,B768)))=1,IFERROR(INDEX('Müşteriler'!$A$2:$A$101,SUMPRODUCT(('Müşteriler'!$B$2:$B$101&lt;&gt;"")*ISNUMBER(SEARCH('Müşteriler'!$B$2:$B$101,B768)),ROW('Müşteriler'!$B$2:$B$101)-ROW('Müşteriler'!$B$2)+1)),""),""))</ns0:f>
        <ns0:v/>
      </ns0:c>
      <ns0:c r="G768" s="28" t="str">
        <ns0:f>IF(F768="","",IFERROR(INDEX('Müşteriler'!$C$2:$C$101,MATCH(F768,'Müşteriler'!$A$2:$A$101,0)),""))</ns0:f>
        <ns0:v/>
      </ns0:c>
      <ns0:c r="H768" s="28" t="str">
        <ns0:f>IF(A768="","",IF(C768&lt;=0,"Satış dışı",IF(OR(F768="",G768=""),"Eşleşmedi","Eşleşti")))</ns0:f>
        <ns0:v/>
      </ns0:c>
      <ns0:c r="I768" s="28">
        <ns0:f>I767+IF(AND(H768="Eşleşmedi",E768='Panel'!$B$4),1,0)</ns0:f>
        <ns0:v>3.0</ns0:v>
      </ns0:c>
    </ns0:row>
    <ns0:row r="769" ht="21" customHeight="1">
      <ns0:c r="A769" s="25" t="n"/>
      <ns0:c r="B769" s="26" t="n"/>
      <ns0:c r="C769" s="27" t="n"/>
      <ns0:c r="D769" s="27" t="n"/>
      <ns0:c r="E769" s="28" t="str">
        <ns0:f>IF(A769="","",YEAR(A769)&amp;"-"&amp;RIGHT("0"&amp;MONTH(A769),2))</ns0:f>
        <ns0:v/>
      </ns0:c>
      <ns0:c r="F769" s="28" t="str">
        <ns0:f>IF(OR(A769="",B769="",C769&lt;=0),"",IF(SUMPRODUCT(('Müşteriler'!$B$2:$B$101&lt;&gt;"")*ISNUMBER(SEARCH('Müşteriler'!$B$2:$B$101,B769)))=1,IFERROR(INDEX('Müşteriler'!$A$2:$A$101,SUMPRODUCT(('Müşteriler'!$B$2:$B$101&lt;&gt;"")*ISNUMBER(SEARCH('Müşteriler'!$B$2:$B$101,B769)),ROW('Müşteriler'!$B$2:$B$101)-ROW('Müşteriler'!$B$2)+1)),""),""))</ns0:f>
        <ns0:v/>
      </ns0:c>
      <ns0:c r="G769" s="28" t="str">
        <ns0:f>IF(F769="","",IFERROR(INDEX('Müşteriler'!$C$2:$C$101,MATCH(F769,'Müşteriler'!$A$2:$A$101,0)),""))</ns0:f>
        <ns0:v/>
      </ns0:c>
      <ns0:c r="H769" s="28" t="str">
        <ns0:f>IF(A769="","",IF(C769&lt;=0,"Satış dışı",IF(OR(F769="",G769=""),"Eşleşmedi","Eşleşti")))</ns0:f>
        <ns0:v/>
      </ns0:c>
      <ns0:c r="I769" s="28">
        <ns0:f>I768+IF(AND(H769="Eşleşmedi",E769='Panel'!$B$4),1,0)</ns0:f>
        <ns0:v>3.0</ns0:v>
      </ns0:c>
    </ns0:row>
    <ns0:row r="770" ht="21" customHeight="1">
      <ns0:c r="A770" s="25" t="n"/>
      <ns0:c r="B770" s="26" t="n"/>
      <ns0:c r="C770" s="27" t="n"/>
      <ns0:c r="D770" s="27" t="n"/>
      <ns0:c r="E770" s="28" t="str">
        <ns0:f>IF(A770="","",YEAR(A770)&amp;"-"&amp;RIGHT("0"&amp;MONTH(A770),2))</ns0:f>
        <ns0:v/>
      </ns0:c>
      <ns0:c r="F770" s="28" t="str">
        <ns0:f>IF(OR(A770="",B770="",C770&lt;=0),"",IF(SUMPRODUCT(('Müşteriler'!$B$2:$B$101&lt;&gt;"")*ISNUMBER(SEARCH('Müşteriler'!$B$2:$B$101,B770)))=1,IFERROR(INDEX('Müşteriler'!$A$2:$A$101,SUMPRODUCT(('Müşteriler'!$B$2:$B$101&lt;&gt;"")*ISNUMBER(SEARCH('Müşteriler'!$B$2:$B$101,B770)),ROW('Müşteriler'!$B$2:$B$101)-ROW('Müşteriler'!$B$2)+1)),""),""))</ns0:f>
        <ns0:v/>
      </ns0:c>
      <ns0:c r="G770" s="28" t="str">
        <ns0:f>IF(F770="","",IFERROR(INDEX('Müşteriler'!$C$2:$C$101,MATCH(F770,'Müşteriler'!$A$2:$A$101,0)),""))</ns0:f>
        <ns0:v/>
      </ns0:c>
      <ns0:c r="H770" s="28" t="str">
        <ns0:f>IF(A770="","",IF(C770&lt;=0,"Satış dışı",IF(OR(F770="",G770=""),"Eşleşmedi","Eşleşti")))</ns0:f>
        <ns0:v/>
      </ns0:c>
      <ns0:c r="I770" s="28">
        <ns0:f>I769+IF(AND(H770="Eşleşmedi",E770='Panel'!$B$4),1,0)</ns0:f>
        <ns0:v>3.0</ns0:v>
      </ns0:c>
    </ns0:row>
    <ns0:row r="771" ht="21" customHeight="1">
      <ns0:c r="A771" s="25" t="n"/>
      <ns0:c r="B771" s="26" t="n"/>
      <ns0:c r="C771" s="27" t="n"/>
      <ns0:c r="D771" s="27" t="n"/>
      <ns0:c r="E771" s="28" t="str">
        <ns0:f>IF(A771="","",YEAR(A771)&amp;"-"&amp;RIGHT("0"&amp;MONTH(A771),2))</ns0:f>
        <ns0:v/>
      </ns0:c>
      <ns0:c r="F771" s="28" t="str">
        <ns0:f>IF(OR(A771="",B771="",C771&lt;=0),"",IF(SUMPRODUCT(('Müşteriler'!$B$2:$B$101&lt;&gt;"")*ISNUMBER(SEARCH('Müşteriler'!$B$2:$B$101,B771)))=1,IFERROR(INDEX('Müşteriler'!$A$2:$A$101,SUMPRODUCT(('Müşteriler'!$B$2:$B$101&lt;&gt;"")*ISNUMBER(SEARCH('Müşteriler'!$B$2:$B$101,B771)),ROW('Müşteriler'!$B$2:$B$101)-ROW('Müşteriler'!$B$2)+1)),""),""))</ns0:f>
        <ns0:v/>
      </ns0:c>
      <ns0:c r="G771" s="28" t="str">
        <ns0:f>IF(F771="","",IFERROR(INDEX('Müşteriler'!$C$2:$C$101,MATCH(F771,'Müşteriler'!$A$2:$A$101,0)),""))</ns0:f>
        <ns0:v/>
      </ns0:c>
      <ns0:c r="H771" s="28" t="str">
        <ns0:f>IF(A771="","",IF(C771&lt;=0,"Satış dışı",IF(OR(F771="",G771=""),"Eşleşmedi","Eşleşti")))</ns0:f>
        <ns0:v/>
      </ns0:c>
      <ns0:c r="I771" s="28">
        <ns0:f>I770+IF(AND(H771="Eşleşmedi",E771='Panel'!$B$4),1,0)</ns0:f>
        <ns0:v>3.0</ns0:v>
      </ns0:c>
    </ns0:row>
    <ns0:row r="772" ht="21" customHeight="1">
      <ns0:c r="A772" s="25" t="n"/>
      <ns0:c r="B772" s="26" t="n"/>
      <ns0:c r="C772" s="27" t="n"/>
      <ns0:c r="D772" s="27" t="n"/>
      <ns0:c r="E772" s="28" t="str">
        <ns0:f>IF(A772="","",YEAR(A772)&amp;"-"&amp;RIGHT("0"&amp;MONTH(A772),2))</ns0:f>
        <ns0:v/>
      </ns0:c>
      <ns0:c r="F772" s="28" t="str">
        <ns0:f>IF(OR(A772="",B772="",C772&lt;=0),"",IF(SUMPRODUCT(('Müşteriler'!$B$2:$B$101&lt;&gt;"")*ISNUMBER(SEARCH('Müşteriler'!$B$2:$B$101,B772)))=1,IFERROR(INDEX('Müşteriler'!$A$2:$A$101,SUMPRODUCT(('Müşteriler'!$B$2:$B$101&lt;&gt;"")*ISNUMBER(SEARCH('Müşteriler'!$B$2:$B$101,B772)),ROW('Müşteriler'!$B$2:$B$101)-ROW('Müşteriler'!$B$2)+1)),""),""))</ns0:f>
        <ns0:v/>
      </ns0:c>
      <ns0:c r="G772" s="28" t="str">
        <ns0:f>IF(F772="","",IFERROR(INDEX('Müşteriler'!$C$2:$C$101,MATCH(F772,'Müşteriler'!$A$2:$A$101,0)),""))</ns0:f>
        <ns0:v/>
      </ns0:c>
      <ns0:c r="H772" s="28" t="str">
        <ns0:f>IF(A772="","",IF(C772&lt;=0,"Satış dışı",IF(OR(F772="",G772=""),"Eşleşmedi","Eşleşti")))</ns0:f>
        <ns0:v/>
      </ns0:c>
      <ns0:c r="I772" s="28">
        <ns0:f>I771+IF(AND(H772="Eşleşmedi",E772='Panel'!$B$4),1,0)</ns0:f>
        <ns0:v>3.0</ns0:v>
      </ns0:c>
    </ns0:row>
    <ns0:row r="773" ht="21" customHeight="1">
      <ns0:c r="A773" s="25" t="n"/>
      <ns0:c r="B773" s="26" t="n"/>
      <ns0:c r="C773" s="27" t="n"/>
      <ns0:c r="D773" s="27" t="n"/>
      <ns0:c r="E773" s="28" t="str">
        <ns0:f>IF(A773="","",YEAR(A773)&amp;"-"&amp;RIGHT("0"&amp;MONTH(A773),2))</ns0:f>
        <ns0:v/>
      </ns0:c>
      <ns0:c r="F773" s="28" t="str">
        <ns0:f>IF(OR(A773="",B773="",C773&lt;=0),"",IF(SUMPRODUCT(('Müşteriler'!$B$2:$B$101&lt;&gt;"")*ISNUMBER(SEARCH('Müşteriler'!$B$2:$B$101,B773)))=1,IFERROR(INDEX('Müşteriler'!$A$2:$A$101,SUMPRODUCT(('Müşteriler'!$B$2:$B$101&lt;&gt;"")*ISNUMBER(SEARCH('Müşteriler'!$B$2:$B$101,B773)),ROW('Müşteriler'!$B$2:$B$101)-ROW('Müşteriler'!$B$2)+1)),""),""))</ns0:f>
        <ns0:v/>
      </ns0:c>
      <ns0:c r="G773" s="28" t="str">
        <ns0:f>IF(F773="","",IFERROR(INDEX('Müşteriler'!$C$2:$C$101,MATCH(F773,'Müşteriler'!$A$2:$A$101,0)),""))</ns0:f>
        <ns0:v/>
      </ns0:c>
      <ns0:c r="H773" s="28" t="str">
        <ns0:f>IF(A773="","",IF(C773&lt;=0,"Satış dışı",IF(OR(F773="",G773=""),"Eşleşmedi","Eşleşti")))</ns0:f>
        <ns0:v/>
      </ns0:c>
      <ns0:c r="I773" s="28">
        <ns0:f>I772+IF(AND(H773="Eşleşmedi",E773='Panel'!$B$4),1,0)</ns0:f>
        <ns0:v>3.0</ns0:v>
      </ns0:c>
    </ns0:row>
    <ns0:row r="774" ht="21" customHeight="1">
      <ns0:c r="A774" s="25" t="n"/>
      <ns0:c r="B774" s="26" t="n"/>
      <ns0:c r="C774" s="27" t="n"/>
      <ns0:c r="D774" s="27" t="n"/>
      <ns0:c r="E774" s="28" t="str">
        <ns0:f>IF(A774="","",YEAR(A774)&amp;"-"&amp;RIGHT("0"&amp;MONTH(A774),2))</ns0:f>
        <ns0:v/>
      </ns0:c>
      <ns0:c r="F774" s="28" t="str">
        <ns0:f>IF(OR(A774="",B774="",C774&lt;=0),"",IF(SUMPRODUCT(('Müşteriler'!$B$2:$B$101&lt;&gt;"")*ISNUMBER(SEARCH('Müşteriler'!$B$2:$B$101,B774)))=1,IFERROR(INDEX('Müşteriler'!$A$2:$A$101,SUMPRODUCT(('Müşteriler'!$B$2:$B$101&lt;&gt;"")*ISNUMBER(SEARCH('Müşteriler'!$B$2:$B$101,B774)),ROW('Müşteriler'!$B$2:$B$101)-ROW('Müşteriler'!$B$2)+1)),""),""))</ns0:f>
        <ns0:v/>
      </ns0:c>
      <ns0:c r="G774" s="28" t="str">
        <ns0:f>IF(F774="","",IFERROR(INDEX('Müşteriler'!$C$2:$C$101,MATCH(F774,'Müşteriler'!$A$2:$A$101,0)),""))</ns0:f>
        <ns0:v/>
      </ns0:c>
      <ns0:c r="H774" s="28" t="str">
        <ns0:f>IF(A774="","",IF(C774&lt;=0,"Satış dışı",IF(OR(F774="",G774=""),"Eşleşmedi","Eşleşti")))</ns0:f>
        <ns0:v/>
      </ns0:c>
      <ns0:c r="I774" s="28">
        <ns0:f>I773+IF(AND(H774="Eşleşmedi",E774='Panel'!$B$4),1,0)</ns0:f>
        <ns0:v>3.0</ns0:v>
      </ns0:c>
    </ns0:row>
    <ns0:row r="775" ht="21" customHeight="1">
      <ns0:c r="A775" s="25" t="n"/>
      <ns0:c r="B775" s="26" t="n"/>
      <ns0:c r="C775" s="27" t="n"/>
      <ns0:c r="D775" s="27" t="n"/>
      <ns0:c r="E775" s="28" t="str">
        <ns0:f>IF(A775="","",YEAR(A775)&amp;"-"&amp;RIGHT("0"&amp;MONTH(A775),2))</ns0:f>
        <ns0:v/>
      </ns0:c>
      <ns0:c r="F775" s="28" t="str">
        <ns0:f>IF(OR(A775="",B775="",C775&lt;=0),"",IF(SUMPRODUCT(('Müşteriler'!$B$2:$B$101&lt;&gt;"")*ISNUMBER(SEARCH('Müşteriler'!$B$2:$B$101,B775)))=1,IFERROR(INDEX('Müşteriler'!$A$2:$A$101,SUMPRODUCT(('Müşteriler'!$B$2:$B$101&lt;&gt;"")*ISNUMBER(SEARCH('Müşteriler'!$B$2:$B$101,B775)),ROW('Müşteriler'!$B$2:$B$101)-ROW('Müşteriler'!$B$2)+1)),""),""))</ns0:f>
        <ns0:v/>
      </ns0:c>
      <ns0:c r="G775" s="28" t="str">
        <ns0:f>IF(F775="","",IFERROR(INDEX('Müşteriler'!$C$2:$C$101,MATCH(F775,'Müşteriler'!$A$2:$A$101,0)),""))</ns0:f>
        <ns0:v/>
      </ns0:c>
      <ns0:c r="H775" s="28" t="str">
        <ns0:f>IF(A775="","",IF(C775&lt;=0,"Satış dışı",IF(OR(F775="",G775=""),"Eşleşmedi","Eşleşti")))</ns0:f>
        <ns0:v/>
      </ns0:c>
      <ns0:c r="I775" s="28">
        <ns0:f>I774+IF(AND(H775="Eşleşmedi",E775='Panel'!$B$4),1,0)</ns0:f>
        <ns0:v>3.0</ns0:v>
      </ns0:c>
    </ns0:row>
    <ns0:row r="776" ht="21" customHeight="1">
      <ns0:c r="A776" s="25" t="n"/>
      <ns0:c r="B776" s="26" t="n"/>
      <ns0:c r="C776" s="27" t="n"/>
      <ns0:c r="D776" s="27" t="n"/>
      <ns0:c r="E776" s="28" t="str">
        <ns0:f>IF(A776="","",YEAR(A776)&amp;"-"&amp;RIGHT("0"&amp;MONTH(A776),2))</ns0:f>
        <ns0:v/>
      </ns0:c>
      <ns0:c r="F776" s="28" t="str">
        <ns0:f>IF(OR(A776="",B776="",C776&lt;=0),"",IF(SUMPRODUCT(('Müşteriler'!$B$2:$B$101&lt;&gt;"")*ISNUMBER(SEARCH('Müşteriler'!$B$2:$B$101,B776)))=1,IFERROR(INDEX('Müşteriler'!$A$2:$A$101,SUMPRODUCT(('Müşteriler'!$B$2:$B$101&lt;&gt;"")*ISNUMBER(SEARCH('Müşteriler'!$B$2:$B$101,B776)),ROW('Müşteriler'!$B$2:$B$101)-ROW('Müşteriler'!$B$2)+1)),""),""))</ns0:f>
        <ns0:v/>
      </ns0:c>
      <ns0:c r="G776" s="28" t="str">
        <ns0:f>IF(F776="","",IFERROR(INDEX('Müşteriler'!$C$2:$C$101,MATCH(F776,'Müşteriler'!$A$2:$A$101,0)),""))</ns0:f>
        <ns0:v/>
      </ns0:c>
      <ns0:c r="H776" s="28" t="str">
        <ns0:f>IF(A776="","",IF(C776&lt;=0,"Satış dışı",IF(OR(F776="",G776=""),"Eşleşmedi","Eşleşti")))</ns0:f>
        <ns0:v/>
      </ns0:c>
      <ns0:c r="I776" s="28">
        <ns0:f>I775+IF(AND(H776="Eşleşmedi",E776='Panel'!$B$4),1,0)</ns0:f>
        <ns0:v>3.0</ns0:v>
      </ns0:c>
    </ns0:row>
    <ns0:row r="777" ht="21" customHeight="1">
      <ns0:c r="A777" s="25" t="n"/>
      <ns0:c r="B777" s="26" t="n"/>
      <ns0:c r="C777" s="27" t="n"/>
      <ns0:c r="D777" s="27" t="n"/>
      <ns0:c r="E777" s="28" t="str">
        <ns0:f>IF(A777="","",YEAR(A777)&amp;"-"&amp;RIGHT("0"&amp;MONTH(A777),2))</ns0:f>
        <ns0:v/>
      </ns0:c>
      <ns0:c r="F777" s="28" t="str">
        <ns0:f>IF(OR(A777="",B777="",C777&lt;=0),"",IF(SUMPRODUCT(('Müşteriler'!$B$2:$B$101&lt;&gt;"")*ISNUMBER(SEARCH('Müşteriler'!$B$2:$B$101,B777)))=1,IFERROR(INDEX('Müşteriler'!$A$2:$A$101,SUMPRODUCT(('Müşteriler'!$B$2:$B$101&lt;&gt;"")*ISNUMBER(SEARCH('Müşteriler'!$B$2:$B$101,B777)),ROW('Müşteriler'!$B$2:$B$101)-ROW('Müşteriler'!$B$2)+1)),""),""))</ns0:f>
        <ns0:v/>
      </ns0:c>
      <ns0:c r="G777" s="28" t="str">
        <ns0:f>IF(F777="","",IFERROR(INDEX('Müşteriler'!$C$2:$C$101,MATCH(F777,'Müşteriler'!$A$2:$A$101,0)),""))</ns0:f>
        <ns0:v/>
      </ns0:c>
      <ns0:c r="H777" s="28" t="str">
        <ns0:f>IF(A777="","",IF(C777&lt;=0,"Satış dışı",IF(OR(F777="",G777=""),"Eşleşmedi","Eşleşti")))</ns0:f>
        <ns0:v/>
      </ns0:c>
      <ns0:c r="I777" s="28">
        <ns0:f>I776+IF(AND(H777="Eşleşmedi",E777='Panel'!$B$4),1,0)</ns0:f>
        <ns0:v>3.0</ns0:v>
      </ns0:c>
    </ns0:row>
    <ns0:row r="778" ht="21" customHeight="1">
      <ns0:c r="A778" s="25" t="n"/>
      <ns0:c r="B778" s="26" t="n"/>
      <ns0:c r="C778" s="27" t="n"/>
      <ns0:c r="D778" s="27" t="n"/>
      <ns0:c r="E778" s="28" t="str">
        <ns0:f>IF(A778="","",YEAR(A778)&amp;"-"&amp;RIGHT("0"&amp;MONTH(A778),2))</ns0:f>
        <ns0:v/>
      </ns0:c>
      <ns0:c r="F778" s="28" t="str">
        <ns0:f>IF(OR(A778="",B778="",C778&lt;=0),"",IF(SUMPRODUCT(('Müşteriler'!$B$2:$B$101&lt;&gt;"")*ISNUMBER(SEARCH('Müşteriler'!$B$2:$B$101,B778)))=1,IFERROR(INDEX('Müşteriler'!$A$2:$A$101,SUMPRODUCT(('Müşteriler'!$B$2:$B$101&lt;&gt;"")*ISNUMBER(SEARCH('Müşteriler'!$B$2:$B$101,B778)),ROW('Müşteriler'!$B$2:$B$101)-ROW('Müşteriler'!$B$2)+1)),""),""))</ns0:f>
        <ns0:v/>
      </ns0:c>
      <ns0:c r="G778" s="28" t="str">
        <ns0:f>IF(F778="","",IFERROR(INDEX('Müşteriler'!$C$2:$C$101,MATCH(F778,'Müşteriler'!$A$2:$A$101,0)),""))</ns0:f>
        <ns0:v/>
      </ns0:c>
      <ns0:c r="H778" s="28" t="str">
        <ns0:f>IF(A778="","",IF(C778&lt;=0,"Satış dışı",IF(OR(F778="",G778=""),"Eşleşmedi","Eşleşti")))</ns0:f>
        <ns0:v/>
      </ns0:c>
      <ns0:c r="I778" s="28">
        <ns0:f>I777+IF(AND(H778="Eşleşmedi",E778='Panel'!$B$4),1,0)</ns0:f>
        <ns0:v>3.0</ns0:v>
      </ns0:c>
    </ns0:row>
    <ns0:row r="779" ht="21" customHeight="1">
      <ns0:c r="A779" s="25" t="n"/>
      <ns0:c r="B779" s="26" t="n"/>
      <ns0:c r="C779" s="27" t="n"/>
      <ns0:c r="D779" s="27" t="n"/>
      <ns0:c r="E779" s="28" t="str">
        <ns0:f>IF(A779="","",YEAR(A779)&amp;"-"&amp;RIGHT("0"&amp;MONTH(A779),2))</ns0:f>
        <ns0:v/>
      </ns0:c>
      <ns0:c r="F779" s="28" t="str">
        <ns0:f>IF(OR(A779="",B779="",C779&lt;=0),"",IF(SUMPRODUCT(('Müşteriler'!$B$2:$B$101&lt;&gt;"")*ISNUMBER(SEARCH('Müşteriler'!$B$2:$B$101,B779)))=1,IFERROR(INDEX('Müşteriler'!$A$2:$A$101,SUMPRODUCT(('Müşteriler'!$B$2:$B$101&lt;&gt;"")*ISNUMBER(SEARCH('Müşteriler'!$B$2:$B$101,B779)),ROW('Müşteriler'!$B$2:$B$101)-ROW('Müşteriler'!$B$2)+1)),""),""))</ns0:f>
        <ns0:v/>
      </ns0:c>
      <ns0:c r="G779" s="28" t="str">
        <ns0:f>IF(F779="","",IFERROR(INDEX('Müşteriler'!$C$2:$C$101,MATCH(F779,'Müşteriler'!$A$2:$A$101,0)),""))</ns0:f>
        <ns0:v/>
      </ns0:c>
      <ns0:c r="H779" s="28" t="str">
        <ns0:f>IF(A779="","",IF(C779&lt;=0,"Satış dışı",IF(OR(F779="",G779=""),"Eşleşmedi","Eşleşti")))</ns0:f>
        <ns0:v/>
      </ns0:c>
      <ns0:c r="I779" s="28">
        <ns0:f>I778+IF(AND(H779="Eşleşmedi",E779='Panel'!$B$4),1,0)</ns0:f>
        <ns0:v>3.0</ns0:v>
      </ns0:c>
    </ns0:row>
    <ns0:row r="780" ht="21" customHeight="1">
      <ns0:c r="A780" s="25" t="n"/>
      <ns0:c r="B780" s="26" t="n"/>
      <ns0:c r="C780" s="27" t="n"/>
      <ns0:c r="D780" s="27" t="n"/>
      <ns0:c r="E780" s="28" t="str">
        <ns0:f>IF(A780="","",YEAR(A780)&amp;"-"&amp;RIGHT("0"&amp;MONTH(A780),2))</ns0:f>
        <ns0:v/>
      </ns0:c>
      <ns0:c r="F780" s="28" t="str">
        <ns0:f>IF(OR(A780="",B780="",C780&lt;=0),"",IF(SUMPRODUCT(('Müşteriler'!$B$2:$B$101&lt;&gt;"")*ISNUMBER(SEARCH('Müşteriler'!$B$2:$B$101,B780)))=1,IFERROR(INDEX('Müşteriler'!$A$2:$A$101,SUMPRODUCT(('Müşteriler'!$B$2:$B$101&lt;&gt;"")*ISNUMBER(SEARCH('Müşteriler'!$B$2:$B$101,B780)),ROW('Müşteriler'!$B$2:$B$101)-ROW('Müşteriler'!$B$2)+1)),""),""))</ns0:f>
        <ns0:v/>
      </ns0:c>
      <ns0:c r="G780" s="28" t="str">
        <ns0:f>IF(F780="","",IFERROR(INDEX('Müşteriler'!$C$2:$C$101,MATCH(F780,'Müşteriler'!$A$2:$A$101,0)),""))</ns0:f>
        <ns0:v/>
      </ns0:c>
      <ns0:c r="H780" s="28" t="str">
        <ns0:f>IF(A780="","",IF(C780&lt;=0,"Satış dışı",IF(OR(F780="",G780=""),"Eşleşmedi","Eşleşti")))</ns0:f>
        <ns0:v/>
      </ns0:c>
      <ns0:c r="I780" s="28">
        <ns0:f>I779+IF(AND(H780="Eşleşmedi",E780='Panel'!$B$4),1,0)</ns0:f>
        <ns0:v>3.0</ns0:v>
      </ns0:c>
    </ns0:row>
    <ns0:row r="781" ht="21" customHeight="1">
      <ns0:c r="A781" s="25" t="n"/>
      <ns0:c r="B781" s="26" t="n"/>
      <ns0:c r="C781" s="27" t="n"/>
      <ns0:c r="D781" s="27" t="n"/>
      <ns0:c r="E781" s="28" t="str">
        <ns0:f>IF(A781="","",YEAR(A781)&amp;"-"&amp;RIGHT("0"&amp;MONTH(A781),2))</ns0:f>
        <ns0:v/>
      </ns0:c>
      <ns0:c r="F781" s="28" t="str">
        <ns0:f>IF(OR(A781="",B781="",C781&lt;=0),"",IF(SUMPRODUCT(('Müşteriler'!$B$2:$B$101&lt;&gt;"")*ISNUMBER(SEARCH('Müşteriler'!$B$2:$B$101,B781)))=1,IFERROR(INDEX('Müşteriler'!$A$2:$A$101,SUMPRODUCT(('Müşteriler'!$B$2:$B$101&lt;&gt;"")*ISNUMBER(SEARCH('Müşteriler'!$B$2:$B$101,B781)),ROW('Müşteriler'!$B$2:$B$101)-ROW('Müşteriler'!$B$2)+1)),""),""))</ns0:f>
        <ns0:v/>
      </ns0:c>
      <ns0:c r="G781" s="28" t="str">
        <ns0:f>IF(F781="","",IFERROR(INDEX('Müşteriler'!$C$2:$C$101,MATCH(F781,'Müşteriler'!$A$2:$A$101,0)),""))</ns0:f>
        <ns0:v/>
      </ns0:c>
      <ns0:c r="H781" s="28" t="str">
        <ns0:f>IF(A781="","",IF(C781&lt;=0,"Satış dışı",IF(OR(F781="",G781=""),"Eşleşmedi","Eşleşti")))</ns0:f>
        <ns0:v/>
      </ns0:c>
      <ns0:c r="I781" s="28">
        <ns0:f>I780+IF(AND(H781="Eşleşmedi",E781='Panel'!$B$4),1,0)</ns0:f>
        <ns0:v>3.0</ns0:v>
      </ns0:c>
    </ns0:row>
    <ns0:row r="782" ht="21" customHeight="1">
      <ns0:c r="A782" s="25" t="n"/>
      <ns0:c r="B782" s="26" t="n"/>
      <ns0:c r="C782" s="27" t="n"/>
      <ns0:c r="D782" s="27" t="n"/>
      <ns0:c r="E782" s="28" t="str">
        <ns0:f>IF(A782="","",YEAR(A782)&amp;"-"&amp;RIGHT("0"&amp;MONTH(A782),2))</ns0:f>
        <ns0:v/>
      </ns0:c>
      <ns0:c r="F782" s="28" t="str">
        <ns0:f>IF(OR(A782="",B782="",C782&lt;=0),"",IF(SUMPRODUCT(('Müşteriler'!$B$2:$B$101&lt;&gt;"")*ISNUMBER(SEARCH('Müşteriler'!$B$2:$B$101,B782)))=1,IFERROR(INDEX('Müşteriler'!$A$2:$A$101,SUMPRODUCT(('Müşteriler'!$B$2:$B$101&lt;&gt;"")*ISNUMBER(SEARCH('Müşteriler'!$B$2:$B$101,B782)),ROW('Müşteriler'!$B$2:$B$101)-ROW('Müşteriler'!$B$2)+1)),""),""))</ns0:f>
        <ns0:v/>
      </ns0:c>
      <ns0:c r="G782" s="28" t="str">
        <ns0:f>IF(F782="","",IFERROR(INDEX('Müşteriler'!$C$2:$C$101,MATCH(F782,'Müşteriler'!$A$2:$A$101,0)),""))</ns0:f>
        <ns0:v/>
      </ns0:c>
      <ns0:c r="H782" s="28" t="str">
        <ns0:f>IF(A782="","",IF(C782&lt;=0,"Satış dışı",IF(OR(F782="",G782=""),"Eşleşmedi","Eşleşti")))</ns0:f>
        <ns0:v/>
      </ns0:c>
      <ns0:c r="I782" s="28">
        <ns0:f>I781+IF(AND(H782="Eşleşmedi",E782='Panel'!$B$4),1,0)</ns0:f>
        <ns0:v>3.0</ns0:v>
      </ns0:c>
    </ns0:row>
    <ns0:row r="783" ht="21" customHeight="1">
      <ns0:c r="A783" s="25" t="n"/>
      <ns0:c r="B783" s="26" t="n"/>
      <ns0:c r="C783" s="27" t="n"/>
      <ns0:c r="D783" s="27" t="n"/>
      <ns0:c r="E783" s="28" t="str">
        <ns0:f>IF(A783="","",YEAR(A783)&amp;"-"&amp;RIGHT("0"&amp;MONTH(A783),2))</ns0:f>
        <ns0:v/>
      </ns0:c>
      <ns0:c r="F783" s="28" t="str">
        <ns0:f>IF(OR(A783="",B783="",C783&lt;=0),"",IF(SUMPRODUCT(('Müşteriler'!$B$2:$B$101&lt;&gt;"")*ISNUMBER(SEARCH('Müşteriler'!$B$2:$B$101,B783)))=1,IFERROR(INDEX('Müşteriler'!$A$2:$A$101,SUMPRODUCT(('Müşteriler'!$B$2:$B$101&lt;&gt;"")*ISNUMBER(SEARCH('Müşteriler'!$B$2:$B$101,B783)),ROW('Müşteriler'!$B$2:$B$101)-ROW('Müşteriler'!$B$2)+1)),""),""))</ns0:f>
        <ns0:v/>
      </ns0:c>
      <ns0:c r="G783" s="28" t="str">
        <ns0:f>IF(F783="","",IFERROR(INDEX('Müşteriler'!$C$2:$C$101,MATCH(F783,'Müşteriler'!$A$2:$A$101,0)),""))</ns0:f>
        <ns0:v/>
      </ns0:c>
      <ns0:c r="H783" s="28" t="str">
        <ns0:f>IF(A783="","",IF(C783&lt;=0,"Satış dışı",IF(OR(F783="",G783=""),"Eşleşmedi","Eşleşti")))</ns0:f>
        <ns0:v/>
      </ns0:c>
      <ns0:c r="I783" s="28">
        <ns0:f>I782+IF(AND(H783="Eşleşmedi",E783='Panel'!$B$4),1,0)</ns0:f>
        <ns0:v>3.0</ns0:v>
      </ns0:c>
    </ns0:row>
    <ns0:row r="784" ht="21" customHeight="1">
      <ns0:c r="A784" s="25" t="n"/>
      <ns0:c r="B784" s="26" t="n"/>
      <ns0:c r="C784" s="27" t="n"/>
      <ns0:c r="D784" s="27" t="n"/>
      <ns0:c r="E784" s="28" t="str">
        <ns0:f>IF(A784="","",YEAR(A784)&amp;"-"&amp;RIGHT("0"&amp;MONTH(A784),2))</ns0:f>
        <ns0:v/>
      </ns0:c>
      <ns0:c r="F784" s="28" t="str">
        <ns0:f>IF(OR(A784="",B784="",C784&lt;=0),"",IF(SUMPRODUCT(('Müşteriler'!$B$2:$B$101&lt;&gt;"")*ISNUMBER(SEARCH('Müşteriler'!$B$2:$B$101,B784)))=1,IFERROR(INDEX('Müşteriler'!$A$2:$A$101,SUMPRODUCT(('Müşteriler'!$B$2:$B$101&lt;&gt;"")*ISNUMBER(SEARCH('Müşteriler'!$B$2:$B$101,B784)),ROW('Müşteriler'!$B$2:$B$101)-ROW('Müşteriler'!$B$2)+1)),""),""))</ns0:f>
        <ns0:v/>
      </ns0:c>
      <ns0:c r="G784" s="28" t="str">
        <ns0:f>IF(F784="","",IFERROR(INDEX('Müşteriler'!$C$2:$C$101,MATCH(F784,'Müşteriler'!$A$2:$A$101,0)),""))</ns0:f>
        <ns0:v/>
      </ns0:c>
      <ns0:c r="H784" s="28" t="str">
        <ns0:f>IF(A784="","",IF(C784&lt;=0,"Satış dışı",IF(OR(F784="",G784=""),"Eşleşmedi","Eşleşti")))</ns0:f>
        <ns0:v/>
      </ns0:c>
      <ns0:c r="I784" s="28">
        <ns0:f>I783+IF(AND(H784="Eşleşmedi",E784='Panel'!$B$4),1,0)</ns0:f>
        <ns0:v>3.0</ns0:v>
      </ns0:c>
    </ns0:row>
    <ns0:row r="785" ht="21" customHeight="1">
      <ns0:c r="A785" s="25" t="n"/>
      <ns0:c r="B785" s="26" t="n"/>
      <ns0:c r="C785" s="27" t="n"/>
      <ns0:c r="D785" s="27" t="n"/>
      <ns0:c r="E785" s="28" t="str">
        <ns0:f>IF(A785="","",YEAR(A785)&amp;"-"&amp;RIGHT("0"&amp;MONTH(A785),2))</ns0:f>
        <ns0:v/>
      </ns0:c>
      <ns0:c r="F785" s="28" t="str">
        <ns0:f>IF(OR(A785="",B785="",C785&lt;=0),"",IF(SUMPRODUCT(('Müşteriler'!$B$2:$B$101&lt;&gt;"")*ISNUMBER(SEARCH('Müşteriler'!$B$2:$B$101,B785)))=1,IFERROR(INDEX('Müşteriler'!$A$2:$A$101,SUMPRODUCT(('Müşteriler'!$B$2:$B$101&lt;&gt;"")*ISNUMBER(SEARCH('Müşteriler'!$B$2:$B$101,B785)),ROW('Müşteriler'!$B$2:$B$101)-ROW('Müşteriler'!$B$2)+1)),""),""))</ns0:f>
        <ns0:v/>
      </ns0:c>
      <ns0:c r="G785" s="28" t="str">
        <ns0:f>IF(F785="","",IFERROR(INDEX('Müşteriler'!$C$2:$C$101,MATCH(F785,'Müşteriler'!$A$2:$A$101,0)),""))</ns0:f>
        <ns0:v/>
      </ns0:c>
      <ns0:c r="H785" s="28" t="str">
        <ns0:f>IF(A785="","",IF(C785&lt;=0,"Satış dışı",IF(OR(F785="",G785=""),"Eşleşmedi","Eşleşti")))</ns0:f>
        <ns0:v/>
      </ns0:c>
      <ns0:c r="I785" s="28">
        <ns0:f>I784+IF(AND(H785="Eşleşmedi",E785='Panel'!$B$4),1,0)</ns0:f>
        <ns0:v>3.0</ns0:v>
      </ns0:c>
    </ns0:row>
    <ns0:row r="786" ht="21" customHeight="1">
      <ns0:c r="A786" s="25" t="n"/>
      <ns0:c r="B786" s="26" t="n"/>
      <ns0:c r="C786" s="27" t="n"/>
      <ns0:c r="D786" s="27" t="n"/>
      <ns0:c r="E786" s="28" t="str">
        <ns0:f>IF(A786="","",YEAR(A786)&amp;"-"&amp;RIGHT("0"&amp;MONTH(A786),2))</ns0:f>
        <ns0:v/>
      </ns0:c>
      <ns0:c r="F786" s="28" t="str">
        <ns0:f>IF(OR(A786="",B786="",C786&lt;=0),"",IF(SUMPRODUCT(('Müşteriler'!$B$2:$B$101&lt;&gt;"")*ISNUMBER(SEARCH('Müşteriler'!$B$2:$B$101,B786)))=1,IFERROR(INDEX('Müşteriler'!$A$2:$A$101,SUMPRODUCT(('Müşteriler'!$B$2:$B$101&lt;&gt;"")*ISNUMBER(SEARCH('Müşteriler'!$B$2:$B$101,B786)),ROW('Müşteriler'!$B$2:$B$101)-ROW('Müşteriler'!$B$2)+1)),""),""))</ns0:f>
        <ns0:v/>
      </ns0:c>
      <ns0:c r="G786" s="28" t="str">
        <ns0:f>IF(F786="","",IFERROR(INDEX('Müşteriler'!$C$2:$C$101,MATCH(F786,'Müşteriler'!$A$2:$A$101,0)),""))</ns0:f>
        <ns0:v/>
      </ns0:c>
      <ns0:c r="H786" s="28" t="str">
        <ns0:f>IF(A786="","",IF(C786&lt;=0,"Satış dışı",IF(OR(F786="",G786=""),"Eşleşmedi","Eşleşti")))</ns0:f>
        <ns0:v/>
      </ns0:c>
      <ns0:c r="I786" s="28">
        <ns0:f>I785+IF(AND(H786="Eşleşmedi",E786='Panel'!$B$4),1,0)</ns0:f>
        <ns0:v>3.0</ns0:v>
      </ns0:c>
    </ns0:row>
    <ns0:row r="787" ht="21" customHeight="1">
      <ns0:c r="A787" s="25" t="n"/>
      <ns0:c r="B787" s="26" t="n"/>
      <ns0:c r="C787" s="27" t="n"/>
      <ns0:c r="D787" s="27" t="n"/>
      <ns0:c r="E787" s="28" t="str">
        <ns0:f>IF(A787="","",YEAR(A787)&amp;"-"&amp;RIGHT("0"&amp;MONTH(A787),2))</ns0:f>
        <ns0:v/>
      </ns0:c>
      <ns0:c r="F787" s="28" t="str">
        <ns0:f>IF(OR(A787="",B787="",C787&lt;=0),"",IF(SUMPRODUCT(('Müşteriler'!$B$2:$B$101&lt;&gt;"")*ISNUMBER(SEARCH('Müşteriler'!$B$2:$B$101,B787)))=1,IFERROR(INDEX('Müşteriler'!$A$2:$A$101,SUMPRODUCT(('Müşteriler'!$B$2:$B$101&lt;&gt;"")*ISNUMBER(SEARCH('Müşteriler'!$B$2:$B$101,B787)),ROW('Müşteriler'!$B$2:$B$101)-ROW('Müşteriler'!$B$2)+1)),""),""))</ns0:f>
        <ns0:v/>
      </ns0:c>
      <ns0:c r="G787" s="28" t="str">
        <ns0:f>IF(F787="","",IFERROR(INDEX('Müşteriler'!$C$2:$C$101,MATCH(F787,'Müşteriler'!$A$2:$A$101,0)),""))</ns0:f>
        <ns0:v/>
      </ns0:c>
      <ns0:c r="H787" s="28" t="str">
        <ns0:f>IF(A787="","",IF(C787&lt;=0,"Satış dışı",IF(OR(F787="",G787=""),"Eşleşmedi","Eşleşti")))</ns0:f>
        <ns0:v/>
      </ns0:c>
      <ns0:c r="I787" s="28">
        <ns0:f>I786+IF(AND(H787="Eşleşmedi",E787='Panel'!$B$4),1,0)</ns0:f>
        <ns0:v>3.0</ns0:v>
      </ns0:c>
    </ns0:row>
    <ns0:row r="788" ht="21" customHeight="1">
      <ns0:c r="A788" s="25" t="n"/>
      <ns0:c r="B788" s="26" t="n"/>
      <ns0:c r="C788" s="27" t="n"/>
      <ns0:c r="D788" s="27" t="n"/>
      <ns0:c r="E788" s="28" t="str">
        <ns0:f>IF(A788="","",YEAR(A788)&amp;"-"&amp;RIGHT("0"&amp;MONTH(A788),2))</ns0:f>
        <ns0:v/>
      </ns0:c>
      <ns0:c r="F788" s="28" t="str">
        <ns0:f>IF(OR(A788="",B788="",C788&lt;=0),"",IF(SUMPRODUCT(('Müşteriler'!$B$2:$B$101&lt;&gt;"")*ISNUMBER(SEARCH('Müşteriler'!$B$2:$B$101,B788)))=1,IFERROR(INDEX('Müşteriler'!$A$2:$A$101,SUMPRODUCT(('Müşteriler'!$B$2:$B$101&lt;&gt;"")*ISNUMBER(SEARCH('Müşteriler'!$B$2:$B$101,B788)),ROW('Müşteriler'!$B$2:$B$101)-ROW('Müşteriler'!$B$2)+1)),""),""))</ns0:f>
        <ns0:v/>
      </ns0:c>
      <ns0:c r="G788" s="28" t="str">
        <ns0:f>IF(F788="","",IFERROR(INDEX('Müşteriler'!$C$2:$C$101,MATCH(F788,'Müşteriler'!$A$2:$A$101,0)),""))</ns0:f>
        <ns0:v/>
      </ns0:c>
      <ns0:c r="H788" s="28" t="str">
        <ns0:f>IF(A788="","",IF(C788&lt;=0,"Satış dışı",IF(OR(F788="",G788=""),"Eşleşmedi","Eşleşti")))</ns0:f>
        <ns0:v/>
      </ns0:c>
      <ns0:c r="I788" s="28">
        <ns0:f>I787+IF(AND(H788="Eşleşmedi",E788='Panel'!$B$4),1,0)</ns0:f>
        <ns0:v>3.0</ns0:v>
      </ns0:c>
    </ns0:row>
    <ns0:row r="789" ht="21" customHeight="1">
      <ns0:c r="A789" s="25" t="n"/>
      <ns0:c r="B789" s="26" t="n"/>
      <ns0:c r="C789" s="27" t="n"/>
      <ns0:c r="D789" s="27" t="n"/>
      <ns0:c r="E789" s="28" t="str">
        <ns0:f>IF(A789="","",YEAR(A789)&amp;"-"&amp;RIGHT("0"&amp;MONTH(A789),2))</ns0:f>
        <ns0:v/>
      </ns0:c>
      <ns0:c r="F789" s="28" t="str">
        <ns0:f>IF(OR(A789="",B789="",C789&lt;=0),"",IF(SUMPRODUCT(('Müşteriler'!$B$2:$B$101&lt;&gt;"")*ISNUMBER(SEARCH('Müşteriler'!$B$2:$B$101,B789)))=1,IFERROR(INDEX('Müşteriler'!$A$2:$A$101,SUMPRODUCT(('Müşteriler'!$B$2:$B$101&lt;&gt;"")*ISNUMBER(SEARCH('Müşteriler'!$B$2:$B$101,B789)),ROW('Müşteriler'!$B$2:$B$101)-ROW('Müşteriler'!$B$2)+1)),""),""))</ns0:f>
        <ns0:v/>
      </ns0:c>
      <ns0:c r="G789" s="28" t="str">
        <ns0:f>IF(F789="","",IFERROR(INDEX('Müşteriler'!$C$2:$C$101,MATCH(F789,'Müşteriler'!$A$2:$A$101,0)),""))</ns0:f>
        <ns0:v/>
      </ns0:c>
      <ns0:c r="H789" s="28" t="str">
        <ns0:f>IF(A789="","",IF(C789&lt;=0,"Satış dışı",IF(OR(F789="",G789=""),"Eşleşmedi","Eşleşti")))</ns0:f>
        <ns0:v/>
      </ns0:c>
      <ns0:c r="I789" s="28">
        <ns0:f>I788+IF(AND(H789="Eşleşmedi",E789='Panel'!$B$4),1,0)</ns0:f>
        <ns0:v>3.0</ns0:v>
      </ns0:c>
    </ns0:row>
    <ns0:row r="790" ht="21" customHeight="1">
      <ns0:c r="A790" s="25" t="n"/>
      <ns0:c r="B790" s="26" t="n"/>
      <ns0:c r="C790" s="27" t="n"/>
      <ns0:c r="D790" s="27" t="n"/>
      <ns0:c r="E790" s="28" t="str">
        <ns0:f>IF(A790="","",YEAR(A790)&amp;"-"&amp;RIGHT("0"&amp;MONTH(A790),2))</ns0:f>
        <ns0:v/>
      </ns0:c>
      <ns0:c r="F790" s="28" t="str">
        <ns0:f>IF(OR(A790="",B790="",C790&lt;=0),"",IF(SUMPRODUCT(('Müşteriler'!$B$2:$B$101&lt;&gt;"")*ISNUMBER(SEARCH('Müşteriler'!$B$2:$B$101,B790)))=1,IFERROR(INDEX('Müşteriler'!$A$2:$A$101,SUMPRODUCT(('Müşteriler'!$B$2:$B$101&lt;&gt;"")*ISNUMBER(SEARCH('Müşteriler'!$B$2:$B$101,B790)),ROW('Müşteriler'!$B$2:$B$101)-ROW('Müşteriler'!$B$2)+1)),""),""))</ns0:f>
        <ns0:v/>
      </ns0:c>
      <ns0:c r="G790" s="28" t="str">
        <ns0:f>IF(F790="","",IFERROR(INDEX('Müşteriler'!$C$2:$C$101,MATCH(F790,'Müşteriler'!$A$2:$A$101,0)),""))</ns0:f>
        <ns0:v/>
      </ns0:c>
      <ns0:c r="H790" s="28" t="str">
        <ns0:f>IF(A790="","",IF(C790&lt;=0,"Satış dışı",IF(OR(F790="",G790=""),"Eşleşmedi","Eşleşti")))</ns0:f>
        <ns0:v/>
      </ns0:c>
      <ns0:c r="I790" s="28">
        <ns0:f>I789+IF(AND(H790="Eşleşmedi",E790='Panel'!$B$4),1,0)</ns0:f>
        <ns0:v>3.0</ns0:v>
      </ns0:c>
    </ns0:row>
    <ns0:row r="791" ht="21" customHeight="1">
      <ns0:c r="A791" s="25" t="n"/>
      <ns0:c r="B791" s="26" t="n"/>
      <ns0:c r="C791" s="27" t="n"/>
      <ns0:c r="D791" s="27" t="n"/>
      <ns0:c r="E791" s="28" t="str">
        <ns0:f>IF(A791="","",YEAR(A791)&amp;"-"&amp;RIGHT("0"&amp;MONTH(A791),2))</ns0:f>
        <ns0:v/>
      </ns0:c>
      <ns0:c r="F791" s="28" t="str">
        <ns0:f>IF(OR(A791="",B791="",C791&lt;=0),"",IF(SUMPRODUCT(('Müşteriler'!$B$2:$B$101&lt;&gt;"")*ISNUMBER(SEARCH('Müşteriler'!$B$2:$B$101,B791)))=1,IFERROR(INDEX('Müşteriler'!$A$2:$A$101,SUMPRODUCT(('Müşteriler'!$B$2:$B$101&lt;&gt;"")*ISNUMBER(SEARCH('Müşteriler'!$B$2:$B$101,B791)),ROW('Müşteriler'!$B$2:$B$101)-ROW('Müşteriler'!$B$2)+1)),""),""))</ns0:f>
        <ns0:v/>
      </ns0:c>
      <ns0:c r="G791" s="28" t="str">
        <ns0:f>IF(F791="","",IFERROR(INDEX('Müşteriler'!$C$2:$C$101,MATCH(F791,'Müşteriler'!$A$2:$A$101,0)),""))</ns0:f>
        <ns0:v/>
      </ns0:c>
      <ns0:c r="H791" s="28" t="str">
        <ns0:f>IF(A791="","",IF(C791&lt;=0,"Satış dışı",IF(OR(F791="",G791=""),"Eşleşmedi","Eşleşti")))</ns0:f>
        <ns0:v/>
      </ns0:c>
      <ns0:c r="I791" s="28">
        <ns0:f>I790+IF(AND(H791="Eşleşmedi",E791='Panel'!$B$4),1,0)</ns0:f>
        <ns0:v>3.0</ns0:v>
      </ns0:c>
    </ns0:row>
    <ns0:row r="792" ht="21" customHeight="1">
      <ns0:c r="A792" s="25" t="n"/>
      <ns0:c r="B792" s="26" t="n"/>
      <ns0:c r="C792" s="27" t="n"/>
      <ns0:c r="D792" s="27" t="n"/>
      <ns0:c r="E792" s="28" t="str">
        <ns0:f>IF(A792="","",YEAR(A792)&amp;"-"&amp;RIGHT("0"&amp;MONTH(A792),2))</ns0:f>
        <ns0:v/>
      </ns0:c>
      <ns0:c r="F792" s="28" t="str">
        <ns0:f>IF(OR(A792="",B792="",C792&lt;=0),"",IF(SUMPRODUCT(('Müşteriler'!$B$2:$B$101&lt;&gt;"")*ISNUMBER(SEARCH('Müşteriler'!$B$2:$B$101,B792)))=1,IFERROR(INDEX('Müşteriler'!$A$2:$A$101,SUMPRODUCT(('Müşteriler'!$B$2:$B$101&lt;&gt;"")*ISNUMBER(SEARCH('Müşteriler'!$B$2:$B$101,B792)),ROW('Müşteriler'!$B$2:$B$101)-ROW('Müşteriler'!$B$2)+1)),""),""))</ns0:f>
        <ns0:v/>
      </ns0:c>
      <ns0:c r="G792" s="28" t="str">
        <ns0:f>IF(F792="","",IFERROR(INDEX('Müşteriler'!$C$2:$C$101,MATCH(F792,'Müşteriler'!$A$2:$A$101,0)),""))</ns0:f>
        <ns0:v/>
      </ns0:c>
      <ns0:c r="H792" s="28" t="str">
        <ns0:f>IF(A792="","",IF(C792&lt;=0,"Satış dışı",IF(OR(F792="",G792=""),"Eşleşmedi","Eşleşti")))</ns0:f>
        <ns0:v/>
      </ns0:c>
      <ns0:c r="I792" s="28">
        <ns0:f>I791+IF(AND(H792="Eşleşmedi",E792='Panel'!$B$4),1,0)</ns0:f>
        <ns0:v>3.0</ns0:v>
      </ns0:c>
    </ns0:row>
    <ns0:row r="793" ht="21" customHeight="1">
      <ns0:c r="A793" s="25" t="n"/>
      <ns0:c r="B793" s="26" t="n"/>
      <ns0:c r="C793" s="27" t="n"/>
      <ns0:c r="D793" s="27" t="n"/>
      <ns0:c r="E793" s="28" t="str">
        <ns0:f>IF(A793="","",YEAR(A793)&amp;"-"&amp;RIGHT("0"&amp;MONTH(A793),2))</ns0:f>
        <ns0:v/>
      </ns0:c>
      <ns0:c r="F793" s="28" t="str">
        <ns0:f>IF(OR(A793="",B793="",C793&lt;=0),"",IF(SUMPRODUCT(('Müşteriler'!$B$2:$B$101&lt;&gt;"")*ISNUMBER(SEARCH('Müşteriler'!$B$2:$B$101,B793)))=1,IFERROR(INDEX('Müşteriler'!$A$2:$A$101,SUMPRODUCT(('Müşteriler'!$B$2:$B$101&lt;&gt;"")*ISNUMBER(SEARCH('Müşteriler'!$B$2:$B$101,B793)),ROW('Müşteriler'!$B$2:$B$101)-ROW('Müşteriler'!$B$2)+1)),""),""))</ns0:f>
        <ns0:v/>
      </ns0:c>
      <ns0:c r="G793" s="28" t="str">
        <ns0:f>IF(F793="","",IFERROR(INDEX('Müşteriler'!$C$2:$C$101,MATCH(F793,'Müşteriler'!$A$2:$A$101,0)),""))</ns0:f>
        <ns0:v/>
      </ns0:c>
      <ns0:c r="H793" s="28" t="str">
        <ns0:f>IF(A793="","",IF(C793&lt;=0,"Satış dışı",IF(OR(F793="",G793=""),"Eşleşmedi","Eşleşti")))</ns0:f>
        <ns0:v/>
      </ns0:c>
      <ns0:c r="I793" s="28">
        <ns0:f>I792+IF(AND(H793="Eşleşmedi",E793='Panel'!$B$4),1,0)</ns0:f>
        <ns0:v>3.0</ns0:v>
      </ns0:c>
    </ns0:row>
    <ns0:row r="794" ht="21" customHeight="1">
      <ns0:c r="A794" s="25" t="n"/>
      <ns0:c r="B794" s="26" t="n"/>
      <ns0:c r="C794" s="27" t="n"/>
      <ns0:c r="D794" s="27" t="n"/>
      <ns0:c r="E794" s="28" t="str">
        <ns0:f>IF(A794="","",YEAR(A794)&amp;"-"&amp;RIGHT("0"&amp;MONTH(A794),2))</ns0:f>
        <ns0:v/>
      </ns0:c>
      <ns0:c r="F794" s="28" t="str">
        <ns0:f>IF(OR(A794="",B794="",C794&lt;=0),"",IF(SUMPRODUCT(('Müşteriler'!$B$2:$B$101&lt;&gt;"")*ISNUMBER(SEARCH('Müşteriler'!$B$2:$B$101,B794)))=1,IFERROR(INDEX('Müşteriler'!$A$2:$A$101,SUMPRODUCT(('Müşteriler'!$B$2:$B$101&lt;&gt;"")*ISNUMBER(SEARCH('Müşteriler'!$B$2:$B$101,B794)),ROW('Müşteriler'!$B$2:$B$101)-ROW('Müşteriler'!$B$2)+1)),""),""))</ns0:f>
        <ns0:v/>
      </ns0:c>
      <ns0:c r="G794" s="28" t="str">
        <ns0:f>IF(F794="","",IFERROR(INDEX('Müşteriler'!$C$2:$C$101,MATCH(F794,'Müşteriler'!$A$2:$A$101,0)),""))</ns0:f>
        <ns0:v/>
      </ns0:c>
      <ns0:c r="H794" s="28" t="str">
        <ns0:f>IF(A794="","",IF(C794&lt;=0,"Satış dışı",IF(OR(F794="",G794=""),"Eşleşmedi","Eşleşti")))</ns0:f>
        <ns0:v/>
      </ns0:c>
      <ns0:c r="I794" s="28">
        <ns0:f>I793+IF(AND(H794="Eşleşmedi",E794='Panel'!$B$4),1,0)</ns0:f>
        <ns0:v>3.0</ns0:v>
      </ns0:c>
    </ns0:row>
    <ns0:row r="795" ht="21" customHeight="1">
      <ns0:c r="A795" s="25" t="n"/>
      <ns0:c r="B795" s="26" t="n"/>
      <ns0:c r="C795" s="27" t="n"/>
      <ns0:c r="D795" s="27" t="n"/>
      <ns0:c r="E795" s="28" t="str">
        <ns0:f>IF(A795="","",YEAR(A795)&amp;"-"&amp;RIGHT("0"&amp;MONTH(A795),2))</ns0:f>
        <ns0:v/>
      </ns0:c>
      <ns0:c r="F795" s="28" t="str">
        <ns0:f>IF(OR(A795="",B795="",C795&lt;=0),"",IF(SUMPRODUCT(('Müşteriler'!$B$2:$B$101&lt;&gt;"")*ISNUMBER(SEARCH('Müşteriler'!$B$2:$B$101,B795)))=1,IFERROR(INDEX('Müşteriler'!$A$2:$A$101,SUMPRODUCT(('Müşteriler'!$B$2:$B$101&lt;&gt;"")*ISNUMBER(SEARCH('Müşteriler'!$B$2:$B$101,B795)),ROW('Müşteriler'!$B$2:$B$101)-ROW('Müşteriler'!$B$2)+1)),""),""))</ns0:f>
        <ns0:v/>
      </ns0:c>
      <ns0:c r="G795" s="28" t="str">
        <ns0:f>IF(F795="","",IFERROR(INDEX('Müşteriler'!$C$2:$C$101,MATCH(F795,'Müşteriler'!$A$2:$A$101,0)),""))</ns0:f>
        <ns0:v/>
      </ns0:c>
      <ns0:c r="H795" s="28" t="str">
        <ns0:f>IF(A795="","",IF(C795&lt;=0,"Satış dışı",IF(OR(F795="",G795=""),"Eşleşmedi","Eşleşti")))</ns0:f>
        <ns0:v/>
      </ns0:c>
      <ns0:c r="I795" s="28">
        <ns0:f>I794+IF(AND(H795="Eşleşmedi",E795='Panel'!$B$4),1,0)</ns0:f>
        <ns0:v>3.0</ns0:v>
      </ns0:c>
    </ns0:row>
    <ns0:row r="796" ht="21" customHeight="1">
      <ns0:c r="A796" s="25" t="n"/>
      <ns0:c r="B796" s="26" t="n"/>
      <ns0:c r="C796" s="27" t="n"/>
      <ns0:c r="D796" s="27" t="n"/>
      <ns0:c r="E796" s="28" t="str">
        <ns0:f>IF(A796="","",YEAR(A796)&amp;"-"&amp;RIGHT("0"&amp;MONTH(A796),2))</ns0:f>
        <ns0:v/>
      </ns0:c>
      <ns0:c r="F796" s="28" t="str">
        <ns0:f>IF(OR(A796="",B796="",C796&lt;=0),"",IF(SUMPRODUCT(('Müşteriler'!$B$2:$B$101&lt;&gt;"")*ISNUMBER(SEARCH('Müşteriler'!$B$2:$B$101,B796)))=1,IFERROR(INDEX('Müşteriler'!$A$2:$A$101,SUMPRODUCT(('Müşteriler'!$B$2:$B$101&lt;&gt;"")*ISNUMBER(SEARCH('Müşteriler'!$B$2:$B$101,B796)),ROW('Müşteriler'!$B$2:$B$101)-ROW('Müşteriler'!$B$2)+1)),""),""))</ns0:f>
        <ns0:v/>
      </ns0:c>
      <ns0:c r="G796" s="28" t="str">
        <ns0:f>IF(F796="","",IFERROR(INDEX('Müşteriler'!$C$2:$C$101,MATCH(F796,'Müşteriler'!$A$2:$A$101,0)),""))</ns0:f>
        <ns0:v/>
      </ns0:c>
      <ns0:c r="H796" s="28" t="str">
        <ns0:f>IF(A796="","",IF(C796&lt;=0,"Satış dışı",IF(OR(F796="",G796=""),"Eşleşmedi","Eşleşti")))</ns0:f>
        <ns0:v/>
      </ns0:c>
      <ns0:c r="I796" s="28">
        <ns0:f>I795+IF(AND(H796="Eşleşmedi",E796='Panel'!$B$4),1,0)</ns0:f>
        <ns0:v>3.0</ns0:v>
      </ns0:c>
    </ns0:row>
    <ns0:row r="797" ht="21" customHeight="1">
      <ns0:c r="A797" s="25" t="n"/>
      <ns0:c r="B797" s="26" t="n"/>
      <ns0:c r="C797" s="27" t="n"/>
      <ns0:c r="D797" s="27" t="n"/>
      <ns0:c r="E797" s="28" t="str">
        <ns0:f>IF(A797="","",YEAR(A797)&amp;"-"&amp;RIGHT("0"&amp;MONTH(A797),2))</ns0:f>
        <ns0:v/>
      </ns0:c>
      <ns0:c r="F797" s="28" t="str">
        <ns0:f>IF(OR(A797="",B797="",C797&lt;=0),"",IF(SUMPRODUCT(('Müşteriler'!$B$2:$B$101&lt;&gt;"")*ISNUMBER(SEARCH('Müşteriler'!$B$2:$B$101,B797)))=1,IFERROR(INDEX('Müşteriler'!$A$2:$A$101,SUMPRODUCT(('Müşteriler'!$B$2:$B$101&lt;&gt;"")*ISNUMBER(SEARCH('Müşteriler'!$B$2:$B$101,B797)),ROW('Müşteriler'!$B$2:$B$101)-ROW('Müşteriler'!$B$2)+1)),""),""))</ns0:f>
        <ns0:v/>
      </ns0:c>
      <ns0:c r="G797" s="28" t="str">
        <ns0:f>IF(F797="","",IFERROR(INDEX('Müşteriler'!$C$2:$C$101,MATCH(F797,'Müşteriler'!$A$2:$A$101,0)),""))</ns0:f>
        <ns0:v/>
      </ns0:c>
      <ns0:c r="H797" s="28" t="str">
        <ns0:f>IF(A797="","",IF(C797&lt;=0,"Satış dışı",IF(OR(F797="",G797=""),"Eşleşmedi","Eşleşti")))</ns0:f>
        <ns0:v/>
      </ns0:c>
      <ns0:c r="I797" s="28">
        <ns0:f>I796+IF(AND(H797="Eşleşmedi",E797='Panel'!$B$4),1,0)</ns0:f>
        <ns0:v>3.0</ns0:v>
      </ns0:c>
    </ns0:row>
    <ns0:row r="798" ht="21" customHeight="1">
      <ns0:c r="A798" s="25" t="n"/>
      <ns0:c r="B798" s="26" t="n"/>
      <ns0:c r="C798" s="27" t="n"/>
      <ns0:c r="D798" s="27" t="n"/>
      <ns0:c r="E798" s="28" t="str">
        <ns0:f>IF(A798="","",YEAR(A798)&amp;"-"&amp;RIGHT("0"&amp;MONTH(A798),2))</ns0:f>
        <ns0:v/>
      </ns0:c>
      <ns0:c r="F798" s="28" t="str">
        <ns0:f>IF(OR(A798="",B798="",C798&lt;=0),"",IF(SUMPRODUCT(('Müşteriler'!$B$2:$B$101&lt;&gt;"")*ISNUMBER(SEARCH('Müşteriler'!$B$2:$B$101,B798)))=1,IFERROR(INDEX('Müşteriler'!$A$2:$A$101,SUMPRODUCT(('Müşteriler'!$B$2:$B$101&lt;&gt;"")*ISNUMBER(SEARCH('Müşteriler'!$B$2:$B$101,B798)),ROW('Müşteriler'!$B$2:$B$101)-ROW('Müşteriler'!$B$2)+1)),""),""))</ns0:f>
        <ns0:v/>
      </ns0:c>
      <ns0:c r="G798" s="28" t="str">
        <ns0:f>IF(F798="","",IFERROR(INDEX('Müşteriler'!$C$2:$C$101,MATCH(F798,'Müşteriler'!$A$2:$A$101,0)),""))</ns0:f>
        <ns0:v/>
      </ns0:c>
      <ns0:c r="H798" s="28" t="str">
        <ns0:f>IF(A798="","",IF(C798&lt;=0,"Satış dışı",IF(OR(F798="",G798=""),"Eşleşmedi","Eşleşti")))</ns0:f>
        <ns0:v/>
      </ns0:c>
      <ns0:c r="I798" s="28">
        <ns0:f>I797+IF(AND(H798="Eşleşmedi",E798='Panel'!$B$4),1,0)</ns0:f>
        <ns0:v>3.0</ns0:v>
      </ns0:c>
    </ns0:row>
    <ns0:row r="799" ht="21" customHeight="1">
      <ns0:c r="A799" s="25" t="n"/>
      <ns0:c r="B799" s="26" t="n"/>
      <ns0:c r="C799" s="27" t="n"/>
      <ns0:c r="D799" s="27" t="n"/>
      <ns0:c r="E799" s="28" t="str">
        <ns0:f>IF(A799="","",YEAR(A799)&amp;"-"&amp;RIGHT("0"&amp;MONTH(A799),2))</ns0:f>
        <ns0:v/>
      </ns0:c>
      <ns0:c r="F799" s="28" t="str">
        <ns0:f>IF(OR(A799="",B799="",C799&lt;=0),"",IF(SUMPRODUCT(('Müşteriler'!$B$2:$B$101&lt;&gt;"")*ISNUMBER(SEARCH('Müşteriler'!$B$2:$B$101,B799)))=1,IFERROR(INDEX('Müşteriler'!$A$2:$A$101,SUMPRODUCT(('Müşteriler'!$B$2:$B$101&lt;&gt;"")*ISNUMBER(SEARCH('Müşteriler'!$B$2:$B$101,B799)),ROW('Müşteriler'!$B$2:$B$101)-ROW('Müşteriler'!$B$2)+1)),""),""))</ns0:f>
        <ns0:v/>
      </ns0:c>
      <ns0:c r="G799" s="28" t="str">
        <ns0:f>IF(F799="","",IFERROR(INDEX('Müşteriler'!$C$2:$C$101,MATCH(F799,'Müşteriler'!$A$2:$A$101,0)),""))</ns0:f>
        <ns0:v/>
      </ns0:c>
      <ns0:c r="H799" s="28" t="str">
        <ns0:f>IF(A799="","",IF(C799&lt;=0,"Satış dışı",IF(OR(F799="",G799=""),"Eşleşmedi","Eşleşti")))</ns0:f>
        <ns0:v/>
      </ns0:c>
      <ns0:c r="I799" s="28">
        <ns0:f>I798+IF(AND(H799="Eşleşmedi",E799='Panel'!$B$4),1,0)</ns0:f>
        <ns0:v>3.0</ns0:v>
      </ns0:c>
    </ns0:row>
    <ns0:row r="800" ht="21" customHeight="1">
      <ns0:c r="A800" s="25" t="n"/>
      <ns0:c r="B800" s="26" t="n"/>
      <ns0:c r="C800" s="27" t="n"/>
      <ns0:c r="D800" s="27" t="n"/>
      <ns0:c r="E800" s="28" t="str">
        <ns0:f>IF(A800="","",YEAR(A800)&amp;"-"&amp;RIGHT("0"&amp;MONTH(A800),2))</ns0:f>
        <ns0:v/>
      </ns0:c>
      <ns0:c r="F800" s="28" t="str">
        <ns0:f>IF(OR(A800="",B800="",C800&lt;=0),"",IF(SUMPRODUCT(('Müşteriler'!$B$2:$B$101&lt;&gt;"")*ISNUMBER(SEARCH('Müşteriler'!$B$2:$B$101,B800)))=1,IFERROR(INDEX('Müşteriler'!$A$2:$A$101,SUMPRODUCT(('Müşteriler'!$B$2:$B$101&lt;&gt;"")*ISNUMBER(SEARCH('Müşteriler'!$B$2:$B$101,B800)),ROW('Müşteriler'!$B$2:$B$101)-ROW('Müşteriler'!$B$2)+1)),""),""))</ns0:f>
        <ns0:v/>
      </ns0:c>
      <ns0:c r="G800" s="28" t="str">
        <ns0:f>IF(F800="","",IFERROR(INDEX('Müşteriler'!$C$2:$C$101,MATCH(F800,'Müşteriler'!$A$2:$A$101,0)),""))</ns0:f>
        <ns0:v/>
      </ns0:c>
      <ns0:c r="H800" s="28" t="str">
        <ns0:f>IF(A800="","",IF(C800&lt;=0,"Satış dışı",IF(OR(F800="",G800=""),"Eşleşmedi","Eşleşti")))</ns0:f>
        <ns0:v/>
      </ns0:c>
      <ns0:c r="I800" s="28">
        <ns0:f>I799+IF(AND(H800="Eşleşmedi",E800='Panel'!$B$4),1,0)</ns0:f>
        <ns0:v>3.0</ns0:v>
      </ns0:c>
    </ns0:row>
    <ns0:row r="801" ht="21" customHeight="1">
      <ns0:c r="A801" s="25" t="n"/>
      <ns0:c r="B801" s="26" t="n"/>
      <ns0:c r="C801" s="27" t="n"/>
      <ns0:c r="D801" s="27" t="n"/>
      <ns0:c r="E801" s="28" t="str">
        <ns0:f>IF(A801="","",YEAR(A801)&amp;"-"&amp;RIGHT("0"&amp;MONTH(A801),2))</ns0:f>
        <ns0:v/>
      </ns0:c>
      <ns0:c r="F801" s="28" t="str">
        <ns0:f>IF(OR(A801="",B801="",C801&lt;=0),"",IF(SUMPRODUCT(('Müşteriler'!$B$2:$B$101&lt;&gt;"")*ISNUMBER(SEARCH('Müşteriler'!$B$2:$B$101,B801)))=1,IFERROR(INDEX('Müşteriler'!$A$2:$A$101,SUMPRODUCT(('Müşteriler'!$B$2:$B$101&lt;&gt;"")*ISNUMBER(SEARCH('Müşteriler'!$B$2:$B$101,B801)),ROW('Müşteriler'!$B$2:$B$101)-ROW('Müşteriler'!$B$2)+1)),""),""))</ns0:f>
        <ns0:v/>
      </ns0:c>
      <ns0:c r="G801" s="28" t="str">
        <ns0:f>IF(F801="","",IFERROR(INDEX('Müşteriler'!$C$2:$C$101,MATCH(F801,'Müşteriler'!$A$2:$A$101,0)),""))</ns0:f>
        <ns0:v/>
      </ns0:c>
      <ns0:c r="H801" s="28" t="str">
        <ns0:f>IF(A801="","",IF(C801&lt;=0,"Satış dışı",IF(OR(F801="",G801=""),"Eşleşmedi","Eşleşti")))</ns0:f>
        <ns0:v/>
      </ns0:c>
      <ns0:c r="I801" s="28">
        <ns0:f>I800+IF(AND(H801="Eşleşmedi",E801='Panel'!$B$4),1,0)</ns0:f>
        <ns0:v>3.0</ns0:v>
      </ns0:c>
    </ns0:row>
    <ns0:row r="802" ht="21" customHeight="1">
      <ns0:c r="A802" s="25" t="n"/>
      <ns0:c r="B802" s="26" t="n"/>
      <ns0:c r="C802" s="27" t="n"/>
      <ns0:c r="D802" s="27" t="n"/>
      <ns0:c r="E802" s="28" t="str">
        <ns0:f>IF(A802="","",YEAR(A802)&amp;"-"&amp;RIGHT("0"&amp;MONTH(A802),2))</ns0:f>
        <ns0:v/>
      </ns0:c>
      <ns0:c r="F802" s="28" t="str">
        <ns0:f>IF(OR(A802="",B802="",C802&lt;=0),"",IF(SUMPRODUCT(('Müşteriler'!$B$2:$B$101&lt;&gt;"")*ISNUMBER(SEARCH('Müşteriler'!$B$2:$B$101,B802)))=1,IFERROR(INDEX('Müşteriler'!$A$2:$A$101,SUMPRODUCT(('Müşteriler'!$B$2:$B$101&lt;&gt;"")*ISNUMBER(SEARCH('Müşteriler'!$B$2:$B$101,B802)),ROW('Müşteriler'!$B$2:$B$101)-ROW('Müşteriler'!$B$2)+1)),""),""))</ns0:f>
        <ns0:v/>
      </ns0:c>
      <ns0:c r="G802" s="28" t="str">
        <ns0:f>IF(F802="","",IFERROR(INDEX('Müşteriler'!$C$2:$C$101,MATCH(F802,'Müşteriler'!$A$2:$A$101,0)),""))</ns0:f>
        <ns0:v/>
      </ns0:c>
      <ns0:c r="H802" s="28" t="str">
        <ns0:f>IF(A802="","",IF(C802&lt;=0,"Satış dışı",IF(OR(F802="",G802=""),"Eşleşmedi","Eşleşti")))</ns0:f>
        <ns0:v/>
      </ns0:c>
      <ns0:c r="I802" s="28">
        <ns0:f>I801+IF(AND(H802="Eşleşmedi",E802='Panel'!$B$4),1,0)</ns0:f>
        <ns0:v>3.0</ns0:v>
      </ns0:c>
    </ns0:row>
    <ns0:row r="803" ht="21" customHeight="1">
      <ns0:c r="A803" s="25" t="n"/>
      <ns0:c r="B803" s="26" t="n"/>
      <ns0:c r="C803" s="27" t="n"/>
      <ns0:c r="D803" s="27" t="n"/>
      <ns0:c r="E803" s="28" t="str">
        <ns0:f>IF(A803="","",YEAR(A803)&amp;"-"&amp;RIGHT("0"&amp;MONTH(A803),2))</ns0:f>
        <ns0:v/>
      </ns0:c>
      <ns0:c r="F803" s="28" t="str">
        <ns0:f>IF(OR(A803="",B803="",C803&lt;=0),"",IF(SUMPRODUCT(('Müşteriler'!$B$2:$B$101&lt;&gt;"")*ISNUMBER(SEARCH('Müşteriler'!$B$2:$B$101,B803)))=1,IFERROR(INDEX('Müşteriler'!$A$2:$A$101,SUMPRODUCT(('Müşteriler'!$B$2:$B$101&lt;&gt;"")*ISNUMBER(SEARCH('Müşteriler'!$B$2:$B$101,B803)),ROW('Müşteriler'!$B$2:$B$101)-ROW('Müşteriler'!$B$2)+1)),""),""))</ns0:f>
        <ns0:v/>
      </ns0:c>
      <ns0:c r="G803" s="28" t="str">
        <ns0:f>IF(F803="","",IFERROR(INDEX('Müşteriler'!$C$2:$C$101,MATCH(F803,'Müşteriler'!$A$2:$A$101,0)),""))</ns0:f>
        <ns0:v/>
      </ns0:c>
      <ns0:c r="H803" s="28" t="str">
        <ns0:f>IF(A803="","",IF(C803&lt;=0,"Satış dışı",IF(OR(F803="",G803=""),"Eşleşmedi","Eşleşti")))</ns0:f>
        <ns0:v/>
      </ns0:c>
      <ns0:c r="I803" s="28">
        <ns0:f>I802+IF(AND(H803="Eşleşmedi",E803='Panel'!$B$4),1,0)</ns0:f>
        <ns0:v>3.0</ns0:v>
      </ns0:c>
    </ns0:row>
    <ns0:row r="804" ht="21" customHeight="1">
      <ns0:c r="A804" s="25" t="n"/>
      <ns0:c r="B804" s="26" t="n"/>
      <ns0:c r="C804" s="27" t="n"/>
      <ns0:c r="D804" s="27" t="n"/>
      <ns0:c r="E804" s="28" t="str">
        <ns0:f>IF(A804="","",YEAR(A804)&amp;"-"&amp;RIGHT("0"&amp;MONTH(A804),2))</ns0:f>
        <ns0:v/>
      </ns0:c>
      <ns0:c r="F804" s="28" t="str">
        <ns0:f>IF(OR(A804="",B804="",C804&lt;=0),"",IF(SUMPRODUCT(('Müşteriler'!$B$2:$B$101&lt;&gt;"")*ISNUMBER(SEARCH('Müşteriler'!$B$2:$B$101,B804)))=1,IFERROR(INDEX('Müşteriler'!$A$2:$A$101,SUMPRODUCT(('Müşteriler'!$B$2:$B$101&lt;&gt;"")*ISNUMBER(SEARCH('Müşteriler'!$B$2:$B$101,B804)),ROW('Müşteriler'!$B$2:$B$101)-ROW('Müşteriler'!$B$2)+1)),""),""))</ns0:f>
        <ns0:v/>
      </ns0:c>
      <ns0:c r="G804" s="28" t="str">
        <ns0:f>IF(F804="","",IFERROR(INDEX('Müşteriler'!$C$2:$C$101,MATCH(F804,'Müşteriler'!$A$2:$A$101,0)),""))</ns0:f>
        <ns0:v/>
      </ns0:c>
      <ns0:c r="H804" s="28" t="str">
        <ns0:f>IF(A804="","",IF(C804&lt;=0,"Satış dışı",IF(OR(F804="",G804=""),"Eşleşmedi","Eşleşti")))</ns0:f>
        <ns0:v/>
      </ns0:c>
      <ns0:c r="I804" s="28">
        <ns0:f>I803+IF(AND(H804="Eşleşmedi",E804='Panel'!$B$4),1,0)</ns0:f>
        <ns0:v>3.0</ns0:v>
      </ns0:c>
    </ns0:row>
    <ns0:row r="805" ht="21" customHeight="1">
      <ns0:c r="A805" s="25" t="n"/>
      <ns0:c r="B805" s="26" t="n"/>
      <ns0:c r="C805" s="27" t="n"/>
      <ns0:c r="D805" s="27" t="n"/>
      <ns0:c r="E805" s="28" t="str">
        <ns0:f>IF(A805="","",YEAR(A805)&amp;"-"&amp;RIGHT("0"&amp;MONTH(A805),2))</ns0:f>
        <ns0:v/>
      </ns0:c>
      <ns0:c r="F805" s="28" t="str">
        <ns0:f>IF(OR(A805="",B805="",C805&lt;=0),"",IF(SUMPRODUCT(('Müşteriler'!$B$2:$B$101&lt;&gt;"")*ISNUMBER(SEARCH('Müşteriler'!$B$2:$B$101,B805)))=1,IFERROR(INDEX('Müşteriler'!$A$2:$A$101,SUMPRODUCT(('Müşteriler'!$B$2:$B$101&lt;&gt;"")*ISNUMBER(SEARCH('Müşteriler'!$B$2:$B$101,B805)),ROW('Müşteriler'!$B$2:$B$101)-ROW('Müşteriler'!$B$2)+1)),""),""))</ns0:f>
        <ns0:v/>
      </ns0:c>
      <ns0:c r="G805" s="28" t="str">
        <ns0:f>IF(F805="","",IFERROR(INDEX('Müşteriler'!$C$2:$C$101,MATCH(F805,'Müşteriler'!$A$2:$A$101,0)),""))</ns0:f>
        <ns0:v/>
      </ns0:c>
      <ns0:c r="H805" s="28" t="str">
        <ns0:f>IF(A805="","",IF(C805&lt;=0,"Satış dışı",IF(OR(F805="",G805=""),"Eşleşmedi","Eşleşti")))</ns0:f>
        <ns0:v/>
      </ns0:c>
      <ns0:c r="I805" s="28">
        <ns0:f>I804+IF(AND(H805="Eşleşmedi",E805='Panel'!$B$4),1,0)</ns0:f>
        <ns0:v>3.0</ns0:v>
      </ns0:c>
    </ns0:row>
    <ns0:row r="806" ht="21" customHeight="1">
      <ns0:c r="A806" s="25" t="n"/>
      <ns0:c r="B806" s="26" t="n"/>
      <ns0:c r="C806" s="27" t="n"/>
      <ns0:c r="D806" s="27" t="n"/>
      <ns0:c r="E806" s="28" t="str">
        <ns0:f>IF(A806="","",YEAR(A806)&amp;"-"&amp;RIGHT("0"&amp;MONTH(A806),2))</ns0:f>
        <ns0:v/>
      </ns0:c>
      <ns0:c r="F806" s="28" t="str">
        <ns0:f>IF(OR(A806="",B806="",C806&lt;=0),"",IF(SUMPRODUCT(('Müşteriler'!$B$2:$B$101&lt;&gt;"")*ISNUMBER(SEARCH('Müşteriler'!$B$2:$B$101,B806)))=1,IFERROR(INDEX('Müşteriler'!$A$2:$A$101,SUMPRODUCT(('Müşteriler'!$B$2:$B$101&lt;&gt;"")*ISNUMBER(SEARCH('Müşteriler'!$B$2:$B$101,B806)),ROW('Müşteriler'!$B$2:$B$101)-ROW('Müşteriler'!$B$2)+1)),""),""))</ns0:f>
        <ns0:v/>
      </ns0:c>
      <ns0:c r="G806" s="28" t="str">
        <ns0:f>IF(F806="","",IFERROR(INDEX('Müşteriler'!$C$2:$C$101,MATCH(F806,'Müşteriler'!$A$2:$A$101,0)),""))</ns0:f>
        <ns0:v/>
      </ns0:c>
      <ns0:c r="H806" s="28" t="str">
        <ns0:f>IF(A806="","",IF(C806&lt;=0,"Satış dışı",IF(OR(F806="",G806=""),"Eşleşmedi","Eşleşti")))</ns0:f>
        <ns0:v/>
      </ns0:c>
      <ns0:c r="I806" s="28">
        <ns0:f>I805+IF(AND(H806="Eşleşmedi",E806='Panel'!$B$4),1,0)</ns0:f>
        <ns0:v>3.0</ns0:v>
      </ns0:c>
    </ns0:row>
    <ns0:row r="807" ht="21" customHeight="1">
      <ns0:c r="A807" s="25" t="n"/>
      <ns0:c r="B807" s="26" t="n"/>
      <ns0:c r="C807" s="27" t="n"/>
      <ns0:c r="D807" s="27" t="n"/>
      <ns0:c r="E807" s="28" t="str">
        <ns0:f>IF(A807="","",YEAR(A807)&amp;"-"&amp;RIGHT("0"&amp;MONTH(A807),2))</ns0:f>
        <ns0:v/>
      </ns0:c>
      <ns0:c r="F807" s="28" t="str">
        <ns0:f>IF(OR(A807="",B807="",C807&lt;=0),"",IF(SUMPRODUCT(('Müşteriler'!$B$2:$B$101&lt;&gt;"")*ISNUMBER(SEARCH('Müşteriler'!$B$2:$B$101,B807)))=1,IFERROR(INDEX('Müşteriler'!$A$2:$A$101,SUMPRODUCT(('Müşteriler'!$B$2:$B$101&lt;&gt;"")*ISNUMBER(SEARCH('Müşteriler'!$B$2:$B$101,B807)),ROW('Müşteriler'!$B$2:$B$101)-ROW('Müşteriler'!$B$2)+1)),""),""))</ns0:f>
        <ns0:v/>
      </ns0:c>
      <ns0:c r="G807" s="28" t="str">
        <ns0:f>IF(F807="","",IFERROR(INDEX('Müşteriler'!$C$2:$C$101,MATCH(F807,'Müşteriler'!$A$2:$A$101,0)),""))</ns0:f>
        <ns0:v/>
      </ns0:c>
      <ns0:c r="H807" s="28" t="str">
        <ns0:f>IF(A807="","",IF(C807&lt;=0,"Satış dışı",IF(OR(F807="",G807=""),"Eşleşmedi","Eşleşti")))</ns0:f>
        <ns0:v/>
      </ns0:c>
      <ns0:c r="I807" s="28">
        <ns0:f>I806+IF(AND(H807="Eşleşmedi",E807='Panel'!$B$4),1,0)</ns0:f>
        <ns0:v>3.0</ns0:v>
      </ns0:c>
    </ns0:row>
    <ns0:row r="808" ht="21" customHeight="1">
      <ns0:c r="A808" s="25" t="n"/>
      <ns0:c r="B808" s="26" t="n"/>
      <ns0:c r="C808" s="27" t="n"/>
      <ns0:c r="D808" s="27" t="n"/>
      <ns0:c r="E808" s="28" t="str">
        <ns0:f>IF(A808="","",YEAR(A808)&amp;"-"&amp;RIGHT("0"&amp;MONTH(A808),2))</ns0:f>
        <ns0:v/>
      </ns0:c>
      <ns0:c r="F808" s="28" t="str">
        <ns0:f>IF(OR(A808="",B808="",C808&lt;=0),"",IF(SUMPRODUCT(('Müşteriler'!$B$2:$B$101&lt;&gt;"")*ISNUMBER(SEARCH('Müşteriler'!$B$2:$B$101,B808)))=1,IFERROR(INDEX('Müşteriler'!$A$2:$A$101,SUMPRODUCT(('Müşteriler'!$B$2:$B$101&lt;&gt;"")*ISNUMBER(SEARCH('Müşteriler'!$B$2:$B$101,B808)),ROW('Müşteriler'!$B$2:$B$101)-ROW('Müşteriler'!$B$2)+1)),""),""))</ns0:f>
        <ns0:v/>
      </ns0:c>
      <ns0:c r="G808" s="28" t="str">
        <ns0:f>IF(F808="","",IFERROR(INDEX('Müşteriler'!$C$2:$C$101,MATCH(F808,'Müşteriler'!$A$2:$A$101,0)),""))</ns0:f>
        <ns0:v/>
      </ns0:c>
      <ns0:c r="H808" s="28" t="str">
        <ns0:f>IF(A808="","",IF(C808&lt;=0,"Satış dışı",IF(OR(F808="",G808=""),"Eşleşmedi","Eşleşti")))</ns0:f>
        <ns0:v/>
      </ns0:c>
      <ns0:c r="I808" s="28">
        <ns0:f>I807+IF(AND(H808="Eşleşmedi",E808='Panel'!$B$4),1,0)</ns0:f>
        <ns0:v>3.0</ns0:v>
      </ns0:c>
    </ns0:row>
    <ns0:row r="809" ht="21" customHeight="1">
      <ns0:c r="A809" s="25" t="n"/>
      <ns0:c r="B809" s="26" t="n"/>
      <ns0:c r="C809" s="27" t="n"/>
      <ns0:c r="D809" s="27" t="n"/>
      <ns0:c r="E809" s="28" t="str">
        <ns0:f>IF(A809="","",YEAR(A809)&amp;"-"&amp;RIGHT("0"&amp;MONTH(A809),2))</ns0:f>
        <ns0:v/>
      </ns0:c>
      <ns0:c r="F809" s="28" t="str">
        <ns0:f>IF(OR(A809="",B809="",C809&lt;=0),"",IF(SUMPRODUCT(('Müşteriler'!$B$2:$B$101&lt;&gt;"")*ISNUMBER(SEARCH('Müşteriler'!$B$2:$B$101,B809)))=1,IFERROR(INDEX('Müşteriler'!$A$2:$A$101,SUMPRODUCT(('Müşteriler'!$B$2:$B$101&lt;&gt;"")*ISNUMBER(SEARCH('Müşteriler'!$B$2:$B$101,B809)),ROW('Müşteriler'!$B$2:$B$101)-ROW('Müşteriler'!$B$2)+1)),""),""))</ns0:f>
        <ns0:v/>
      </ns0:c>
      <ns0:c r="G809" s="28" t="str">
        <ns0:f>IF(F809="","",IFERROR(INDEX('Müşteriler'!$C$2:$C$101,MATCH(F809,'Müşteriler'!$A$2:$A$101,0)),""))</ns0:f>
        <ns0:v/>
      </ns0:c>
      <ns0:c r="H809" s="28" t="str">
        <ns0:f>IF(A809="","",IF(C809&lt;=0,"Satış dışı",IF(OR(F809="",G809=""),"Eşleşmedi","Eşleşti")))</ns0:f>
        <ns0:v/>
      </ns0:c>
      <ns0:c r="I809" s="28">
        <ns0:f>I808+IF(AND(H809="Eşleşmedi",E809='Panel'!$B$4),1,0)</ns0:f>
        <ns0:v>3.0</ns0:v>
      </ns0:c>
    </ns0:row>
    <ns0:row r="810" ht="21" customHeight="1">
      <ns0:c r="A810" s="25" t="n"/>
      <ns0:c r="B810" s="26" t="n"/>
      <ns0:c r="C810" s="27" t="n"/>
      <ns0:c r="D810" s="27" t="n"/>
      <ns0:c r="E810" s="28" t="str">
        <ns0:f>IF(A810="","",YEAR(A810)&amp;"-"&amp;RIGHT("0"&amp;MONTH(A810),2))</ns0:f>
        <ns0:v/>
      </ns0:c>
      <ns0:c r="F810" s="28" t="str">
        <ns0:f>IF(OR(A810="",B810="",C810&lt;=0),"",IF(SUMPRODUCT(('Müşteriler'!$B$2:$B$101&lt;&gt;"")*ISNUMBER(SEARCH('Müşteriler'!$B$2:$B$101,B810)))=1,IFERROR(INDEX('Müşteriler'!$A$2:$A$101,SUMPRODUCT(('Müşteriler'!$B$2:$B$101&lt;&gt;"")*ISNUMBER(SEARCH('Müşteriler'!$B$2:$B$101,B810)),ROW('Müşteriler'!$B$2:$B$101)-ROW('Müşteriler'!$B$2)+1)),""),""))</ns0:f>
        <ns0:v/>
      </ns0:c>
      <ns0:c r="G810" s="28" t="str">
        <ns0:f>IF(F810="","",IFERROR(INDEX('Müşteriler'!$C$2:$C$101,MATCH(F810,'Müşteriler'!$A$2:$A$101,0)),""))</ns0:f>
        <ns0:v/>
      </ns0:c>
      <ns0:c r="H810" s="28" t="str">
        <ns0:f>IF(A810="","",IF(C810&lt;=0,"Satış dışı",IF(OR(F810="",G810=""),"Eşleşmedi","Eşleşti")))</ns0:f>
        <ns0:v/>
      </ns0:c>
      <ns0:c r="I810" s="28">
        <ns0:f>I809+IF(AND(H810="Eşleşmedi",E810='Panel'!$B$4),1,0)</ns0:f>
        <ns0:v>3.0</ns0:v>
      </ns0:c>
    </ns0:row>
    <ns0:row r="811" ht="21" customHeight="1">
      <ns0:c r="A811" s="25" t="n"/>
      <ns0:c r="B811" s="26" t="n"/>
      <ns0:c r="C811" s="27" t="n"/>
      <ns0:c r="D811" s="27" t="n"/>
      <ns0:c r="E811" s="28" t="str">
        <ns0:f>IF(A811="","",YEAR(A811)&amp;"-"&amp;RIGHT("0"&amp;MONTH(A811),2))</ns0:f>
        <ns0:v/>
      </ns0:c>
      <ns0:c r="F811" s="28" t="str">
        <ns0:f>IF(OR(A811="",B811="",C811&lt;=0),"",IF(SUMPRODUCT(('Müşteriler'!$B$2:$B$101&lt;&gt;"")*ISNUMBER(SEARCH('Müşteriler'!$B$2:$B$101,B811)))=1,IFERROR(INDEX('Müşteriler'!$A$2:$A$101,SUMPRODUCT(('Müşteriler'!$B$2:$B$101&lt;&gt;"")*ISNUMBER(SEARCH('Müşteriler'!$B$2:$B$101,B811)),ROW('Müşteriler'!$B$2:$B$101)-ROW('Müşteriler'!$B$2)+1)),""),""))</ns0:f>
        <ns0:v/>
      </ns0:c>
      <ns0:c r="G811" s="28" t="str">
        <ns0:f>IF(F811="","",IFERROR(INDEX('Müşteriler'!$C$2:$C$101,MATCH(F811,'Müşteriler'!$A$2:$A$101,0)),""))</ns0:f>
        <ns0:v/>
      </ns0:c>
      <ns0:c r="H811" s="28" t="str">
        <ns0:f>IF(A811="","",IF(C811&lt;=0,"Satış dışı",IF(OR(F811="",G811=""),"Eşleşmedi","Eşleşti")))</ns0:f>
        <ns0:v/>
      </ns0:c>
      <ns0:c r="I811" s="28">
        <ns0:f>I810+IF(AND(H811="Eşleşmedi",E811='Panel'!$B$4),1,0)</ns0:f>
        <ns0:v>3.0</ns0:v>
      </ns0:c>
    </ns0:row>
    <ns0:row r="812" ht="21" customHeight="1">
      <ns0:c r="A812" s="25" t="n"/>
      <ns0:c r="B812" s="26" t="n"/>
      <ns0:c r="C812" s="27" t="n"/>
      <ns0:c r="D812" s="27" t="n"/>
      <ns0:c r="E812" s="28" t="str">
        <ns0:f>IF(A812="","",YEAR(A812)&amp;"-"&amp;RIGHT("0"&amp;MONTH(A812),2))</ns0:f>
        <ns0:v/>
      </ns0:c>
      <ns0:c r="F812" s="28" t="str">
        <ns0:f>IF(OR(A812="",B812="",C812&lt;=0),"",IF(SUMPRODUCT(('Müşteriler'!$B$2:$B$101&lt;&gt;"")*ISNUMBER(SEARCH('Müşteriler'!$B$2:$B$101,B812)))=1,IFERROR(INDEX('Müşteriler'!$A$2:$A$101,SUMPRODUCT(('Müşteriler'!$B$2:$B$101&lt;&gt;"")*ISNUMBER(SEARCH('Müşteriler'!$B$2:$B$101,B812)),ROW('Müşteriler'!$B$2:$B$101)-ROW('Müşteriler'!$B$2)+1)),""),""))</ns0:f>
        <ns0:v/>
      </ns0:c>
      <ns0:c r="G812" s="28" t="str">
        <ns0:f>IF(F812="","",IFERROR(INDEX('Müşteriler'!$C$2:$C$101,MATCH(F812,'Müşteriler'!$A$2:$A$101,0)),""))</ns0:f>
        <ns0:v/>
      </ns0:c>
      <ns0:c r="H812" s="28" t="str">
        <ns0:f>IF(A812="","",IF(C812&lt;=0,"Satış dışı",IF(OR(F812="",G812=""),"Eşleşmedi","Eşleşti")))</ns0:f>
        <ns0:v/>
      </ns0:c>
      <ns0:c r="I812" s="28">
        <ns0:f>I811+IF(AND(H812="Eşleşmedi",E812='Panel'!$B$4),1,0)</ns0:f>
        <ns0:v>3.0</ns0:v>
      </ns0:c>
    </ns0:row>
    <ns0:row r="813" ht="21" customHeight="1">
      <ns0:c r="A813" s="25" t="n"/>
      <ns0:c r="B813" s="26" t="n"/>
      <ns0:c r="C813" s="27" t="n"/>
      <ns0:c r="D813" s="27" t="n"/>
      <ns0:c r="E813" s="28" t="str">
        <ns0:f>IF(A813="","",YEAR(A813)&amp;"-"&amp;RIGHT("0"&amp;MONTH(A813),2))</ns0:f>
        <ns0:v/>
      </ns0:c>
      <ns0:c r="F813" s="28" t="str">
        <ns0:f>IF(OR(A813="",B813="",C813&lt;=0),"",IF(SUMPRODUCT(('Müşteriler'!$B$2:$B$101&lt;&gt;"")*ISNUMBER(SEARCH('Müşteriler'!$B$2:$B$101,B813)))=1,IFERROR(INDEX('Müşteriler'!$A$2:$A$101,SUMPRODUCT(('Müşteriler'!$B$2:$B$101&lt;&gt;"")*ISNUMBER(SEARCH('Müşteriler'!$B$2:$B$101,B813)),ROW('Müşteriler'!$B$2:$B$101)-ROW('Müşteriler'!$B$2)+1)),""),""))</ns0:f>
        <ns0:v/>
      </ns0:c>
      <ns0:c r="G813" s="28" t="str">
        <ns0:f>IF(F813="","",IFERROR(INDEX('Müşteriler'!$C$2:$C$101,MATCH(F813,'Müşteriler'!$A$2:$A$101,0)),""))</ns0:f>
        <ns0:v/>
      </ns0:c>
      <ns0:c r="H813" s="28" t="str">
        <ns0:f>IF(A813="","",IF(C813&lt;=0,"Satış dışı",IF(OR(F813="",G813=""),"Eşleşmedi","Eşleşti")))</ns0:f>
        <ns0:v/>
      </ns0:c>
      <ns0:c r="I813" s="28">
        <ns0:f>I812+IF(AND(H813="Eşleşmedi",E813='Panel'!$B$4),1,0)</ns0:f>
        <ns0:v>3.0</ns0:v>
      </ns0:c>
    </ns0:row>
    <ns0:row r="814" ht="21" customHeight="1">
      <ns0:c r="A814" s="25" t="n"/>
      <ns0:c r="B814" s="26" t="n"/>
      <ns0:c r="C814" s="27" t="n"/>
      <ns0:c r="D814" s="27" t="n"/>
      <ns0:c r="E814" s="28" t="str">
        <ns0:f>IF(A814="","",YEAR(A814)&amp;"-"&amp;RIGHT("0"&amp;MONTH(A814),2))</ns0:f>
        <ns0:v/>
      </ns0:c>
      <ns0:c r="F814" s="28" t="str">
        <ns0:f>IF(OR(A814="",B814="",C814&lt;=0),"",IF(SUMPRODUCT(('Müşteriler'!$B$2:$B$101&lt;&gt;"")*ISNUMBER(SEARCH('Müşteriler'!$B$2:$B$101,B814)))=1,IFERROR(INDEX('Müşteriler'!$A$2:$A$101,SUMPRODUCT(('Müşteriler'!$B$2:$B$101&lt;&gt;"")*ISNUMBER(SEARCH('Müşteriler'!$B$2:$B$101,B814)),ROW('Müşteriler'!$B$2:$B$101)-ROW('Müşteriler'!$B$2)+1)),""),""))</ns0:f>
        <ns0:v/>
      </ns0:c>
      <ns0:c r="G814" s="28" t="str">
        <ns0:f>IF(F814="","",IFERROR(INDEX('Müşteriler'!$C$2:$C$101,MATCH(F814,'Müşteriler'!$A$2:$A$101,0)),""))</ns0:f>
        <ns0:v/>
      </ns0:c>
      <ns0:c r="H814" s="28" t="str">
        <ns0:f>IF(A814="","",IF(C814&lt;=0,"Satış dışı",IF(OR(F814="",G814=""),"Eşleşmedi","Eşleşti")))</ns0:f>
        <ns0:v/>
      </ns0:c>
      <ns0:c r="I814" s="28">
        <ns0:f>I813+IF(AND(H814="Eşleşmedi",E814='Panel'!$B$4),1,0)</ns0:f>
        <ns0:v>3.0</ns0:v>
      </ns0:c>
    </ns0:row>
    <ns0:row r="815" ht="21" customHeight="1">
      <ns0:c r="A815" s="25" t="n"/>
      <ns0:c r="B815" s="26" t="n"/>
      <ns0:c r="C815" s="27" t="n"/>
      <ns0:c r="D815" s="27" t="n"/>
      <ns0:c r="E815" s="28" t="str">
        <ns0:f>IF(A815="","",YEAR(A815)&amp;"-"&amp;RIGHT("0"&amp;MONTH(A815),2))</ns0:f>
        <ns0:v/>
      </ns0:c>
      <ns0:c r="F815" s="28" t="str">
        <ns0:f>IF(OR(A815="",B815="",C815&lt;=0),"",IF(SUMPRODUCT(('Müşteriler'!$B$2:$B$101&lt;&gt;"")*ISNUMBER(SEARCH('Müşteriler'!$B$2:$B$101,B815)))=1,IFERROR(INDEX('Müşteriler'!$A$2:$A$101,SUMPRODUCT(('Müşteriler'!$B$2:$B$101&lt;&gt;"")*ISNUMBER(SEARCH('Müşteriler'!$B$2:$B$101,B815)),ROW('Müşteriler'!$B$2:$B$101)-ROW('Müşteriler'!$B$2)+1)),""),""))</ns0:f>
        <ns0:v/>
      </ns0:c>
      <ns0:c r="G815" s="28" t="str">
        <ns0:f>IF(F815="","",IFERROR(INDEX('Müşteriler'!$C$2:$C$101,MATCH(F815,'Müşteriler'!$A$2:$A$101,0)),""))</ns0:f>
        <ns0:v/>
      </ns0:c>
      <ns0:c r="H815" s="28" t="str">
        <ns0:f>IF(A815="","",IF(C815&lt;=0,"Satış dışı",IF(OR(F815="",G815=""),"Eşleşmedi","Eşleşti")))</ns0:f>
        <ns0:v/>
      </ns0:c>
      <ns0:c r="I815" s="28">
        <ns0:f>I814+IF(AND(H815="Eşleşmedi",E815='Panel'!$B$4),1,0)</ns0:f>
        <ns0:v>3.0</ns0:v>
      </ns0:c>
    </ns0:row>
    <ns0:row r="816" ht="21" customHeight="1">
      <ns0:c r="A816" s="25" t="n"/>
      <ns0:c r="B816" s="26" t="n"/>
      <ns0:c r="C816" s="27" t="n"/>
      <ns0:c r="D816" s="27" t="n"/>
      <ns0:c r="E816" s="28" t="str">
        <ns0:f>IF(A816="","",YEAR(A816)&amp;"-"&amp;RIGHT("0"&amp;MONTH(A816),2))</ns0:f>
        <ns0:v/>
      </ns0:c>
      <ns0:c r="F816" s="28" t="str">
        <ns0:f>IF(OR(A816="",B816="",C816&lt;=0),"",IF(SUMPRODUCT(('Müşteriler'!$B$2:$B$101&lt;&gt;"")*ISNUMBER(SEARCH('Müşteriler'!$B$2:$B$101,B816)))=1,IFERROR(INDEX('Müşteriler'!$A$2:$A$101,SUMPRODUCT(('Müşteriler'!$B$2:$B$101&lt;&gt;"")*ISNUMBER(SEARCH('Müşteriler'!$B$2:$B$101,B816)),ROW('Müşteriler'!$B$2:$B$101)-ROW('Müşteriler'!$B$2)+1)),""),""))</ns0:f>
        <ns0:v/>
      </ns0:c>
      <ns0:c r="G816" s="28" t="str">
        <ns0:f>IF(F816="","",IFERROR(INDEX('Müşteriler'!$C$2:$C$101,MATCH(F816,'Müşteriler'!$A$2:$A$101,0)),""))</ns0:f>
        <ns0:v/>
      </ns0:c>
      <ns0:c r="H816" s="28" t="str">
        <ns0:f>IF(A816="","",IF(C816&lt;=0,"Satış dışı",IF(OR(F816="",G816=""),"Eşleşmedi","Eşleşti")))</ns0:f>
        <ns0:v/>
      </ns0:c>
      <ns0:c r="I816" s="28">
        <ns0:f>I815+IF(AND(H816="Eşleşmedi",E816='Panel'!$B$4),1,0)</ns0:f>
        <ns0:v>3.0</ns0:v>
      </ns0:c>
    </ns0:row>
    <ns0:row r="817" ht="21" customHeight="1">
      <ns0:c r="A817" s="25" t="n"/>
      <ns0:c r="B817" s="26" t="n"/>
      <ns0:c r="C817" s="27" t="n"/>
      <ns0:c r="D817" s="27" t="n"/>
      <ns0:c r="E817" s="28" t="str">
        <ns0:f>IF(A817="","",YEAR(A817)&amp;"-"&amp;RIGHT("0"&amp;MONTH(A817),2))</ns0:f>
        <ns0:v/>
      </ns0:c>
      <ns0:c r="F817" s="28" t="str">
        <ns0:f>IF(OR(A817="",B817="",C817&lt;=0),"",IF(SUMPRODUCT(('Müşteriler'!$B$2:$B$101&lt;&gt;"")*ISNUMBER(SEARCH('Müşteriler'!$B$2:$B$101,B817)))=1,IFERROR(INDEX('Müşteriler'!$A$2:$A$101,SUMPRODUCT(('Müşteriler'!$B$2:$B$101&lt;&gt;"")*ISNUMBER(SEARCH('Müşteriler'!$B$2:$B$101,B817)),ROW('Müşteriler'!$B$2:$B$101)-ROW('Müşteriler'!$B$2)+1)),""),""))</ns0:f>
        <ns0:v/>
      </ns0:c>
      <ns0:c r="G817" s="28" t="str">
        <ns0:f>IF(F817="","",IFERROR(INDEX('Müşteriler'!$C$2:$C$101,MATCH(F817,'Müşteriler'!$A$2:$A$101,0)),""))</ns0:f>
        <ns0:v/>
      </ns0:c>
      <ns0:c r="H817" s="28" t="str">
        <ns0:f>IF(A817="","",IF(C817&lt;=0,"Satış dışı",IF(OR(F817="",G817=""),"Eşleşmedi","Eşleşti")))</ns0:f>
        <ns0:v/>
      </ns0:c>
      <ns0:c r="I817" s="28">
        <ns0:f>I816+IF(AND(H817="Eşleşmedi",E817='Panel'!$B$4),1,0)</ns0:f>
        <ns0:v>3.0</ns0:v>
      </ns0:c>
    </ns0:row>
    <ns0:row r="818" ht="21" customHeight="1">
      <ns0:c r="A818" s="25" t="n"/>
      <ns0:c r="B818" s="26" t="n"/>
      <ns0:c r="C818" s="27" t="n"/>
      <ns0:c r="D818" s="27" t="n"/>
      <ns0:c r="E818" s="28" t="str">
        <ns0:f>IF(A818="","",YEAR(A818)&amp;"-"&amp;RIGHT("0"&amp;MONTH(A818),2))</ns0:f>
        <ns0:v/>
      </ns0:c>
      <ns0:c r="F818" s="28" t="str">
        <ns0:f>IF(OR(A818="",B818="",C818&lt;=0),"",IF(SUMPRODUCT(('Müşteriler'!$B$2:$B$101&lt;&gt;"")*ISNUMBER(SEARCH('Müşteriler'!$B$2:$B$101,B818)))=1,IFERROR(INDEX('Müşteriler'!$A$2:$A$101,SUMPRODUCT(('Müşteriler'!$B$2:$B$101&lt;&gt;"")*ISNUMBER(SEARCH('Müşteriler'!$B$2:$B$101,B818)),ROW('Müşteriler'!$B$2:$B$101)-ROW('Müşteriler'!$B$2)+1)),""),""))</ns0:f>
        <ns0:v/>
      </ns0:c>
      <ns0:c r="G818" s="28" t="str">
        <ns0:f>IF(F818="","",IFERROR(INDEX('Müşteriler'!$C$2:$C$101,MATCH(F818,'Müşteriler'!$A$2:$A$101,0)),""))</ns0:f>
        <ns0:v/>
      </ns0:c>
      <ns0:c r="H818" s="28" t="str">
        <ns0:f>IF(A818="","",IF(C818&lt;=0,"Satış dışı",IF(OR(F818="",G818=""),"Eşleşmedi","Eşleşti")))</ns0:f>
        <ns0:v/>
      </ns0:c>
      <ns0:c r="I818" s="28">
        <ns0:f>I817+IF(AND(H818="Eşleşmedi",E818='Panel'!$B$4),1,0)</ns0:f>
        <ns0:v>3.0</ns0:v>
      </ns0:c>
    </ns0:row>
    <ns0:row r="819" ht="21" customHeight="1">
      <ns0:c r="A819" s="25" t="n"/>
      <ns0:c r="B819" s="26" t="n"/>
      <ns0:c r="C819" s="27" t="n"/>
      <ns0:c r="D819" s="27" t="n"/>
      <ns0:c r="E819" s="28" t="str">
        <ns0:f>IF(A819="","",YEAR(A819)&amp;"-"&amp;RIGHT("0"&amp;MONTH(A819),2))</ns0:f>
        <ns0:v/>
      </ns0:c>
      <ns0:c r="F819" s="28" t="str">
        <ns0:f>IF(OR(A819="",B819="",C819&lt;=0),"",IF(SUMPRODUCT(('Müşteriler'!$B$2:$B$101&lt;&gt;"")*ISNUMBER(SEARCH('Müşteriler'!$B$2:$B$101,B819)))=1,IFERROR(INDEX('Müşteriler'!$A$2:$A$101,SUMPRODUCT(('Müşteriler'!$B$2:$B$101&lt;&gt;"")*ISNUMBER(SEARCH('Müşteriler'!$B$2:$B$101,B819)),ROW('Müşteriler'!$B$2:$B$101)-ROW('Müşteriler'!$B$2)+1)),""),""))</ns0:f>
        <ns0:v/>
      </ns0:c>
      <ns0:c r="G819" s="28" t="str">
        <ns0:f>IF(F819="","",IFERROR(INDEX('Müşteriler'!$C$2:$C$101,MATCH(F819,'Müşteriler'!$A$2:$A$101,0)),""))</ns0:f>
        <ns0:v/>
      </ns0:c>
      <ns0:c r="H819" s="28" t="str">
        <ns0:f>IF(A819="","",IF(C819&lt;=0,"Satış dışı",IF(OR(F819="",G819=""),"Eşleşmedi","Eşleşti")))</ns0:f>
        <ns0:v/>
      </ns0:c>
      <ns0:c r="I819" s="28">
        <ns0:f>I818+IF(AND(H819="Eşleşmedi",E819='Panel'!$B$4),1,0)</ns0:f>
        <ns0:v>3.0</ns0:v>
      </ns0:c>
    </ns0:row>
    <ns0:row r="820" ht="21" customHeight="1">
      <ns0:c r="A820" s="25" t="n"/>
      <ns0:c r="B820" s="26" t="n"/>
      <ns0:c r="C820" s="27" t="n"/>
      <ns0:c r="D820" s="27" t="n"/>
      <ns0:c r="E820" s="28" t="str">
        <ns0:f>IF(A820="","",YEAR(A820)&amp;"-"&amp;RIGHT("0"&amp;MONTH(A820),2))</ns0:f>
        <ns0:v/>
      </ns0:c>
      <ns0:c r="F820" s="28" t="str">
        <ns0:f>IF(OR(A820="",B820="",C820&lt;=0),"",IF(SUMPRODUCT(('Müşteriler'!$B$2:$B$101&lt;&gt;"")*ISNUMBER(SEARCH('Müşteriler'!$B$2:$B$101,B820)))=1,IFERROR(INDEX('Müşteriler'!$A$2:$A$101,SUMPRODUCT(('Müşteriler'!$B$2:$B$101&lt;&gt;"")*ISNUMBER(SEARCH('Müşteriler'!$B$2:$B$101,B820)),ROW('Müşteriler'!$B$2:$B$101)-ROW('Müşteriler'!$B$2)+1)),""),""))</ns0:f>
        <ns0:v/>
      </ns0:c>
      <ns0:c r="G820" s="28" t="str">
        <ns0:f>IF(F820="","",IFERROR(INDEX('Müşteriler'!$C$2:$C$101,MATCH(F820,'Müşteriler'!$A$2:$A$101,0)),""))</ns0:f>
        <ns0:v/>
      </ns0:c>
      <ns0:c r="H820" s="28" t="str">
        <ns0:f>IF(A820="","",IF(C820&lt;=0,"Satış dışı",IF(OR(F820="",G820=""),"Eşleşmedi","Eşleşti")))</ns0:f>
        <ns0:v/>
      </ns0:c>
      <ns0:c r="I820" s="28">
        <ns0:f>I819+IF(AND(H820="Eşleşmedi",E820='Panel'!$B$4),1,0)</ns0:f>
        <ns0:v>3.0</ns0:v>
      </ns0:c>
    </ns0:row>
    <ns0:row r="821" ht="21" customHeight="1">
      <ns0:c r="A821" s="25" t="n"/>
      <ns0:c r="B821" s="26" t="n"/>
      <ns0:c r="C821" s="27" t="n"/>
      <ns0:c r="D821" s="27" t="n"/>
      <ns0:c r="E821" s="28" t="str">
        <ns0:f>IF(A821="","",YEAR(A821)&amp;"-"&amp;RIGHT("0"&amp;MONTH(A821),2))</ns0:f>
        <ns0:v/>
      </ns0:c>
      <ns0:c r="F821" s="28" t="str">
        <ns0:f>IF(OR(A821="",B821="",C821&lt;=0),"",IF(SUMPRODUCT(('Müşteriler'!$B$2:$B$101&lt;&gt;"")*ISNUMBER(SEARCH('Müşteriler'!$B$2:$B$101,B821)))=1,IFERROR(INDEX('Müşteriler'!$A$2:$A$101,SUMPRODUCT(('Müşteriler'!$B$2:$B$101&lt;&gt;"")*ISNUMBER(SEARCH('Müşteriler'!$B$2:$B$101,B821)),ROW('Müşteriler'!$B$2:$B$101)-ROW('Müşteriler'!$B$2)+1)),""),""))</ns0:f>
        <ns0:v/>
      </ns0:c>
      <ns0:c r="G821" s="28" t="str">
        <ns0:f>IF(F821="","",IFERROR(INDEX('Müşteriler'!$C$2:$C$101,MATCH(F821,'Müşteriler'!$A$2:$A$101,0)),""))</ns0:f>
        <ns0:v/>
      </ns0:c>
      <ns0:c r="H821" s="28" t="str">
        <ns0:f>IF(A821="","",IF(C821&lt;=0,"Satış dışı",IF(OR(F821="",G821=""),"Eşleşmedi","Eşleşti")))</ns0:f>
        <ns0:v/>
      </ns0:c>
      <ns0:c r="I821" s="28">
        <ns0:f>I820+IF(AND(H821="Eşleşmedi",E821='Panel'!$B$4),1,0)</ns0:f>
        <ns0:v>3.0</ns0:v>
      </ns0:c>
    </ns0:row>
    <ns0:row r="822" ht="21" customHeight="1">
      <ns0:c r="A822" s="25" t="n"/>
      <ns0:c r="B822" s="26" t="n"/>
      <ns0:c r="C822" s="27" t="n"/>
      <ns0:c r="D822" s="27" t="n"/>
      <ns0:c r="E822" s="28" t="str">
        <ns0:f>IF(A822="","",YEAR(A822)&amp;"-"&amp;RIGHT("0"&amp;MONTH(A822),2))</ns0:f>
        <ns0:v/>
      </ns0:c>
      <ns0:c r="F822" s="28" t="str">
        <ns0:f>IF(OR(A822="",B822="",C822&lt;=0),"",IF(SUMPRODUCT(('Müşteriler'!$B$2:$B$101&lt;&gt;"")*ISNUMBER(SEARCH('Müşteriler'!$B$2:$B$101,B822)))=1,IFERROR(INDEX('Müşteriler'!$A$2:$A$101,SUMPRODUCT(('Müşteriler'!$B$2:$B$101&lt;&gt;"")*ISNUMBER(SEARCH('Müşteriler'!$B$2:$B$101,B822)),ROW('Müşteriler'!$B$2:$B$101)-ROW('Müşteriler'!$B$2)+1)),""),""))</ns0:f>
        <ns0:v/>
      </ns0:c>
      <ns0:c r="G822" s="28" t="str">
        <ns0:f>IF(F822="","",IFERROR(INDEX('Müşteriler'!$C$2:$C$101,MATCH(F822,'Müşteriler'!$A$2:$A$101,0)),""))</ns0:f>
        <ns0:v/>
      </ns0:c>
      <ns0:c r="H822" s="28" t="str">
        <ns0:f>IF(A822="","",IF(C822&lt;=0,"Satış dışı",IF(OR(F822="",G822=""),"Eşleşmedi","Eşleşti")))</ns0:f>
        <ns0:v/>
      </ns0:c>
      <ns0:c r="I822" s="28">
        <ns0:f>I821+IF(AND(H822="Eşleşmedi",E822='Panel'!$B$4),1,0)</ns0:f>
        <ns0:v>3.0</ns0:v>
      </ns0:c>
    </ns0:row>
    <ns0:row r="823" ht="21" customHeight="1">
      <ns0:c r="A823" s="25" t="n"/>
      <ns0:c r="B823" s="26" t="n"/>
      <ns0:c r="C823" s="27" t="n"/>
      <ns0:c r="D823" s="27" t="n"/>
      <ns0:c r="E823" s="28" t="str">
        <ns0:f>IF(A823="","",YEAR(A823)&amp;"-"&amp;RIGHT("0"&amp;MONTH(A823),2))</ns0:f>
        <ns0:v/>
      </ns0:c>
      <ns0:c r="F823" s="28" t="str">
        <ns0:f>IF(OR(A823="",B823="",C823&lt;=0),"",IF(SUMPRODUCT(('Müşteriler'!$B$2:$B$101&lt;&gt;"")*ISNUMBER(SEARCH('Müşteriler'!$B$2:$B$101,B823)))=1,IFERROR(INDEX('Müşteriler'!$A$2:$A$101,SUMPRODUCT(('Müşteriler'!$B$2:$B$101&lt;&gt;"")*ISNUMBER(SEARCH('Müşteriler'!$B$2:$B$101,B823)),ROW('Müşteriler'!$B$2:$B$101)-ROW('Müşteriler'!$B$2)+1)),""),""))</ns0:f>
        <ns0:v/>
      </ns0:c>
      <ns0:c r="G823" s="28" t="str">
        <ns0:f>IF(F823="","",IFERROR(INDEX('Müşteriler'!$C$2:$C$101,MATCH(F823,'Müşteriler'!$A$2:$A$101,0)),""))</ns0:f>
        <ns0:v/>
      </ns0:c>
      <ns0:c r="H823" s="28" t="str">
        <ns0:f>IF(A823="","",IF(C823&lt;=0,"Satış dışı",IF(OR(F823="",G823=""),"Eşleşmedi","Eşleşti")))</ns0:f>
        <ns0:v/>
      </ns0:c>
      <ns0:c r="I823" s="28">
        <ns0:f>I822+IF(AND(H823="Eşleşmedi",E823='Panel'!$B$4),1,0)</ns0:f>
        <ns0:v>3.0</ns0:v>
      </ns0:c>
    </ns0:row>
    <ns0:row r="824" ht="21" customHeight="1">
      <ns0:c r="A824" s="25" t="n"/>
      <ns0:c r="B824" s="26" t="n"/>
      <ns0:c r="C824" s="27" t="n"/>
      <ns0:c r="D824" s="27" t="n"/>
      <ns0:c r="E824" s="28" t="str">
        <ns0:f>IF(A824="","",YEAR(A824)&amp;"-"&amp;RIGHT("0"&amp;MONTH(A824),2))</ns0:f>
        <ns0:v/>
      </ns0:c>
      <ns0:c r="F824" s="28" t="str">
        <ns0:f>IF(OR(A824="",B824="",C824&lt;=0),"",IF(SUMPRODUCT(('Müşteriler'!$B$2:$B$101&lt;&gt;"")*ISNUMBER(SEARCH('Müşteriler'!$B$2:$B$101,B824)))=1,IFERROR(INDEX('Müşteriler'!$A$2:$A$101,SUMPRODUCT(('Müşteriler'!$B$2:$B$101&lt;&gt;"")*ISNUMBER(SEARCH('Müşteriler'!$B$2:$B$101,B824)),ROW('Müşteriler'!$B$2:$B$101)-ROW('Müşteriler'!$B$2)+1)),""),""))</ns0:f>
        <ns0:v/>
      </ns0:c>
      <ns0:c r="G824" s="28" t="str">
        <ns0:f>IF(F824="","",IFERROR(INDEX('Müşteriler'!$C$2:$C$101,MATCH(F824,'Müşteriler'!$A$2:$A$101,0)),""))</ns0:f>
        <ns0:v/>
      </ns0:c>
      <ns0:c r="H824" s="28" t="str">
        <ns0:f>IF(A824="","",IF(C824&lt;=0,"Satış dışı",IF(OR(F824="",G824=""),"Eşleşmedi","Eşleşti")))</ns0:f>
        <ns0:v/>
      </ns0:c>
      <ns0:c r="I824" s="28">
        <ns0:f>I823+IF(AND(H824="Eşleşmedi",E824='Panel'!$B$4),1,0)</ns0:f>
        <ns0:v>3.0</ns0:v>
      </ns0:c>
    </ns0:row>
    <ns0:row r="825" ht="21" customHeight="1">
      <ns0:c r="A825" s="25" t="n"/>
      <ns0:c r="B825" s="26" t="n"/>
      <ns0:c r="C825" s="27" t="n"/>
      <ns0:c r="D825" s="27" t="n"/>
      <ns0:c r="E825" s="28" t="str">
        <ns0:f>IF(A825="","",YEAR(A825)&amp;"-"&amp;RIGHT("0"&amp;MONTH(A825),2))</ns0:f>
        <ns0:v/>
      </ns0:c>
      <ns0:c r="F825" s="28" t="str">
        <ns0:f>IF(OR(A825="",B825="",C825&lt;=0),"",IF(SUMPRODUCT(('Müşteriler'!$B$2:$B$101&lt;&gt;"")*ISNUMBER(SEARCH('Müşteriler'!$B$2:$B$101,B825)))=1,IFERROR(INDEX('Müşteriler'!$A$2:$A$101,SUMPRODUCT(('Müşteriler'!$B$2:$B$101&lt;&gt;"")*ISNUMBER(SEARCH('Müşteriler'!$B$2:$B$101,B825)),ROW('Müşteriler'!$B$2:$B$101)-ROW('Müşteriler'!$B$2)+1)),""),""))</ns0:f>
        <ns0:v/>
      </ns0:c>
      <ns0:c r="G825" s="28" t="str">
        <ns0:f>IF(F825="","",IFERROR(INDEX('Müşteriler'!$C$2:$C$101,MATCH(F825,'Müşteriler'!$A$2:$A$101,0)),""))</ns0:f>
        <ns0:v/>
      </ns0:c>
      <ns0:c r="H825" s="28" t="str">
        <ns0:f>IF(A825="","",IF(C825&lt;=0,"Satış dışı",IF(OR(F825="",G825=""),"Eşleşmedi","Eşleşti")))</ns0:f>
        <ns0:v/>
      </ns0:c>
      <ns0:c r="I825" s="28">
        <ns0:f>I824+IF(AND(H825="Eşleşmedi",E825='Panel'!$B$4),1,0)</ns0:f>
        <ns0:v>3.0</ns0:v>
      </ns0:c>
    </ns0:row>
    <ns0:row r="826" ht="21" customHeight="1">
      <ns0:c r="A826" s="25" t="n"/>
      <ns0:c r="B826" s="26" t="n"/>
      <ns0:c r="C826" s="27" t="n"/>
      <ns0:c r="D826" s="27" t="n"/>
      <ns0:c r="E826" s="28" t="str">
        <ns0:f>IF(A826="","",YEAR(A826)&amp;"-"&amp;RIGHT("0"&amp;MONTH(A826),2))</ns0:f>
        <ns0:v/>
      </ns0:c>
      <ns0:c r="F826" s="28" t="str">
        <ns0:f>IF(OR(A826="",B826="",C826&lt;=0),"",IF(SUMPRODUCT(('Müşteriler'!$B$2:$B$101&lt;&gt;"")*ISNUMBER(SEARCH('Müşteriler'!$B$2:$B$101,B826)))=1,IFERROR(INDEX('Müşteriler'!$A$2:$A$101,SUMPRODUCT(('Müşteriler'!$B$2:$B$101&lt;&gt;"")*ISNUMBER(SEARCH('Müşteriler'!$B$2:$B$101,B826)),ROW('Müşteriler'!$B$2:$B$101)-ROW('Müşteriler'!$B$2)+1)),""),""))</ns0:f>
        <ns0:v/>
      </ns0:c>
      <ns0:c r="G826" s="28" t="str">
        <ns0:f>IF(F826="","",IFERROR(INDEX('Müşteriler'!$C$2:$C$101,MATCH(F826,'Müşteriler'!$A$2:$A$101,0)),""))</ns0:f>
        <ns0:v/>
      </ns0:c>
      <ns0:c r="H826" s="28" t="str">
        <ns0:f>IF(A826="","",IF(C826&lt;=0,"Satış dışı",IF(OR(F826="",G826=""),"Eşleşmedi","Eşleşti")))</ns0:f>
        <ns0:v/>
      </ns0:c>
      <ns0:c r="I826" s="28">
        <ns0:f>I825+IF(AND(H826="Eşleşmedi",E826='Panel'!$B$4),1,0)</ns0:f>
        <ns0:v>3.0</ns0:v>
      </ns0:c>
    </ns0:row>
    <ns0:row r="827" ht="21" customHeight="1">
      <ns0:c r="A827" s="25" t="n"/>
      <ns0:c r="B827" s="26" t="n"/>
      <ns0:c r="C827" s="27" t="n"/>
      <ns0:c r="D827" s="27" t="n"/>
      <ns0:c r="E827" s="28" t="str">
        <ns0:f>IF(A827="","",YEAR(A827)&amp;"-"&amp;RIGHT("0"&amp;MONTH(A827),2))</ns0:f>
        <ns0:v/>
      </ns0:c>
      <ns0:c r="F827" s="28" t="str">
        <ns0:f>IF(OR(A827="",B827="",C827&lt;=0),"",IF(SUMPRODUCT(('Müşteriler'!$B$2:$B$101&lt;&gt;"")*ISNUMBER(SEARCH('Müşteriler'!$B$2:$B$101,B827)))=1,IFERROR(INDEX('Müşteriler'!$A$2:$A$101,SUMPRODUCT(('Müşteriler'!$B$2:$B$101&lt;&gt;"")*ISNUMBER(SEARCH('Müşteriler'!$B$2:$B$101,B827)),ROW('Müşteriler'!$B$2:$B$101)-ROW('Müşteriler'!$B$2)+1)),""),""))</ns0:f>
        <ns0:v/>
      </ns0:c>
      <ns0:c r="G827" s="28" t="str">
        <ns0:f>IF(F827="","",IFERROR(INDEX('Müşteriler'!$C$2:$C$101,MATCH(F827,'Müşteriler'!$A$2:$A$101,0)),""))</ns0:f>
        <ns0:v/>
      </ns0:c>
      <ns0:c r="H827" s="28" t="str">
        <ns0:f>IF(A827="","",IF(C827&lt;=0,"Satış dışı",IF(OR(F827="",G827=""),"Eşleşmedi","Eşleşti")))</ns0:f>
        <ns0:v/>
      </ns0:c>
      <ns0:c r="I827" s="28">
        <ns0:f>I826+IF(AND(H827="Eşleşmedi",E827='Panel'!$B$4),1,0)</ns0:f>
        <ns0:v>3.0</ns0:v>
      </ns0:c>
    </ns0:row>
    <ns0:row r="828" ht="21" customHeight="1">
      <ns0:c r="A828" s="25" t="n"/>
      <ns0:c r="B828" s="26" t="n"/>
      <ns0:c r="C828" s="27" t="n"/>
      <ns0:c r="D828" s="27" t="n"/>
      <ns0:c r="E828" s="28" t="str">
        <ns0:f>IF(A828="","",YEAR(A828)&amp;"-"&amp;RIGHT("0"&amp;MONTH(A828),2))</ns0:f>
        <ns0:v/>
      </ns0:c>
      <ns0:c r="F828" s="28" t="str">
        <ns0:f>IF(OR(A828="",B828="",C828&lt;=0),"",IF(SUMPRODUCT(('Müşteriler'!$B$2:$B$101&lt;&gt;"")*ISNUMBER(SEARCH('Müşteriler'!$B$2:$B$101,B828)))=1,IFERROR(INDEX('Müşteriler'!$A$2:$A$101,SUMPRODUCT(('Müşteriler'!$B$2:$B$101&lt;&gt;"")*ISNUMBER(SEARCH('Müşteriler'!$B$2:$B$101,B828)),ROW('Müşteriler'!$B$2:$B$101)-ROW('Müşteriler'!$B$2)+1)),""),""))</ns0:f>
        <ns0:v/>
      </ns0:c>
      <ns0:c r="G828" s="28" t="str">
        <ns0:f>IF(F828="","",IFERROR(INDEX('Müşteriler'!$C$2:$C$101,MATCH(F828,'Müşteriler'!$A$2:$A$101,0)),""))</ns0:f>
        <ns0:v/>
      </ns0:c>
      <ns0:c r="H828" s="28" t="str">
        <ns0:f>IF(A828="","",IF(C828&lt;=0,"Satış dışı",IF(OR(F828="",G828=""),"Eşleşmedi","Eşleşti")))</ns0:f>
        <ns0:v/>
      </ns0:c>
      <ns0:c r="I828" s="28">
        <ns0:f>I827+IF(AND(H828="Eşleşmedi",E828='Panel'!$B$4),1,0)</ns0:f>
        <ns0:v>3.0</ns0:v>
      </ns0:c>
    </ns0:row>
    <ns0:row r="829" ht="21" customHeight="1">
      <ns0:c r="A829" s="25" t="n"/>
      <ns0:c r="B829" s="26" t="n"/>
      <ns0:c r="C829" s="27" t="n"/>
      <ns0:c r="D829" s="27" t="n"/>
      <ns0:c r="E829" s="28" t="str">
        <ns0:f>IF(A829="","",YEAR(A829)&amp;"-"&amp;RIGHT("0"&amp;MONTH(A829),2))</ns0:f>
        <ns0:v/>
      </ns0:c>
      <ns0:c r="F829" s="28" t="str">
        <ns0:f>IF(OR(A829="",B829="",C829&lt;=0),"",IF(SUMPRODUCT(('Müşteriler'!$B$2:$B$101&lt;&gt;"")*ISNUMBER(SEARCH('Müşteriler'!$B$2:$B$101,B829)))=1,IFERROR(INDEX('Müşteriler'!$A$2:$A$101,SUMPRODUCT(('Müşteriler'!$B$2:$B$101&lt;&gt;"")*ISNUMBER(SEARCH('Müşteriler'!$B$2:$B$101,B829)),ROW('Müşteriler'!$B$2:$B$101)-ROW('Müşteriler'!$B$2)+1)),""),""))</ns0:f>
        <ns0:v/>
      </ns0:c>
      <ns0:c r="G829" s="28" t="str">
        <ns0:f>IF(F829="","",IFERROR(INDEX('Müşteriler'!$C$2:$C$101,MATCH(F829,'Müşteriler'!$A$2:$A$101,0)),""))</ns0:f>
        <ns0:v/>
      </ns0:c>
      <ns0:c r="H829" s="28" t="str">
        <ns0:f>IF(A829="","",IF(C829&lt;=0,"Satış dışı",IF(OR(F829="",G829=""),"Eşleşmedi","Eşleşti")))</ns0:f>
        <ns0:v/>
      </ns0:c>
      <ns0:c r="I829" s="28">
        <ns0:f>I828+IF(AND(H829="Eşleşmedi",E829='Panel'!$B$4),1,0)</ns0:f>
        <ns0:v>3.0</ns0:v>
      </ns0:c>
    </ns0:row>
    <ns0:row r="830" ht="21" customHeight="1">
      <ns0:c r="A830" s="25" t="n"/>
      <ns0:c r="B830" s="26" t="n"/>
      <ns0:c r="C830" s="27" t="n"/>
      <ns0:c r="D830" s="27" t="n"/>
      <ns0:c r="E830" s="28" t="str">
        <ns0:f>IF(A830="","",YEAR(A830)&amp;"-"&amp;RIGHT("0"&amp;MONTH(A830),2))</ns0:f>
        <ns0:v/>
      </ns0:c>
      <ns0:c r="F830" s="28" t="str">
        <ns0:f>IF(OR(A830="",B830="",C830&lt;=0),"",IF(SUMPRODUCT(('Müşteriler'!$B$2:$B$101&lt;&gt;"")*ISNUMBER(SEARCH('Müşteriler'!$B$2:$B$101,B830)))=1,IFERROR(INDEX('Müşteriler'!$A$2:$A$101,SUMPRODUCT(('Müşteriler'!$B$2:$B$101&lt;&gt;"")*ISNUMBER(SEARCH('Müşteriler'!$B$2:$B$101,B830)),ROW('Müşteriler'!$B$2:$B$101)-ROW('Müşteriler'!$B$2)+1)),""),""))</ns0:f>
        <ns0:v/>
      </ns0:c>
      <ns0:c r="G830" s="28" t="str">
        <ns0:f>IF(F830="","",IFERROR(INDEX('Müşteriler'!$C$2:$C$101,MATCH(F830,'Müşteriler'!$A$2:$A$101,0)),""))</ns0:f>
        <ns0:v/>
      </ns0:c>
      <ns0:c r="H830" s="28" t="str">
        <ns0:f>IF(A830="","",IF(C830&lt;=0,"Satış dışı",IF(OR(F830="",G830=""),"Eşleşmedi","Eşleşti")))</ns0:f>
        <ns0:v/>
      </ns0:c>
      <ns0:c r="I830" s="28">
        <ns0:f>I829+IF(AND(H830="Eşleşmedi",E830='Panel'!$B$4),1,0)</ns0:f>
        <ns0:v>3.0</ns0:v>
      </ns0:c>
    </ns0:row>
    <ns0:row r="831" ht="21" customHeight="1">
      <ns0:c r="A831" s="25" t="n"/>
      <ns0:c r="B831" s="26" t="n"/>
      <ns0:c r="C831" s="27" t="n"/>
      <ns0:c r="D831" s="27" t="n"/>
      <ns0:c r="E831" s="28" t="str">
        <ns0:f>IF(A831="","",YEAR(A831)&amp;"-"&amp;RIGHT("0"&amp;MONTH(A831),2))</ns0:f>
        <ns0:v/>
      </ns0:c>
      <ns0:c r="F831" s="28" t="str">
        <ns0:f>IF(OR(A831="",B831="",C831&lt;=0),"",IF(SUMPRODUCT(('Müşteriler'!$B$2:$B$101&lt;&gt;"")*ISNUMBER(SEARCH('Müşteriler'!$B$2:$B$101,B831)))=1,IFERROR(INDEX('Müşteriler'!$A$2:$A$101,SUMPRODUCT(('Müşteriler'!$B$2:$B$101&lt;&gt;"")*ISNUMBER(SEARCH('Müşteriler'!$B$2:$B$101,B831)),ROW('Müşteriler'!$B$2:$B$101)-ROW('Müşteriler'!$B$2)+1)),""),""))</ns0:f>
        <ns0:v/>
      </ns0:c>
      <ns0:c r="G831" s="28" t="str">
        <ns0:f>IF(F831="","",IFERROR(INDEX('Müşteriler'!$C$2:$C$101,MATCH(F831,'Müşteriler'!$A$2:$A$101,0)),""))</ns0:f>
        <ns0:v/>
      </ns0:c>
      <ns0:c r="H831" s="28" t="str">
        <ns0:f>IF(A831="","",IF(C831&lt;=0,"Satış dışı",IF(OR(F831="",G831=""),"Eşleşmedi","Eşleşti")))</ns0:f>
        <ns0:v/>
      </ns0:c>
      <ns0:c r="I831" s="28">
        <ns0:f>I830+IF(AND(H831="Eşleşmedi",E831='Panel'!$B$4),1,0)</ns0:f>
        <ns0:v>3.0</ns0:v>
      </ns0:c>
    </ns0:row>
    <ns0:row r="832" ht="21" customHeight="1">
      <ns0:c r="A832" s="25" t="n"/>
      <ns0:c r="B832" s="26" t="n"/>
      <ns0:c r="C832" s="27" t="n"/>
      <ns0:c r="D832" s="27" t="n"/>
      <ns0:c r="E832" s="28" t="str">
        <ns0:f>IF(A832="","",YEAR(A832)&amp;"-"&amp;RIGHT("0"&amp;MONTH(A832),2))</ns0:f>
        <ns0:v/>
      </ns0:c>
      <ns0:c r="F832" s="28" t="str">
        <ns0:f>IF(OR(A832="",B832="",C832&lt;=0),"",IF(SUMPRODUCT(('Müşteriler'!$B$2:$B$101&lt;&gt;"")*ISNUMBER(SEARCH('Müşteriler'!$B$2:$B$101,B832)))=1,IFERROR(INDEX('Müşteriler'!$A$2:$A$101,SUMPRODUCT(('Müşteriler'!$B$2:$B$101&lt;&gt;"")*ISNUMBER(SEARCH('Müşteriler'!$B$2:$B$101,B832)),ROW('Müşteriler'!$B$2:$B$101)-ROW('Müşteriler'!$B$2)+1)),""),""))</ns0:f>
        <ns0:v/>
      </ns0:c>
      <ns0:c r="G832" s="28" t="str">
        <ns0:f>IF(F832="","",IFERROR(INDEX('Müşteriler'!$C$2:$C$101,MATCH(F832,'Müşteriler'!$A$2:$A$101,0)),""))</ns0:f>
        <ns0:v/>
      </ns0:c>
      <ns0:c r="H832" s="28" t="str">
        <ns0:f>IF(A832="","",IF(C832&lt;=0,"Satış dışı",IF(OR(F832="",G832=""),"Eşleşmedi","Eşleşti")))</ns0:f>
        <ns0:v/>
      </ns0:c>
      <ns0:c r="I832" s="28">
        <ns0:f>I831+IF(AND(H832="Eşleşmedi",E832='Panel'!$B$4),1,0)</ns0:f>
        <ns0:v>3.0</ns0:v>
      </ns0:c>
    </ns0:row>
    <ns0:row r="833" ht="21" customHeight="1">
      <ns0:c r="A833" s="25" t="n"/>
      <ns0:c r="B833" s="26" t="n"/>
      <ns0:c r="C833" s="27" t="n"/>
      <ns0:c r="D833" s="27" t="n"/>
      <ns0:c r="E833" s="28" t="str">
        <ns0:f>IF(A833="","",YEAR(A833)&amp;"-"&amp;RIGHT("0"&amp;MONTH(A833),2))</ns0:f>
        <ns0:v/>
      </ns0:c>
      <ns0:c r="F833" s="28" t="str">
        <ns0:f>IF(OR(A833="",B833="",C833&lt;=0),"",IF(SUMPRODUCT(('Müşteriler'!$B$2:$B$101&lt;&gt;"")*ISNUMBER(SEARCH('Müşteriler'!$B$2:$B$101,B833)))=1,IFERROR(INDEX('Müşteriler'!$A$2:$A$101,SUMPRODUCT(('Müşteriler'!$B$2:$B$101&lt;&gt;"")*ISNUMBER(SEARCH('Müşteriler'!$B$2:$B$101,B833)),ROW('Müşteriler'!$B$2:$B$101)-ROW('Müşteriler'!$B$2)+1)),""),""))</ns0:f>
        <ns0:v/>
      </ns0:c>
      <ns0:c r="G833" s="28" t="str">
        <ns0:f>IF(F833="","",IFERROR(INDEX('Müşteriler'!$C$2:$C$101,MATCH(F833,'Müşteriler'!$A$2:$A$101,0)),""))</ns0:f>
        <ns0:v/>
      </ns0:c>
      <ns0:c r="H833" s="28" t="str">
        <ns0:f>IF(A833="","",IF(C833&lt;=0,"Satış dışı",IF(OR(F833="",G833=""),"Eşleşmedi","Eşleşti")))</ns0:f>
        <ns0:v/>
      </ns0:c>
      <ns0:c r="I833" s="28">
        <ns0:f>I832+IF(AND(H833="Eşleşmedi",E833='Panel'!$B$4),1,0)</ns0:f>
        <ns0:v>3.0</ns0:v>
      </ns0:c>
    </ns0:row>
    <ns0:row r="834" ht="21" customHeight="1">
      <ns0:c r="A834" s="25" t="n"/>
      <ns0:c r="B834" s="26" t="n"/>
      <ns0:c r="C834" s="27" t="n"/>
      <ns0:c r="D834" s="27" t="n"/>
      <ns0:c r="E834" s="28" t="str">
        <ns0:f>IF(A834="","",YEAR(A834)&amp;"-"&amp;RIGHT("0"&amp;MONTH(A834),2))</ns0:f>
        <ns0:v/>
      </ns0:c>
      <ns0:c r="F834" s="28" t="str">
        <ns0:f>IF(OR(A834="",B834="",C834&lt;=0),"",IF(SUMPRODUCT(('Müşteriler'!$B$2:$B$101&lt;&gt;"")*ISNUMBER(SEARCH('Müşteriler'!$B$2:$B$101,B834)))=1,IFERROR(INDEX('Müşteriler'!$A$2:$A$101,SUMPRODUCT(('Müşteriler'!$B$2:$B$101&lt;&gt;"")*ISNUMBER(SEARCH('Müşteriler'!$B$2:$B$101,B834)),ROW('Müşteriler'!$B$2:$B$101)-ROW('Müşteriler'!$B$2)+1)),""),""))</ns0:f>
        <ns0:v/>
      </ns0:c>
      <ns0:c r="G834" s="28" t="str">
        <ns0:f>IF(F834="","",IFERROR(INDEX('Müşteriler'!$C$2:$C$101,MATCH(F834,'Müşteriler'!$A$2:$A$101,0)),""))</ns0:f>
        <ns0:v/>
      </ns0:c>
      <ns0:c r="H834" s="28" t="str">
        <ns0:f>IF(A834="","",IF(C834&lt;=0,"Satış dışı",IF(OR(F834="",G834=""),"Eşleşmedi","Eşleşti")))</ns0:f>
        <ns0:v/>
      </ns0:c>
      <ns0:c r="I834" s="28">
        <ns0:f>I833+IF(AND(H834="Eşleşmedi",E834='Panel'!$B$4),1,0)</ns0:f>
        <ns0:v>3.0</ns0:v>
      </ns0:c>
    </ns0:row>
    <ns0:row r="835" ht="21" customHeight="1">
      <ns0:c r="A835" s="25" t="n"/>
      <ns0:c r="B835" s="26" t="n"/>
      <ns0:c r="C835" s="27" t="n"/>
      <ns0:c r="D835" s="27" t="n"/>
      <ns0:c r="E835" s="28" t="str">
        <ns0:f>IF(A835="","",YEAR(A835)&amp;"-"&amp;RIGHT("0"&amp;MONTH(A835),2))</ns0:f>
        <ns0:v/>
      </ns0:c>
      <ns0:c r="F835" s="28" t="str">
        <ns0:f>IF(OR(A835="",B835="",C835&lt;=0),"",IF(SUMPRODUCT(('Müşteriler'!$B$2:$B$101&lt;&gt;"")*ISNUMBER(SEARCH('Müşteriler'!$B$2:$B$101,B835)))=1,IFERROR(INDEX('Müşteriler'!$A$2:$A$101,SUMPRODUCT(('Müşteriler'!$B$2:$B$101&lt;&gt;"")*ISNUMBER(SEARCH('Müşteriler'!$B$2:$B$101,B835)),ROW('Müşteriler'!$B$2:$B$101)-ROW('Müşteriler'!$B$2)+1)),""),""))</ns0:f>
        <ns0:v/>
      </ns0:c>
      <ns0:c r="G835" s="28" t="str">
        <ns0:f>IF(F835="","",IFERROR(INDEX('Müşteriler'!$C$2:$C$101,MATCH(F835,'Müşteriler'!$A$2:$A$101,0)),""))</ns0:f>
        <ns0:v/>
      </ns0:c>
      <ns0:c r="H835" s="28" t="str">
        <ns0:f>IF(A835="","",IF(C835&lt;=0,"Satış dışı",IF(OR(F835="",G835=""),"Eşleşmedi","Eşleşti")))</ns0:f>
        <ns0:v/>
      </ns0:c>
      <ns0:c r="I835" s="28">
        <ns0:f>I834+IF(AND(H835="Eşleşmedi",E835='Panel'!$B$4),1,0)</ns0:f>
        <ns0:v>3.0</ns0:v>
      </ns0:c>
    </ns0:row>
    <ns0:row r="836" ht="21" customHeight="1">
      <ns0:c r="A836" s="25" t="n"/>
      <ns0:c r="B836" s="26" t="n"/>
      <ns0:c r="C836" s="27" t="n"/>
      <ns0:c r="D836" s="27" t="n"/>
      <ns0:c r="E836" s="28" t="str">
        <ns0:f>IF(A836="","",YEAR(A836)&amp;"-"&amp;RIGHT("0"&amp;MONTH(A836),2))</ns0:f>
        <ns0:v/>
      </ns0:c>
      <ns0:c r="F836" s="28" t="str">
        <ns0:f>IF(OR(A836="",B836="",C836&lt;=0),"",IF(SUMPRODUCT(('Müşteriler'!$B$2:$B$101&lt;&gt;"")*ISNUMBER(SEARCH('Müşteriler'!$B$2:$B$101,B836)))=1,IFERROR(INDEX('Müşteriler'!$A$2:$A$101,SUMPRODUCT(('Müşteriler'!$B$2:$B$101&lt;&gt;"")*ISNUMBER(SEARCH('Müşteriler'!$B$2:$B$101,B836)),ROW('Müşteriler'!$B$2:$B$101)-ROW('Müşteriler'!$B$2)+1)),""),""))</ns0:f>
        <ns0:v/>
      </ns0:c>
      <ns0:c r="G836" s="28" t="str">
        <ns0:f>IF(F836="","",IFERROR(INDEX('Müşteriler'!$C$2:$C$101,MATCH(F836,'Müşteriler'!$A$2:$A$101,0)),""))</ns0:f>
        <ns0:v/>
      </ns0:c>
      <ns0:c r="H836" s="28" t="str">
        <ns0:f>IF(A836="","",IF(C836&lt;=0,"Satış dışı",IF(OR(F836="",G836=""),"Eşleşmedi","Eşleşti")))</ns0:f>
        <ns0:v/>
      </ns0:c>
      <ns0:c r="I836" s="28">
        <ns0:f>I835+IF(AND(H836="Eşleşmedi",E836='Panel'!$B$4),1,0)</ns0:f>
        <ns0:v>3.0</ns0:v>
      </ns0:c>
    </ns0:row>
    <ns0:row r="837" ht="21" customHeight="1">
      <ns0:c r="A837" s="25" t="n"/>
      <ns0:c r="B837" s="26" t="n"/>
      <ns0:c r="C837" s="27" t="n"/>
      <ns0:c r="D837" s="27" t="n"/>
      <ns0:c r="E837" s="28" t="str">
        <ns0:f>IF(A837="","",YEAR(A837)&amp;"-"&amp;RIGHT("0"&amp;MONTH(A837),2))</ns0:f>
        <ns0:v/>
      </ns0:c>
      <ns0:c r="F837" s="28" t="str">
        <ns0:f>IF(OR(A837="",B837="",C837&lt;=0),"",IF(SUMPRODUCT(('Müşteriler'!$B$2:$B$101&lt;&gt;"")*ISNUMBER(SEARCH('Müşteriler'!$B$2:$B$101,B837)))=1,IFERROR(INDEX('Müşteriler'!$A$2:$A$101,SUMPRODUCT(('Müşteriler'!$B$2:$B$101&lt;&gt;"")*ISNUMBER(SEARCH('Müşteriler'!$B$2:$B$101,B837)),ROW('Müşteriler'!$B$2:$B$101)-ROW('Müşteriler'!$B$2)+1)),""),""))</ns0:f>
        <ns0:v/>
      </ns0:c>
      <ns0:c r="G837" s="28" t="str">
        <ns0:f>IF(F837="","",IFERROR(INDEX('Müşteriler'!$C$2:$C$101,MATCH(F837,'Müşteriler'!$A$2:$A$101,0)),""))</ns0:f>
        <ns0:v/>
      </ns0:c>
      <ns0:c r="H837" s="28" t="str">
        <ns0:f>IF(A837="","",IF(C837&lt;=0,"Satış dışı",IF(OR(F837="",G837=""),"Eşleşmedi","Eşleşti")))</ns0:f>
        <ns0:v/>
      </ns0:c>
      <ns0:c r="I837" s="28">
        <ns0:f>I836+IF(AND(H837="Eşleşmedi",E837='Panel'!$B$4),1,0)</ns0:f>
        <ns0:v>3.0</ns0:v>
      </ns0:c>
    </ns0:row>
    <ns0:row r="838" ht="21" customHeight="1">
      <ns0:c r="A838" s="25" t="n"/>
      <ns0:c r="B838" s="26" t="n"/>
      <ns0:c r="C838" s="27" t="n"/>
      <ns0:c r="D838" s="27" t="n"/>
      <ns0:c r="E838" s="28" t="str">
        <ns0:f>IF(A838="","",YEAR(A838)&amp;"-"&amp;RIGHT("0"&amp;MONTH(A838),2))</ns0:f>
        <ns0:v/>
      </ns0:c>
      <ns0:c r="F838" s="28" t="str">
        <ns0:f>IF(OR(A838="",B838="",C838&lt;=0),"",IF(SUMPRODUCT(('Müşteriler'!$B$2:$B$101&lt;&gt;"")*ISNUMBER(SEARCH('Müşteriler'!$B$2:$B$101,B838)))=1,IFERROR(INDEX('Müşteriler'!$A$2:$A$101,SUMPRODUCT(('Müşteriler'!$B$2:$B$101&lt;&gt;"")*ISNUMBER(SEARCH('Müşteriler'!$B$2:$B$101,B838)),ROW('Müşteriler'!$B$2:$B$101)-ROW('Müşteriler'!$B$2)+1)),""),""))</ns0:f>
        <ns0:v/>
      </ns0:c>
      <ns0:c r="G838" s="28" t="str">
        <ns0:f>IF(F838="","",IFERROR(INDEX('Müşteriler'!$C$2:$C$101,MATCH(F838,'Müşteriler'!$A$2:$A$101,0)),""))</ns0:f>
        <ns0:v/>
      </ns0:c>
      <ns0:c r="H838" s="28" t="str">
        <ns0:f>IF(A838="","",IF(C838&lt;=0,"Satış dışı",IF(OR(F838="",G838=""),"Eşleşmedi","Eşleşti")))</ns0:f>
        <ns0:v/>
      </ns0:c>
      <ns0:c r="I838" s="28">
        <ns0:f>I837+IF(AND(H838="Eşleşmedi",E838='Panel'!$B$4),1,0)</ns0:f>
        <ns0:v>3.0</ns0:v>
      </ns0:c>
    </ns0:row>
    <ns0:row r="839" ht="21" customHeight="1">
      <ns0:c r="A839" s="25" t="n"/>
      <ns0:c r="B839" s="26" t="n"/>
      <ns0:c r="C839" s="27" t="n"/>
      <ns0:c r="D839" s="27" t="n"/>
      <ns0:c r="E839" s="28" t="str">
        <ns0:f>IF(A839="","",YEAR(A839)&amp;"-"&amp;RIGHT("0"&amp;MONTH(A839),2))</ns0:f>
        <ns0:v/>
      </ns0:c>
      <ns0:c r="F839" s="28" t="str">
        <ns0:f>IF(OR(A839="",B839="",C839&lt;=0),"",IF(SUMPRODUCT(('Müşteriler'!$B$2:$B$101&lt;&gt;"")*ISNUMBER(SEARCH('Müşteriler'!$B$2:$B$101,B839)))=1,IFERROR(INDEX('Müşteriler'!$A$2:$A$101,SUMPRODUCT(('Müşteriler'!$B$2:$B$101&lt;&gt;"")*ISNUMBER(SEARCH('Müşteriler'!$B$2:$B$101,B839)),ROW('Müşteriler'!$B$2:$B$101)-ROW('Müşteriler'!$B$2)+1)),""),""))</ns0:f>
        <ns0:v/>
      </ns0:c>
      <ns0:c r="G839" s="28" t="str">
        <ns0:f>IF(F839="","",IFERROR(INDEX('Müşteriler'!$C$2:$C$101,MATCH(F839,'Müşteriler'!$A$2:$A$101,0)),""))</ns0:f>
        <ns0:v/>
      </ns0:c>
      <ns0:c r="H839" s="28" t="str">
        <ns0:f>IF(A839="","",IF(C839&lt;=0,"Satış dışı",IF(OR(F839="",G839=""),"Eşleşmedi","Eşleşti")))</ns0:f>
        <ns0:v/>
      </ns0:c>
      <ns0:c r="I839" s="28">
        <ns0:f>I838+IF(AND(H839="Eşleşmedi",E839='Panel'!$B$4),1,0)</ns0:f>
        <ns0:v>3.0</ns0:v>
      </ns0:c>
    </ns0:row>
    <ns0:row r="840" ht="21" customHeight="1">
      <ns0:c r="A840" s="25" t="n"/>
      <ns0:c r="B840" s="26" t="n"/>
      <ns0:c r="C840" s="27" t="n"/>
      <ns0:c r="D840" s="27" t="n"/>
      <ns0:c r="E840" s="28" t="str">
        <ns0:f>IF(A840="","",YEAR(A840)&amp;"-"&amp;RIGHT("0"&amp;MONTH(A840),2))</ns0:f>
        <ns0:v/>
      </ns0:c>
      <ns0:c r="F840" s="28" t="str">
        <ns0:f>IF(OR(A840="",B840="",C840&lt;=0),"",IF(SUMPRODUCT(('Müşteriler'!$B$2:$B$101&lt;&gt;"")*ISNUMBER(SEARCH('Müşteriler'!$B$2:$B$101,B840)))=1,IFERROR(INDEX('Müşteriler'!$A$2:$A$101,SUMPRODUCT(('Müşteriler'!$B$2:$B$101&lt;&gt;"")*ISNUMBER(SEARCH('Müşteriler'!$B$2:$B$101,B840)),ROW('Müşteriler'!$B$2:$B$101)-ROW('Müşteriler'!$B$2)+1)),""),""))</ns0:f>
        <ns0:v/>
      </ns0:c>
      <ns0:c r="G840" s="28" t="str">
        <ns0:f>IF(F840="","",IFERROR(INDEX('Müşteriler'!$C$2:$C$101,MATCH(F840,'Müşteriler'!$A$2:$A$101,0)),""))</ns0:f>
        <ns0:v/>
      </ns0:c>
      <ns0:c r="H840" s="28" t="str">
        <ns0:f>IF(A840="","",IF(C840&lt;=0,"Satış dışı",IF(OR(F840="",G840=""),"Eşleşmedi","Eşleşti")))</ns0:f>
        <ns0:v/>
      </ns0:c>
      <ns0:c r="I840" s="28">
        <ns0:f>I839+IF(AND(H840="Eşleşmedi",E840='Panel'!$B$4),1,0)</ns0:f>
        <ns0:v>3.0</ns0:v>
      </ns0:c>
    </ns0:row>
    <ns0:row r="841" ht="21" customHeight="1">
      <ns0:c r="A841" s="25" t="n"/>
      <ns0:c r="B841" s="26" t="n"/>
      <ns0:c r="C841" s="27" t="n"/>
      <ns0:c r="D841" s="27" t="n"/>
      <ns0:c r="E841" s="28" t="str">
        <ns0:f>IF(A841="","",YEAR(A841)&amp;"-"&amp;RIGHT("0"&amp;MONTH(A841),2))</ns0:f>
        <ns0:v/>
      </ns0:c>
      <ns0:c r="F841" s="28" t="str">
        <ns0:f>IF(OR(A841="",B841="",C841&lt;=0),"",IF(SUMPRODUCT(('Müşteriler'!$B$2:$B$101&lt;&gt;"")*ISNUMBER(SEARCH('Müşteriler'!$B$2:$B$101,B841)))=1,IFERROR(INDEX('Müşteriler'!$A$2:$A$101,SUMPRODUCT(('Müşteriler'!$B$2:$B$101&lt;&gt;"")*ISNUMBER(SEARCH('Müşteriler'!$B$2:$B$101,B841)),ROW('Müşteriler'!$B$2:$B$101)-ROW('Müşteriler'!$B$2)+1)),""),""))</ns0:f>
        <ns0:v/>
      </ns0:c>
      <ns0:c r="G841" s="28" t="str">
        <ns0:f>IF(F841="","",IFERROR(INDEX('Müşteriler'!$C$2:$C$101,MATCH(F841,'Müşteriler'!$A$2:$A$101,0)),""))</ns0:f>
        <ns0:v/>
      </ns0:c>
      <ns0:c r="H841" s="28" t="str">
        <ns0:f>IF(A841="","",IF(C841&lt;=0,"Satış dışı",IF(OR(F841="",G841=""),"Eşleşmedi","Eşleşti")))</ns0:f>
        <ns0:v/>
      </ns0:c>
      <ns0:c r="I841" s="28">
        <ns0:f>I840+IF(AND(H841="Eşleşmedi",E841='Panel'!$B$4),1,0)</ns0:f>
        <ns0:v>3.0</ns0:v>
      </ns0:c>
    </ns0:row>
    <ns0:row r="842" ht="21" customHeight="1">
      <ns0:c r="A842" s="25" t="n"/>
      <ns0:c r="B842" s="26" t="n"/>
      <ns0:c r="C842" s="27" t="n"/>
      <ns0:c r="D842" s="27" t="n"/>
      <ns0:c r="E842" s="28" t="str">
        <ns0:f>IF(A842="","",YEAR(A842)&amp;"-"&amp;RIGHT("0"&amp;MONTH(A842),2))</ns0:f>
        <ns0:v/>
      </ns0:c>
      <ns0:c r="F842" s="28" t="str">
        <ns0:f>IF(OR(A842="",B842="",C842&lt;=0),"",IF(SUMPRODUCT(('Müşteriler'!$B$2:$B$101&lt;&gt;"")*ISNUMBER(SEARCH('Müşteriler'!$B$2:$B$101,B842)))=1,IFERROR(INDEX('Müşteriler'!$A$2:$A$101,SUMPRODUCT(('Müşteriler'!$B$2:$B$101&lt;&gt;"")*ISNUMBER(SEARCH('Müşteriler'!$B$2:$B$101,B842)),ROW('Müşteriler'!$B$2:$B$101)-ROW('Müşteriler'!$B$2)+1)),""),""))</ns0:f>
        <ns0:v/>
      </ns0:c>
      <ns0:c r="G842" s="28" t="str">
        <ns0:f>IF(F842="","",IFERROR(INDEX('Müşteriler'!$C$2:$C$101,MATCH(F842,'Müşteriler'!$A$2:$A$101,0)),""))</ns0:f>
        <ns0:v/>
      </ns0:c>
      <ns0:c r="H842" s="28" t="str">
        <ns0:f>IF(A842="","",IF(C842&lt;=0,"Satış dışı",IF(OR(F842="",G842=""),"Eşleşmedi","Eşleşti")))</ns0:f>
        <ns0:v/>
      </ns0:c>
      <ns0:c r="I842" s="28">
        <ns0:f>I841+IF(AND(H842="Eşleşmedi",E842='Panel'!$B$4),1,0)</ns0:f>
        <ns0:v>3.0</ns0:v>
      </ns0:c>
    </ns0:row>
    <ns0:row r="843" ht="21" customHeight="1">
      <ns0:c r="A843" s="25" t="n"/>
      <ns0:c r="B843" s="26" t="n"/>
      <ns0:c r="C843" s="27" t="n"/>
      <ns0:c r="D843" s="27" t="n"/>
      <ns0:c r="E843" s="28" t="str">
        <ns0:f>IF(A843="","",YEAR(A843)&amp;"-"&amp;RIGHT("0"&amp;MONTH(A843),2))</ns0:f>
        <ns0:v/>
      </ns0:c>
      <ns0:c r="F843" s="28" t="str">
        <ns0:f>IF(OR(A843="",B843="",C843&lt;=0),"",IF(SUMPRODUCT(('Müşteriler'!$B$2:$B$101&lt;&gt;"")*ISNUMBER(SEARCH('Müşteriler'!$B$2:$B$101,B843)))=1,IFERROR(INDEX('Müşteriler'!$A$2:$A$101,SUMPRODUCT(('Müşteriler'!$B$2:$B$101&lt;&gt;"")*ISNUMBER(SEARCH('Müşteriler'!$B$2:$B$101,B843)),ROW('Müşteriler'!$B$2:$B$101)-ROW('Müşteriler'!$B$2)+1)),""),""))</ns0:f>
        <ns0:v/>
      </ns0:c>
      <ns0:c r="G843" s="28" t="str">
        <ns0:f>IF(F843="","",IFERROR(INDEX('Müşteriler'!$C$2:$C$101,MATCH(F843,'Müşteriler'!$A$2:$A$101,0)),""))</ns0:f>
        <ns0:v/>
      </ns0:c>
      <ns0:c r="H843" s="28" t="str">
        <ns0:f>IF(A843="","",IF(C843&lt;=0,"Satış dışı",IF(OR(F843="",G843=""),"Eşleşmedi","Eşleşti")))</ns0:f>
        <ns0:v/>
      </ns0:c>
      <ns0:c r="I843" s="28">
        <ns0:f>I842+IF(AND(H843="Eşleşmedi",E843='Panel'!$B$4),1,0)</ns0:f>
        <ns0:v>3.0</ns0:v>
      </ns0:c>
    </ns0:row>
    <ns0:row r="844" ht="21" customHeight="1">
      <ns0:c r="A844" s="25" t="n"/>
      <ns0:c r="B844" s="26" t="n"/>
      <ns0:c r="C844" s="27" t="n"/>
      <ns0:c r="D844" s="27" t="n"/>
      <ns0:c r="E844" s="28" t="str">
        <ns0:f>IF(A844="","",YEAR(A844)&amp;"-"&amp;RIGHT("0"&amp;MONTH(A844),2))</ns0:f>
        <ns0:v/>
      </ns0:c>
      <ns0:c r="F844" s="28" t="str">
        <ns0:f>IF(OR(A844="",B844="",C844&lt;=0),"",IF(SUMPRODUCT(('Müşteriler'!$B$2:$B$101&lt;&gt;"")*ISNUMBER(SEARCH('Müşteriler'!$B$2:$B$101,B844)))=1,IFERROR(INDEX('Müşteriler'!$A$2:$A$101,SUMPRODUCT(('Müşteriler'!$B$2:$B$101&lt;&gt;"")*ISNUMBER(SEARCH('Müşteriler'!$B$2:$B$101,B844)),ROW('Müşteriler'!$B$2:$B$101)-ROW('Müşteriler'!$B$2)+1)),""),""))</ns0:f>
        <ns0:v/>
      </ns0:c>
      <ns0:c r="G844" s="28" t="str">
        <ns0:f>IF(F844="","",IFERROR(INDEX('Müşteriler'!$C$2:$C$101,MATCH(F844,'Müşteriler'!$A$2:$A$101,0)),""))</ns0:f>
        <ns0:v/>
      </ns0:c>
      <ns0:c r="H844" s="28" t="str">
        <ns0:f>IF(A844="","",IF(C844&lt;=0,"Satış dışı",IF(OR(F844="",G844=""),"Eşleşmedi","Eşleşti")))</ns0:f>
        <ns0:v/>
      </ns0:c>
      <ns0:c r="I844" s="28">
        <ns0:f>I843+IF(AND(H844="Eşleşmedi",E844='Panel'!$B$4),1,0)</ns0:f>
        <ns0:v>3.0</ns0:v>
      </ns0:c>
    </ns0:row>
    <ns0:row r="845" ht="21" customHeight="1">
      <ns0:c r="A845" s="25" t="n"/>
      <ns0:c r="B845" s="26" t="n"/>
      <ns0:c r="C845" s="27" t="n"/>
      <ns0:c r="D845" s="27" t="n"/>
      <ns0:c r="E845" s="28" t="str">
        <ns0:f>IF(A845="","",YEAR(A845)&amp;"-"&amp;RIGHT("0"&amp;MONTH(A845),2))</ns0:f>
        <ns0:v/>
      </ns0:c>
      <ns0:c r="F845" s="28" t="str">
        <ns0:f>IF(OR(A845="",B845="",C845&lt;=0),"",IF(SUMPRODUCT(('Müşteriler'!$B$2:$B$101&lt;&gt;"")*ISNUMBER(SEARCH('Müşteriler'!$B$2:$B$101,B845)))=1,IFERROR(INDEX('Müşteriler'!$A$2:$A$101,SUMPRODUCT(('Müşteriler'!$B$2:$B$101&lt;&gt;"")*ISNUMBER(SEARCH('Müşteriler'!$B$2:$B$101,B845)),ROW('Müşteriler'!$B$2:$B$101)-ROW('Müşteriler'!$B$2)+1)),""),""))</ns0:f>
        <ns0:v/>
      </ns0:c>
      <ns0:c r="G845" s="28" t="str">
        <ns0:f>IF(F845="","",IFERROR(INDEX('Müşteriler'!$C$2:$C$101,MATCH(F845,'Müşteriler'!$A$2:$A$101,0)),""))</ns0:f>
        <ns0:v/>
      </ns0:c>
      <ns0:c r="H845" s="28" t="str">
        <ns0:f>IF(A845="","",IF(C845&lt;=0,"Satış dışı",IF(OR(F845="",G845=""),"Eşleşmedi","Eşleşti")))</ns0:f>
        <ns0:v/>
      </ns0:c>
      <ns0:c r="I845" s="28">
        <ns0:f>I844+IF(AND(H845="Eşleşmedi",E845='Panel'!$B$4),1,0)</ns0:f>
        <ns0:v>3.0</ns0:v>
      </ns0:c>
    </ns0:row>
    <ns0:row r="846" ht="21" customHeight="1">
      <ns0:c r="A846" s="25" t="n"/>
      <ns0:c r="B846" s="26" t="n"/>
      <ns0:c r="C846" s="27" t="n"/>
      <ns0:c r="D846" s="27" t="n"/>
      <ns0:c r="E846" s="28" t="str">
        <ns0:f>IF(A846="","",YEAR(A846)&amp;"-"&amp;RIGHT("0"&amp;MONTH(A846),2))</ns0:f>
        <ns0:v/>
      </ns0:c>
      <ns0:c r="F846" s="28" t="str">
        <ns0:f>IF(OR(A846="",B846="",C846&lt;=0),"",IF(SUMPRODUCT(('Müşteriler'!$B$2:$B$101&lt;&gt;"")*ISNUMBER(SEARCH('Müşteriler'!$B$2:$B$101,B846)))=1,IFERROR(INDEX('Müşteriler'!$A$2:$A$101,SUMPRODUCT(('Müşteriler'!$B$2:$B$101&lt;&gt;"")*ISNUMBER(SEARCH('Müşteriler'!$B$2:$B$101,B846)),ROW('Müşteriler'!$B$2:$B$101)-ROW('Müşteriler'!$B$2)+1)),""),""))</ns0:f>
        <ns0:v/>
      </ns0:c>
      <ns0:c r="G846" s="28" t="str">
        <ns0:f>IF(F846="","",IFERROR(INDEX('Müşteriler'!$C$2:$C$101,MATCH(F846,'Müşteriler'!$A$2:$A$101,0)),""))</ns0:f>
        <ns0:v/>
      </ns0:c>
      <ns0:c r="H846" s="28" t="str">
        <ns0:f>IF(A846="","",IF(C846&lt;=0,"Satış dışı",IF(OR(F846="",G846=""),"Eşleşmedi","Eşleşti")))</ns0:f>
        <ns0:v/>
      </ns0:c>
      <ns0:c r="I846" s="28">
        <ns0:f>I845+IF(AND(H846="Eşleşmedi",E846='Panel'!$B$4),1,0)</ns0:f>
        <ns0:v>3.0</ns0:v>
      </ns0:c>
    </ns0:row>
    <ns0:row r="847" ht="21" customHeight="1">
      <ns0:c r="A847" s="25" t="n"/>
      <ns0:c r="B847" s="26" t="n"/>
      <ns0:c r="C847" s="27" t="n"/>
      <ns0:c r="D847" s="27" t="n"/>
      <ns0:c r="E847" s="28" t="str">
        <ns0:f>IF(A847="","",YEAR(A847)&amp;"-"&amp;RIGHT("0"&amp;MONTH(A847),2))</ns0:f>
        <ns0:v/>
      </ns0:c>
      <ns0:c r="F847" s="28" t="str">
        <ns0:f>IF(OR(A847="",B847="",C847&lt;=0),"",IF(SUMPRODUCT(('Müşteriler'!$B$2:$B$101&lt;&gt;"")*ISNUMBER(SEARCH('Müşteriler'!$B$2:$B$101,B847)))=1,IFERROR(INDEX('Müşteriler'!$A$2:$A$101,SUMPRODUCT(('Müşteriler'!$B$2:$B$101&lt;&gt;"")*ISNUMBER(SEARCH('Müşteriler'!$B$2:$B$101,B847)),ROW('Müşteriler'!$B$2:$B$101)-ROW('Müşteriler'!$B$2)+1)),""),""))</ns0:f>
        <ns0:v/>
      </ns0:c>
      <ns0:c r="G847" s="28" t="str">
        <ns0:f>IF(F847="","",IFERROR(INDEX('Müşteriler'!$C$2:$C$101,MATCH(F847,'Müşteriler'!$A$2:$A$101,0)),""))</ns0:f>
        <ns0:v/>
      </ns0:c>
      <ns0:c r="H847" s="28" t="str">
        <ns0:f>IF(A847="","",IF(C847&lt;=0,"Satış dışı",IF(OR(F847="",G847=""),"Eşleşmedi","Eşleşti")))</ns0:f>
        <ns0:v/>
      </ns0:c>
      <ns0:c r="I847" s="28">
        <ns0:f>I846+IF(AND(H847="Eşleşmedi",E847='Panel'!$B$4),1,0)</ns0:f>
        <ns0:v>3.0</ns0:v>
      </ns0:c>
    </ns0:row>
    <ns0:row r="848" ht="21" customHeight="1">
      <ns0:c r="A848" s="25" t="n"/>
      <ns0:c r="B848" s="26" t="n"/>
      <ns0:c r="C848" s="27" t="n"/>
      <ns0:c r="D848" s="27" t="n"/>
      <ns0:c r="E848" s="28" t="str">
        <ns0:f>IF(A848="","",YEAR(A848)&amp;"-"&amp;RIGHT("0"&amp;MONTH(A848),2))</ns0:f>
        <ns0:v/>
      </ns0:c>
      <ns0:c r="F848" s="28" t="str">
        <ns0:f>IF(OR(A848="",B848="",C848&lt;=0),"",IF(SUMPRODUCT(('Müşteriler'!$B$2:$B$101&lt;&gt;"")*ISNUMBER(SEARCH('Müşteriler'!$B$2:$B$101,B848)))=1,IFERROR(INDEX('Müşteriler'!$A$2:$A$101,SUMPRODUCT(('Müşteriler'!$B$2:$B$101&lt;&gt;"")*ISNUMBER(SEARCH('Müşteriler'!$B$2:$B$101,B848)),ROW('Müşteriler'!$B$2:$B$101)-ROW('Müşteriler'!$B$2)+1)),""),""))</ns0:f>
        <ns0:v/>
      </ns0:c>
      <ns0:c r="G848" s="28" t="str">
        <ns0:f>IF(F848="","",IFERROR(INDEX('Müşteriler'!$C$2:$C$101,MATCH(F848,'Müşteriler'!$A$2:$A$101,0)),""))</ns0:f>
        <ns0:v/>
      </ns0:c>
      <ns0:c r="H848" s="28" t="str">
        <ns0:f>IF(A848="","",IF(C848&lt;=0,"Satış dışı",IF(OR(F848="",G848=""),"Eşleşmedi","Eşleşti")))</ns0:f>
        <ns0:v/>
      </ns0:c>
      <ns0:c r="I848" s="28">
        <ns0:f>I847+IF(AND(H848="Eşleşmedi",E848='Panel'!$B$4),1,0)</ns0:f>
        <ns0:v>3.0</ns0:v>
      </ns0:c>
    </ns0:row>
    <ns0:row r="849" ht="21" customHeight="1">
      <ns0:c r="A849" s="25" t="n"/>
      <ns0:c r="B849" s="26" t="n"/>
      <ns0:c r="C849" s="27" t="n"/>
      <ns0:c r="D849" s="27" t="n"/>
      <ns0:c r="E849" s="28" t="str">
        <ns0:f>IF(A849="","",YEAR(A849)&amp;"-"&amp;RIGHT("0"&amp;MONTH(A849),2))</ns0:f>
        <ns0:v/>
      </ns0:c>
      <ns0:c r="F849" s="28" t="str">
        <ns0:f>IF(OR(A849="",B849="",C849&lt;=0),"",IF(SUMPRODUCT(('Müşteriler'!$B$2:$B$101&lt;&gt;"")*ISNUMBER(SEARCH('Müşteriler'!$B$2:$B$101,B849)))=1,IFERROR(INDEX('Müşteriler'!$A$2:$A$101,SUMPRODUCT(('Müşteriler'!$B$2:$B$101&lt;&gt;"")*ISNUMBER(SEARCH('Müşteriler'!$B$2:$B$101,B849)),ROW('Müşteriler'!$B$2:$B$101)-ROW('Müşteriler'!$B$2)+1)),""),""))</ns0:f>
        <ns0:v/>
      </ns0:c>
      <ns0:c r="G849" s="28" t="str">
        <ns0:f>IF(F849="","",IFERROR(INDEX('Müşteriler'!$C$2:$C$101,MATCH(F849,'Müşteriler'!$A$2:$A$101,0)),""))</ns0:f>
        <ns0:v/>
      </ns0:c>
      <ns0:c r="H849" s="28" t="str">
        <ns0:f>IF(A849="","",IF(C849&lt;=0,"Satış dışı",IF(OR(F849="",G849=""),"Eşleşmedi","Eşleşti")))</ns0:f>
        <ns0:v/>
      </ns0:c>
      <ns0:c r="I849" s="28">
        <ns0:f>I848+IF(AND(H849="Eşleşmedi",E849='Panel'!$B$4),1,0)</ns0:f>
        <ns0:v>3.0</ns0:v>
      </ns0:c>
    </ns0:row>
    <ns0:row r="850" ht="21" customHeight="1">
      <ns0:c r="A850" s="25" t="n"/>
      <ns0:c r="B850" s="26" t="n"/>
      <ns0:c r="C850" s="27" t="n"/>
      <ns0:c r="D850" s="27" t="n"/>
      <ns0:c r="E850" s="28" t="str">
        <ns0:f>IF(A850="","",YEAR(A850)&amp;"-"&amp;RIGHT("0"&amp;MONTH(A850),2))</ns0:f>
        <ns0:v/>
      </ns0:c>
      <ns0:c r="F850" s="28" t="str">
        <ns0:f>IF(OR(A850="",B850="",C850&lt;=0),"",IF(SUMPRODUCT(('Müşteriler'!$B$2:$B$101&lt;&gt;"")*ISNUMBER(SEARCH('Müşteriler'!$B$2:$B$101,B850)))=1,IFERROR(INDEX('Müşteriler'!$A$2:$A$101,SUMPRODUCT(('Müşteriler'!$B$2:$B$101&lt;&gt;"")*ISNUMBER(SEARCH('Müşteriler'!$B$2:$B$101,B850)),ROW('Müşteriler'!$B$2:$B$101)-ROW('Müşteriler'!$B$2)+1)),""),""))</ns0:f>
        <ns0:v/>
      </ns0:c>
      <ns0:c r="G850" s="28" t="str">
        <ns0:f>IF(F850="","",IFERROR(INDEX('Müşteriler'!$C$2:$C$101,MATCH(F850,'Müşteriler'!$A$2:$A$101,0)),""))</ns0:f>
        <ns0:v/>
      </ns0:c>
      <ns0:c r="H850" s="28" t="str">
        <ns0:f>IF(A850="","",IF(C850&lt;=0,"Satış dışı",IF(OR(F850="",G850=""),"Eşleşmedi","Eşleşti")))</ns0:f>
        <ns0:v/>
      </ns0:c>
      <ns0:c r="I850" s="28">
        <ns0:f>I849+IF(AND(H850="Eşleşmedi",E850='Panel'!$B$4),1,0)</ns0:f>
        <ns0:v>3.0</ns0:v>
      </ns0:c>
    </ns0:row>
    <ns0:row r="851" ht="21" customHeight="1">
      <ns0:c r="A851" s="25" t="n"/>
      <ns0:c r="B851" s="26" t="n"/>
      <ns0:c r="C851" s="27" t="n"/>
      <ns0:c r="D851" s="27" t="n"/>
      <ns0:c r="E851" s="28" t="str">
        <ns0:f>IF(A851="","",YEAR(A851)&amp;"-"&amp;RIGHT("0"&amp;MONTH(A851),2))</ns0:f>
        <ns0:v/>
      </ns0:c>
      <ns0:c r="F851" s="28" t="str">
        <ns0:f>IF(OR(A851="",B851="",C851&lt;=0),"",IF(SUMPRODUCT(('Müşteriler'!$B$2:$B$101&lt;&gt;"")*ISNUMBER(SEARCH('Müşteriler'!$B$2:$B$101,B851)))=1,IFERROR(INDEX('Müşteriler'!$A$2:$A$101,SUMPRODUCT(('Müşteriler'!$B$2:$B$101&lt;&gt;"")*ISNUMBER(SEARCH('Müşteriler'!$B$2:$B$101,B851)),ROW('Müşteriler'!$B$2:$B$101)-ROW('Müşteriler'!$B$2)+1)),""),""))</ns0:f>
        <ns0:v/>
      </ns0:c>
      <ns0:c r="G851" s="28" t="str">
        <ns0:f>IF(F851="","",IFERROR(INDEX('Müşteriler'!$C$2:$C$101,MATCH(F851,'Müşteriler'!$A$2:$A$101,0)),""))</ns0:f>
        <ns0:v/>
      </ns0:c>
      <ns0:c r="H851" s="28" t="str">
        <ns0:f>IF(A851="","",IF(C851&lt;=0,"Satış dışı",IF(OR(F851="",G851=""),"Eşleşmedi","Eşleşti")))</ns0:f>
        <ns0:v/>
      </ns0:c>
      <ns0:c r="I851" s="28">
        <ns0:f>I850+IF(AND(H851="Eşleşmedi",E851='Panel'!$B$4),1,0)</ns0:f>
        <ns0:v>3.0</ns0:v>
      </ns0:c>
    </ns0:row>
    <ns0:row r="852" ht="21" customHeight="1">
      <ns0:c r="A852" s="25" t="n"/>
      <ns0:c r="B852" s="26" t="n"/>
      <ns0:c r="C852" s="27" t="n"/>
      <ns0:c r="D852" s="27" t="n"/>
      <ns0:c r="E852" s="28" t="str">
        <ns0:f>IF(A852="","",YEAR(A852)&amp;"-"&amp;RIGHT("0"&amp;MONTH(A852),2))</ns0:f>
        <ns0:v/>
      </ns0:c>
      <ns0:c r="F852" s="28" t="str">
        <ns0:f>IF(OR(A852="",B852="",C852&lt;=0),"",IF(SUMPRODUCT(('Müşteriler'!$B$2:$B$101&lt;&gt;"")*ISNUMBER(SEARCH('Müşteriler'!$B$2:$B$101,B852)))=1,IFERROR(INDEX('Müşteriler'!$A$2:$A$101,SUMPRODUCT(('Müşteriler'!$B$2:$B$101&lt;&gt;"")*ISNUMBER(SEARCH('Müşteriler'!$B$2:$B$101,B852)),ROW('Müşteriler'!$B$2:$B$101)-ROW('Müşteriler'!$B$2)+1)),""),""))</ns0:f>
        <ns0:v/>
      </ns0:c>
      <ns0:c r="G852" s="28" t="str">
        <ns0:f>IF(F852="","",IFERROR(INDEX('Müşteriler'!$C$2:$C$101,MATCH(F852,'Müşteriler'!$A$2:$A$101,0)),""))</ns0:f>
        <ns0:v/>
      </ns0:c>
      <ns0:c r="H852" s="28" t="str">
        <ns0:f>IF(A852="","",IF(C852&lt;=0,"Satış dışı",IF(OR(F852="",G852=""),"Eşleşmedi","Eşleşti")))</ns0:f>
        <ns0:v/>
      </ns0:c>
      <ns0:c r="I852" s="28">
        <ns0:f>I851+IF(AND(H852="Eşleşmedi",E852='Panel'!$B$4),1,0)</ns0:f>
        <ns0:v>3.0</ns0:v>
      </ns0:c>
    </ns0:row>
    <ns0:row r="853" ht="21" customHeight="1">
      <ns0:c r="A853" s="25" t="n"/>
      <ns0:c r="B853" s="26" t="n"/>
      <ns0:c r="C853" s="27" t="n"/>
      <ns0:c r="D853" s="27" t="n"/>
      <ns0:c r="E853" s="28" t="str">
        <ns0:f>IF(A853="","",YEAR(A853)&amp;"-"&amp;RIGHT("0"&amp;MONTH(A853),2))</ns0:f>
        <ns0:v/>
      </ns0:c>
      <ns0:c r="F853" s="28" t="str">
        <ns0:f>IF(OR(A853="",B853="",C853&lt;=0),"",IF(SUMPRODUCT(('Müşteriler'!$B$2:$B$101&lt;&gt;"")*ISNUMBER(SEARCH('Müşteriler'!$B$2:$B$101,B853)))=1,IFERROR(INDEX('Müşteriler'!$A$2:$A$101,SUMPRODUCT(('Müşteriler'!$B$2:$B$101&lt;&gt;"")*ISNUMBER(SEARCH('Müşteriler'!$B$2:$B$101,B853)),ROW('Müşteriler'!$B$2:$B$101)-ROW('Müşteriler'!$B$2)+1)),""),""))</ns0:f>
        <ns0:v/>
      </ns0:c>
      <ns0:c r="G853" s="28" t="str">
        <ns0:f>IF(F853="","",IFERROR(INDEX('Müşteriler'!$C$2:$C$101,MATCH(F853,'Müşteriler'!$A$2:$A$101,0)),""))</ns0:f>
        <ns0:v/>
      </ns0:c>
      <ns0:c r="H853" s="28" t="str">
        <ns0:f>IF(A853="","",IF(C853&lt;=0,"Satış dışı",IF(OR(F853="",G853=""),"Eşleşmedi","Eşleşti")))</ns0:f>
        <ns0:v/>
      </ns0:c>
      <ns0:c r="I853" s="28">
        <ns0:f>I852+IF(AND(H853="Eşleşmedi",E853='Panel'!$B$4),1,0)</ns0:f>
        <ns0:v>3.0</ns0:v>
      </ns0:c>
    </ns0:row>
    <ns0:row r="854" ht="21" customHeight="1">
      <ns0:c r="A854" s="25" t="n"/>
      <ns0:c r="B854" s="26" t="n"/>
      <ns0:c r="C854" s="27" t="n"/>
      <ns0:c r="D854" s="27" t="n"/>
      <ns0:c r="E854" s="28" t="str">
        <ns0:f>IF(A854="","",YEAR(A854)&amp;"-"&amp;RIGHT("0"&amp;MONTH(A854),2))</ns0:f>
        <ns0:v/>
      </ns0:c>
      <ns0:c r="F854" s="28" t="str">
        <ns0:f>IF(OR(A854="",B854="",C854&lt;=0),"",IF(SUMPRODUCT(('Müşteriler'!$B$2:$B$101&lt;&gt;"")*ISNUMBER(SEARCH('Müşteriler'!$B$2:$B$101,B854)))=1,IFERROR(INDEX('Müşteriler'!$A$2:$A$101,SUMPRODUCT(('Müşteriler'!$B$2:$B$101&lt;&gt;"")*ISNUMBER(SEARCH('Müşteriler'!$B$2:$B$101,B854)),ROW('Müşteriler'!$B$2:$B$101)-ROW('Müşteriler'!$B$2)+1)),""),""))</ns0:f>
        <ns0:v/>
      </ns0:c>
      <ns0:c r="G854" s="28" t="str">
        <ns0:f>IF(F854="","",IFERROR(INDEX('Müşteriler'!$C$2:$C$101,MATCH(F854,'Müşteriler'!$A$2:$A$101,0)),""))</ns0:f>
        <ns0:v/>
      </ns0:c>
      <ns0:c r="H854" s="28" t="str">
        <ns0:f>IF(A854="","",IF(C854&lt;=0,"Satış dışı",IF(OR(F854="",G854=""),"Eşleşmedi","Eşleşti")))</ns0:f>
        <ns0:v/>
      </ns0:c>
      <ns0:c r="I854" s="28">
        <ns0:f>I853+IF(AND(H854="Eşleşmedi",E854='Panel'!$B$4),1,0)</ns0:f>
        <ns0:v>3.0</ns0:v>
      </ns0:c>
    </ns0:row>
    <ns0:row r="855" ht="21" customHeight="1">
      <ns0:c r="A855" s="25" t="n"/>
      <ns0:c r="B855" s="26" t="n"/>
      <ns0:c r="C855" s="27" t="n"/>
      <ns0:c r="D855" s="27" t="n"/>
      <ns0:c r="E855" s="28" t="str">
        <ns0:f>IF(A855="","",YEAR(A855)&amp;"-"&amp;RIGHT("0"&amp;MONTH(A855),2))</ns0:f>
        <ns0:v/>
      </ns0:c>
      <ns0:c r="F855" s="28" t="str">
        <ns0:f>IF(OR(A855="",B855="",C855&lt;=0),"",IF(SUMPRODUCT(('Müşteriler'!$B$2:$B$101&lt;&gt;"")*ISNUMBER(SEARCH('Müşteriler'!$B$2:$B$101,B855)))=1,IFERROR(INDEX('Müşteriler'!$A$2:$A$101,SUMPRODUCT(('Müşteriler'!$B$2:$B$101&lt;&gt;"")*ISNUMBER(SEARCH('Müşteriler'!$B$2:$B$101,B855)),ROW('Müşteriler'!$B$2:$B$101)-ROW('Müşteriler'!$B$2)+1)),""),""))</ns0:f>
        <ns0:v/>
      </ns0:c>
      <ns0:c r="G855" s="28" t="str">
        <ns0:f>IF(F855="","",IFERROR(INDEX('Müşteriler'!$C$2:$C$101,MATCH(F855,'Müşteriler'!$A$2:$A$101,0)),""))</ns0:f>
        <ns0:v/>
      </ns0:c>
      <ns0:c r="H855" s="28" t="str">
        <ns0:f>IF(A855="","",IF(C855&lt;=0,"Satış dışı",IF(OR(F855="",G855=""),"Eşleşmedi","Eşleşti")))</ns0:f>
        <ns0:v/>
      </ns0:c>
      <ns0:c r="I855" s="28">
        <ns0:f>I854+IF(AND(H855="Eşleşmedi",E855='Panel'!$B$4),1,0)</ns0:f>
        <ns0:v>3.0</ns0:v>
      </ns0:c>
    </ns0:row>
    <ns0:row r="856" ht="21" customHeight="1">
      <ns0:c r="A856" s="25" t="n"/>
      <ns0:c r="B856" s="26" t="n"/>
      <ns0:c r="C856" s="27" t="n"/>
      <ns0:c r="D856" s="27" t="n"/>
      <ns0:c r="E856" s="28" t="str">
        <ns0:f>IF(A856="","",YEAR(A856)&amp;"-"&amp;RIGHT("0"&amp;MONTH(A856),2))</ns0:f>
        <ns0:v/>
      </ns0:c>
      <ns0:c r="F856" s="28" t="str">
        <ns0:f>IF(OR(A856="",B856="",C856&lt;=0),"",IF(SUMPRODUCT(('Müşteriler'!$B$2:$B$101&lt;&gt;"")*ISNUMBER(SEARCH('Müşteriler'!$B$2:$B$101,B856)))=1,IFERROR(INDEX('Müşteriler'!$A$2:$A$101,SUMPRODUCT(('Müşteriler'!$B$2:$B$101&lt;&gt;"")*ISNUMBER(SEARCH('Müşteriler'!$B$2:$B$101,B856)),ROW('Müşteriler'!$B$2:$B$101)-ROW('Müşteriler'!$B$2)+1)),""),""))</ns0:f>
        <ns0:v/>
      </ns0:c>
      <ns0:c r="G856" s="28" t="str">
        <ns0:f>IF(F856="","",IFERROR(INDEX('Müşteriler'!$C$2:$C$101,MATCH(F856,'Müşteriler'!$A$2:$A$101,0)),""))</ns0:f>
        <ns0:v/>
      </ns0:c>
      <ns0:c r="H856" s="28" t="str">
        <ns0:f>IF(A856="","",IF(C856&lt;=0,"Satış dışı",IF(OR(F856="",G856=""),"Eşleşmedi","Eşleşti")))</ns0:f>
        <ns0:v/>
      </ns0:c>
      <ns0:c r="I856" s="28">
        <ns0:f>I855+IF(AND(H856="Eşleşmedi",E856='Panel'!$B$4),1,0)</ns0:f>
        <ns0:v>3.0</ns0:v>
      </ns0:c>
    </ns0:row>
    <ns0:row r="857" ht="21" customHeight="1">
      <ns0:c r="A857" s="25" t="n"/>
      <ns0:c r="B857" s="26" t="n"/>
      <ns0:c r="C857" s="27" t="n"/>
      <ns0:c r="D857" s="27" t="n"/>
      <ns0:c r="E857" s="28" t="str">
        <ns0:f>IF(A857="","",YEAR(A857)&amp;"-"&amp;RIGHT("0"&amp;MONTH(A857),2))</ns0:f>
        <ns0:v/>
      </ns0:c>
      <ns0:c r="F857" s="28" t="str">
        <ns0:f>IF(OR(A857="",B857="",C857&lt;=0),"",IF(SUMPRODUCT(('Müşteriler'!$B$2:$B$101&lt;&gt;"")*ISNUMBER(SEARCH('Müşteriler'!$B$2:$B$101,B857)))=1,IFERROR(INDEX('Müşteriler'!$A$2:$A$101,SUMPRODUCT(('Müşteriler'!$B$2:$B$101&lt;&gt;"")*ISNUMBER(SEARCH('Müşteriler'!$B$2:$B$101,B857)),ROW('Müşteriler'!$B$2:$B$101)-ROW('Müşteriler'!$B$2)+1)),""),""))</ns0:f>
        <ns0:v/>
      </ns0:c>
      <ns0:c r="G857" s="28" t="str">
        <ns0:f>IF(F857="","",IFERROR(INDEX('Müşteriler'!$C$2:$C$101,MATCH(F857,'Müşteriler'!$A$2:$A$101,0)),""))</ns0:f>
        <ns0:v/>
      </ns0:c>
      <ns0:c r="H857" s="28" t="str">
        <ns0:f>IF(A857="","",IF(C857&lt;=0,"Satış dışı",IF(OR(F857="",G857=""),"Eşleşmedi","Eşleşti")))</ns0:f>
        <ns0:v/>
      </ns0:c>
      <ns0:c r="I857" s="28">
        <ns0:f>I856+IF(AND(H857="Eşleşmedi",E857='Panel'!$B$4),1,0)</ns0:f>
        <ns0:v>3.0</ns0:v>
      </ns0:c>
    </ns0:row>
    <ns0:row r="858" ht="21" customHeight="1">
      <ns0:c r="A858" s="25" t="n"/>
      <ns0:c r="B858" s="26" t="n"/>
      <ns0:c r="C858" s="27" t="n"/>
      <ns0:c r="D858" s="27" t="n"/>
      <ns0:c r="E858" s="28" t="str">
        <ns0:f>IF(A858="","",YEAR(A858)&amp;"-"&amp;RIGHT("0"&amp;MONTH(A858),2))</ns0:f>
        <ns0:v/>
      </ns0:c>
      <ns0:c r="F858" s="28" t="str">
        <ns0:f>IF(OR(A858="",B858="",C858&lt;=0),"",IF(SUMPRODUCT(('Müşteriler'!$B$2:$B$101&lt;&gt;"")*ISNUMBER(SEARCH('Müşteriler'!$B$2:$B$101,B858)))=1,IFERROR(INDEX('Müşteriler'!$A$2:$A$101,SUMPRODUCT(('Müşteriler'!$B$2:$B$101&lt;&gt;"")*ISNUMBER(SEARCH('Müşteriler'!$B$2:$B$101,B858)),ROW('Müşteriler'!$B$2:$B$101)-ROW('Müşteriler'!$B$2)+1)),""),""))</ns0:f>
        <ns0:v/>
      </ns0:c>
      <ns0:c r="G858" s="28" t="str">
        <ns0:f>IF(F858="","",IFERROR(INDEX('Müşteriler'!$C$2:$C$101,MATCH(F858,'Müşteriler'!$A$2:$A$101,0)),""))</ns0:f>
        <ns0:v/>
      </ns0:c>
      <ns0:c r="H858" s="28" t="str">
        <ns0:f>IF(A858="","",IF(C858&lt;=0,"Satış dışı",IF(OR(F858="",G858=""),"Eşleşmedi","Eşleşti")))</ns0:f>
        <ns0:v/>
      </ns0:c>
      <ns0:c r="I858" s="28">
        <ns0:f>I857+IF(AND(H858="Eşleşmedi",E858='Panel'!$B$4),1,0)</ns0:f>
        <ns0:v>3.0</ns0:v>
      </ns0:c>
    </ns0:row>
    <ns0:row r="859" ht="21" customHeight="1">
      <ns0:c r="A859" s="25" t="n"/>
      <ns0:c r="B859" s="26" t="n"/>
      <ns0:c r="C859" s="27" t="n"/>
      <ns0:c r="D859" s="27" t="n"/>
      <ns0:c r="E859" s="28" t="str">
        <ns0:f>IF(A859="","",YEAR(A859)&amp;"-"&amp;RIGHT("0"&amp;MONTH(A859),2))</ns0:f>
        <ns0:v/>
      </ns0:c>
      <ns0:c r="F859" s="28" t="str">
        <ns0:f>IF(OR(A859="",B859="",C859&lt;=0),"",IF(SUMPRODUCT(('Müşteriler'!$B$2:$B$101&lt;&gt;"")*ISNUMBER(SEARCH('Müşteriler'!$B$2:$B$101,B859)))=1,IFERROR(INDEX('Müşteriler'!$A$2:$A$101,SUMPRODUCT(('Müşteriler'!$B$2:$B$101&lt;&gt;"")*ISNUMBER(SEARCH('Müşteriler'!$B$2:$B$101,B859)),ROW('Müşteriler'!$B$2:$B$101)-ROW('Müşteriler'!$B$2)+1)),""),""))</ns0:f>
        <ns0:v/>
      </ns0:c>
      <ns0:c r="G859" s="28" t="str">
        <ns0:f>IF(F859="","",IFERROR(INDEX('Müşteriler'!$C$2:$C$101,MATCH(F859,'Müşteriler'!$A$2:$A$101,0)),""))</ns0:f>
        <ns0:v/>
      </ns0:c>
      <ns0:c r="H859" s="28" t="str">
        <ns0:f>IF(A859="","",IF(C859&lt;=0,"Satış dışı",IF(OR(F859="",G859=""),"Eşleşmedi","Eşleşti")))</ns0:f>
        <ns0:v/>
      </ns0:c>
      <ns0:c r="I859" s="28">
        <ns0:f>I858+IF(AND(H859="Eşleşmedi",E859='Panel'!$B$4),1,0)</ns0:f>
        <ns0:v>3.0</ns0:v>
      </ns0:c>
    </ns0:row>
    <ns0:row r="860" ht="21" customHeight="1">
      <ns0:c r="A860" s="25" t="n"/>
      <ns0:c r="B860" s="26" t="n"/>
      <ns0:c r="C860" s="27" t="n"/>
      <ns0:c r="D860" s="27" t="n"/>
      <ns0:c r="E860" s="28" t="str">
        <ns0:f>IF(A860="","",YEAR(A860)&amp;"-"&amp;RIGHT("0"&amp;MONTH(A860),2))</ns0:f>
        <ns0:v/>
      </ns0:c>
      <ns0:c r="F860" s="28" t="str">
        <ns0:f>IF(OR(A860="",B860="",C860&lt;=0),"",IF(SUMPRODUCT(('Müşteriler'!$B$2:$B$101&lt;&gt;"")*ISNUMBER(SEARCH('Müşteriler'!$B$2:$B$101,B860)))=1,IFERROR(INDEX('Müşteriler'!$A$2:$A$101,SUMPRODUCT(('Müşteriler'!$B$2:$B$101&lt;&gt;"")*ISNUMBER(SEARCH('Müşteriler'!$B$2:$B$101,B860)),ROW('Müşteriler'!$B$2:$B$101)-ROW('Müşteriler'!$B$2)+1)),""),""))</ns0:f>
        <ns0:v/>
      </ns0:c>
      <ns0:c r="G860" s="28" t="str">
        <ns0:f>IF(F860="","",IFERROR(INDEX('Müşteriler'!$C$2:$C$101,MATCH(F860,'Müşteriler'!$A$2:$A$101,0)),""))</ns0:f>
        <ns0:v/>
      </ns0:c>
      <ns0:c r="H860" s="28" t="str">
        <ns0:f>IF(A860="","",IF(C860&lt;=0,"Satış dışı",IF(OR(F860="",G860=""),"Eşleşmedi","Eşleşti")))</ns0:f>
        <ns0:v/>
      </ns0:c>
      <ns0:c r="I860" s="28">
        <ns0:f>I859+IF(AND(H860="Eşleşmedi",E860='Panel'!$B$4),1,0)</ns0:f>
        <ns0:v>3.0</ns0:v>
      </ns0:c>
    </ns0:row>
    <ns0:row r="861" ht="21" customHeight="1">
      <ns0:c r="A861" s="25" t="n"/>
      <ns0:c r="B861" s="26" t="n"/>
      <ns0:c r="C861" s="27" t="n"/>
      <ns0:c r="D861" s="27" t="n"/>
      <ns0:c r="E861" s="28" t="str">
        <ns0:f>IF(A861="","",YEAR(A861)&amp;"-"&amp;RIGHT("0"&amp;MONTH(A861),2))</ns0:f>
        <ns0:v/>
      </ns0:c>
      <ns0:c r="F861" s="28" t="str">
        <ns0:f>IF(OR(A861="",B861="",C861&lt;=0),"",IF(SUMPRODUCT(('Müşteriler'!$B$2:$B$101&lt;&gt;"")*ISNUMBER(SEARCH('Müşteriler'!$B$2:$B$101,B861)))=1,IFERROR(INDEX('Müşteriler'!$A$2:$A$101,SUMPRODUCT(('Müşteriler'!$B$2:$B$101&lt;&gt;"")*ISNUMBER(SEARCH('Müşteriler'!$B$2:$B$101,B861)),ROW('Müşteriler'!$B$2:$B$101)-ROW('Müşteriler'!$B$2)+1)),""),""))</ns0:f>
        <ns0:v/>
      </ns0:c>
      <ns0:c r="G861" s="28" t="str">
        <ns0:f>IF(F861="","",IFERROR(INDEX('Müşteriler'!$C$2:$C$101,MATCH(F861,'Müşteriler'!$A$2:$A$101,0)),""))</ns0:f>
        <ns0:v/>
      </ns0:c>
      <ns0:c r="H861" s="28" t="str">
        <ns0:f>IF(A861="","",IF(C861&lt;=0,"Satış dışı",IF(OR(F861="",G861=""),"Eşleşmedi","Eşleşti")))</ns0:f>
        <ns0:v/>
      </ns0:c>
      <ns0:c r="I861" s="28">
        <ns0:f>I860+IF(AND(H861="Eşleşmedi",E861='Panel'!$B$4),1,0)</ns0:f>
        <ns0:v>3.0</ns0:v>
      </ns0:c>
    </ns0:row>
    <ns0:row r="862" ht="21" customHeight="1">
      <ns0:c r="A862" s="25" t="n"/>
      <ns0:c r="B862" s="26" t="n"/>
      <ns0:c r="C862" s="27" t="n"/>
      <ns0:c r="D862" s="27" t="n"/>
      <ns0:c r="E862" s="28" t="str">
        <ns0:f>IF(A862="","",YEAR(A862)&amp;"-"&amp;RIGHT("0"&amp;MONTH(A862),2))</ns0:f>
        <ns0:v/>
      </ns0:c>
      <ns0:c r="F862" s="28" t="str">
        <ns0:f>IF(OR(A862="",B862="",C862&lt;=0),"",IF(SUMPRODUCT(('Müşteriler'!$B$2:$B$101&lt;&gt;"")*ISNUMBER(SEARCH('Müşteriler'!$B$2:$B$101,B862)))=1,IFERROR(INDEX('Müşteriler'!$A$2:$A$101,SUMPRODUCT(('Müşteriler'!$B$2:$B$101&lt;&gt;"")*ISNUMBER(SEARCH('Müşteriler'!$B$2:$B$101,B862)),ROW('Müşteriler'!$B$2:$B$101)-ROW('Müşteriler'!$B$2)+1)),""),""))</ns0:f>
        <ns0:v/>
      </ns0:c>
      <ns0:c r="G862" s="28" t="str">
        <ns0:f>IF(F862="","",IFERROR(INDEX('Müşteriler'!$C$2:$C$101,MATCH(F862,'Müşteriler'!$A$2:$A$101,0)),""))</ns0:f>
        <ns0:v/>
      </ns0:c>
      <ns0:c r="H862" s="28" t="str">
        <ns0:f>IF(A862="","",IF(C862&lt;=0,"Satış dışı",IF(OR(F862="",G862=""),"Eşleşmedi","Eşleşti")))</ns0:f>
        <ns0:v/>
      </ns0:c>
      <ns0:c r="I862" s="28">
        <ns0:f>I861+IF(AND(H862="Eşleşmedi",E862='Panel'!$B$4),1,0)</ns0:f>
        <ns0:v>3.0</ns0:v>
      </ns0:c>
    </ns0:row>
    <ns0:row r="863" ht="21" customHeight="1">
      <ns0:c r="A863" s="25" t="n"/>
      <ns0:c r="B863" s="26" t="n"/>
      <ns0:c r="C863" s="27" t="n"/>
      <ns0:c r="D863" s="27" t="n"/>
      <ns0:c r="E863" s="28" t="str">
        <ns0:f>IF(A863="","",YEAR(A863)&amp;"-"&amp;RIGHT("0"&amp;MONTH(A863),2))</ns0:f>
        <ns0:v/>
      </ns0:c>
      <ns0:c r="F863" s="28" t="str">
        <ns0:f>IF(OR(A863="",B863="",C863&lt;=0),"",IF(SUMPRODUCT(('Müşteriler'!$B$2:$B$101&lt;&gt;"")*ISNUMBER(SEARCH('Müşteriler'!$B$2:$B$101,B863)))=1,IFERROR(INDEX('Müşteriler'!$A$2:$A$101,SUMPRODUCT(('Müşteriler'!$B$2:$B$101&lt;&gt;"")*ISNUMBER(SEARCH('Müşteriler'!$B$2:$B$101,B863)),ROW('Müşteriler'!$B$2:$B$101)-ROW('Müşteriler'!$B$2)+1)),""),""))</ns0:f>
        <ns0:v/>
      </ns0:c>
      <ns0:c r="G863" s="28" t="str">
        <ns0:f>IF(F863="","",IFERROR(INDEX('Müşteriler'!$C$2:$C$101,MATCH(F863,'Müşteriler'!$A$2:$A$101,0)),""))</ns0:f>
        <ns0:v/>
      </ns0:c>
      <ns0:c r="H863" s="28" t="str">
        <ns0:f>IF(A863="","",IF(C863&lt;=0,"Satış dışı",IF(OR(F863="",G863=""),"Eşleşmedi","Eşleşti")))</ns0:f>
        <ns0:v/>
      </ns0:c>
      <ns0:c r="I863" s="28">
        <ns0:f>I862+IF(AND(H863="Eşleşmedi",E863='Panel'!$B$4),1,0)</ns0:f>
        <ns0:v>3.0</ns0:v>
      </ns0:c>
    </ns0:row>
    <ns0:row r="864" ht="21" customHeight="1">
      <ns0:c r="A864" s="25" t="n"/>
      <ns0:c r="B864" s="26" t="n"/>
      <ns0:c r="C864" s="27" t="n"/>
      <ns0:c r="D864" s="27" t="n"/>
      <ns0:c r="E864" s="28" t="str">
        <ns0:f>IF(A864="","",YEAR(A864)&amp;"-"&amp;RIGHT("0"&amp;MONTH(A864),2))</ns0:f>
        <ns0:v/>
      </ns0:c>
      <ns0:c r="F864" s="28" t="str">
        <ns0:f>IF(OR(A864="",B864="",C864&lt;=0),"",IF(SUMPRODUCT(('Müşteriler'!$B$2:$B$101&lt;&gt;"")*ISNUMBER(SEARCH('Müşteriler'!$B$2:$B$101,B864)))=1,IFERROR(INDEX('Müşteriler'!$A$2:$A$101,SUMPRODUCT(('Müşteriler'!$B$2:$B$101&lt;&gt;"")*ISNUMBER(SEARCH('Müşteriler'!$B$2:$B$101,B864)),ROW('Müşteriler'!$B$2:$B$101)-ROW('Müşteriler'!$B$2)+1)),""),""))</ns0:f>
        <ns0:v/>
      </ns0:c>
      <ns0:c r="G864" s="28" t="str">
        <ns0:f>IF(F864="","",IFERROR(INDEX('Müşteriler'!$C$2:$C$101,MATCH(F864,'Müşteriler'!$A$2:$A$101,0)),""))</ns0:f>
        <ns0:v/>
      </ns0:c>
      <ns0:c r="H864" s="28" t="str">
        <ns0:f>IF(A864="","",IF(C864&lt;=0,"Satış dışı",IF(OR(F864="",G864=""),"Eşleşmedi","Eşleşti")))</ns0:f>
        <ns0:v/>
      </ns0:c>
      <ns0:c r="I864" s="28">
        <ns0:f>I863+IF(AND(H864="Eşleşmedi",E864='Panel'!$B$4),1,0)</ns0:f>
        <ns0:v>3.0</ns0:v>
      </ns0:c>
    </ns0:row>
    <ns0:row r="865" ht="21" customHeight="1">
      <ns0:c r="A865" s="25" t="n"/>
      <ns0:c r="B865" s="26" t="n"/>
      <ns0:c r="C865" s="27" t="n"/>
      <ns0:c r="D865" s="27" t="n"/>
      <ns0:c r="E865" s="28" t="str">
        <ns0:f>IF(A865="","",YEAR(A865)&amp;"-"&amp;RIGHT("0"&amp;MONTH(A865),2))</ns0:f>
        <ns0:v/>
      </ns0:c>
      <ns0:c r="F865" s="28" t="str">
        <ns0:f>IF(OR(A865="",B865="",C865&lt;=0),"",IF(SUMPRODUCT(('Müşteriler'!$B$2:$B$101&lt;&gt;"")*ISNUMBER(SEARCH('Müşteriler'!$B$2:$B$101,B865)))=1,IFERROR(INDEX('Müşteriler'!$A$2:$A$101,SUMPRODUCT(('Müşteriler'!$B$2:$B$101&lt;&gt;"")*ISNUMBER(SEARCH('Müşteriler'!$B$2:$B$101,B865)),ROW('Müşteriler'!$B$2:$B$101)-ROW('Müşteriler'!$B$2)+1)),""),""))</ns0:f>
        <ns0:v/>
      </ns0:c>
      <ns0:c r="G865" s="28" t="str">
        <ns0:f>IF(F865="","",IFERROR(INDEX('Müşteriler'!$C$2:$C$101,MATCH(F865,'Müşteriler'!$A$2:$A$101,0)),""))</ns0:f>
        <ns0:v/>
      </ns0:c>
      <ns0:c r="H865" s="28" t="str">
        <ns0:f>IF(A865="","",IF(C865&lt;=0,"Satış dışı",IF(OR(F865="",G865=""),"Eşleşmedi","Eşleşti")))</ns0:f>
        <ns0:v/>
      </ns0:c>
      <ns0:c r="I865" s="28">
        <ns0:f>I864+IF(AND(H865="Eşleşmedi",E865='Panel'!$B$4),1,0)</ns0:f>
        <ns0:v>3.0</ns0:v>
      </ns0:c>
    </ns0:row>
    <ns0:row r="866" ht="21" customHeight="1">
      <ns0:c r="A866" s="25" t="n"/>
      <ns0:c r="B866" s="26" t="n"/>
      <ns0:c r="C866" s="27" t="n"/>
      <ns0:c r="D866" s="27" t="n"/>
      <ns0:c r="E866" s="28" t="str">
        <ns0:f>IF(A866="","",YEAR(A866)&amp;"-"&amp;RIGHT("0"&amp;MONTH(A866),2))</ns0:f>
        <ns0:v/>
      </ns0:c>
      <ns0:c r="F866" s="28" t="str">
        <ns0:f>IF(OR(A866="",B866="",C866&lt;=0),"",IF(SUMPRODUCT(('Müşteriler'!$B$2:$B$101&lt;&gt;"")*ISNUMBER(SEARCH('Müşteriler'!$B$2:$B$101,B866)))=1,IFERROR(INDEX('Müşteriler'!$A$2:$A$101,SUMPRODUCT(('Müşteriler'!$B$2:$B$101&lt;&gt;"")*ISNUMBER(SEARCH('Müşteriler'!$B$2:$B$101,B866)),ROW('Müşteriler'!$B$2:$B$101)-ROW('Müşteriler'!$B$2)+1)),""),""))</ns0:f>
        <ns0:v/>
      </ns0:c>
      <ns0:c r="G866" s="28" t="str">
        <ns0:f>IF(F866="","",IFERROR(INDEX('Müşteriler'!$C$2:$C$101,MATCH(F866,'Müşteriler'!$A$2:$A$101,0)),""))</ns0:f>
        <ns0:v/>
      </ns0:c>
      <ns0:c r="H866" s="28" t="str">
        <ns0:f>IF(A866="","",IF(C866&lt;=0,"Satış dışı",IF(OR(F866="",G866=""),"Eşleşmedi","Eşleşti")))</ns0:f>
        <ns0:v/>
      </ns0:c>
      <ns0:c r="I866" s="28">
        <ns0:f>I865+IF(AND(H866="Eşleşmedi",E866='Panel'!$B$4),1,0)</ns0:f>
        <ns0:v>3.0</ns0:v>
      </ns0:c>
    </ns0:row>
    <ns0:row r="867" ht="21" customHeight="1">
      <ns0:c r="A867" s="25" t="n"/>
      <ns0:c r="B867" s="26" t="n"/>
      <ns0:c r="C867" s="27" t="n"/>
      <ns0:c r="D867" s="27" t="n"/>
      <ns0:c r="E867" s="28" t="str">
        <ns0:f>IF(A867="","",YEAR(A867)&amp;"-"&amp;RIGHT("0"&amp;MONTH(A867),2))</ns0:f>
        <ns0:v/>
      </ns0:c>
      <ns0:c r="F867" s="28" t="str">
        <ns0:f>IF(OR(A867="",B867="",C867&lt;=0),"",IF(SUMPRODUCT(('Müşteriler'!$B$2:$B$101&lt;&gt;"")*ISNUMBER(SEARCH('Müşteriler'!$B$2:$B$101,B867)))=1,IFERROR(INDEX('Müşteriler'!$A$2:$A$101,SUMPRODUCT(('Müşteriler'!$B$2:$B$101&lt;&gt;"")*ISNUMBER(SEARCH('Müşteriler'!$B$2:$B$101,B867)),ROW('Müşteriler'!$B$2:$B$101)-ROW('Müşteriler'!$B$2)+1)),""),""))</ns0:f>
        <ns0:v/>
      </ns0:c>
      <ns0:c r="G867" s="28" t="str">
        <ns0:f>IF(F867="","",IFERROR(INDEX('Müşteriler'!$C$2:$C$101,MATCH(F867,'Müşteriler'!$A$2:$A$101,0)),""))</ns0:f>
        <ns0:v/>
      </ns0:c>
      <ns0:c r="H867" s="28" t="str">
        <ns0:f>IF(A867="","",IF(C867&lt;=0,"Satış dışı",IF(OR(F867="",G867=""),"Eşleşmedi","Eşleşti")))</ns0:f>
        <ns0:v/>
      </ns0:c>
      <ns0:c r="I867" s="28">
        <ns0:f>I866+IF(AND(H867="Eşleşmedi",E867='Panel'!$B$4),1,0)</ns0:f>
        <ns0:v>3.0</ns0:v>
      </ns0:c>
    </ns0:row>
    <ns0:row r="868" ht="21" customHeight="1">
      <ns0:c r="A868" s="25" t="n"/>
      <ns0:c r="B868" s="26" t="n"/>
      <ns0:c r="C868" s="27" t="n"/>
      <ns0:c r="D868" s="27" t="n"/>
      <ns0:c r="E868" s="28" t="str">
        <ns0:f>IF(A868="","",YEAR(A868)&amp;"-"&amp;RIGHT("0"&amp;MONTH(A868),2))</ns0:f>
        <ns0:v/>
      </ns0:c>
      <ns0:c r="F868" s="28" t="str">
        <ns0:f>IF(OR(A868="",B868="",C868&lt;=0),"",IF(SUMPRODUCT(('Müşteriler'!$B$2:$B$101&lt;&gt;"")*ISNUMBER(SEARCH('Müşteriler'!$B$2:$B$101,B868)))=1,IFERROR(INDEX('Müşteriler'!$A$2:$A$101,SUMPRODUCT(('Müşteriler'!$B$2:$B$101&lt;&gt;"")*ISNUMBER(SEARCH('Müşteriler'!$B$2:$B$101,B868)),ROW('Müşteriler'!$B$2:$B$101)-ROW('Müşteriler'!$B$2)+1)),""),""))</ns0:f>
        <ns0:v/>
      </ns0:c>
      <ns0:c r="G868" s="28" t="str">
        <ns0:f>IF(F868="","",IFERROR(INDEX('Müşteriler'!$C$2:$C$101,MATCH(F868,'Müşteriler'!$A$2:$A$101,0)),""))</ns0:f>
        <ns0:v/>
      </ns0:c>
      <ns0:c r="H868" s="28" t="str">
        <ns0:f>IF(A868="","",IF(C868&lt;=0,"Satış dışı",IF(OR(F868="",G868=""),"Eşleşmedi","Eşleşti")))</ns0:f>
        <ns0:v/>
      </ns0:c>
      <ns0:c r="I868" s="28">
        <ns0:f>I867+IF(AND(H868="Eşleşmedi",E868='Panel'!$B$4),1,0)</ns0:f>
        <ns0:v>3.0</ns0:v>
      </ns0:c>
    </ns0:row>
    <ns0:row r="869" ht="21" customHeight="1">
      <ns0:c r="A869" s="25" t="n"/>
      <ns0:c r="B869" s="26" t="n"/>
      <ns0:c r="C869" s="27" t="n"/>
      <ns0:c r="D869" s="27" t="n"/>
      <ns0:c r="E869" s="28" t="str">
        <ns0:f>IF(A869="","",YEAR(A869)&amp;"-"&amp;RIGHT("0"&amp;MONTH(A869),2))</ns0:f>
        <ns0:v/>
      </ns0:c>
      <ns0:c r="F869" s="28" t="str">
        <ns0:f>IF(OR(A869="",B869="",C869&lt;=0),"",IF(SUMPRODUCT(('Müşteriler'!$B$2:$B$101&lt;&gt;"")*ISNUMBER(SEARCH('Müşteriler'!$B$2:$B$101,B869)))=1,IFERROR(INDEX('Müşteriler'!$A$2:$A$101,SUMPRODUCT(('Müşteriler'!$B$2:$B$101&lt;&gt;"")*ISNUMBER(SEARCH('Müşteriler'!$B$2:$B$101,B869)),ROW('Müşteriler'!$B$2:$B$101)-ROW('Müşteriler'!$B$2)+1)),""),""))</ns0:f>
        <ns0:v/>
      </ns0:c>
      <ns0:c r="G869" s="28" t="str">
        <ns0:f>IF(F869="","",IFERROR(INDEX('Müşteriler'!$C$2:$C$101,MATCH(F869,'Müşteriler'!$A$2:$A$101,0)),""))</ns0:f>
        <ns0:v/>
      </ns0:c>
      <ns0:c r="H869" s="28" t="str">
        <ns0:f>IF(A869="","",IF(C869&lt;=0,"Satış dışı",IF(OR(F869="",G869=""),"Eşleşmedi","Eşleşti")))</ns0:f>
        <ns0:v/>
      </ns0:c>
      <ns0:c r="I869" s="28">
        <ns0:f>I868+IF(AND(H869="Eşleşmedi",E869='Panel'!$B$4),1,0)</ns0:f>
        <ns0:v>3.0</ns0:v>
      </ns0:c>
    </ns0:row>
    <ns0:row r="870" ht="21" customHeight="1">
      <ns0:c r="A870" s="25" t="n"/>
      <ns0:c r="B870" s="26" t="n"/>
      <ns0:c r="C870" s="27" t="n"/>
      <ns0:c r="D870" s="27" t="n"/>
      <ns0:c r="E870" s="28" t="str">
        <ns0:f>IF(A870="","",YEAR(A870)&amp;"-"&amp;RIGHT("0"&amp;MONTH(A870),2))</ns0:f>
        <ns0:v/>
      </ns0:c>
      <ns0:c r="F870" s="28" t="str">
        <ns0:f>IF(OR(A870="",B870="",C870&lt;=0),"",IF(SUMPRODUCT(('Müşteriler'!$B$2:$B$101&lt;&gt;"")*ISNUMBER(SEARCH('Müşteriler'!$B$2:$B$101,B870)))=1,IFERROR(INDEX('Müşteriler'!$A$2:$A$101,SUMPRODUCT(('Müşteriler'!$B$2:$B$101&lt;&gt;"")*ISNUMBER(SEARCH('Müşteriler'!$B$2:$B$101,B870)),ROW('Müşteriler'!$B$2:$B$101)-ROW('Müşteriler'!$B$2)+1)),""),""))</ns0:f>
        <ns0:v/>
      </ns0:c>
      <ns0:c r="G870" s="28" t="str">
        <ns0:f>IF(F870="","",IFERROR(INDEX('Müşteriler'!$C$2:$C$101,MATCH(F870,'Müşteriler'!$A$2:$A$101,0)),""))</ns0:f>
        <ns0:v/>
      </ns0:c>
      <ns0:c r="H870" s="28" t="str">
        <ns0:f>IF(A870="","",IF(C870&lt;=0,"Satış dışı",IF(OR(F870="",G870=""),"Eşleşmedi","Eşleşti")))</ns0:f>
        <ns0:v/>
      </ns0:c>
      <ns0:c r="I870" s="28">
        <ns0:f>I869+IF(AND(H870="Eşleşmedi",E870='Panel'!$B$4),1,0)</ns0:f>
        <ns0:v>3.0</ns0:v>
      </ns0:c>
    </ns0:row>
    <ns0:row r="871" ht="21" customHeight="1">
      <ns0:c r="A871" s="25" t="n"/>
      <ns0:c r="B871" s="26" t="n"/>
      <ns0:c r="C871" s="27" t="n"/>
      <ns0:c r="D871" s="27" t="n"/>
      <ns0:c r="E871" s="28" t="str">
        <ns0:f>IF(A871="","",YEAR(A871)&amp;"-"&amp;RIGHT("0"&amp;MONTH(A871),2))</ns0:f>
        <ns0:v/>
      </ns0:c>
      <ns0:c r="F871" s="28" t="str">
        <ns0:f>IF(OR(A871="",B871="",C871&lt;=0),"",IF(SUMPRODUCT(('Müşteriler'!$B$2:$B$101&lt;&gt;"")*ISNUMBER(SEARCH('Müşteriler'!$B$2:$B$101,B871)))=1,IFERROR(INDEX('Müşteriler'!$A$2:$A$101,SUMPRODUCT(('Müşteriler'!$B$2:$B$101&lt;&gt;"")*ISNUMBER(SEARCH('Müşteriler'!$B$2:$B$101,B871)),ROW('Müşteriler'!$B$2:$B$101)-ROW('Müşteriler'!$B$2)+1)),""),""))</ns0:f>
        <ns0:v/>
      </ns0:c>
      <ns0:c r="G871" s="28" t="str">
        <ns0:f>IF(F871="","",IFERROR(INDEX('Müşteriler'!$C$2:$C$101,MATCH(F871,'Müşteriler'!$A$2:$A$101,0)),""))</ns0:f>
        <ns0:v/>
      </ns0:c>
      <ns0:c r="H871" s="28" t="str">
        <ns0:f>IF(A871="","",IF(C871&lt;=0,"Satış dışı",IF(OR(F871="",G871=""),"Eşleşmedi","Eşleşti")))</ns0:f>
        <ns0:v/>
      </ns0:c>
      <ns0:c r="I871" s="28">
        <ns0:f>I870+IF(AND(H871="Eşleşmedi",E871='Panel'!$B$4),1,0)</ns0:f>
        <ns0:v>3.0</ns0:v>
      </ns0:c>
    </ns0:row>
    <ns0:row r="872" ht="21" customHeight="1">
      <ns0:c r="A872" s="25" t="n"/>
      <ns0:c r="B872" s="26" t="n"/>
      <ns0:c r="C872" s="27" t="n"/>
      <ns0:c r="D872" s="27" t="n"/>
      <ns0:c r="E872" s="28" t="str">
        <ns0:f>IF(A872="","",YEAR(A872)&amp;"-"&amp;RIGHT("0"&amp;MONTH(A872),2))</ns0:f>
        <ns0:v/>
      </ns0:c>
      <ns0:c r="F872" s="28" t="str">
        <ns0:f>IF(OR(A872="",B872="",C872&lt;=0),"",IF(SUMPRODUCT(('Müşteriler'!$B$2:$B$101&lt;&gt;"")*ISNUMBER(SEARCH('Müşteriler'!$B$2:$B$101,B872)))=1,IFERROR(INDEX('Müşteriler'!$A$2:$A$101,SUMPRODUCT(('Müşteriler'!$B$2:$B$101&lt;&gt;"")*ISNUMBER(SEARCH('Müşteriler'!$B$2:$B$101,B872)),ROW('Müşteriler'!$B$2:$B$101)-ROW('Müşteriler'!$B$2)+1)),""),""))</ns0:f>
        <ns0:v/>
      </ns0:c>
      <ns0:c r="G872" s="28" t="str">
        <ns0:f>IF(F872="","",IFERROR(INDEX('Müşteriler'!$C$2:$C$101,MATCH(F872,'Müşteriler'!$A$2:$A$101,0)),""))</ns0:f>
        <ns0:v/>
      </ns0:c>
      <ns0:c r="H872" s="28" t="str">
        <ns0:f>IF(A872="","",IF(C872&lt;=0,"Satış dışı",IF(OR(F872="",G872=""),"Eşleşmedi","Eşleşti")))</ns0:f>
        <ns0:v/>
      </ns0:c>
      <ns0:c r="I872" s="28">
        <ns0:f>I871+IF(AND(H872="Eşleşmedi",E872='Panel'!$B$4),1,0)</ns0:f>
        <ns0:v>3.0</ns0:v>
      </ns0:c>
    </ns0:row>
    <ns0:row r="873" ht="21" customHeight="1">
      <ns0:c r="A873" s="25" t="n"/>
      <ns0:c r="B873" s="26" t="n"/>
      <ns0:c r="C873" s="27" t="n"/>
      <ns0:c r="D873" s="27" t="n"/>
      <ns0:c r="E873" s="28" t="str">
        <ns0:f>IF(A873="","",YEAR(A873)&amp;"-"&amp;RIGHT("0"&amp;MONTH(A873),2))</ns0:f>
        <ns0:v/>
      </ns0:c>
      <ns0:c r="F873" s="28" t="str">
        <ns0:f>IF(OR(A873="",B873="",C873&lt;=0),"",IF(SUMPRODUCT(('Müşteriler'!$B$2:$B$101&lt;&gt;"")*ISNUMBER(SEARCH('Müşteriler'!$B$2:$B$101,B873)))=1,IFERROR(INDEX('Müşteriler'!$A$2:$A$101,SUMPRODUCT(('Müşteriler'!$B$2:$B$101&lt;&gt;"")*ISNUMBER(SEARCH('Müşteriler'!$B$2:$B$101,B873)),ROW('Müşteriler'!$B$2:$B$101)-ROW('Müşteriler'!$B$2)+1)),""),""))</ns0:f>
        <ns0:v/>
      </ns0:c>
      <ns0:c r="G873" s="28" t="str">
        <ns0:f>IF(F873="","",IFERROR(INDEX('Müşteriler'!$C$2:$C$101,MATCH(F873,'Müşteriler'!$A$2:$A$101,0)),""))</ns0:f>
        <ns0:v/>
      </ns0:c>
      <ns0:c r="H873" s="28" t="str">
        <ns0:f>IF(A873="","",IF(C873&lt;=0,"Satış dışı",IF(OR(F873="",G873=""),"Eşleşmedi","Eşleşti")))</ns0:f>
        <ns0:v/>
      </ns0:c>
      <ns0:c r="I873" s="28">
        <ns0:f>I872+IF(AND(H873="Eşleşmedi",E873='Panel'!$B$4),1,0)</ns0:f>
        <ns0:v>3.0</ns0:v>
      </ns0:c>
    </ns0:row>
    <ns0:row r="874" ht="21" customHeight="1">
      <ns0:c r="A874" s="25" t="n"/>
      <ns0:c r="B874" s="26" t="n"/>
      <ns0:c r="C874" s="27" t="n"/>
      <ns0:c r="D874" s="27" t="n"/>
      <ns0:c r="E874" s="28" t="str">
        <ns0:f>IF(A874="","",YEAR(A874)&amp;"-"&amp;RIGHT("0"&amp;MONTH(A874),2))</ns0:f>
        <ns0:v/>
      </ns0:c>
      <ns0:c r="F874" s="28" t="str">
        <ns0:f>IF(OR(A874="",B874="",C874&lt;=0),"",IF(SUMPRODUCT(('Müşteriler'!$B$2:$B$101&lt;&gt;"")*ISNUMBER(SEARCH('Müşteriler'!$B$2:$B$101,B874)))=1,IFERROR(INDEX('Müşteriler'!$A$2:$A$101,SUMPRODUCT(('Müşteriler'!$B$2:$B$101&lt;&gt;"")*ISNUMBER(SEARCH('Müşteriler'!$B$2:$B$101,B874)),ROW('Müşteriler'!$B$2:$B$101)-ROW('Müşteriler'!$B$2)+1)),""),""))</ns0:f>
        <ns0:v/>
      </ns0:c>
      <ns0:c r="G874" s="28" t="str">
        <ns0:f>IF(F874="","",IFERROR(INDEX('Müşteriler'!$C$2:$C$101,MATCH(F874,'Müşteriler'!$A$2:$A$101,0)),""))</ns0:f>
        <ns0:v/>
      </ns0:c>
      <ns0:c r="H874" s="28" t="str">
        <ns0:f>IF(A874="","",IF(C874&lt;=0,"Satış dışı",IF(OR(F874="",G874=""),"Eşleşmedi","Eşleşti")))</ns0:f>
        <ns0:v/>
      </ns0:c>
      <ns0:c r="I874" s="28">
        <ns0:f>I873+IF(AND(H874="Eşleşmedi",E874='Panel'!$B$4),1,0)</ns0:f>
        <ns0:v>3.0</ns0:v>
      </ns0:c>
    </ns0:row>
    <ns0:row r="875" ht="21" customHeight="1">
      <ns0:c r="A875" s="25" t="n"/>
      <ns0:c r="B875" s="26" t="n"/>
      <ns0:c r="C875" s="27" t="n"/>
      <ns0:c r="D875" s="27" t="n"/>
      <ns0:c r="E875" s="28" t="str">
        <ns0:f>IF(A875="","",YEAR(A875)&amp;"-"&amp;RIGHT("0"&amp;MONTH(A875),2))</ns0:f>
        <ns0:v/>
      </ns0:c>
      <ns0:c r="F875" s="28" t="str">
        <ns0:f>IF(OR(A875="",B875="",C875&lt;=0),"",IF(SUMPRODUCT(('Müşteriler'!$B$2:$B$101&lt;&gt;"")*ISNUMBER(SEARCH('Müşteriler'!$B$2:$B$101,B875)))=1,IFERROR(INDEX('Müşteriler'!$A$2:$A$101,SUMPRODUCT(('Müşteriler'!$B$2:$B$101&lt;&gt;"")*ISNUMBER(SEARCH('Müşteriler'!$B$2:$B$101,B875)),ROW('Müşteriler'!$B$2:$B$101)-ROW('Müşteriler'!$B$2)+1)),""),""))</ns0:f>
        <ns0:v/>
      </ns0:c>
      <ns0:c r="G875" s="28" t="str">
        <ns0:f>IF(F875="","",IFERROR(INDEX('Müşteriler'!$C$2:$C$101,MATCH(F875,'Müşteriler'!$A$2:$A$101,0)),""))</ns0:f>
        <ns0:v/>
      </ns0:c>
      <ns0:c r="H875" s="28" t="str">
        <ns0:f>IF(A875="","",IF(C875&lt;=0,"Satış dışı",IF(OR(F875="",G875=""),"Eşleşmedi","Eşleşti")))</ns0:f>
        <ns0:v/>
      </ns0:c>
      <ns0:c r="I875" s="28">
        <ns0:f>I874+IF(AND(H875="Eşleşmedi",E875='Panel'!$B$4),1,0)</ns0:f>
        <ns0:v>3.0</ns0:v>
      </ns0:c>
    </ns0:row>
    <ns0:row r="876" ht="21" customHeight="1">
      <ns0:c r="A876" s="25" t="n"/>
      <ns0:c r="B876" s="26" t="n"/>
      <ns0:c r="C876" s="27" t="n"/>
      <ns0:c r="D876" s="27" t="n"/>
      <ns0:c r="E876" s="28" t="str">
        <ns0:f>IF(A876="","",YEAR(A876)&amp;"-"&amp;RIGHT("0"&amp;MONTH(A876),2))</ns0:f>
        <ns0:v/>
      </ns0:c>
      <ns0:c r="F876" s="28" t="str">
        <ns0:f>IF(OR(A876="",B876="",C876&lt;=0),"",IF(SUMPRODUCT(('Müşteriler'!$B$2:$B$101&lt;&gt;"")*ISNUMBER(SEARCH('Müşteriler'!$B$2:$B$101,B876)))=1,IFERROR(INDEX('Müşteriler'!$A$2:$A$101,SUMPRODUCT(('Müşteriler'!$B$2:$B$101&lt;&gt;"")*ISNUMBER(SEARCH('Müşteriler'!$B$2:$B$101,B876)),ROW('Müşteriler'!$B$2:$B$101)-ROW('Müşteriler'!$B$2)+1)),""),""))</ns0:f>
        <ns0:v/>
      </ns0:c>
      <ns0:c r="G876" s="28" t="str">
        <ns0:f>IF(F876="","",IFERROR(INDEX('Müşteriler'!$C$2:$C$101,MATCH(F876,'Müşteriler'!$A$2:$A$101,0)),""))</ns0:f>
        <ns0:v/>
      </ns0:c>
      <ns0:c r="H876" s="28" t="str">
        <ns0:f>IF(A876="","",IF(C876&lt;=0,"Satış dışı",IF(OR(F876="",G876=""),"Eşleşmedi","Eşleşti")))</ns0:f>
        <ns0:v/>
      </ns0:c>
      <ns0:c r="I876" s="28">
        <ns0:f>I875+IF(AND(H876="Eşleşmedi",E876='Panel'!$B$4),1,0)</ns0:f>
        <ns0:v>3.0</ns0:v>
      </ns0:c>
    </ns0:row>
    <ns0:row r="877" ht="21" customHeight="1">
      <ns0:c r="A877" s="25" t="n"/>
      <ns0:c r="B877" s="26" t="n"/>
      <ns0:c r="C877" s="27" t="n"/>
      <ns0:c r="D877" s="27" t="n"/>
      <ns0:c r="E877" s="28" t="str">
        <ns0:f>IF(A877="","",YEAR(A877)&amp;"-"&amp;RIGHT("0"&amp;MONTH(A877),2))</ns0:f>
        <ns0:v/>
      </ns0:c>
      <ns0:c r="F877" s="28" t="str">
        <ns0:f>IF(OR(A877="",B877="",C877&lt;=0),"",IF(SUMPRODUCT(('Müşteriler'!$B$2:$B$101&lt;&gt;"")*ISNUMBER(SEARCH('Müşteriler'!$B$2:$B$101,B877)))=1,IFERROR(INDEX('Müşteriler'!$A$2:$A$101,SUMPRODUCT(('Müşteriler'!$B$2:$B$101&lt;&gt;"")*ISNUMBER(SEARCH('Müşteriler'!$B$2:$B$101,B877)),ROW('Müşteriler'!$B$2:$B$101)-ROW('Müşteriler'!$B$2)+1)),""),""))</ns0:f>
        <ns0:v/>
      </ns0:c>
      <ns0:c r="G877" s="28" t="str">
        <ns0:f>IF(F877="","",IFERROR(INDEX('Müşteriler'!$C$2:$C$101,MATCH(F877,'Müşteriler'!$A$2:$A$101,0)),""))</ns0:f>
        <ns0:v/>
      </ns0:c>
      <ns0:c r="H877" s="28" t="str">
        <ns0:f>IF(A877="","",IF(C877&lt;=0,"Satış dışı",IF(OR(F877="",G877=""),"Eşleşmedi","Eşleşti")))</ns0:f>
        <ns0:v/>
      </ns0:c>
      <ns0:c r="I877" s="28">
        <ns0:f>I876+IF(AND(H877="Eşleşmedi",E877='Panel'!$B$4),1,0)</ns0:f>
        <ns0:v>3.0</ns0:v>
      </ns0:c>
    </ns0:row>
    <ns0:row r="878" ht="21" customHeight="1">
      <ns0:c r="A878" s="25" t="n"/>
      <ns0:c r="B878" s="26" t="n"/>
      <ns0:c r="C878" s="27" t="n"/>
      <ns0:c r="D878" s="27" t="n"/>
      <ns0:c r="E878" s="28" t="str">
        <ns0:f>IF(A878="","",YEAR(A878)&amp;"-"&amp;RIGHT("0"&amp;MONTH(A878),2))</ns0:f>
        <ns0:v/>
      </ns0:c>
      <ns0:c r="F878" s="28" t="str">
        <ns0:f>IF(OR(A878="",B878="",C878&lt;=0),"",IF(SUMPRODUCT(('Müşteriler'!$B$2:$B$101&lt;&gt;"")*ISNUMBER(SEARCH('Müşteriler'!$B$2:$B$101,B878)))=1,IFERROR(INDEX('Müşteriler'!$A$2:$A$101,SUMPRODUCT(('Müşteriler'!$B$2:$B$101&lt;&gt;"")*ISNUMBER(SEARCH('Müşteriler'!$B$2:$B$101,B878)),ROW('Müşteriler'!$B$2:$B$101)-ROW('Müşteriler'!$B$2)+1)),""),""))</ns0:f>
        <ns0:v/>
      </ns0:c>
      <ns0:c r="G878" s="28" t="str">
        <ns0:f>IF(F878="","",IFERROR(INDEX('Müşteriler'!$C$2:$C$101,MATCH(F878,'Müşteriler'!$A$2:$A$101,0)),""))</ns0:f>
        <ns0:v/>
      </ns0:c>
      <ns0:c r="H878" s="28" t="str">
        <ns0:f>IF(A878="","",IF(C878&lt;=0,"Satış dışı",IF(OR(F878="",G878=""),"Eşleşmedi","Eşleşti")))</ns0:f>
        <ns0:v/>
      </ns0:c>
      <ns0:c r="I878" s="28">
        <ns0:f>I877+IF(AND(H878="Eşleşmedi",E878='Panel'!$B$4),1,0)</ns0:f>
        <ns0:v>3.0</ns0:v>
      </ns0:c>
    </ns0:row>
    <ns0:row r="879" ht="21" customHeight="1">
      <ns0:c r="A879" s="25" t="n"/>
      <ns0:c r="B879" s="26" t="n"/>
      <ns0:c r="C879" s="27" t="n"/>
      <ns0:c r="D879" s="27" t="n"/>
      <ns0:c r="E879" s="28" t="str">
        <ns0:f>IF(A879="","",YEAR(A879)&amp;"-"&amp;RIGHT("0"&amp;MONTH(A879),2))</ns0:f>
        <ns0:v/>
      </ns0:c>
      <ns0:c r="F879" s="28" t="str">
        <ns0:f>IF(OR(A879="",B879="",C879&lt;=0),"",IF(SUMPRODUCT(('Müşteriler'!$B$2:$B$101&lt;&gt;"")*ISNUMBER(SEARCH('Müşteriler'!$B$2:$B$101,B879)))=1,IFERROR(INDEX('Müşteriler'!$A$2:$A$101,SUMPRODUCT(('Müşteriler'!$B$2:$B$101&lt;&gt;"")*ISNUMBER(SEARCH('Müşteriler'!$B$2:$B$101,B879)),ROW('Müşteriler'!$B$2:$B$101)-ROW('Müşteriler'!$B$2)+1)),""),""))</ns0:f>
        <ns0:v/>
      </ns0:c>
      <ns0:c r="G879" s="28" t="str">
        <ns0:f>IF(F879="","",IFERROR(INDEX('Müşteriler'!$C$2:$C$101,MATCH(F879,'Müşteriler'!$A$2:$A$101,0)),""))</ns0:f>
        <ns0:v/>
      </ns0:c>
      <ns0:c r="H879" s="28" t="str">
        <ns0:f>IF(A879="","",IF(C879&lt;=0,"Satış dışı",IF(OR(F879="",G879=""),"Eşleşmedi","Eşleşti")))</ns0:f>
        <ns0:v/>
      </ns0:c>
      <ns0:c r="I879" s="28">
        <ns0:f>I878+IF(AND(H879="Eşleşmedi",E879='Panel'!$B$4),1,0)</ns0:f>
        <ns0:v>3.0</ns0:v>
      </ns0:c>
    </ns0:row>
    <ns0:row r="880" ht="21" customHeight="1">
      <ns0:c r="A880" s="25" t="n"/>
      <ns0:c r="B880" s="26" t="n"/>
      <ns0:c r="C880" s="27" t="n"/>
      <ns0:c r="D880" s="27" t="n"/>
      <ns0:c r="E880" s="28" t="str">
        <ns0:f>IF(A880="","",YEAR(A880)&amp;"-"&amp;RIGHT("0"&amp;MONTH(A880),2))</ns0:f>
        <ns0:v/>
      </ns0:c>
      <ns0:c r="F880" s="28" t="str">
        <ns0:f>IF(OR(A880="",B880="",C880&lt;=0),"",IF(SUMPRODUCT(('Müşteriler'!$B$2:$B$101&lt;&gt;"")*ISNUMBER(SEARCH('Müşteriler'!$B$2:$B$101,B880)))=1,IFERROR(INDEX('Müşteriler'!$A$2:$A$101,SUMPRODUCT(('Müşteriler'!$B$2:$B$101&lt;&gt;"")*ISNUMBER(SEARCH('Müşteriler'!$B$2:$B$101,B880)),ROW('Müşteriler'!$B$2:$B$101)-ROW('Müşteriler'!$B$2)+1)),""),""))</ns0:f>
        <ns0:v/>
      </ns0:c>
      <ns0:c r="G880" s="28" t="str">
        <ns0:f>IF(F880="","",IFERROR(INDEX('Müşteriler'!$C$2:$C$101,MATCH(F880,'Müşteriler'!$A$2:$A$101,0)),""))</ns0:f>
        <ns0:v/>
      </ns0:c>
      <ns0:c r="H880" s="28" t="str">
        <ns0:f>IF(A880="","",IF(C880&lt;=0,"Satış dışı",IF(OR(F880="",G880=""),"Eşleşmedi","Eşleşti")))</ns0:f>
        <ns0:v/>
      </ns0:c>
      <ns0:c r="I880" s="28">
        <ns0:f>I879+IF(AND(H880="Eşleşmedi",E880='Panel'!$B$4),1,0)</ns0:f>
        <ns0:v>3.0</ns0:v>
      </ns0:c>
    </ns0:row>
    <ns0:row r="881" ht="21" customHeight="1">
      <ns0:c r="A881" s="25" t="n"/>
      <ns0:c r="B881" s="26" t="n"/>
      <ns0:c r="C881" s="27" t="n"/>
      <ns0:c r="D881" s="27" t="n"/>
      <ns0:c r="E881" s="28" t="str">
        <ns0:f>IF(A881="","",YEAR(A881)&amp;"-"&amp;RIGHT("0"&amp;MONTH(A881),2))</ns0:f>
        <ns0:v/>
      </ns0:c>
      <ns0:c r="F881" s="28" t="str">
        <ns0:f>IF(OR(A881="",B881="",C881&lt;=0),"",IF(SUMPRODUCT(('Müşteriler'!$B$2:$B$101&lt;&gt;"")*ISNUMBER(SEARCH('Müşteriler'!$B$2:$B$101,B881)))=1,IFERROR(INDEX('Müşteriler'!$A$2:$A$101,SUMPRODUCT(('Müşteriler'!$B$2:$B$101&lt;&gt;"")*ISNUMBER(SEARCH('Müşteriler'!$B$2:$B$101,B881)),ROW('Müşteriler'!$B$2:$B$101)-ROW('Müşteriler'!$B$2)+1)),""),""))</ns0:f>
        <ns0:v/>
      </ns0:c>
      <ns0:c r="G881" s="28" t="str">
        <ns0:f>IF(F881="","",IFERROR(INDEX('Müşteriler'!$C$2:$C$101,MATCH(F881,'Müşteriler'!$A$2:$A$101,0)),""))</ns0:f>
        <ns0:v/>
      </ns0:c>
      <ns0:c r="H881" s="28" t="str">
        <ns0:f>IF(A881="","",IF(C881&lt;=0,"Satış dışı",IF(OR(F881="",G881=""),"Eşleşmedi","Eşleşti")))</ns0:f>
        <ns0:v/>
      </ns0:c>
      <ns0:c r="I881" s="28">
        <ns0:f>I880+IF(AND(H881="Eşleşmedi",E881='Panel'!$B$4),1,0)</ns0:f>
        <ns0:v>3.0</ns0:v>
      </ns0:c>
    </ns0:row>
    <ns0:row r="882" ht="21" customHeight="1">
      <ns0:c r="A882" s="25" t="n"/>
      <ns0:c r="B882" s="26" t="n"/>
      <ns0:c r="C882" s="27" t="n"/>
      <ns0:c r="D882" s="27" t="n"/>
      <ns0:c r="E882" s="28" t="str">
        <ns0:f>IF(A882="","",YEAR(A882)&amp;"-"&amp;RIGHT("0"&amp;MONTH(A882),2))</ns0:f>
        <ns0:v/>
      </ns0:c>
      <ns0:c r="F882" s="28" t="str">
        <ns0:f>IF(OR(A882="",B882="",C882&lt;=0),"",IF(SUMPRODUCT(('Müşteriler'!$B$2:$B$101&lt;&gt;"")*ISNUMBER(SEARCH('Müşteriler'!$B$2:$B$101,B882)))=1,IFERROR(INDEX('Müşteriler'!$A$2:$A$101,SUMPRODUCT(('Müşteriler'!$B$2:$B$101&lt;&gt;"")*ISNUMBER(SEARCH('Müşteriler'!$B$2:$B$101,B882)),ROW('Müşteriler'!$B$2:$B$101)-ROW('Müşteriler'!$B$2)+1)),""),""))</ns0:f>
        <ns0:v/>
      </ns0:c>
      <ns0:c r="G882" s="28" t="str">
        <ns0:f>IF(F882="","",IFERROR(INDEX('Müşteriler'!$C$2:$C$101,MATCH(F882,'Müşteriler'!$A$2:$A$101,0)),""))</ns0:f>
        <ns0:v/>
      </ns0:c>
      <ns0:c r="H882" s="28" t="str">
        <ns0:f>IF(A882="","",IF(C882&lt;=0,"Satış dışı",IF(OR(F882="",G882=""),"Eşleşmedi","Eşleşti")))</ns0:f>
        <ns0:v/>
      </ns0:c>
      <ns0:c r="I882" s="28">
        <ns0:f>I881+IF(AND(H882="Eşleşmedi",E882='Panel'!$B$4),1,0)</ns0:f>
        <ns0:v>3.0</ns0:v>
      </ns0:c>
    </ns0:row>
    <ns0:row r="883" ht="21" customHeight="1">
      <ns0:c r="A883" s="25" t="n"/>
      <ns0:c r="B883" s="26" t="n"/>
      <ns0:c r="C883" s="27" t="n"/>
      <ns0:c r="D883" s="27" t="n"/>
      <ns0:c r="E883" s="28" t="str">
        <ns0:f>IF(A883="","",YEAR(A883)&amp;"-"&amp;RIGHT("0"&amp;MONTH(A883),2))</ns0:f>
        <ns0:v/>
      </ns0:c>
      <ns0:c r="F883" s="28" t="str">
        <ns0:f>IF(OR(A883="",B883="",C883&lt;=0),"",IF(SUMPRODUCT(('Müşteriler'!$B$2:$B$101&lt;&gt;"")*ISNUMBER(SEARCH('Müşteriler'!$B$2:$B$101,B883)))=1,IFERROR(INDEX('Müşteriler'!$A$2:$A$101,SUMPRODUCT(('Müşteriler'!$B$2:$B$101&lt;&gt;"")*ISNUMBER(SEARCH('Müşteriler'!$B$2:$B$101,B883)),ROW('Müşteriler'!$B$2:$B$101)-ROW('Müşteriler'!$B$2)+1)),""),""))</ns0:f>
        <ns0:v/>
      </ns0:c>
      <ns0:c r="G883" s="28" t="str">
        <ns0:f>IF(F883="","",IFERROR(INDEX('Müşteriler'!$C$2:$C$101,MATCH(F883,'Müşteriler'!$A$2:$A$101,0)),""))</ns0:f>
        <ns0:v/>
      </ns0:c>
      <ns0:c r="H883" s="28" t="str">
        <ns0:f>IF(A883="","",IF(C883&lt;=0,"Satış dışı",IF(OR(F883="",G883=""),"Eşleşmedi","Eşleşti")))</ns0:f>
        <ns0:v/>
      </ns0:c>
      <ns0:c r="I883" s="28">
        <ns0:f>I882+IF(AND(H883="Eşleşmedi",E883='Panel'!$B$4),1,0)</ns0:f>
        <ns0:v>3.0</ns0:v>
      </ns0:c>
    </ns0:row>
    <ns0:row r="884" ht="21" customHeight="1">
      <ns0:c r="A884" s="25" t="n"/>
      <ns0:c r="B884" s="26" t="n"/>
      <ns0:c r="C884" s="27" t="n"/>
      <ns0:c r="D884" s="27" t="n"/>
      <ns0:c r="E884" s="28" t="str">
        <ns0:f>IF(A884="","",YEAR(A884)&amp;"-"&amp;RIGHT("0"&amp;MONTH(A884),2))</ns0:f>
        <ns0:v/>
      </ns0:c>
      <ns0:c r="F884" s="28" t="str">
        <ns0:f>IF(OR(A884="",B884="",C884&lt;=0),"",IF(SUMPRODUCT(('Müşteriler'!$B$2:$B$101&lt;&gt;"")*ISNUMBER(SEARCH('Müşteriler'!$B$2:$B$101,B884)))=1,IFERROR(INDEX('Müşteriler'!$A$2:$A$101,SUMPRODUCT(('Müşteriler'!$B$2:$B$101&lt;&gt;"")*ISNUMBER(SEARCH('Müşteriler'!$B$2:$B$101,B884)),ROW('Müşteriler'!$B$2:$B$101)-ROW('Müşteriler'!$B$2)+1)),""),""))</ns0:f>
        <ns0:v/>
      </ns0:c>
      <ns0:c r="G884" s="28" t="str">
        <ns0:f>IF(F884="","",IFERROR(INDEX('Müşteriler'!$C$2:$C$101,MATCH(F884,'Müşteriler'!$A$2:$A$101,0)),""))</ns0:f>
        <ns0:v/>
      </ns0:c>
      <ns0:c r="H884" s="28" t="str">
        <ns0:f>IF(A884="","",IF(C884&lt;=0,"Satış dışı",IF(OR(F884="",G884=""),"Eşleşmedi","Eşleşti")))</ns0:f>
        <ns0:v/>
      </ns0:c>
      <ns0:c r="I884" s="28">
        <ns0:f>I883+IF(AND(H884="Eşleşmedi",E884='Panel'!$B$4),1,0)</ns0:f>
        <ns0:v>3.0</ns0:v>
      </ns0:c>
    </ns0:row>
    <ns0:row r="885" ht="21" customHeight="1">
      <ns0:c r="A885" s="25" t="n"/>
      <ns0:c r="B885" s="26" t="n"/>
      <ns0:c r="C885" s="27" t="n"/>
      <ns0:c r="D885" s="27" t="n"/>
      <ns0:c r="E885" s="28" t="str">
        <ns0:f>IF(A885="","",YEAR(A885)&amp;"-"&amp;RIGHT("0"&amp;MONTH(A885),2))</ns0:f>
        <ns0:v/>
      </ns0:c>
      <ns0:c r="F885" s="28" t="str">
        <ns0:f>IF(OR(A885="",B885="",C885&lt;=0),"",IF(SUMPRODUCT(('Müşteriler'!$B$2:$B$101&lt;&gt;"")*ISNUMBER(SEARCH('Müşteriler'!$B$2:$B$101,B885)))=1,IFERROR(INDEX('Müşteriler'!$A$2:$A$101,SUMPRODUCT(('Müşteriler'!$B$2:$B$101&lt;&gt;"")*ISNUMBER(SEARCH('Müşteriler'!$B$2:$B$101,B885)),ROW('Müşteriler'!$B$2:$B$101)-ROW('Müşteriler'!$B$2)+1)),""),""))</ns0:f>
        <ns0:v/>
      </ns0:c>
      <ns0:c r="G885" s="28" t="str">
        <ns0:f>IF(F885="","",IFERROR(INDEX('Müşteriler'!$C$2:$C$101,MATCH(F885,'Müşteriler'!$A$2:$A$101,0)),""))</ns0:f>
        <ns0:v/>
      </ns0:c>
      <ns0:c r="H885" s="28" t="str">
        <ns0:f>IF(A885="","",IF(C885&lt;=0,"Satış dışı",IF(OR(F885="",G885=""),"Eşleşmedi","Eşleşti")))</ns0:f>
        <ns0:v/>
      </ns0:c>
      <ns0:c r="I885" s="28">
        <ns0:f>I884+IF(AND(H885="Eşleşmedi",E885='Panel'!$B$4),1,0)</ns0:f>
        <ns0:v>3.0</ns0:v>
      </ns0:c>
    </ns0:row>
    <ns0:row r="886" ht="21" customHeight="1">
      <ns0:c r="A886" s="25" t="n"/>
      <ns0:c r="B886" s="26" t="n"/>
      <ns0:c r="C886" s="27" t="n"/>
      <ns0:c r="D886" s="27" t="n"/>
      <ns0:c r="E886" s="28" t="str">
        <ns0:f>IF(A886="","",YEAR(A886)&amp;"-"&amp;RIGHT("0"&amp;MONTH(A886),2))</ns0:f>
        <ns0:v/>
      </ns0:c>
      <ns0:c r="F886" s="28" t="str">
        <ns0:f>IF(OR(A886="",B886="",C886&lt;=0),"",IF(SUMPRODUCT(('Müşteriler'!$B$2:$B$101&lt;&gt;"")*ISNUMBER(SEARCH('Müşteriler'!$B$2:$B$101,B886)))=1,IFERROR(INDEX('Müşteriler'!$A$2:$A$101,SUMPRODUCT(('Müşteriler'!$B$2:$B$101&lt;&gt;"")*ISNUMBER(SEARCH('Müşteriler'!$B$2:$B$101,B886)),ROW('Müşteriler'!$B$2:$B$101)-ROW('Müşteriler'!$B$2)+1)),""),""))</ns0:f>
        <ns0:v/>
      </ns0:c>
      <ns0:c r="G886" s="28" t="str">
        <ns0:f>IF(F886="","",IFERROR(INDEX('Müşteriler'!$C$2:$C$101,MATCH(F886,'Müşteriler'!$A$2:$A$101,0)),""))</ns0:f>
        <ns0:v/>
      </ns0:c>
      <ns0:c r="H886" s="28" t="str">
        <ns0:f>IF(A886="","",IF(C886&lt;=0,"Satış dışı",IF(OR(F886="",G886=""),"Eşleşmedi","Eşleşti")))</ns0:f>
        <ns0:v/>
      </ns0:c>
      <ns0:c r="I886" s="28">
        <ns0:f>I885+IF(AND(H886="Eşleşmedi",E886='Panel'!$B$4),1,0)</ns0:f>
        <ns0:v>3.0</ns0:v>
      </ns0:c>
    </ns0:row>
    <ns0:row r="887" ht="21" customHeight="1">
      <ns0:c r="A887" s="25" t="n"/>
      <ns0:c r="B887" s="26" t="n"/>
      <ns0:c r="C887" s="27" t="n"/>
      <ns0:c r="D887" s="27" t="n"/>
      <ns0:c r="E887" s="28" t="str">
        <ns0:f>IF(A887="","",YEAR(A887)&amp;"-"&amp;RIGHT("0"&amp;MONTH(A887),2))</ns0:f>
        <ns0:v/>
      </ns0:c>
      <ns0:c r="F887" s="28" t="str">
        <ns0:f>IF(OR(A887="",B887="",C887&lt;=0),"",IF(SUMPRODUCT(('Müşteriler'!$B$2:$B$101&lt;&gt;"")*ISNUMBER(SEARCH('Müşteriler'!$B$2:$B$101,B887)))=1,IFERROR(INDEX('Müşteriler'!$A$2:$A$101,SUMPRODUCT(('Müşteriler'!$B$2:$B$101&lt;&gt;"")*ISNUMBER(SEARCH('Müşteriler'!$B$2:$B$101,B887)),ROW('Müşteriler'!$B$2:$B$101)-ROW('Müşteriler'!$B$2)+1)),""),""))</ns0:f>
        <ns0:v/>
      </ns0:c>
      <ns0:c r="G887" s="28" t="str">
        <ns0:f>IF(F887="","",IFERROR(INDEX('Müşteriler'!$C$2:$C$101,MATCH(F887,'Müşteriler'!$A$2:$A$101,0)),""))</ns0:f>
        <ns0:v/>
      </ns0:c>
      <ns0:c r="H887" s="28" t="str">
        <ns0:f>IF(A887="","",IF(C887&lt;=0,"Satış dışı",IF(OR(F887="",G887=""),"Eşleşmedi","Eşleşti")))</ns0:f>
        <ns0:v/>
      </ns0:c>
      <ns0:c r="I887" s="28">
        <ns0:f>I886+IF(AND(H887="Eşleşmedi",E887='Panel'!$B$4),1,0)</ns0:f>
        <ns0:v>3.0</ns0:v>
      </ns0:c>
    </ns0:row>
    <ns0:row r="888" ht="21" customHeight="1">
      <ns0:c r="A888" s="25" t="n"/>
      <ns0:c r="B888" s="26" t="n"/>
      <ns0:c r="C888" s="27" t="n"/>
      <ns0:c r="D888" s="27" t="n"/>
      <ns0:c r="E888" s="28" t="str">
        <ns0:f>IF(A888="","",YEAR(A888)&amp;"-"&amp;RIGHT("0"&amp;MONTH(A888),2))</ns0:f>
        <ns0:v/>
      </ns0:c>
      <ns0:c r="F888" s="28" t="str">
        <ns0:f>IF(OR(A888="",B888="",C888&lt;=0),"",IF(SUMPRODUCT(('Müşteriler'!$B$2:$B$101&lt;&gt;"")*ISNUMBER(SEARCH('Müşteriler'!$B$2:$B$101,B888)))=1,IFERROR(INDEX('Müşteriler'!$A$2:$A$101,SUMPRODUCT(('Müşteriler'!$B$2:$B$101&lt;&gt;"")*ISNUMBER(SEARCH('Müşteriler'!$B$2:$B$101,B888)),ROW('Müşteriler'!$B$2:$B$101)-ROW('Müşteriler'!$B$2)+1)),""),""))</ns0:f>
        <ns0:v/>
      </ns0:c>
      <ns0:c r="G888" s="28" t="str">
        <ns0:f>IF(F888="","",IFERROR(INDEX('Müşteriler'!$C$2:$C$101,MATCH(F888,'Müşteriler'!$A$2:$A$101,0)),""))</ns0:f>
        <ns0:v/>
      </ns0:c>
      <ns0:c r="H888" s="28" t="str">
        <ns0:f>IF(A888="","",IF(C888&lt;=0,"Satış dışı",IF(OR(F888="",G888=""),"Eşleşmedi","Eşleşti")))</ns0:f>
        <ns0:v/>
      </ns0:c>
      <ns0:c r="I888" s="28">
        <ns0:f>I887+IF(AND(H888="Eşleşmedi",E888='Panel'!$B$4),1,0)</ns0:f>
        <ns0:v>3.0</ns0:v>
      </ns0:c>
    </ns0:row>
    <ns0:row r="889" ht="21" customHeight="1">
      <ns0:c r="A889" s="25" t="n"/>
      <ns0:c r="B889" s="26" t="n"/>
      <ns0:c r="C889" s="27" t="n"/>
      <ns0:c r="D889" s="27" t="n"/>
      <ns0:c r="E889" s="28" t="str">
        <ns0:f>IF(A889="","",YEAR(A889)&amp;"-"&amp;RIGHT("0"&amp;MONTH(A889),2))</ns0:f>
        <ns0:v/>
      </ns0:c>
      <ns0:c r="F889" s="28" t="str">
        <ns0:f>IF(OR(A889="",B889="",C889&lt;=0),"",IF(SUMPRODUCT(('Müşteriler'!$B$2:$B$101&lt;&gt;"")*ISNUMBER(SEARCH('Müşteriler'!$B$2:$B$101,B889)))=1,IFERROR(INDEX('Müşteriler'!$A$2:$A$101,SUMPRODUCT(('Müşteriler'!$B$2:$B$101&lt;&gt;"")*ISNUMBER(SEARCH('Müşteriler'!$B$2:$B$101,B889)),ROW('Müşteriler'!$B$2:$B$101)-ROW('Müşteriler'!$B$2)+1)),""),""))</ns0:f>
        <ns0:v/>
      </ns0:c>
      <ns0:c r="G889" s="28" t="str">
        <ns0:f>IF(F889="","",IFERROR(INDEX('Müşteriler'!$C$2:$C$101,MATCH(F889,'Müşteriler'!$A$2:$A$101,0)),""))</ns0:f>
        <ns0:v/>
      </ns0:c>
      <ns0:c r="H889" s="28" t="str">
        <ns0:f>IF(A889="","",IF(C889&lt;=0,"Satış dışı",IF(OR(F889="",G889=""),"Eşleşmedi","Eşleşti")))</ns0:f>
        <ns0:v/>
      </ns0:c>
      <ns0:c r="I889" s="28">
        <ns0:f>I888+IF(AND(H889="Eşleşmedi",E889='Panel'!$B$4),1,0)</ns0:f>
        <ns0:v>3.0</ns0:v>
      </ns0:c>
    </ns0:row>
    <ns0:row r="890" ht="21" customHeight="1">
      <ns0:c r="A890" s="25" t="n"/>
      <ns0:c r="B890" s="26" t="n"/>
      <ns0:c r="C890" s="27" t="n"/>
      <ns0:c r="D890" s="27" t="n"/>
      <ns0:c r="E890" s="28" t="str">
        <ns0:f>IF(A890="","",YEAR(A890)&amp;"-"&amp;RIGHT("0"&amp;MONTH(A890),2))</ns0:f>
        <ns0:v/>
      </ns0:c>
      <ns0:c r="F890" s="28" t="str">
        <ns0:f>IF(OR(A890="",B890="",C890&lt;=0),"",IF(SUMPRODUCT(('Müşteriler'!$B$2:$B$101&lt;&gt;"")*ISNUMBER(SEARCH('Müşteriler'!$B$2:$B$101,B890)))=1,IFERROR(INDEX('Müşteriler'!$A$2:$A$101,SUMPRODUCT(('Müşteriler'!$B$2:$B$101&lt;&gt;"")*ISNUMBER(SEARCH('Müşteriler'!$B$2:$B$101,B890)),ROW('Müşteriler'!$B$2:$B$101)-ROW('Müşteriler'!$B$2)+1)),""),""))</ns0:f>
        <ns0:v/>
      </ns0:c>
      <ns0:c r="G890" s="28" t="str">
        <ns0:f>IF(F890="","",IFERROR(INDEX('Müşteriler'!$C$2:$C$101,MATCH(F890,'Müşteriler'!$A$2:$A$101,0)),""))</ns0:f>
        <ns0:v/>
      </ns0:c>
      <ns0:c r="H890" s="28" t="str">
        <ns0:f>IF(A890="","",IF(C890&lt;=0,"Satış dışı",IF(OR(F890="",G890=""),"Eşleşmedi","Eşleşti")))</ns0:f>
        <ns0:v/>
      </ns0:c>
      <ns0:c r="I890" s="28">
        <ns0:f>I889+IF(AND(H890="Eşleşmedi",E890='Panel'!$B$4),1,0)</ns0:f>
        <ns0:v>3.0</ns0:v>
      </ns0:c>
    </ns0:row>
    <ns0:row r="891" ht="21" customHeight="1">
      <ns0:c r="A891" s="25" t="n"/>
      <ns0:c r="B891" s="26" t="n"/>
      <ns0:c r="C891" s="27" t="n"/>
      <ns0:c r="D891" s="27" t="n"/>
      <ns0:c r="E891" s="28" t="str">
        <ns0:f>IF(A891="","",YEAR(A891)&amp;"-"&amp;RIGHT("0"&amp;MONTH(A891),2))</ns0:f>
        <ns0:v/>
      </ns0:c>
      <ns0:c r="F891" s="28" t="str">
        <ns0:f>IF(OR(A891="",B891="",C891&lt;=0),"",IF(SUMPRODUCT(('Müşteriler'!$B$2:$B$101&lt;&gt;"")*ISNUMBER(SEARCH('Müşteriler'!$B$2:$B$101,B891)))=1,IFERROR(INDEX('Müşteriler'!$A$2:$A$101,SUMPRODUCT(('Müşteriler'!$B$2:$B$101&lt;&gt;"")*ISNUMBER(SEARCH('Müşteriler'!$B$2:$B$101,B891)),ROW('Müşteriler'!$B$2:$B$101)-ROW('Müşteriler'!$B$2)+1)),""),""))</ns0:f>
        <ns0:v/>
      </ns0:c>
      <ns0:c r="G891" s="28" t="str">
        <ns0:f>IF(F891="","",IFERROR(INDEX('Müşteriler'!$C$2:$C$101,MATCH(F891,'Müşteriler'!$A$2:$A$101,0)),""))</ns0:f>
        <ns0:v/>
      </ns0:c>
      <ns0:c r="H891" s="28" t="str">
        <ns0:f>IF(A891="","",IF(C891&lt;=0,"Satış dışı",IF(OR(F891="",G891=""),"Eşleşmedi","Eşleşti")))</ns0:f>
        <ns0:v/>
      </ns0:c>
      <ns0:c r="I891" s="28">
        <ns0:f>I890+IF(AND(H891="Eşleşmedi",E891='Panel'!$B$4),1,0)</ns0:f>
        <ns0:v>3.0</ns0:v>
      </ns0:c>
    </ns0:row>
    <ns0:row r="892" ht="21" customHeight="1">
      <ns0:c r="A892" s="25" t="n"/>
      <ns0:c r="B892" s="26" t="n"/>
      <ns0:c r="C892" s="27" t="n"/>
      <ns0:c r="D892" s="27" t="n"/>
      <ns0:c r="E892" s="28" t="str">
        <ns0:f>IF(A892="","",YEAR(A892)&amp;"-"&amp;RIGHT("0"&amp;MONTH(A892),2))</ns0:f>
        <ns0:v/>
      </ns0:c>
      <ns0:c r="F892" s="28" t="str">
        <ns0:f>IF(OR(A892="",B892="",C892&lt;=0),"",IF(SUMPRODUCT(('Müşteriler'!$B$2:$B$101&lt;&gt;"")*ISNUMBER(SEARCH('Müşteriler'!$B$2:$B$101,B892)))=1,IFERROR(INDEX('Müşteriler'!$A$2:$A$101,SUMPRODUCT(('Müşteriler'!$B$2:$B$101&lt;&gt;"")*ISNUMBER(SEARCH('Müşteriler'!$B$2:$B$101,B892)),ROW('Müşteriler'!$B$2:$B$101)-ROW('Müşteriler'!$B$2)+1)),""),""))</ns0:f>
        <ns0:v/>
      </ns0:c>
      <ns0:c r="G892" s="28" t="str">
        <ns0:f>IF(F892="","",IFERROR(INDEX('Müşteriler'!$C$2:$C$101,MATCH(F892,'Müşteriler'!$A$2:$A$101,0)),""))</ns0:f>
        <ns0:v/>
      </ns0:c>
      <ns0:c r="H892" s="28" t="str">
        <ns0:f>IF(A892="","",IF(C892&lt;=0,"Satış dışı",IF(OR(F892="",G892=""),"Eşleşmedi","Eşleşti")))</ns0:f>
        <ns0:v/>
      </ns0:c>
      <ns0:c r="I892" s="28">
        <ns0:f>I891+IF(AND(H892="Eşleşmedi",E892='Panel'!$B$4),1,0)</ns0:f>
        <ns0:v>3.0</ns0:v>
      </ns0:c>
    </ns0:row>
    <ns0:row r="893" ht="21" customHeight="1">
      <ns0:c r="A893" s="25" t="n"/>
      <ns0:c r="B893" s="26" t="n"/>
      <ns0:c r="C893" s="27" t="n"/>
      <ns0:c r="D893" s="27" t="n"/>
      <ns0:c r="E893" s="28" t="str">
        <ns0:f>IF(A893="","",YEAR(A893)&amp;"-"&amp;RIGHT("0"&amp;MONTH(A893),2))</ns0:f>
        <ns0:v/>
      </ns0:c>
      <ns0:c r="F893" s="28" t="str">
        <ns0:f>IF(OR(A893="",B893="",C893&lt;=0),"",IF(SUMPRODUCT(('Müşteriler'!$B$2:$B$101&lt;&gt;"")*ISNUMBER(SEARCH('Müşteriler'!$B$2:$B$101,B893)))=1,IFERROR(INDEX('Müşteriler'!$A$2:$A$101,SUMPRODUCT(('Müşteriler'!$B$2:$B$101&lt;&gt;"")*ISNUMBER(SEARCH('Müşteriler'!$B$2:$B$101,B893)),ROW('Müşteriler'!$B$2:$B$101)-ROW('Müşteriler'!$B$2)+1)),""),""))</ns0:f>
        <ns0:v/>
      </ns0:c>
      <ns0:c r="G893" s="28" t="str">
        <ns0:f>IF(F893="","",IFERROR(INDEX('Müşteriler'!$C$2:$C$101,MATCH(F893,'Müşteriler'!$A$2:$A$101,0)),""))</ns0:f>
        <ns0:v/>
      </ns0:c>
      <ns0:c r="H893" s="28" t="str">
        <ns0:f>IF(A893="","",IF(C893&lt;=0,"Satış dışı",IF(OR(F893="",G893=""),"Eşleşmedi","Eşleşti")))</ns0:f>
        <ns0:v/>
      </ns0:c>
      <ns0:c r="I893" s="28">
        <ns0:f>I892+IF(AND(H893="Eşleşmedi",E893='Panel'!$B$4),1,0)</ns0:f>
        <ns0:v>3.0</ns0:v>
      </ns0:c>
    </ns0:row>
    <ns0:row r="894" ht="21" customHeight="1">
      <ns0:c r="A894" s="25" t="n"/>
      <ns0:c r="B894" s="26" t="n"/>
      <ns0:c r="C894" s="27" t="n"/>
      <ns0:c r="D894" s="27" t="n"/>
      <ns0:c r="E894" s="28" t="str">
        <ns0:f>IF(A894="","",YEAR(A894)&amp;"-"&amp;RIGHT("0"&amp;MONTH(A894),2))</ns0:f>
        <ns0:v/>
      </ns0:c>
      <ns0:c r="F894" s="28" t="str">
        <ns0:f>IF(OR(A894="",B894="",C894&lt;=0),"",IF(SUMPRODUCT(('Müşteriler'!$B$2:$B$101&lt;&gt;"")*ISNUMBER(SEARCH('Müşteriler'!$B$2:$B$101,B894)))=1,IFERROR(INDEX('Müşteriler'!$A$2:$A$101,SUMPRODUCT(('Müşteriler'!$B$2:$B$101&lt;&gt;"")*ISNUMBER(SEARCH('Müşteriler'!$B$2:$B$101,B894)),ROW('Müşteriler'!$B$2:$B$101)-ROW('Müşteriler'!$B$2)+1)),""),""))</ns0:f>
        <ns0:v/>
      </ns0:c>
      <ns0:c r="G894" s="28" t="str">
        <ns0:f>IF(F894="","",IFERROR(INDEX('Müşteriler'!$C$2:$C$101,MATCH(F894,'Müşteriler'!$A$2:$A$101,0)),""))</ns0:f>
        <ns0:v/>
      </ns0:c>
      <ns0:c r="H894" s="28" t="str">
        <ns0:f>IF(A894="","",IF(C894&lt;=0,"Satış dışı",IF(OR(F894="",G894=""),"Eşleşmedi","Eşleşti")))</ns0:f>
        <ns0:v/>
      </ns0:c>
      <ns0:c r="I894" s="28">
        <ns0:f>I893+IF(AND(H894="Eşleşmedi",E894='Panel'!$B$4),1,0)</ns0:f>
        <ns0:v>3.0</ns0:v>
      </ns0:c>
    </ns0:row>
    <ns0:row r="895" ht="21" customHeight="1">
      <ns0:c r="A895" s="25" t="n"/>
      <ns0:c r="B895" s="26" t="n"/>
      <ns0:c r="C895" s="27" t="n"/>
      <ns0:c r="D895" s="27" t="n"/>
      <ns0:c r="E895" s="28" t="str">
        <ns0:f>IF(A895="","",YEAR(A895)&amp;"-"&amp;RIGHT("0"&amp;MONTH(A895),2))</ns0:f>
        <ns0:v/>
      </ns0:c>
      <ns0:c r="F895" s="28" t="str">
        <ns0:f>IF(OR(A895="",B895="",C895&lt;=0),"",IF(SUMPRODUCT(('Müşteriler'!$B$2:$B$101&lt;&gt;"")*ISNUMBER(SEARCH('Müşteriler'!$B$2:$B$101,B895)))=1,IFERROR(INDEX('Müşteriler'!$A$2:$A$101,SUMPRODUCT(('Müşteriler'!$B$2:$B$101&lt;&gt;"")*ISNUMBER(SEARCH('Müşteriler'!$B$2:$B$101,B895)),ROW('Müşteriler'!$B$2:$B$101)-ROW('Müşteriler'!$B$2)+1)),""),""))</ns0:f>
        <ns0:v/>
      </ns0:c>
      <ns0:c r="G895" s="28" t="str">
        <ns0:f>IF(F895="","",IFERROR(INDEX('Müşteriler'!$C$2:$C$101,MATCH(F895,'Müşteriler'!$A$2:$A$101,0)),""))</ns0:f>
        <ns0:v/>
      </ns0:c>
      <ns0:c r="H895" s="28" t="str">
        <ns0:f>IF(A895="","",IF(C895&lt;=0,"Satış dışı",IF(OR(F895="",G895=""),"Eşleşmedi","Eşleşti")))</ns0:f>
        <ns0:v/>
      </ns0:c>
      <ns0:c r="I895" s="28">
        <ns0:f>I894+IF(AND(H895="Eşleşmedi",E895='Panel'!$B$4),1,0)</ns0:f>
        <ns0:v>3.0</ns0:v>
      </ns0:c>
    </ns0:row>
    <ns0:row r="896" ht="21" customHeight="1">
      <ns0:c r="A896" s="25" t="n"/>
      <ns0:c r="B896" s="26" t="n"/>
      <ns0:c r="C896" s="27" t="n"/>
      <ns0:c r="D896" s="27" t="n"/>
      <ns0:c r="E896" s="28" t="str">
        <ns0:f>IF(A896="","",YEAR(A896)&amp;"-"&amp;RIGHT("0"&amp;MONTH(A896),2))</ns0:f>
        <ns0:v/>
      </ns0:c>
      <ns0:c r="F896" s="28" t="str">
        <ns0:f>IF(OR(A896="",B896="",C896&lt;=0),"",IF(SUMPRODUCT(('Müşteriler'!$B$2:$B$101&lt;&gt;"")*ISNUMBER(SEARCH('Müşteriler'!$B$2:$B$101,B896)))=1,IFERROR(INDEX('Müşteriler'!$A$2:$A$101,SUMPRODUCT(('Müşteriler'!$B$2:$B$101&lt;&gt;"")*ISNUMBER(SEARCH('Müşteriler'!$B$2:$B$101,B896)),ROW('Müşteriler'!$B$2:$B$101)-ROW('Müşteriler'!$B$2)+1)),""),""))</ns0:f>
        <ns0:v/>
      </ns0:c>
      <ns0:c r="G896" s="28" t="str">
        <ns0:f>IF(F896="","",IFERROR(INDEX('Müşteriler'!$C$2:$C$101,MATCH(F896,'Müşteriler'!$A$2:$A$101,0)),""))</ns0:f>
        <ns0:v/>
      </ns0:c>
      <ns0:c r="H896" s="28" t="str">
        <ns0:f>IF(A896="","",IF(C896&lt;=0,"Satış dışı",IF(OR(F896="",G896=""),"Eşleşmedi","Eşleşti")))</ns0:f>
        <ns0:v/>
      </ns0:c>
      <ns0:c r="I896" s="28">
        <ns0:f>I895+IF(AND(H896="Eşleşmedi",E896='Panel'!$B$4),1,0)</ns0:f>
        <ns0:v>3.0</ns0:v>
      </ns0:c>
    </ns0:row>
    <ns0:row r="897" ht="21" customHeight="1">
      <ns0:c r="A897" s="25" t="n"/>
      <ns0:c r="B897" s="26" t="n"/>
      <ns0:c r="C897" s="27" t="n"/>
      <ns0:c r="D897" s="27" t="n"/>
      <ns0:c r="E897" s="28" t="str">
        <ns0:f>IF(A897="","",YEAR(A897)&amp;"-"&amp;RIGHT("0"&amp;MONTH(A897),2))</ns0:f>
        <ns0:v/>
      </ns0:c>
      <ns0:c r="F897" s="28" t="str">
        <ns0:f>IF(OR(A897="",B897="",C897&lt;=0),"",IF(SUMPRODUCT(('Müşteriler'!$B$2:$B$101&lt;&gt;"")*ISNUMBER(SEARCH('Müşteriler'!$B$2:$B$101,B897)))=1,IFERROR(INDEX('Müşteriler'!$A$2:$A$101,SUMPRODUCT(('Müşteriler'!$B$2:$B$101&lt;&gt;"")*ISNUMBER(SEARCH('Müşteriler'!$B$2:$B$101,B897)),ROW('Müşteriler'!$B$2:$B$101)-ROW('Müşteriler'!$B$2)+1)),""),""))</ns0:f>
        <ns0:v/>
      </ns0:c>
      <ns0:c r="G897" s="28" t="str">
        <ns0:f>IF(F897="","",IFERROR(INDEX('Müşteriler'!$C$2:$C$101,MATCH(F897,'Müşteriler'!$A$2:$A$101,0)),""))</ns0:f>
        <ns0:v/>
      </ns0:c>
      <ns0:c r="H897" s="28" t="str">
        <ns0:f>IF(A897="","",IF(C897&lt;=0,"Satış dışı",IF(OR(F897="",G897=""),"Eşleşmedi","Eşleşti")))</ns0:f>
        <ns0:v/>
      </ns0:c>
      <ns0:c r="I897" s="28">
        <ns0:f>I896+IF(AND(H897="Eşleşmedi",E897='Panel'!$B$4),1,0)</ns0:f>
        <ns0:v>3.0</ns0:v>
      </ns0:c>
    </ns0:row>
    <ns0:row r="898" ht="21" customHeight="1">
      <ns0:c r="A898" s="25" t="n"/>
      <ns0:c r="B898" s="26" t="n"/>
      <ns0:c r="C898" s="27" t="n"/>
      <ns0:c r="D898" s="27" t="n"/>
      <ns0:c r="E898" s="28" t="str">
        <ns0:f>IF(A898="","",YEAR(A898)&amp;"-"&amp;RIGHT("0"&amp;MONTH(A898),2))</ns0:f>
        <ns0:v/>
      </ns0:c>
      <ns0:c r="F898" s="28" t="str">
        <ns0:f>IF(OR(A898="",B898="",C898&lt;=0),"",IF(SUMPRODUCT(('Müşteriler'!$B$2:$B$101&lt;&gt;"")*ISNUMBER(SEARCH('Müşteriler'!$B$2:$B$101,B898)))=1,IFERROR(INDEX('Müşteriler'!$A$2:$A$101,SUMPRODUCT(('Müşteriler'!$B$2:$B$101&lt;&gt;"")*ISNUMBER(SEARCH('Müşteriler'!$B$2:$B$101,B898)),ROW('Müşteriler'!$B$2:$B$101)-ROW('Müşteriler'!$B$2)+1)),""),""))</ns0:f>
        <ns0:v/>
      </ns0:c>
      <ns0:c r="G898" s="28" t="str">
        <ns0:f>IF(F898="","",IFERROR(INDEX('Müşteriler'!$C$2:$C$101,MATCH(F898,'Müşteriler'!$A$2:$A$101,0)),""))</ns0:f>
        <ns0:v/>
      </ns0:c>
      <ns0:c r="H898" s="28" t="str">
        <ns0:f>IF(A898="","",IF(C898&lt;=0,"Satış dışı",IF(OR(F898="",G898=""),"Eşleşmedi","Eşleşti")))</ns0:f>
        <ns0:v/>
      </ns0:c>
      <ns0:c r="I898" s="28">
        <ns0:f>I897+IF(AND(H898="Eşleşmedi",E898='Panel'!$B$4),1,0)</ns0:f>
        <ns0:v>3.0</ns0:v>
      </ns0:c>
    </ns0:row>
    <ns0:row r="899" ht="21" customHeight="1">
      <ns0:c r="A899" s="25" t="n"/>
      <ns0:c r="B899" s="26" t="n"/>
      <ns0:c r="C899" s="27" t="n"/>
      <ns0:c r="D899" s="27" t="n"/>
      <ns0:c r="E899" s="28" t="str">
        <ns0:f>IF(A899="","",YEAR(A899)&amp;"-"&amp;RIGHT("0"&amp;MONTH(A899),2))</ns0:f>
        <ns0:v/>
      </ns0:c>
      <ns0:c r="F899" s="28" t="str">
        <ns0:f>IF(OR(A899="",B899="",C899&lt;=0),"",IF(SUMPRODUCT(('Müşteriler'!$B$2:$B$101&lt;&gt;"")*ISNUMBER(SEARCH('Müşteriler'!$B$2:$B$101,B899)))=1,IFERROR(INDEX('Müşteriler'!$A$2:$A$101,SUMPRODUCT(('Müşteriler'!$B$2:$B$101&lt;&gt;"")*ISNUMBER(SEARCH('Müşteriler'!$B$2:$B$101,B899)),ROW('Müşteriler'!$B$2:$B$101)-ROW('Müşteriler'!$B$2)+1)),""),""))</ns0:f>
        <ns0:v/>
      </ns0:c>
      <ns0:c r="G899" s="28" t="str">
        <ns0:f>IF(F899="","",IFERROR(INDEX('Müşteriler'!$C$2:$C$101,MATCH(F899,'Müşteriler'!$A$2:$A$101,0)),""))</ns0:f>
        <ns0:v/>
      </ns0:c>
      <ns0:c r="H899" s="28" t="str">
        <ns0:f>IF(A899="","",IF(C899&lt;=0,"Satış dışı",IF(OR(F899="",G899=""),"Eşleşmedi","Eşleşti")))</ns0:f>
        <ns0:v/>
      </ns0:c>
      <ns0:c r="I899" s="28">
        <ns0:f>I898+IF(AND(H899="Eşleşmedi",E899='Panel'!$B$4),1,0)</ns0:f>
        <ns0:v>3.0</ns0:v>
      </ns0:c>
    </ns0:row>
    <ns0:row r="900" ht="21" customHeight="1">
      <ns0:c r="A900" s="25" t="n"/>
      <ns0:c r="B900" s="26" t="n"/>
      <ns0:c r="C900" s="27" t="n"/>
      <ns0:c r="D900" s="27" t="n"/>
      <ns0:c r="E900" s="28" t="str">
        <ns0:f>IF(A900="","",YEAR(A900)&amp;"-"&amp;RIGHT("0"&amp;MONTH(A900),2))</ns0:f>
        <ns0:v/>
      </ns0:c>
      <ns0:c r="F900" s="28" t="str">
        <ns0:f>IF(OR(A900="",B900="",C900&lt;=0),"",IF(SUMPRODUCT(('Müşteriler'!$B$2:$B$101&lt;&gt;"")*ISNUMBER(SEARCH('Müşteriler'!$B$2:$B$101,B900)))=1,IFERROR(INDEX('Müşteriler'!$A$2:$A$101,SUMPRODUCT(('Müşteriler'!$B$2:$B$101&lt;&gt;"")*ISNUMBER(SEARCH('Müşteriler'!$B$2:$B$101,B900)),ROW('Müşteriler'!$B$2:$B$101)-ROW('Müşteriler'!$B$2)+1)),""),""))</ns0:f>
        <ns0:v/>
      </ns0:c>
      <ns0:c r="G900" s="28" t="str">
        <ns0:f>IF(F900="","",IFERROR(INDEX('Müşteriler'!$C$2:$C$101,MATCH(F900,'Müşteriler'!$A$2:$A$101,0)),""))</ns0:f>
        <ns0:v/>
      </ns0:c>
      <ns0:c r="H900" s="28" t="str">
        <ns0:f>IF(A900="","",IF(C900&lt;=0,"Satış dışı",IF(OR(F900="",G900=""),"Eşleşmedi","Eşleşti")))</ns0:f>
        <ns0:v/>
      </ns0:c>
      <ns0:c r="I900" s="28">
        <ns0:f>I899+IF(AND(H900="Eşleşmedi",E900='Panel'!$B$4),1,0)</ns0:f>
        <ns0:v>3.0</ns0:v>
      </ns0:c>
    </ns0:row>
    <ns0:row r="901" ht="21" customHeight="1">
      <ns0:c r="A901" s="25" t="n"/>
      <ns0:c r="B901" s="26" t="n"/>
      <ns0:c r="C901" s="27" t="n"/>
      <ns0:c r="D901" s="27" t="n"/>
      <ns0:c r="E901" s="28" t="str">
        <ns0:f>IF(A901="","",YEAR(A901)&amp;"-"&amp;RIGHT("0"&amp;MONTH(A901),2))</ns0:f>
        <ns0:v/>
      </ns0:c>
      <ns0:c r="F901" s="28" t="str">
        <ns0:f>IF(OR(A901="",B901="",C901&lt;=0),"",IF(SUMPRODUCT(('Müşteriler'!$B$2:$B$101&lt;&gt;"")*ISNUMBER(SEARCH('Müşteriler'!$B$2:$B$101,B901)))=1,IFERROR(INDEX('Müşteriler'!$A$2:$A$101,SUMPRODUCT(('Müşteriler'!$B$2:$B$101&lt;&gt;"")*ISNUMBER(SEARCH('Müşteriler'!$B$2:$B$101,B901)),ROW('Müşteriler'!$B$2:$B$101)-ROW('Müşteriler'!$B$2)+1)),""),""))</ns0:f>
        <ns0:v/>
      </ns0:c>
      <ns0:c r="G901" s="28" t="str">
        <ns0:f>IF(F901="","",IFERROR(INDEX('Müşteriler'!$C$2:$C$101,MATCH(F901,'Müşteriler'!$A$2:$A$101,0)),""))</ns0:f>
        <ns0:v/>
      </ns0:c>
      <ns0:c r="H901" s="28" t="str">
        <ns0:f>IF(A901="","",IF(C901&lt;=0,"Satış dışı",IF(OR(F901="",G901=""),"Eşleşmedi","Eşleşti")))</ns0:f>
        <ns0:v/>
      </ns0:c>
      <ns0:c r="I901" s="28">
        <ns0:f>I900+IF(AND(H901="Eşleşmedi",E901='Panel'!$B$4),1,0)</ns0:f>
        <ns0:v>3.0</ns0:v>
      </ns0:c>
    </ns0:row>
    <ns0:row r="902" ht="21" customHeight="1">
      <ns0:c r="A902" s="25" t="n"/>
      <ns0:c r="B902" s="26" t="n"/>
      <ns0:c r="C902" s="27" t="n"/>
      <ns0:c r="D902" s="27" t="n"/>
      <ns0:c r="E902" s="28" t="str">
        <ns0:f>IF(A902="","",YEAR(A902)&amp;"-"&amp;RIGHT("0"&amp;MONTH(A902),2))</ns0:f>
        <ns0:v/>
      </ns0:c>
      <ns0:c r="F902" s="28" t="str">
        <ns0:f>IF(OR(A902="",B902="",C902&lt;=0),"",IF(SUMPRODUCT(('Müşteriler'!$B$2:$B$101&lt;&gt;"")*ISNUMBER(SEARCH('Müşteriler'!$B$2:$B$101,B902)))=1,IFERROR(INDEX('Müşteriler'!$A$2:$A$101,SUMPRODUCT(('Müşteriler'!$B$2:$B$101&lt;&gt;"")*ISNUMBER(SEARCH('Müşteriler'!$B$2:$B$101,B902)),ROW('Müşteriler'!$B$2:$B$101)-ROW('Müşteriler'!$B$2)+1)),""),""))</ns0:f>
        <ns0:v/>
      </ns0:c>
      <ns0:c r="G902" s="28" t="str">
        <ns0:f>IF(F902="","",IFERROR(INDEX('Müşteriler'!$C$2:$C$101,MATCH(F902,'Müşteriler'!$A$2:$A$101,0)),""))</ns0:f>
        <ns0:v/>
      </ns0:c>
      <ns0:c r="H902" s="28" t="str">
        <ns0:f>IF(A902="","",IF(C902&lt;=0,"Satış dışı",IF(OR(F902="",G902=""),"Eşleşmedi","Eşleşti")))</ns0:f>
        <ns0:v/>
      </ns0:c>
      <ns0:c r="I902" s="28">
        <ns0:f>I901+IF(AND(H902="Eşleşmedi",E902='Panel'!$B$4),1,0)</ns0:f>
        <ns0:v>3.0</ns0:v>
      </ns0:c>
    </ns0:row>
    <ns0:row r="903" ht="21" customHeight="1">
      <ns0:c r="A903" s="25" t="n"/>
      <ns0:c r="B903" s="26" t="n"/>
      <ns0:c r="C903" s="27" t="n"/>
      <ns0:c r="D903" s="27" t="n"/>
      <ns0:c r="E903" s="28" t="str">
        <ns0:f>IF(A903="","",YEAR(A903)&amp;"-"&amp;RIGHT("0"&amp;MONTH(A903),2))</ns0:f>
        <ns0:v/>
      </ns0:c>
      <ns0:c r="F903" s="28" t="str">
        <ns0:f>IF(OR(A903="",B903="",C903&lt;=0),"",IF(SUMPRODUCT(('Müşteriler'!$B$2:$B$101&lt;&gt;"")*ISNUMBER(SEARCH('Müşteriler'!$B$2:$B$101,B903)))=1,IFERROR(INDEX('Müşteriler'!$A$2:$A$101,SUMPRODUCT(('Müşteriler'!$B$2:$B$101&lt;&gt;"")*ISNUMBER(SEARCH('Müşteriler'!$B$2:$B$101,B903)),ROW('Müşteriler'!$B$2:$B$101)-ROW('Müşteriler'!$B$2)+1)),""),""))</ns0:f>
        <ns0:v/>
      </ns0:c>
      <ns0:c r="G903" s="28" t="str">
        <ns0:f>IF(F903="","",IFERROR(INDEX('Müşteriler'!$C$2:$C$101,MATCH(F903,'Müşteriler'!$A$2:$A$101,0)),""))</ns0:f>
        <ns0:v/>
      </ns0:c>
      <ns0:c r="H903" s="28" t="str">
        <ns0:f>IF(A903="","",IF(C903&lt;=0,"Satış dışı",IF(OR(F903="",G903=""),"Eşleşmedi","Eşleşti")))</ns0:f>
        <ns0:v/>
      </ns0:c>
      <ns0:c r="I903" s="28">
        <ns0:f>I902+IF(AND(H903="Eşleşmedi",E903='Panel'!$B$4),1,0)</ns0:f>
        <ns0:v>3.0</ns0:v>
      </ns0:c>
    </ns0:row>
    <ns0:row r="904" ht="21" customHeight="1">
      <ns0:c r="A904" s="25" t="n"/>
      <ns0:c r="B904" s="26" t="n"/>
      <ns0:c r="C904" s="27" t="n"/>
      <ns0:c r="D904" s="27" t="n"/>
      <ns0:c r="E904" s="28" t="str">
        <ns0:f>IF(A904="","",YEAR(A904)&amp;"-"&amp;RIGHT("0"&amp;MONTH(A904),2))</ns0:f>
        <ns0:v/>
      </ns0:c>
      <ns0:c r="F904" s="28" t="str">
        <ns0:f>IF(OR(A904="",B904="",C904&lt;=0),"",IF(SUMPRODUCT(('Müşteriler'!$B$2:$B$101&lt;&gt;"")*ISNUMBER(SEARCH('Müşteriler'!$B$2:$B$101,B904)))=1,IFERROR(INDEX('Müşteriler'!$A$2:$A$101,SUMPRODUCT(('Müşteriler'!$B$2:$B$101&lt;&gt;"")*ISNUMBER(SEARCH('Müşteriler'!$B$2:$B$101,B904)),ROW('Müşteriler'!$B$2:$B$101)-ROW('Müşteriler'!$B$2)+1)),""),""))</ns0:f>
        <ns0:v/>
      </ns0:c>
      <ns0:c r="G904" s="28" t="str">
        <ns0:f>IF(F904="","",IFERROR(INDEX('Müşteriler'!$C$2:$C$101,MATCH(F904,'Müşteriler'!$A$2:$A$101,0)),""))</ns0:f>
        <ns0:v/>
      </ns0:c>
      <ns0:c r="H904" s="28" t="str">
        <ns0:f>IF(A904="","",IF(C904&lt;=0,"Satış dışı",IF(OR(F904="",G904=""),"Eşleşmedi","Eşleşti")))</ns0:f>
        <ns0:v/>
      </ns0:c>
      <ns0:c r="I904" s="28">
        <ns0:f>I903+IF(AND(H904="Eşleşmedi",E904='Panel'!$B$4),1,0)</ns0:f>
        <ns0:v>3.0</ns0:v>
      </ns0:c>
    </ns0:row>
    <ns0:row r="905" ht="21" customHeight="1">
      <ns0:c r="A905" s="25" t="n"/>
      <ns0:c r="B905" s="26" t="n"/>
      <ns0:c r="C905" s="27" t="n"/>
      <ns0:c r="D905" s="27" t="n"/>
      <ns0:c r="E905" s="28" t="str">
        <ns0:f>IF(A905="","",YEAR(A905)&amp;"-"&amp;RIGHT("0"&amp;MONTH(A905),2))</ns0:f>
        <ns0:v/>
      </ns0:c>
      <ns0:c r="F905" s="28" t="str">
        <ns0:f>IF(OR(A905="",B905="",C905&lt;=0),"",IF(SUMPRODUCT(('Müşteriler'!$B$2:$B$101&lt;&gt;"")*ISNUMBER(SEARCH('Müşteriler'!$B$2:$B$101,B905)))=1,IFERROR(INDEX('Müşteriler'!$A$2:$A$101,SUMPRODUCT(('Müşteriler'!$B$2:$B$101&lt;&gt;"")*ISNUMBER(SEARCH('Müşteriler'!$B$2:$B$101,B905)),ROW('Müşteriler'!$B$2:$B$101)-ROW('Müşteriler'!$B$2)+1)),""),""))</ns0:f>
        <ns0:v/>
      </ns0:c>
      <ns0:c r="G905" s="28" t="str">
        <ns0:f>IF(F905="","",IFERROR(INDEX('Müşteriler'!$C$2:$C$101,MATCH(F905,'Müşteriler'!$A$2:$A$101,0)),""))</ns0:f>
        <ns0:v/>
      </ns0:c>
      <ns0:c r="H905" s="28" t="str">
        <ns0:f>IF(A905="","",IF(C905&lt;=0,"Satış dışı",IF(OR(F905="",G905=""),"Eşleşmedi","Eşleşti")))</ns0:f>
        <ns0:v/>
      </ns0:c>
      <ns0:c r="I905" s="28">
        <ns0:f>I904+IF(AND(H905="Eşleşmedi",E905='Panel'!$B$4),1,0)</ns0:f>
        <ns0:v>3.0</ns0:v>
      </ns0:c>
    </ns0:row>
    <ns0:row r="906" ht="21" customHeight="1">
      <ns0:c r="A906" s="25" t="n"/>
      <ns0:c r="B906" s="26" t="n"/>
      <ns0:c r="C906" s="27" t="n"/>
      <ns0:c r="D906" s="27" t="n"/>
      <ns0:c r="E906" s="28" t="str">
        <ns0:f>IF(A906="","",YEAR(A906)&amp;"-"&amp;RIGHT("0"&amp;MONTH(A906),2))</ns0:f>
        <ns0:v/>
      </ns0:c>
      <ns0:c r="F906" s="28" t="str">
        <ns0:f>IF(OR(A906="",B906="",C906&lt;=0),"",IF(SUMPRODUCT(('Müşteriler'!$B$2:$B$101&lt;&gt;"")*ISNUMBER(SEARCH('Müşteriler'!$B$2:$B$101,B906)))=1,IFERROR(INDEX('Müşteriler'!$A$2:$A$101,SUMPRODUCT(('Müşteriler'!$B$2:$B$101&lt;&gt;"")*ISNUMBER(SEARCH('Müşteriler'!$B$2:$B$101,B906)),ROW('Müşteriler'!$B$2:$B$101)-ROW('Müşteriler'!$B$2)+1)),""),""))</ns0:f>
        <ns0:v/>
      </ns0:c>
      <ns0:c r="G906" s="28" t="str">
        <ns0:f>IF(F906="","",IFERROR(INDEX('Müşteriler'!$C$2:$C$101,MATCH(F906,'Müşteriler'!$A$2:$A$101,0)),""))</ns0:f>
        <ns0:v/>
      </ns0:c>
      <ns0:c r="H906" s="28" t="str">
        <ns0:f>IF(A906="","",IF(C906&lt;=0,"Satış dışı",IF(OR(F906="",G906=""),"Eşleşmedi","Eşleşti")))</ns0:f>
        <ns0:v/>
      </ns0:c>
      <ns0:c r="I906" s="28">
        <ns0:f>I905+IF(AND(H906="Eşleşmedi",E906='Panel'!$B$4),1,0)</ns0:f>
        <ns0:v>3.0</ns0:v>
      </ns0:c>
    </ns0:row>
    <ns0:row r="907" ht="21" customHeight="1">
      <ns0:c r="A907" s="25" t="n"/>
      <ns0:c r="B907" s="26" t="n"/>
      <ns0:c r="C907" s="27" t="n"/>
      <ns0:c r="D907" s="27" t="n"/>
      <ns0:c r="E907" s="28" t="str">
        <ns0:f>IF(A907="","",YEAR(A907)&amp;"-"&amp;RIGHT("0"&amp;MONTH(A907),2))</ns0:f>
        <ns0:v/>
      </ns0:c>
      <ns0:c r="F907" s="28" t="str">
        <ns0:f>IF(OR(A907="",B907="",C907&lt;=0),"",IF(SUMPRODUCT(('Müşteriler'!$B$2:$B$101&lt;&gt;"")*ISNUMBER(SEARCH('Müşteriler'!$B$2:$B$101,B907)))=1,IFERROR(INDEX('Müşteriler'!$A$2:$A$101,SUMPRODUCT(('Müşteriler'!$B$2:$B$101&lt;&gt;"")*ISNUMBER(SEARCH('Müşteriler'!$B$2:$B$101,B907)),ROW('Müşteriler'!$B$2:$B$101)-ROW('Müşteriler'!$B$2)+1)),""),""))</ns0:f>
        <ns0:v/>
      </ns0:c>
      <ns0:c r="G907" s="28" t="str">
        <ns0:f>IF(F907="","",IFERROR(INDEX('Müşteriler'!$C$2:$C$101,MATCH(F907,'Müşteriler'!$A$2:$A$101,0)),""))</ns0:f>
        <ns0:v/>
      </ns0:c>
      <ns0:c r="H907" s="28" t="str">
        <ns0:f>IF(A907="","",IF(C907&lt;=0,"Satış dışı",IF(OR(F907="",G907=""),"Eşleşmedi","Eşleşti")))</ns0:f>
        <ns0:v/>
      </ns0:c>
      <ns0:c r="I907" s="28">
        <ns0:f>I906+IF(AND(H907="Eşleşmedi",E907='Panel'!$B$4),1,0)</ns0:f>
        <ns0:v>3.0</ns0:v>
      </ns0:c>
    </ns0:row>
    <ns0:row r="908" ht="21" customHeight="1">
      <ns0:c r="A908" s="25" t="n"/>
      <ns0:c r="B908" s="26" t="n"/>
      <ns0:c r="C908" s="27" t="n"/>
      <ns0:c r="D908" s="27" t="n"/>
      <ns0:c r="E908" s="28" t="str">
        <ns0:f>IF(A908="","",YEAR(A908)&amp;"-"&amp;RIGHT("0"&amp;MONTH(A908),2))</ns0:f>
        <ns0:v/>
      </ns0:c>
      <ns0:c r="F908" s="28" t="str">
        <ns0:f>IF(OR(A908="",B908="",C908&lt;=0),"",IF(SUMPRODUCT(('Müşteriler'!$B$2:$B$101&lt;&gt;"")*ISNUMBER(SEARCH('Müşteriler'!$B$2:$B$101,B908)))=1,IFERROR(INDEX('Müşteriler'!$A$2:$A$101,SUMPRODUCT(('Müşteriler'!$B$2:$B$101&lt;&gt;"")*ISNUMBER(SEARCH('Müşteriler'!$B$2:$B$101,B908)),ROW('Müşteriler'!$B$2:$B$101)-ROW('Müşteriler'!$B$2)+1)),""),""))</ns0:f>
        <ns0:v/>
      </ns0:c>
      <ns0:c r="G908" s="28" t="str">
        <ns0:f>IF(F908="","",IFERROR(INDEX('Müşteriler'!$C$2:$C$101,MATCH(F908,'Müşteriler'!$A$2:$A$101,0)),""))</ns0:f>
        <ns0:v/>
      </ns0:c>
      <ns0:c r="H908" s="28" t="str">
        <ns0:f>IF(A908="","",IF(C908&lt;=0,"Satış dışı",IF(OR(F908="",G908=""),"Eşleşmedi","Eşleşti")))</ns0:f>
        <ns0:v/>
      </ns0:c>
      <ns0:c r="I908" s="28">
        <ns0:f>I907+IF(AND(H908="Eşleşmedi",E908='Panel'!$B$4),1,0)</ns0:f>
        <ns0:v>3.0</ns0:v>
      </ns0:c>
    </ns0:row>
    <ns0:row r="909" ht="21" customHeight="1">
      <ns0:c r="A909" s="25" t="n"/>
      <ns0:c r="B909" s="26" t="n"/>
      <ns0:c r="C909" s="27" t="n"/>
      <ns0:c r="D909" s="27" t="n"/>
      <ns0:c r="E909" s="28" t="str">
        <ns0:f>IF(A909="","",YEAR(A909)&amp;"-"&amp;RIGHT("0"&amp;MONTH(A909),2))</ns0:f>
        <ns0:v/>
      </ns0:c>
      <ns0:c r="F909" s="28" t="str">
        <ns0:f>IF(OR(A909="",B909="",C909&lt;=0),"",IF(SUMPRODUCT(('Müşteriler'!$B$2:$B$101&lt;&gt;"")*ISNUMBER(SEARCH('Müşteriler'!$B$2:$B$101,B909)))=1,IFERROR(INDEX('Müşteriler'!$A$2:$A$101,SUMPRODUCT(('Müşteriler'!$B$2:$B$101&lt;&gt;"")*ISNUMBER(SEARCH('Müşteriler'!$B$2:$B$101,B909)),ROW('Müşteriler'!$B$2:$B$101)-ROW('Müşteriler'!$B$2)+1)),""),""))</ns0:f>
        <ns0:v/>
      </ns0:c>
      <ns0:c r="G909" s="28" t="str">
        <ns0:f>IF(F909="","",IFERROR(INDEX('Müşteriler'!$C$2:$C$101,MATCH(F909,'Müşteriler'!$A$2:$A$101,0)),""))</ns0:f>
        <ns0:v/>
      </ns0:c>
      <ns0:c r="H909" s="28" t="str">
        <ns0:f>IF(A909="","",IF(C909&lt;=0,"Satış dışı",IF(OR(F909="",G909=""),"Eşleşmedi","Eşleşti")))</ns0:f>
        <ns0:v/>
      </ns0:c>
      <ns0:c r="I909" s="28">
        <ns0:f>I908+IF(AND(H909="Eşleşmedi",E909='Panel'!$B$4),1,0)</ns0:f>
        <ns0:v>3.0</ns0:v>
      </ns0:c>
    </ns0:row>
    <ns0:row r="910" ht="21" customHeight="1">
      <ns0:c r="A910" s="25" t="n"/>
      <ns0:c r="B910" s="26" t="n"/>
      <ns0:c r="C910" s="27" t="n"/>
      <ns0:c r="D910" s="27" t="n"/>
      <ns0:c r="E910" s="28" t="str">
        <ns0:f>IF(A910="","",YEAR(A910)&amp;"-"&amp;RIGHT("0"&amp;MONTH(A910),2))</ns0:f>
        <ns0:v/>
      </ns0:c>
      <ns0:c r="F910" s="28" t="str">
        <ns0:f>IF(OR(A910="",B910="",C910&lt;=0),"",IF(SUMPRODUCT(('Müşteriler'!$B$2:$B$101&lt;&gt;"")*ISNUMBER(SEARCH('Müşteriler'!$B$2:$B$101,B910)))=1,IFERROR(INDEX('Müşteriler'!$A$2:$A$101,SUMPRODUCT(('Müşteriler'!$B$2:$B$101&lt;&gt;"")*ISNUMBER(SEARCH('Müşteriler'!$B$2:$B$101,B910)),ROW('Müşteriler'!$B$2:$B$101)-ROW('Müşteriler'!$B$2)+1)),""),""))</ns0:f>
        <ns0:v/>
      </ns0:c>
      <ns0:c r="G910" s="28" t="str">
        <ns0:f>IF(F910="","",IFERROR(INDEX('Müşteriler'!$C$2:$C$101,MATCH(F910,'Müşteriler'!$A$2:$A$101,0)),""))</ns0:f>
        <ns0:v/>
      </ns0:c>
      <ns0:c r="H910" s="28" t="str">
        <ns0:f>IF(A910="","",IF(C910&lt;=0,"Satış dışı",IF(OR(F910="",G910=""),"Eşleşmedi","Eşleşti")))</ns0:f>
        <ns0:v/>
      </ns0:c>
      <ns0:c r="I910" s="28">
        <ns0:f>I909+IF(AND(H910="Eşleşmedi",E910='Panel'!$B$4),1,0)</ns0:f>
        <ns0:v>3.0</ns0:v>
      </ns0:c>
    </ns0:row>
    <ns0:row r="911" ht="21" customHeight="1">
      <ns0:c r="A911" s="25" t="n"/>
      <ns0:c r="B911" s="26" t="n"/>
      <ns0:c r="C911" s="27" t="n"/>
      <ns0:c r="D911" s="27" t="n"/>
      <ns0:c r="E911" s="28" t="str">
        <ns0:f>IF(A911="","",YEAR(A911)&amp;"-"&amp;RIGHT("0"&amp;MONTH(A911),2))</ns0:f>
        <ns0:v/>
      </ns0:c>
      <ns0:c r="F911" s="28" t="str">
        <ns0:f>IF(OR(A911="",B911="",C911&lt;=0),"",IF(SUMPRODUCT(('Müşteriler'!$B$2:$B$101&lt;&gt;"")*ISNUMBER(SEARCH('Müşteriler'!$B$2:$B$101,B911)))=1,IFERROR(INDEX('Müşteriler'!$A$2:$A$101,SUMPRODUCT(('Müşteriler'!$B$2:$B$101&lt;&gt;"")*ISNUMBER(SEARCH('Müşteriler'!$B$2:$B$101,B911)),ROW('Müşteriler'!$B$2:$B$101)-ROW('Müşteriler'!$B$2)+1)),""),""))</ns0:f>
        <ns0:v/>
      </ns0:c>
      <ns0:c r="G911" s="28" t="str">
        <ns0:f>IF(F911="","",IFERROR(INDEX('Müşteriler'!$C$2:$C$101,MATCH(F911,'Müşteriler'!$A$2:$A$101,0)),""))</ns0:f>
        <ns0:v/>
      </ns0:c>
      <ns0:c r="H911" s="28" t="str">
        <ns0:f>IF(A911="","",IF(C911&lt;=0,"Satış dışı",IF(OR(F911="",G911=""),"Eşleşmedi","Eşleşti")))</ns0:f>
        <ns0:v/>
      </ns0:c>
      <ns0:c r="I911" s="28">
        <ns0:f>I910+IF(AND(H911="Eşleşmedi",E911='Panel'!$B$4),1,0)</ns0:f>
        <ns0:v>3.0</ns0:v>
      </ns0:c>
    </ns0:row>
    <ns0:row r="912" ht="21" customHeight="1">
      <ns0:c r="A912" s="25" t="n"/>
      <ns0:c r="B912" s="26" t="n"/>
      <ns0:c r="C912" s="27" t="n"/>
      <ns0:c r="D912" s="27" t="n"/>
      <ns0:c r="E912" s="28" t="str">
        <ns0:f>IF(A912="","",YEAR(A912)&amp;"-"&amp;RIGHT("0"&amp;MONTH(A912),2))</ns0:f>
        <ns0:v/>
      </ns0:c>
      <ns0:c r="F912" s="28" t="str">
        <ns0:f>IF(OR(A912="",B912="",C912&lt;=0),"",IF(SUMPRODUCT(('Müşteriler'!$B$2:$B$101&lt;&gt;"")*ISNUMBER(SEARCH('Müşteriler'!$B$2:$B$101,B912)))=1,IFERROR(INDEX('Müşteriler'!$A$2:$A$101,SUMPRODUCT(('Müşteriler'!$B$2:$B$101&lt;&gt;"")*ISNUMBER(SEARCH('Müşteriler'!$B$2:$B$101,B912)),ROW('Müşteriler'!$B$2:$B$101)-ROW('Müşteriler'!$B$2)+1)),""),""))</ns0:f>
        <ns0:v/>
      </ns0:c>
      <ns0:c r="G912" s="28" t="str">
        <ns0:f>IF(F912="","",IFERROR(INDEX('Müşteriler'!$C$2:$C$101,MATCH(F912,'Müşteriler'!$A$2:$A$101,0)),""))</ns0:f>
        <ns0:v/>
      </ns0:c>
      <ns0:c r="H912" s="28" t="str">
        <ns0:f>IF(A912="","",IF(C912&lt;=0,"Satış dışı",IF(OR(F912="",G912=""),"Eşleşmedi","Eşleşti")))</ns0:f>
        <ns0:v/>
      </ns0:c>
      <ns0:c r="I912" s="28">
        <ns0:f>I911+IF(AND(H912="Eşleşmedi",E912='Panel'!$B$4),1,0)</ns0:f>
        <ns0:v>3.0</ns0:v>
      </ns0:c>
    </ns0:row>
    <ns0:row r="913" ht="21" customHeight="1">
      <ns0:c r="A913" s="25" t="n"/>
      <ns0:c r="B913" s="26" t="n"/>
      <ns0:c r="C913" s="27" t="n"/>
      <ns0:c r="D913" s="27" t="n"/>
      <ns0:c r="E913" s="28" t="str">
        <ns0:f>IF(A913="","",YEAR(A913)&amp;"-"&amp;RIGHT("0"&amp;MONTH(A913),2))</ns0:f>
        <ns0:v/>
      </ns0:c>
      <ns0:c r="F913" s="28" t="str">
        <ns0:f>IF(OR(A913="",B913="",C913&lt;=0),"",IF(SUMPRODUCT(('Müşteriler'!$B$2:$B$101&lt;&gt;"")*ISNUMBER(SEARCH('Müşteriler'!$B$2:$B$101,B913)))=1,IFERROR(INDEX('Müşteriler'!$A$2:$A$101,SUMPRODUCT(('Müşteriler'!$B$2:$B$101&lt;&gt;"")*ISNUMBER(SEARCH('Müşteriler'!$B$2:$B$101,B913)),ROW('Müşteriler'!$B$2:$B$101)-ROW('Müşteriler'!$B$2)+1)),""),""))</ns0:f>
        <ns0:v/>
      </ns0:c>
      <ns0:c r="G913" s="28" t="str">
        <ns0:f>IF(F913="","",IFERROR(INDEX('Müşteriler'!$C$2:$C$101,MATCH(F913,'Müşteriler'!$A$2:$A$101,0)),""))</ns0:f>
        <ns0:v/>
      </ns0:c>
      <ns0:c r="H913" s="28" t="str">
        <ns0:f>IF(A913="","",IF(C913&lt;=0,"Satış dışı",IF(OR(F913="",G913=""),"Eşleşmedi","Eşleşti")))</ns0:f>
        <ns0:v/>
      </ns0:c>
      <ns0:c r="I913" s="28">
        <ns0:f>I912+IF(AND(H913="Eşleşmedi",E913='Panel'!$B$4),1,0)</ns0:f>
        <ns0:v>3.0</ns0:v>
      </ns0:c>
    </ns0:row>
    <ns0:row r="914" ht="21" customHeight="1">
      <ns0:c r="A914" s="25" t="n"/>
      <ns0:c r="B914" s="26" t="n"/>
      <ns0:c r="C914" s="27" t="n"/>
      <ns0:c r="D914" s="27" t="n"/>
      <ns0:c r="E914" s="28" t="str">
        <ns0:f>IF(A914="","",YEAR(A914)&amp;"-"&amp;RIGHT("0"&amp;MONTH(A914),2))</ns0:f>
        <ns0:v/>
      </ns0:c>
      <ns0:c r="F914" s="28" t="str">
        <ns0:f>IF(OR(A914="",B914="",C914&lt;=0),"",IF(SUMPRODUCT(('Müşteriler'!$B$2:$B$101&lt;&gt;"")*ISNUMBER(SEARCH('Müşteriler'!$B$2:$B$101,B914)))=1,IFERROR(INDEX('Müşteriler'!$A$2:$A$101,SUMPRODUCT(('Müşteriler'!$B$2:$B$101&lt;&gt;"")*ISNUMBER(SEARCH('Müşteriler'!$B$2:$B$101,B914)),ROW('Müşteriler'!$B$2:$B$101)-ROW('Müşteriler'!$B$2)+1)),""),""))</ns0:f>
        <ns0:v/>
      </ns0:c>
      <ns0:c r="G914" s="28" t="str">
        <ns0:f>IF(F914="","",IFERROR(INDEX('Müşteriler'!$C$2:$C$101,MATCH(F914,'Müşteriler'!$A$2:$A$101,0)),""))</ns0:f>
        <ns0:v/>
      </ns0:c>
      <ns0:c r="H914" s="28" t="str">
        <ns0:f>IF(A914="","",IF(C914&lt;=0,"Satış dışı",IF(OR(F914="",G914=""),"Eşleşmedi","Eşleşti")))</ns0:f>
        <ns0:v/>
      </ns0:c>
      <ns0:c r="I914" s="28">
        <ns0:f>I913+IF(AND(H914="Eşleşmedi",E914='Panel'!$B$4),1,0)</ns0:f>
        <ns0:v>3.0</ns0:v>
      </ns0:c>
    </ns0:row>
    <ns0:row r="915" ht="21" customHeight="1">
      <ns0:c r="A915" s="25" t="n"/>
      <ns0:c r="B915" s="26" t="n"/>
      <ns0:c r="C915" s="27" t="n"/>
      <ns0:c r="D915" s="27" t="n"/>
      <ns0:c r="E915" s="28" t="str">
        <ns0:f>IF(A915="","",YEAR(A915)&amp;"-"&amp;RIGHT("0"&amp;MONTH(A915),2))</ns0:f>
        <ns0:v/>
      </ns0:c>
      <ns0:c r="F915" s="28" t="str">
        <ns0:f>IF(OR(A915="",B915="",C915&lt;=0),"",IF(SUMPRODUCT(('Müşteriler'!$B$2:$B$101&lt;&gt;"")*ISNUMBER(SEARCH('Müşteriler'!$B$2:$B$101,B915)))=1,IFERROR(INDEX('Müşteriler'!$A$2:$A$101,SUMPRODUCT(('Müşteriler'!$B$2:$B$101&lt;&gt;"")*ISNUMBER(SEARCH('Müşteriler'!$B$2:$B$101,B915)),ROW('Müşteriler'!$B$2:$B$101)-ROW('Müşteriler'!$B$2)+1)),""),""))</ns0:f>
        <ns0:v/>
      </ns0:c>
      <ns0:c r="G915" s="28" t="str">
        <ns0:f>IF(F915="","",IFERROR(INDEX('Müşteriler'!$C$2:$C$101,MATCH(F915,'Müşteriler'!$A$2:$A$101,0)),""))</ns0:f>
        <ns0:v/>
      </ns0:c>
      <ns0:c r="H915" s="28" t="str">
        <ns0:f>IF(A915="","",IF(C915&lt;=0,"Satış dışı",IF(OR(F915="",G915=""),"Eşleşmedi","Eşleşti")))</ns0:f>
        <ns0:v/>
      </ns0:c>
      <ns0:c r="I915" s="28">
        <ns0:f>I914+IF(AND(H915="Eşleşmedi",E915='Panel'!$B$4),1,0)</ns0:f>
        <ns0:v>3.0</ns0:v>
      </ns0:c>
    </ns0:row>
    <ns0:row r="916" ht="21" customHeight="1">
      <ns0:c r="A916" s="25" t="n"/>
      <ns0:c r="B916" s="26" t="n"/>
      <ns0:c r="C916" s="27" t="n"/>
      <ns0:c r="D916" s="27" t="n"/>
      <ns0:c r="E916" s="28" t="str">
        <ns0:f>IF(A916="","",YEAR(A916)&amp;"-"&amp;RIGHT("0"&amp;MONTH(A916),2))</ns0:f>
        <ns0:v/>
      </ns0:c>
      <ns0:c r="F916" s="28" t="str">
        <ns0:f>IF(OR(A916="",B916="",C916&lt;=0),"",IF(SUMPRODUCT(('Müşteriler'!$B$2:$B$101&lt;&gt;"")*ISNUMBER(SEARCH('Müşteriler'!$B$2:$B$101,B916)))=1,IFERROR(INDEX('Müşteriler'!$A$2:$A$101,SUMPRODUCT(('Müşteriler'!$B$2:$B$101&lt;&gt;"")*ISNUMBER(SEARCH('Müşteriler'!$B$2:$B$101,B916)),ROW('Müşteriler'!$B$2:$B$101)-ROW('Müşteriler'!$B$2)+1)),""),""))</ns0:f>
        <ns0:v/>
      </ns0:c>
      <ns0:c r="G916" s="28" t="str">
        <ns0:f>IF(F916="","",IFERROR(INDEX('Müşteriler'!$C$2:$C$101,MATCH(F916,'Müşteriler'!$A$2:$A$101,0)),""))</ns0:f>
        <ns0:v/>
      </ns0:c>
      <ns0:c r="H916" s="28" t="str">
        <ns0:f>IF(A916="","",IF(C916&lt;=0,"Satış dışı",IF(OR(F916="",G916=""),"Eşleşmedi","Eşleşti")))</ns0:f>
        <ns0:v/>
      </ns0:c>
      <ns0:c r="I916" s="28">
        <ns0:f>I915+IF(AND(H916="Eşleşmedi",E916='Panel'!$B$4),1,0)</ns0:f>
        <ns0:v>3.0</ns0:v>
      </ns0:c>
    </ns0:row>
    <ns0:row r="917" ht="21" customHeight="1">
      <ns0:c r="A917" s="25" t="n"/>
      <ns0:c r="B917" s="26" t="n"/>
      <ns0:c r="C917" s="27" t="n"/>
      <ns0:c r="D917" s="27" t="n"/>
      <ns0:c r="E917" s="28" t="str">
        <ns0:f>IF(A917="","",YEAR(A917)&amp;"-"&amp;RIGHT("0"&amp;MONTH(A917),2))</ns0:f>
        <ns0:v/>
      </ns0:c>
      <ns0:c r="F917" s="28" t="str">
        <ns0:f>IF(OR(A917="",B917="",C917&lt;=0),"",IF(SUMPRODUCT(('Müşteriler'!$B$2:$B$101&lt;&gt;"")*ISNUMBER(SEARCH('Müşteriler'!$B$2:$B$101,B917)))=1,IFERROR(INDEX('Müşteriler'!$A$2:$A$101,SUMPRODUCT(('Müşteriler'!$B$2:$B$101&lt;&gt;"")*ISNUMBER(SEARCH('Müşteriler'!$B$2:$B$101,B917)),ROW('Müşteriler'!$B$2:$B$101)-ROW('Müşteriler'!$B$2)+1)),""),""))</ns0:f>
        <ns0:v/>
      </ns0:c>
      <ns0:c r="G917" s="28" t="str">
        <ns0:f>IF(F917="","",IFERROR(INDEX('Müşteriler'!$C$2:$C$101,MATCH(F917,'Müşteriler'!$A$2:$A$101,0)),""))</ns0:f>
        <ns0:v/>
      </ns0:c>
      <ns0:c r="H917" s="28" t="str">
        <ns0:f>IF(A917="","",IF(C917&lt;=0,"Satış dışı",IF(OR(F917="",G917=""),"Eşleşmedi","Eşleşti")))</ns0:f>
        <ns0:v/>
      </ns0:c>
      <ns0:c r="I917" s="28">
        <ns0:f>I916+IF(AND(H917="Eşleşmedi",E917='Panel'!$B$4),1,0)</ns0:f>
        <ns0:v>3.0</ns0:v>
      </ns0:c>
    </ns0:row>
    <ns0:row r="918" ht="21" customHeight="1">
      <ns0:c r="A918" s="25" t="n"/>
      <ns0:c r="B918" s="26" t="n"/>
      <ns0:c r="C918" s="27" t="n"/>
      <ns0:c r="D918" s="27" t="n"/>
      <ns0:c r="E918" s="28" t="str">
        <ns0:f>IF(A918="","",YEAR(A918)&amp;"-"&amp;RIGHT("0"&amp;MONTH(A918),2))</ns0:f>
        <ns0:v/>
      </ns0:c>
      <ns0:c r="F918" s="28" t="str">
        <ns0:f>IF(OR(A918="",B918="",C918&lt;=0),"",IF(SUMPRODUCT(('Müşteriler'!$B$2:$B$101&lt;&gt;"")*ISNUMBER(SEARCH('Müşteriler'!$B$2:$B$101,B918)))=1,IFERROR(INDEX('Müşteriler'!$A$2:$A$101,SUMPRODUCT(('Müşteriler'!$B$2:$B$101&lt;&gt;"")*ISNUMBER(SEARCH('Müşteriler'!$B$2:$B$101,B918)),ROW('Müşteriler'!$B$2:$B$101)-ROW('Müşteriler'!$B$2)+1)),""),""))</ns0:f>
        <ns0:v/>
      </ns0:c>
      <ns0:c r="G918" s="28" t="str">
        <ns0:f>IF(F918="","",IFERROR(INDEX('Müşteriler'!$C$2:$C$101,MATCH(F918,'Müşteriler'!$A$2:$A$101,0)),""))</ns0:f>
        <ns0:v/>
      </ns0:c>
      <ns0:c r="H918" s="28" t="str">
        <ns0:f>IF(A918="","",IF(C918&lt;=0,"Satış dışı",IF(OR(F918="",G918=""),"Eşleşmedi","Eşleşti")))</ns0:f>
        <ns0:v/>
      </ns0:c>
      <ns0:c r="I918" s="28">
        <ns0:f>I917+IF(AND(H918="Eşleşmedi",E918='Panel'!$B$4),1,0)</ns0:f>
        <ns0:v>3.0</ns0:v>
      </ns0:c>
    </ns0:row>
    <ns0:row r="919" ht="21" customHeight="1">
      <ns0:c r="A919" s="25" t="n"/>
      <ns0:c r="B919" s="26" t="n"/>
      <ns0:c r="C919" s="27" t="n"/>
      <ns0:c r="D919" s="27" t="n"/>
      <ns0:c r="E919" s="28" t="str">
        <ns0:f>IF(A919="","",YEAR(A919)&amp;"-"&amp;RIGHT("0"&amp;MONTH(A919),2))</ns0:f>
        <ns0:v/>
      </ns0:c>
      <ns0:c r="F919" s="28" t="str">
        <ns0:f>IF(OR(A919="",B919="",C919&lt;=0),"",IF(SUMPRODUCT(('Müşteriler'!$B$2:$B$101&lt;&gt;"")*ISNUMBER(SEARCH('Müşteriler'!$B$2:$B$101,B919)))=1,IFERROR(INDEX('Müşteriler'!$A$2:$A$101,SUMPRODUCT(('Müşteriler'!$B$2:$B$101&lt;&gt;"")*ISNUMBER(SEARCH('Müşteriler'!$B$2:$B$101,B919)),ROW('Müşteriler'!$B$2:$B$101)-ROW('Müşteriler'!$B$2)+1)),""),""))</ns0:f>
        <ns0:v/>
      </ns0:c>
      <ns0:c r="G919" s="28" t="str">
        <ns0:f>IF(F919="","",IFERROR(INDEX('Müşteriler'!$C$2:$C$101,MATCH(F919,'Müşteriler'!$A$2:$A$101,0)),""))</ns0:f>
        <ns0:v/>
      </ns0:c>
      <ns0:c r="H919" s="28" t="str">
        <ns0:f>IF(A919="","",IF(C919&lt;=0,"Satış dışı",IF(OR(F919="",G919=""),"Eşleşmedi","Eşleşti")))</ns0:f>
        <ns0:v/>
      </ns0:c>
      <ns0:c r="I919" s="28">
        <ns0:f>I918+IF(AND(H919="Eşleşmedi",E919='Panel'!$B$4),1,0)</ns0:f>
        <ns0:v>3.0</ns0:v>
      </ns0:c>
    </ns0:row>
    <ns0:row r="920" ht="21" customHeight="1">
      <ns0:c r="A920" s="25" t="n"/>
      <ns0:c r="B920" s="26" t="n"/>
      <ns0:c r="C920" s="27" t="n"/>
      <ns0:c r="D920" s="27" t="n"/>
      <ns0:c r="E920" s="28" t="str">
        <ns0:f>IF(A920="","",YEAR(A920)&amp;"-"&amp;RIGHT("0"&amp;MONTH(A920),2))</ns0:f>
        <ns0:v/>
      </ns0:c>
      <ns0:c r="F920" s="28" t="str">
        <ns0:f>IF(OR(A920="",B920="",C920&lt;=0),"",IF(SUMPRODUCT(('Müşteriler'!$B$2:$B$101&lt;&gt;"")*ISNUMBER(SEARCH('Müşteriler'!$B$2:$B$101,B920)))=1,IFERROR(INDEX('Müşteriler'!$A$2:$A$101,SUMPRODUCT(('Müşteriler'!$B$2:$B$101&lt;&gt;"")*ISNUMBER(SEARCH('Müşteriler'!$B$2:$B$101,B920)),ROW('Müşteriler'!$B$2:$B$101)-ROW('Müşteriler'!$B$2)+1)),""),""))</ns0:f>
        <ns0:v/>
      </ns0:c>
      <ns0:c r="G920" s="28" t="str">
        <ns0:f>IF(F920="","",IFERROR(INDEX('Müşteriler'!$C$2:$C$101,MATCH(F920,'Müşteriler'!$A$2:$A$101,0)),""))</ns0:f>
        <ns0:v/>
      </ns0:c>
      <ns0:c r="H920" s="28" t="str">
        <ns0:f>IF(A920="","",IF(C920&lt;=0,"Satış dışı",IF(OR(F920="",G920=""),"Eşleşmedi","Eşleşti")))</ns0:f>
        <ns0:v/>
      </ns0:c>
      <ns0:c r="I920" s="28">
        <ns0:f>I919+IF(AND(H920="Eşleşmedi",E920='Panel'!$B$4),1,0)</ns0:f>
        <ns0:v>3.0</ns0:v>
      </ns0:c>
    </ns0:row>
    <ns0:row r="921" ht="21" customHeight="1">
      <ns0:c r="A921" s="25" t="n"/>
      <ns0:c r="B921" s="26" t="n"/>
      <ns0:c r="C921" s="27" t="n"/>
      <ns0:c r="D921" s="27" t="n"/>
      <ns0:c r="E921" s="28" t="str">
        <ns0:f>IF(A921="","",YEAR(A921)&amp;"-"&amp;RIGHT("0"&amp;MONTH(A921),2))</ns0:f>
        <ns0:v/>
      </ns0:c>
      <ns0:c r="F921" s="28" t="str">
        <ns0:f>IF(OR(A921="",B921="",C921&lt;=0),"",IF(SUMPRODUCT(('Müşteriler'!$B$2:$B$101&lt;&gt;"")*ISNUMBER(SEARCH('Müşteriler'!$B$2:$B$101,B921)))=1,IFERROR(INDEX('Müşteriler'!$A$2:$A$101,SUMPRODUCT(('Müşteriler'!$B$2:$B$101&lt;&gt;"")*ISNUMBER(SEARCH('Müşteriler'!$B$2:$B$101,B921)),ROW('Müşteriler'!$B$2:$B$101)-ROW('Müşteriler'!$B$2)+1)),""),""))</ns0:f>
        <ns0:v/>
      </ns0:c>
      <ns0:c r="G921" s="28" t="str">
        <ns0:f>IF(F921="","",IFERROR(INDEX('Müşteriler'!$C$2:$C$101,MATCH(F921,'Müşteriler'!$A$2:$A$101,0)),""))</ns0:f>
        <ns0:v/>
      </ns0:c>
      <ns0:c r="H921" s="28" t="str">
        <ns0:f>IF(A921="","",IF(C921&lt;=0,"Satış dışı",IF(OR(F921="",G921=""),"Eşleşmedi","Eşleşti")))</ns0:f>
        <ns0:v/>
      </ns0:c>
      <ns0:c r="I921" s="28">
        <ns0:f>I920+IF(AND(H921="Eşleşmedi",E921='Panel'!$B$4),1,0)</ns0:f>
        <ns0:v>3.0</ns0:v>
      </ns0:c>
    </ns0:row>
    <ns0:row r="922" ht="21" customHeight="1">
      <ns0:c r="A922" s="25" t="n"/>
      <ns0:c r="B922" s="26" t="n"/>
      <ns0:c r="C922" s="27" t="n"/>
      <ns0:c r="D922" s="27" t="n"/>
      <ns0:c r="E922" s="28" t="str">
        <ns0:f>IF(A922="","",YEAR(A922)&amp;"-"&amp;RIGHT("0"&amp;MONTH(A922),2))</ns0:f>
        <ns0:v/>
      </ns0:c>
      <ns0:c r="F922" s="28" t="str">
        <ns0:f>IF(OR(A922="",B922="",C922&lt;=0),"",IF(SUMPRODUCT(('Müşteriler'!$B$2:$B$101&lt;&gt;"")*ISNUMBER(SEARCH('Müşteriler'!$B$2:$B$101,B922)))=1,IFERROR(INDEX('Müşteriler'!$A$2:$A$101,SUMPRODUCT(('Müşteriler'!$B$2:$B$101&lt;&gt;"")*ISNUMBER(SEARCH('Müşteriler'!$B$2:$B$101,B922)),ROW('Müşteriler'!$B$2:$B$101)-ROW('Müşteriler'!$B$2)+1)),""),""))</ns0:f>
        <ns0:v/>
      </ns0:c>
      <ns0:c r="G922" s="28" t="str">
        <ns0:f>IF(F922="","",IFERROR(INDEX('Müşteriler'!$C$2:$C$101,MATCH(F922,'Müşteriler'!$A$2:$A$101,0)),""))</ns0:f>
        <ns0:v/>
      </ns0:c>
      <ns0:c r="H922" s="28" t="str">
        <ns0:f>IF(A922="","",IF(C922&lt;=0,"Satış dışı",IF(OR(F922="",G922=""),"Eşleşmedi","Eşleşti")))</ns0:f>
        <ns0:v/>
      </ns0:c>
      <ns0:c r="I922" s="28">
        <ns0:f>I921+IF(AND(H922="Eşleşmedi",E922='Panel'!$B$4),1,0)</ns0:f>
        <ns0:v>3.0</ns0:v>
      </ns0:c>
    </ns0:row>
    <ns0:row r="923" ht="21" customHeight="1">
      <ns0:c r="A923" s="25" t="n"/>
      <ns0:c r="B923" s="26" t="n"/>
      <ns0:c r="C923" s="27" t="n"/>
      <ns0:c r="D923" s="27" t="n"/>
      <ns0:c r="E923" s="28" t="str">
        <ns0:f>IF(A923="","",YEAR(A923)&amp;"-"&amp;RIGHT("0"&amp;MONTH(A923),2))</ns0:f>
        <ns0:v/>
      </ns0:c>
      <ns0:c r="F923" s="28" t="str">
        <ns0:f>IF(OR(A923="",B923="",C923&lt;=0),"",IF(SUMPRODUCT(('Müşteriler'!$B$2:$B$101&lt;&gt;"")*ISNUMBER(SEARCH('Müşteriler'!$B$2:$B$101,B923)))=1,IFERROR(INDEX('Müşteriler'!$A$2:$A$101,SUMPRODUCT(('Müşteriler'!$B$2:$B$101&lt;&gt;"")*ISNUMBER(SEARCH('Müşteriler'!$B$2:$B$101,B923)),ROW('Müşteriler'!$B$2:$B$101)-ROW('Müşteriler'!$B$2)+1)),""),""))</ns0:f>
        <ns0:v/>
      </ns0:c>
      <ns0:c r="G923" s="28" t="str">
        <ns0:f>IF(F923="","",IFERROR(INDEX('Müşteriler'!$C$2:$C$101,MATCH(F923,'Müşteriler'!$A$2:$A$101,0)),""))</ns0:f>
        <ns0:v/>
      </ns0:c>
      <ns0:c r="H923" s="28" t="str">
        <ns0:f>IF(A923="","",IF(C923&lt;=0,"Satış dışı",IF(OR(F923="",G923=""),"Eşleşmedi","Eşleşti")))</ns0:f>
        <ns0:v/>
      </ns0:c>
      <ns0:c r="I923" s="28">
        <ns0:f>I922+IF(AND(H923="Eşleşmedi",E923='Panel'!$B$4),1,0)</ns0:f>
        <ns0:v>3.0</ns0:v>
      </ns0:c>
    </ns0:row>
    <ns0:row r="924" ht="21" customHeight="1">
      <ns0:c r="A924" s="25" t="n"/>
      <ns0:c r="B924" s="26" t="n"/>
      <ns0:c r="C924" s="27" t="n"/>
      <ns0:c r="D924" s="27" t="n"/>
      <ns0:c r="E924" s="28" t="str">
        <ns0:f>IF(A924="","",YEAR(A924)&amp;"-"&amp;RIGHT("0"&amp;MONTH(A924),2))</ns0:f>
        <ns0:v/>
      </ns0:c>
      <ns0:c r="F924" s="28" t="str">
        <ns0:f>IF(OR(A924="",B924="",C924&lt;=0),"",IF(SUMPRODUCT(('Müşteriler'!$B$2:$B$101&lt;&gt;"")*ISNUMBER(SEARCH('Müşteriler'!$B$2:$B$101,B924)))=1,IFERROR(INDEX('Müşteriler'!$A$2:$A$101,SUMPRODUCT(('Müşteriler'!$B$2:$B$101&lt;&gt;"")*ISNUMBER(SEARCH('Müşteriler'!$B$2:$B$101,B924)),ROW('Müşteriler'!$B$2:$B$101)-ROW('Müşteriler'!$B$2)+1)),""),""))</ns0:f>
        <ns0:v/>
      </ns0:c>
      <ns0:c r="G924" s="28" t="str">
        <ns0:f>IF(F924="","",IFERROR(INDEX('Müşteriler'!$C$2:$C$101,MATCH(F924,'Müşteriler'!$A$2:$A$101,0)),""))</ns0:f>
        <ns0:v/>
      </ns0:c>
      <ns0:c r="H924" s="28" t="str">
        <ns0:f>IF(A924="","",IF(C924&lt;=0,"Satış dışı",IF(OR(F924="",G924=""),"Eşleşmedi","Eşleşti")))</ns0:f>
        <ns0:v/>
      </ns0:c>
      <ns0:c r="I924" s="28">
        <ns0:f>I923+IF(AND(H924="Eşleşmedi",E924='Panel'!$B$4),1,0)</ns0:f>
        <ns0:v>3.0</ns0:v>
      </ns0:c>
    </ns0:row>
    <ns0:row r="925" ht="21" customHeight="1">
      <ns0:c r="A925" s="25" t="n"/>
      <ns0:c r="B925" s="26" t="n"/>
      <ns0:c r="C925" s="27" t="n"/>
      <ns0:c r="D925" s="27" t="n"/>
      <ns0:c r="E925" s="28" t="str">
        <ns0:f>IF(A925="","",YEAR(A925)&amp;"-"&amp;RIGHT("0"&amp;MONTH(A925),2))</ns0:f>
        <ns0:v/>
      </ns0:c>
      <ns0:c r="F925" s="28" t="str">
        <ns0:f>IF(OR(A925="",B925="",C925&lt;=0),"",IF(SUMPRODUCT(('Müşteriler'!$B$2:$B$101&lt;&gt;"")*ISNUMBER(SEARCH('Müşteriler'!$B$2:$B$101,B925)))=1,IFERROR(INDEX('Müşteriler'!$A$2:$A$101,SUMPRODUCT(('Müşteriler'!$B$2:$B$101&lt;&gt;"")*ISNUMBER(SEARCH('Müşteriler'!$B$2:$B$101,B925)),ROW('Müşteriler'!$B$2:$B$101)-ROW('Müşteriler'!$B$2)+1)),""),""))</ns0:f>
        <ns0:v/>
      </ns0:c>
      <ns0:c r="G925" s="28" t="str">
        <ns0:f>IF(F925="","",IFERROR(INDEX('Müşteriler'!$C$2:$C$101,MATCH(F925,'Müşteriler'!$A$2:$A$101,0)),""))</ns0:f>
        <ns0:v/>
      </ns0:c>
      <ns0:c r="H925" s="28" t="str">
        <ns0:f>IF(A925="","",IF(C925&lt;=0,"Satış dışı",IF(OR(F925="",G925=""),"Eşleşmedi","Eşleşti")))</ns0:f>
        <ns0:v/>
      </ns0:c>
      <ns0:c r="I925" s="28">
        <ns0:f>I924+IF(AND(H925="Eşleşmedi",E925='Panel'!$B$4),1,0)</ns0:f>
        <ns0:v>3.0</ns0:v>
      </ns0:c>
    </ns0:row>
    <ns0:row r="926" ht="21" customHeight="1">
      <ns0:c r="A926" s="25" t="n"/>
      <ns0:c r="B926" s="26" t="n"/>
      <ns0:c r="C926" s="27" t="n"/>
      <ns0:c r="D926" s="27" t="n"/>
      <ns0:c r="E926" s="28" t="str">
        <ns0:f>IF(A926="","",YEAR(A926)&amp;"-"&amp;RIGHT("0"&amp;MONTH(A926),2))</ns0:f>
        <ns0:v/>
      </ns0:c>
      <ns0:c r="F926" s="28" t="str">
        <ns0:f>IF(OR(A926="",B926="",C926&lt;=0),"",IF(SUMPRODUCT(('Müşteriler'!$B$2:$B$101&lt;&gt;"")*ISNUMBER(SEARCH('Müşteriler'!$B$2:$B$101,B926)))=1,IFERROR(INDEX('Müşteriler'!$A$2:$A$101,SUMPRODUCT(('Müşteriler'!$B$2:$B$101&lt;&gt;"")*ISNUMBER(SEARCH('Müşteriler'!$B$2:$B$101,B926)),ROW('Müşteriler'!$B$2:$B$101)-ROW('Müşteriler'!$B$2)+1)),""),""))</ns0:f>
        <ns0:v/>
      </ns0:c>
      <ns0:c r="G926" s="28" t="str">
        <ns0:f>IF(F926="","",IFERROR(INDEX('Müşteriler'!$C$2:$C$101,MATCH(F926,'Müşteriler'!$A$2:$A$101,0)),""))</ns0:f>
        <ns0:v/>
      </ns0:c>
      <ns0:c r="H926" s="28" t="str">
        <ns0:f>IF(A926="","",IF(C926&lt;=0,"Satış dışı",IF(OR(F926="",G926=""),"Eşleşmedi","Eşleşti")))</ns0:f>
        <ns0:v/>
      </ns0:c>
      <ns0:c r="I926" s="28">
        <ns0:f>I925+IF(AND(H926="Eşleşmedi",E926='Panel'!$B$4),1,0)</ns0:f>
        <ns0:v>3.0</ns0:v>
      </ns0:c>
    </ns0:row>
    <ns0:row r="927" ht="21" customHeight="1">
      <ns0:c r="A927" s="25" t="n"/>
      <ns0:c r="B927" s="26" t="n"/>
      <ns0:c r="C927" s="27" t="n"/>
      <ns0:c r="D927" s="27" t="n"/>
      <ns0:c r="E927" s="28" t="str">
        <ns0:f>IF(A927="","",YEAR(A927)&amp;"-"&amp;RIGHT("0"&amp;MONTH(A927),2))</ns0:f>
        <ns0:v/>
      </ns0:c>
      <ns0:c r="F927" s="28" t="str">
        <ns0:f>IF(OR(A927="",B927="",C927&lt;=0),"",IF(SUMPRODUCT(('Müşteriler'!$B$2:$B$101&lt;&gt;"")*ISNUMBER(SEARCH('Müşteriler'!$B$2:$B$101,B927)))=1,IFERROR(INDEX('Müşteriler'!$A$2:$A$101,SUMPRODUCT(('Müşteriler'!$B$2:$B$101&lt;&gt;"")*ISNUMBER(SEARCH('Müşteriler'!$B$2:$B$101,B927)),ROW('Müşteriler'!$B$2:$B$101)-ROW('Müşteriler'!$B$2)+1)),""),""))</ns0:f>
        <ns0:v/>
      </ns0:c>
      <ns0:c r="G927" s="28" t="str">
        <ns0:f>IF(F927="","",IFERROR(INDEX('Müşteriler'!$C$2:$C$101,MATCH(F927,'Müşteriler'!$A$2:$A$101,0)),""))</ns0:f>
        <ns0:v/>
      </ns0:c>
      <ns0:c r="H927" s="28" t="str">
        <ns0:f>IF(A927="","",IF(C927&lt;=0,"Satış dışı",IF(OR(F927="",G927=""),"Eşleşmedi","Eşleşti")))</ns0:f>
        <ns0:v/>
      </ns0:c>
      <ns0:c r="I927" s="28">
        <ns0:f>I926+IF(AND(H927="Eşleşmedi",E927='Panel'!$B$4),1,0)</ns0:f>
        <ns0:v>3.0</ns0:v>
      </ns0:c>
    </ns0:row>
    <ns0:row r="928" ht="21" customHeight="1">
      <ns0:c r="A928" s="25" t="n"/>
      <ns0:c r="B928" s="26" t="n"/>
      <ns0:c r="C928" s="27" t="n"/>
      <ns0:c r="D928" s="27" t="n"/>
      <ns0:c r="E928" s="28" t="str">
        <ns0:f>IF(A928="","",YEAR(A928)&amp;"-"&amp;RIGHT("0"&amp;MONTH(A928),2))</ns0:f>
        <ns0:v/>
      </ns0:c>
      <ns0:c r="F928" s="28" t="str">
        <ns0:f>IF(OR(A928="",B928="",C928&lt;=0),"",IF(SUMPRODUCT(('Müşteriler'!$B$2:$B$101&lt;&gt;"")*ISNUMBER(SEARCH('Müşteriler'!$B$2:$B$101,B928)))=1,IFERROR(INDEX('Müşteriler'!$A$2:$A$101,SUMPRODUCT(('Müşteriler'!$B$2:$B$101&lt;&gt;"")*ISNUMBER(SEARCH('Müşteriler'!$B$2:$B$101,B928)),ROW('Müşteriler'!$B$2:$B$101)-ROW('Müşteriler'!$B$2)+1)),""),""))</ns0:f>
        <ns0:v/>
      </ns0:c>
      <ns0:c r="G928" s="28" t="str">
        <ns0:f>IF(F928="","",IFERROR(INDEX('Müşteriler'!$C$2:$C$101,MATCH(F928,'Müşteriler'!$A$2:$A$101,0)),""))</ns0:f>
        <ns0:v/>
      </ns0:c>
      <ns0:c r="H928" s="28" t="str">
        <ns0:f>IF(A928="","",IF(C928&lt;=0,"Satış dışı",IF(OR(F928="",G928=""),"Eşleşmedi","Eşleşti")))</ns0:f>
        <ns0:v/>
      </ns0:c>
      <ns0:c r="I928" s="28">
        <ns0:f>I927+IF(AND(H928="Eşleşmedi",E928='Panel'!$B$4),1,0)</ns0:f>
        <ns0:v>3.0</ns0:v>
      </ns0:c>
    </ns0:row>
    <ns0:row r="929" ht="21" customHeight="1">
      <ns0:c r="A929" s="25" t="n"/>
      <ns0:c r="B929" s="26" t="n"/>
      <ns0:c r="C929" s="27" t="n"/>
      <ns0:c r="D929" s="27" t="n"/>
      <ns0:c r="E929" s="28" t="str">
        <ns0:f>IF(A929="","",YEAR(A929)&amp;"-"&amp;RIGHT("0"&amp;MONTH(A929),2))</ns0:f>
        <ns0:v/>
      </ns0:c>
      <ns0:c r="F929" s="28" t="str">
        <ns0:f>IF(OR(A929="",B929="",C929&lt;=0),"",IF(SUMPRODUCT(('Müşteriler'!$B$2:$B$101&lt;&gt;"")*ISNUMBER(SEARCH('Müşteriler'!$B$2:$B$101,B929)))=1,IFERROR(INDEX('Müşteriler'!$A$2:$A$101,SUMPRODUCT(('Müşteriler'!$B$2:$B$101&lt;&gt;"")*ISNUMBER(SEARCH('Müşteriler'!$B$2:$B$101,B929)),ROW('Müşteriler'!$B$2:$B$101)-ROW('Müşteriler'!$B$2)+1)),""),""))</ns0:f>
        <ns0:v/>
      </ns0:c>
      <ns0:c r="G929" s="28" t="str">
        <ns0:f>IF(F929="","",IFERROR(INDEX('Müşteriler'!$C$2:$C$101,MATCH(F929,'Müşteriler'!$A$2:$A$101,0)),""))</ns0:f>
        <ns0:v/>
      </ns0:c>
      <ns0:c r="H929" s="28" t="str">
        <ns0:f>IF(A929="","",IF(C929&lt;=0,"Satış dışı",IF(OR(F929="",G929=""),"Eşleşmedi","Eşleşti")))</ns0:f>
        <ns0:v/>
      </ns0:c>
      <ns0:c r="I929" s="28">
        <ns0:f>I928+IF(AND(H929="Eşleşmedi",E929='Panel'!$B$4),1,0)</ns0:f>
        <ns0:v>3.0</ns0:v>
      </ns0:c>
    </ns0:row>
    <ns0:row r="930" ht="21" customHeight="1">
      <ns0:c r="A930" s="25" t="n"/>
      <ns0:c r="B930" s="26" t="n"/>
      <ns0:c r="C930" s="27" t="n"/>
      <ns0:c r="D930" s="27" t="n"/>
      <ns0:c r="E930" s="28" t="str">
        <ns0:f>IF(A930="","",YEAR(A930)&amp;"-"&amp;RIGHT("0"&amp;MONTH(A930),2))</ns0:f>
        <ns0:v/>
      </ns0:c>
      <ns0:c r="F930" s="28" t="str">
        <ns0:f>IF(OR(A930="",B930="",C930&lt;=0),"",IF(SUMPRODUCT(('Müşteriler'!$B$2:$B$101&lt;&gt;"")*ISNUMBER(SEARCH('Müşteriler'!$B$2:$B$101,B930)))=1,IFERROR(INDEX('Müşteriler'!$A$2:$A$101,SUMPRODUCT(('Müşteriler'!$B$2:$B$101&lt;&gt;"")*ISNUMBER(SEARCH('Müşteriler'!$B$2:$B$101,B930)),ROW('Müşteriler'!$B$2:$B$101)-ROW('Müşteriler'!$B$2)+1)),""),""))</ns0:f>
        <ns0:v/>
      </ns0:c>
      <ns0:c r="G930" s="28" t="str">
        <ns0:f>IF(F930="","",IFERROR(INDEX('Müşteriler'!$C$2:$C$101,MATCH(F930,'Müşteriler'!$A$2:$A$101,0)),""))</ns0:f>
        <ns0:v/>
      </ns0:c>
      <ns0:c r="H930" s="28" t="str">
        <ns0:f>IF(A930="","",IF(C930&lt;=0,"Satış dışı",IF(OR(F930="",G930=""),"Eşleşmedi","Eşleşti")))</ns0:f>
        <ns0:v/>
      </ns0:c>
      <ns0:c r="I930" s="28">
        <ns0:f>I929+IF(AND(H930="Eşleşmedi",E930='Panel'!$B$4),1,0)</ns0:f>
        <ns0:v>3.0</ns0:v>
      </ns0:c>
    </ns0:row>
    <ns0:row r="931" ht="21" customHeight="1">
      <ns0:c r="A931" s="25" t="n"/>
      <ns0:c r="B931" s="26" t="n"/>
      <ns0:c r="C931" s="27" t="n"/>
      <ns0:c r="D931" s="27" t="n"/>
      <ns0:c r="E931" s="28" t="str">
        <ns0:f>IF(A931="","",YEAR(A931)&amp;"-"&amp;RIGHT("0"&amp;MONTH(A931),2))</ns0:f>
        <ns0:v/>
      </ns0:c>
      <ns0:c r="F931" s="28" t="str">
        <ns0:f>IF(OR(A931="",B931="",C931&lt;=0),"",IF(SUMPRODUCT(('Müşteriler'!$B$2:$B$101&lt;&gt;"")*ISNUMBER(SEARCH('Müşteriler'!$B$2:$B$101,B931)))=1,IFERROR(INDEX('Müşteriler'!$A$2:$A$101,SUMPRODUCT(('Müşteriler'!$B$2:$B$101&lt;&gt;"")*ISNUMBER(SEARCH('Müşteriler'!$B$2:$B$101,B931)),ROW('Müşteriler'!$B$2:$B$101)-ROW('Müşteriler'!$B$2)+1)),""),""))</ns0:f>
        <ns0:v/>
      </ns0:c>
      <ns0:c r="G931" s="28" t="str">
        <ns0:f>IF(F931="","",IFERROR(INDEX('Müşteriler'!$C$2:$C$101,MATCH(F931,'Müşteriler'!$A$2:$A$101,0)),""))</ns0:f>
        <ns0:v/>
      </ns0:c>
      <ns0:c r="H931" s="28" t="str">
        <ns0:f>IF(A931="","",IF(C931&lt;=0,"Satış dışı",IF(OR(F931="",G931=""),"Eşleşmedi","Eşleşti")))</ns0:f>
        <ns0:v/>
      </ns0:c>
      <ns0:c r="I931" s="28">
        <ns0:f>I930+IF(AND(H931="Eşleşmedi",E931='Panel'!$B$4),1,0)</ns0:f>
        <ns0:v>3.0</ns0:v>
      </ns0:c>
    </ns0:row>
    <ns0:row r="932" ht="21" customHeight="1">
      <ns0:c r="A932" s="25" t="n"/>
      <ns0:c r="B932" s="26" t="n"/>
      <ns0:c r="C932" s="27" t="n"/>
      <ns0:c r="D932" s="27" t="n"/>
      <ns0:c r="E932" s="28" t="str">
        <ns0:f>IF(A932="","",YEAR(A932)&amp;"-"&amp;RIGHT("0"&amp;MONTH(A932),2))</ns0:f>
        <ns0:v/>
      </ns0:c>
      <ns0:c r="F932" s="28" t="str">
        <ns0:f>IF(OR(A932="",B932="",C932&lt;=0),"",IF(SUMPRODUCT(('Müşteriler'!$B$2:$B$101&lt;&gt;"")*ISNUMBER(SEARCH('Müşteriler'!$B$2:$B$101,B932)))=1,IFERROR(INDEX('Müşteriler'!$A$2:$A$101,SUMPRODUCT(('Müşteriler'!$B$2:$B$101&lt;&gt;"")*ISNUMBER(SEARCH('Müşteriler'!$B$2:$B$101,B932)),ROW('Müşteriler'!$B$2:$B$101)-ROW('Müşteriler'!$B$2)+1)),""),""))</ns0:f>
        <ns0:v/>
      </ns0:c>
      <ns0:c r="G932" s="28" t="str">
        <ns0:f>IF(F932="","",IFERROR(INDEX('Müşteriler'!$C$2:$C$101,MATCH(F932,'Müşteriler'!$A$2:$A$101,0)),""))</ns0:f>
        <ns0:v/>
      </ns0:c>
      <ns0:c r="H932" s="28" t="str">
        <ns0:f>IF(A932="","",IF(C932&lt;=0,"Satış dışı",IF(OR(F932="",G932=""),"Eşleşmedi","Eşleşti")))</ns0:f>
        <ns0:v/>
      </ns0:c>
      <ns0:c r="I932" s="28">
        <ns0:f>I931+IF(AND(H932="Eşleşmedi",E932='Panel'!$B$4),1,0)</ns0:f>
        <ns0:v>3.0</ns0:v>
      </ns0:c>
    </ns0:row>
    <ns0:row r="933" ht="21" customHeight="1">
      <ns0:c r="A933" s="25" t="n"/>
      <ns0:c r="B933" s="26" t="n"/>
      <ns0:c r="C933" s="27" t="n"/>
      <ns0:c r="D933" s="27" t="n"/>
      <ns0:c r="E933" s="28" t="str">
        <ns0:f>IF(A933="","",YEAR(A933)&amp;"-"&amp;RIGHT("0"&amp;MONTH(A933),2))</ns0:f>
        <ns0:v/>
      </ns0:c>
      <ns0:c r="F933" s="28" t="str">
        <ns0:f>IF(OR(A933="",B933="",C933&lt;=0),"",IF(SUMPRODUCT(('Müşteriler'!$B$2:$B$101&lt;&gt;"")*ISNUMBER(SEARCH('Müşteriler'!$B$2:$B$101,B933)))=1,IFERROR(INDEX('Müşteriler'!$A$2:$A$101,SUMPRODUCT(('Müşteriler'!$B$2:$B$101&lt;&gt;"")*ISNUMBER(SEARCH('Müşteriler'!$B$2:$B$101,B933)),ROW('Müşteriler'!$B$2:$B$101)-ROW('Müşteriler'!$B$2)+1)),""),""))</ns0:f>
        <ns0:v/>
      </ns0:c>
      <ns0:c r="G933" s="28" t="str">
        <ns0:f>IF(F933="","",IFERROR(INDEX('Müşteriler'!$C$2:$C$101,MATCH(F933,'Müşteriler'!$A$2:$A$101,0)),""))</ns0:f>
        <ns0:v/>
      </ns0:c>
      <ns0:c r="H933" s="28" t="str">
        <ns0:f>IF(A933="","",IF(C933&lt;=0,"Satış dışı",IF(OR(F933="",G933=""),"Eşleşmedi","Eşleşti")))</ns0:f>
        <ns0:v/>
      </ns0:c>
      <ns0:c r="I933" s="28">
        <ns0:f>I932+IF(AND(H933="Eşleşmedi",E933='Panel'!$B$4),1,0)</ns0:f>
        <ns0:v>3.0</ns0:v>
      </ns0:c>
    </ns0:row>
    <ns0:row r="934" ht="21" customHeight="1">
      <ns0:c r="A934" s="25" t="n"/>
      <ns0:c r="B934" s="26" t="n"/>
      <ns0:c r="C934" s="27" t="n"/>
      <ns0:c r="D934" s="27" t="n"/>
      <ns0:c r="E934" s="28" t="str">
        <ns0:f>IF(A934="","",YEAR(A934)&amp;"-"&amp;RIGHT("0"&amp;MONTH(A934),2))</ns0:f>
        <ns0:v/>
      </ns0:c>
      <ns0:c r="F934" s="28" t="str">
        <ns0:f>IF(OR(A934="",B934="",C934&lt;=0),"",IF(SUMPRODUCT(('Müşteriler'!$B$2:$B$101&lt;&gt;"")*ISNUMBER(SEARCH('Müşteriler'!$B$2:$B$101,B934)))=1,IFERROR(INDEX('Müşteriler'!$A$2:$A$101,SUMPRODUCT(('Müşteriler'!$B$2:$B$101&lt;&gt;"")*ISNUMBER(SEARCH('Müşteriler'!$B$2:$B$101,B934)),ROW('Müşteriler'!$B$2:$B$101)-ROW('Müşteriler'!$B$2)+1)),""),""))</ns0:f>
        <ns0:v/>
      </ns0:c>
      <ns0:c r="G934" s="28" t="str">
        <ns0:f>IF(F934="","",IFERROR(INDEX('Müşteriler'!$C$2:$C$101,MATCH(F934,'Müşteriler'!$A$2:$A$101,0)),""))</ns0:f>
        <ns0:v/>
      </ns0:c>
      <ns0:c r="H934" s="28" t="str">
        <ns0:f>IF(A934="","",IF(C934&lt;=0,"Satış dışı",IF(OR(F934="",G934=""),"Eşleşmedi","Eşleşti")))</ns0:f>
        <ns0:v/>
      </ns0:c>
      <ns0:c r="I934" s="28">
        <ns0:f>I933+IF(AND(H934="Eşleşmedi",E934='Panel'!$B$4),1,0)</ns0:f>
        <ns0:v>3.0</ns0:v>
      </ns0:c>
    </ns0:row>
    <ns0:row r="935" ht="21" customHeight="1">
      <ns0:c r="A935" s="25" t="n"/>
      <ns0:c r="B935" s="26" t="n"/>
      <ns0:c r="C935" s="27" t="n"/>
      <ns0:c r="D935" s="27" t="n"/>
      <ns0:c r="E935" s="28" t="str">
        <ns0:f>IF(A935="","",YEAR(A935)&amp;"-"&amp;RIGHT("0"&amp;MONTH(A935),2))</ns0:f>
        <ns0:v/>
      </ns0:c>
      <ns0:c r="F935" s="28" t="str">
        <ns0:f>IF(OR(A935="",B935="",C935&lt;=0),"",IF(SUMPRODUCT(('Müşteriler'!$B$2:$B$101&lt;&gt;"")*ISNUMBER(SEARCH('Müşteriler'!$B$2:$B$101,B935)))=1,IFERROR(INDEX('Müşteriler'!$A$2:$A$101,SUMPRODUCT(('Müşteriler'!$B$2:$B$101&lt;&gt;"")*ISNUMBER(SEARCH('Müşteriler'!$B$2:$B$101,B935)),ROW('Müşteriler'!$B$2:$B$101)-ROW('Müşteriler'!$B$2)+1)),""),""))</ns0:f>
        <ns0:v/>
      </ns0:c>
      <ns0:c r="G935" s="28" t="str">
        <ns0:f>IF(F935="","",IFERROR(INDEX('Müşteriler'!$C$2:$C$101,MATCH(F935,'Müşteriler'!$A$2:$A$101,0)),""))</ns0:f>
        <ns0:v/>
      </ns0:c>
      <ns0:c r="H935" s="28" t="str">
        <ns0:f>IF(A935="","",IF(C935&lt;=0,"Satış dışı",IF(OR(F935="",G935=""),"Eşleşmedi","Eşleşti")))</ns0:f>
        <ns0:v/>
      </ns0:c>
      <ns0:c r="I935" s="28">
        <ns0:f>I934+IF(AND(H935="Eşleşmedi",E935='Panel'!$B$4),1,0)</ns0:f>
        <ns0:v>3.0</ns0:v>
      </ns0:c>
    </ns0:row>
    <ns0:row r="936" ht="21" customHeight="1">
      <ns0:c r="A936" s="25" t="n"/>
      <ns0:c r="B936" s="26" t="n"/>
      <ns0:c r="C936" s="27" t="n"/>
      <ns0:c r="D936" s="27" t="n"/>
      <ns0:c r="E936" s="28" t="str">
        <ns0:f>IF(A936="","",YEAR(A936)&amp;"-"&amp;RIGHT("0"&amp;MONTH(A936),2))</ns0:f>
        <ns0:v/>
      </ns0:c>
      <ns0:c r="F936" s="28" t="str">
        <ns0:f>IF(OR(A936="",B936="",C936&lt;=0),"",IF(SUMPRODUCT(('Müşteriler'!$B$2:$B$101&lt;&gt;"")*ISNUMBER(SEARCH('Müşteriler'!$B$2:$B$101,B936)))=1,IFERROR(INDEX('Müşteriler'!$A$2:$A$101,SUMPRODUCT(('Müşteriler'!$B$2:$B$101&lt;&gt;"")*ISNUMBER(SEARCH('Müşteriler'!$B$2:$B$101,B936)),ROW('Müşteriler'!$B$2:$B$101)-ROW('Müşteriler'!$B$2)+1)),""),""))</ns0:f>
        <ns0:v/>
      </ns0:c>
      <ns0:c r="G936" s="28" t="str">
        <ns0:f>IF(F936="","",IFERROR(INDEX('Müşteriler'!$C$2:$C$101,MATCH(F936,'Müşteriler'!$A$2:$A$101,0)),""))</ns0:f>
        <ns0:v/>
      </ns0:c>
      <ns0:c r="H936" s="28" t="str">
        <ns0:f>IF(A936="","",IF(C936&lt;=0,"Satış dışı",IF(OR(F936="",G936=""),"Eşleşmedi","Eşleşti")))</ns0:f>
        <ns0:v/>
      </ns0:c>
      <ns0:c r="I936" s="28">
        <ns0:f>I935+IF(AND(H936="Eşleşmedi",E936='Panel'!$B$4),1,0)</ns0:f>
        <ns0:v>3.0</ns0:v>
      </ns0:c>
    </ns0:row>
    <ns0:row r="937" ht="21" customHeight="1">
      <ns0:c r="A937" s="25" t="n"/>
      <ns0:c r="B937" s="26" t="n"/>
      <ns0:c r="C937" s="27" t="n"/>
      <ns0:c r="D937" s="27" t="n"/>
      <ns0:c r="E937" s="28" t="str">
        <ns0:f>IF(A937="","",YEAR(A937)&amp;"-"&amp;RIGHT("0"&amp;MONTH(A937),2))</ns0:f>
        <ns0:v/>
      </ns0:c>
      <ns0:c r="F937" s="28" t="str">
        <ns0:f>IF(OR(A937="",B937="",C937&lt;=0),"",IF(SUMPRODUCT(('Müşteriler'!$B$2:$B$101&lt;&gt;"")*ISNUMBER(SEARCH('Müşteriler'!$B$2:$B$101,B937)))=1,IFERROR(INDEX('Müşteriler'!$A$2:$A$101,SUMPRODUCT(('Müşteriler'!$B$2:$B$101&lt;&gt;"")*ISNUMBER(SEARCH('Müşteriler'!$B$2:$B$101,B937)),ROW('Müşteriler'!$B$2:$B$101)-ROW('Müşteriler'!$B$2)+1)),""),""))</ns0:f>
        <ns0:v/>
      </ns0:c>
      <ns0:c r="G937" s="28" t="str">
        <ns0:f>IF(F937="","",IFERROR(INDEX('Müşteriler'!$C$2:$C$101,MATCH(F937,'Müşteriler'!$A$2:$A$101,0)),""))</ns0:f>
        <ns0:v/>
      </ns0:c>
      <ns0:c r="H937" s="28" t="str">
        <ns0:f>IF(A937="","",IF(C937&lt;=0,"Satış dışı",IF(OR(F937="",G937=""),"Eşleşmedi","Eşleşti")))</ns0:f>
        <ns0:v/>
      </ns0:c>
      <ns0:c r="I937" s="28">
        <ns0:f>I936+IF(AND(H937="Eşleşmedi",E937='Panel'!$B$4),1,0)</ns0:f>
        <ns0:v>3.0</ns0:v>
      </ns0:c>
    </ns0:row>
    <ns0:row r="938" ht="21" customHeight="1">
      <ns0:c r="A938" s="25" t="n"/>
      <ns0:c r="B938" s="26" t="n"/>
      <ns0:c r="C938" s="27" t="n"/>
      <ns0:c r="D938" s="27" t="n"/>
      <ns0:c r="E938" s="28" t="str">
        <ns0:f>IF(A938="","",YEAR(A938)&amp;"-"&amp;RIGHT("0"&amp;MONTH(A938),2))</ns0:f>
        <ns0:v/>
      </ns0:c>
      <ns0:c r="F938" s="28" t="str">
        <ns0:f>IF(OR(A938="",B938="",C938&lt;=0),"",IF(SUMPRODUCT(('Müşteriler'!$B$2:$B$101&lt;&gt;"")*ISNUMBER(SEARCH('Müşteriler'!$B$2:$B$101,B938)))=1,IFERROR(INDEX('Müşteriler'!$A$2:$A$101,SUMPRODUCT(('Müşteriler'!$B$2:$B$101&lt;&gt;"")*ISNUMBER(SEARCH('Müşteriler'!$B$2:$B$101,B938)),ROW('Müşteriler'!$B$2:$B$101)-ROW('Müşteriler'!$B$2)+1)),""),""))</ns0:f>
        <ns0:v/>
      </ns0:c>
      <ns0:c r="G938" s="28" t="str">
        <ns0:f>IF(F938="","",IFERROR(INDEX('Müşteriler'!$C$2:$C$101,MATCH(F938,'Müşteriler'!$A$2:$A$101,0)),""))</ns0:f>
        <ns0:v/>
      </ns0:c>
      <ns0:c r="H938" s="28" t="str">
        <ns0:f>IF(A938="","",IF(C938&lt;=0,"Satış dışı",IF(OR(F938="",G938=""),"Eşleşmedi","Eşleşti")))</ns0:f>
        <ns0:v/>
      </ns0:c>
      <ns0:c r="I938" s="28">
        <ns0:f>I937+IF(AND(H938="Eşleşmedi",E938='Panel'!$B$4),1,0)</ns0:f>
        <ns0:v>3.0</ns0:v>
      </ns0:c>
    </ns0:row>
    <ns0:row r="939" ht="21" customHeight="1">
      <ns0:c r="A939" s="25" t="n"/>
      <ns0:c r="B939" s="26" t="n"/>
      <ns0:c r="C939" s="27" t="n"/>
      <ns0:c r="D939" s="27" t="n"/>
      <ns0:c r="E939" s="28" t="str">
        <ns0:f>IF(A939="","",YEAR(A939)&amp;"-"&amp;RIGHT("0"&amp;MONTH(A939),2))</ns0:f>
        <ns0:v/>
      </ns0:c>
      <ns0:c r="F939" s="28" t="str">
        <ns0:f>IF(OR(A939="",B939="",C939&lt;=0),"",IF(SUMPRODUCT(('Müşteriler'!$B$2:$B$101&lt;&gt;"")*ISNUMBER(SEARCH('Müşteriler'!$B$2:$B$101,B939)))=1,IFERROR(INDEX('Müşteriler'!$A$2:$A$101,SUMPRODUCT(('Müşteriler'!$B$2:$B$101&lt;&gt;"")*ISNUMBER(SEARCH('Müşteriler'!$B$2:$B$101,B939)),ROW('Müşteriler'!$B$2:$B$101)-ROW('Müşteriler'!$B$2)+1)),""),""))</ns0:f>
        <ns0:v/>
      </ns0:c>
      <ns0:c r="G939" s="28" t="str">
        <ns0:f>IF(F939="","",IFERROR(INDEX('Müşteriler'!$C$2:$C$101,MATCH(F939,'Müşteriler'!$A$2:$A$101,0)),""))</ns0:f>
        <ns0:v/>
      </ns0:c>
      <ns0:c r="H939" s="28" t="str">
        <ns0:f>IF(A939="","",IF(C939&lt;=0,"Satış dışı",IF(OR(F939="",G939=""),"Eşleşmedi","Eşleşti")))</ns0:f>
        <ns0:v/>
      </ns0:c>
      <ns0:c r="I939" s="28">
        <ns0:f>I938+IF(AND(H939="Eşleşmedi",E939='Panel'!$B$4),1,0)</ns0:f>
        <ns0:v>3.0</ns0:v>
      </ns0:c>
    </ns0:row>
    <ns0:row r="940" ht="21" customHeight="1">
      <ns0:c r="A940" s="25" t="n"/>
      <ns0:c r="B940" s="26" t="n"/>
      <ns0:c r="C940" s="27" t="n"/>
      <ns0:c r="D940" s="27" t="n"/>
      <ns0:c r="E940" s="28" t="str">
        <ns0:f>IF(A940="","",YEAR(A940)&amp;"-"&amp;RIGHT("0"&amp;MONTH(A940),2))</ns0:f>
        <ns0:v/>
      </ns0:c>
      <ns0:c r="F940" s="28" t="str">
        <ns0:f>IF(OR(A940="",B940="",C940&lt;=0),"",IF(SUMPRODUCT(('Müşteriler'!$B$2:$B$101&lt;&gt;"")*ISNUMBER(SEARCH('Müşteriler'!$B$2:$B$101,B940)))=1,IFERROR(INDEX('Müşteriler'!$A$2:$A$101,SUMPRODUCT(('Müşteriler'!$B$2:$B$101&lt;&gt;"")*ISNUMBER(SEARCH('Müşteriler'!$B$2:$B$101,B940)),ROW('Müşteriler'!$B$2:$B$101)-ROW('Müşteriler'!$B$2)+1)),""),""))</ns0:f>
        <ns0:v/>
      </ns0:c>
      <ns0:c r="G940" s="28" t="str">
        <ns0:f>IF(F940="","",IFERROR(INDEX('Müşteriler'!$C$2:$C$101,MATCH(F940,'Müşteriler'!$A$2:$A$101,0)),""))</ns0:f>
        <ns0:v/>
      </ns0:c>
      <ns0:c r="H940" s="28" t="str">
        <ns0:f>IF(A940="","",IF(C940&lt;=0,"Satış dışı",IF(OR(F940="",G940=""),"Eşleşmedi","Eşleşti")))</ns0:f>
        <ns0:v/>
      </ns0:c>
      <ns0:c r="I940" s="28">
        <ns0:f>I939+IF(AND(H940="Eşleşmedi",E940='Panel'!$B$4),1,0)</ns0:f>
        <ns0:v>3.0</ns0:v>
      </ns0:c>
    </ns0:row>
    <ns0:row r="941" ht="21" customHeight="1">
      <ns0:c r="A941" s="25" t="n"/>
      <ns0:c r="B941" s="26" t="n"/>
      <ns0:c r="C941" s="27" t="n"/>
      <ns0:c r="D941" s="27" t="n"/>
      <ns0:c r="E941" s="28" t="str">
        <ns0:f>IF(A941="","",YEAR(A941)&amp;"-"&amp;RIGHT("0"&amp;MONTH(A941),2))</ns0:f>
        <ns0:v/>
      </ns0:c>
      <ns0:c r="F941" s="28" t="str">
        <ns0:f>IF(OR(A941="",B941="",C941&lt;=0),"",IF(SUMPRODUCT(('Müşteriler'!$B$2:$B$101&lt;&gt;"")*ISNUMBER(SEARCH('Müşteriler'!$B$2:$B$101,B941)))=1,IFERROR(INDEX('Müşteriler'!$A$2:$A$101,SUMPRODUCT(('Müşteriler'!$B$2:$B$101&lt;&gt;"")*ISNUMBER(SEARCH('Müşteriler'!$B$2:$B$101,B941)),ROW('Müşteriler'!$B$2:$B$101)-ROW('Müşteriler'!$B$2)+1)),""),""))</ns0:f>
        <ns0:v/>
      </ns0:c>
      <ns0:c r="G941" s="28" t="str">
        <ns0:f>IF(F941="","",IFERROR(INDEX('Müşteriler'!$C$2:$C$101,MATCH(F941,'Müşteriler'!$A$2:$A$101,0)),""))</ns0:f>
        <ns0:v/>
      </ns0:c>
      <ns0:c r="H941" s="28" t="str">
        <ns0:f>IF(A941="","",IF(C941&lt;=0,"Satış dışı",IF(OR(F941="",G941=""),"Eşleşmedi","Eşleşti")))</ns0:f>
        <ns0:v/>
      </ns0:c>
      <ns0:c r="I941" s="28">
        <ns0:f>I940+IF(AND(H941="Eşleşmedi",E941='Panel'!$B$4),1,0)</ns0:f>
        <ns0:v>3.0</ns0:v>
      </ns0:c>
    </ns0:row>
    <ns0:row r="942" ht="21" customHeight="1">
      <ns0:c r="A942" s="25" t="n"/>
      <ns0:c r="B942" s="26" t="n"/>
      <ns0:c r="C942" s="27" t="n"/>
      <ns0:c r="D942" s="27" t="n"/>
      <ns0:c r="E942" s="28" t="str">
        <ns0:f>IF(A942="","",YEAR(A942)&amp;"-"&amp;RIGHT("0"&amp;MONTH(A942),2))</ns0:f>
        <ns0:v/>
      </ns0:c>
      <ns0:c r="F942" s="28" t="str">
        <ns0:f>IF(OR(A942="",B942="",C942&lt;=0),"",IF(SUMPRODUCT(('Müşteriler'!$B$2:$B$101&lt;&gt;"")*ISNUMBER(SEARCH('Müşteriler'!$B$2:$B$101,B942)))=1,IFERROR(INDEX('Müşteriler'!$A$2:$A$101,SUMPRODUCT(('Müşteriler'!$B$2:$B$101&lt;&gt;"")*ISNUMBER(SEARCH('Müşteriler'!$B$2:$B$101,B942)),ROW('Müşteriler'!$B$2:$B$101)-ROW('Müşteriler'!$B$2)+1)),""),""))</ns0:f>
        <ns0:v/>
      </ns0:c>
      <ns0:c r="G942" s="28" t="str">
        <ns0:f>IF(F942="","",IFERROR(INDEX('Müşteriler'!$C$2:$C$101,MATCH(F942,'Müşteriler'!$A$2:$A$101,0)),""))</ns0:f>
        <ns0:v/>
      </ns0:c>
      <ns0:c r="H942" s="28" t="str">
        <ns0:f>IF(A942="","",IF(C942&lt;=0,"Satış dışı",IF(OR(F942="",G942=""),"Eşleşmedi","Eşleşti")))</ns0:f>
        <ns0:v/>
      </ns0:c>
      <ns0:c r="I942" s="28">
        <ns0:f>I941+IF(AND(H942="Eşleşmedi",E942='Panel'!$B$4),1,0)</ns0:f>
        <ns0:v>3.0</ns0:v>
      </ns0:c>
    </ns0:row>
    <ns0:row r="943" ht="21" customHeight="1">
      <ns0:c r="A943" s="25" t="n"/>
      <ns0:c r="B943" s="26" t="n"/>
      <ns0:c r="C943" s="27" t="n"/>
      <ns0:c r="D943" s="27" t="n"/>
      <ns0:c r="E943" s="28" t="str">
        <ns0:f>IF(A943="","",YEAR(A943)&amp;"-"&amp;RIGHT("0"&amp;MONTH(A943),2))</ns0:f>
        <ns0:v/>
      </ns0:c>
      <ns0:c r="F943" s="28" t="str">
        <ns0:f>IF(OR(A943="",B943="",C943&lt;=0),"",IF(SUMPRODUCT(('Müşteriler'!$B$2:$B$101&lt;&gt;"")*ISNUMBER(SEARCH('Müşteriler'!$B$2:$B$101,B943)))=1,IFERROR(INDEX('Müşteriler'!$A$2:$A$101,SUMPRODUCT(('Müşteriler'!$B$2:$B$101&lt;&gt;"")*ISNUMBER(SEARCH('Müşteriler'!$B$2:$B$101,B943)),ROW('Müşteriler'!$B$2:$B$101)-ROW('Müşteriler'!$B$2)+1)),""),""))</ns0:f>
        <ns0:v/>
      </ns0:c>
      <ns0:c r="G943" s="28" t="str">
        <ns0:f>IF(F943="","",IFERROR(INDEX('Müşteriler'!$C$2:$C$101,MATCH(F943,'Müşteriler'!$A$2:$A$101,0)),""))</ns0:f>
        <ns0:v/>
      </ns0:c>
      <ns0:c r="H943" s="28" t="str">
        <ns0:f>IF(A943="","",IF(C943&lt;=0,"Satış dışı",IF(OR(F943="",G943=""),"Eşleşmedi","Eşleşti")))</ns0:f>
        <ns0:v/>
      </ns0:c>
      <ns0:c r="I943" s="28">
        <ns0:f>I942+IF(AND(H943="Eşleşmedi",E943='Panel'!$B$4),1,0)</ns0:f>
        <ns0:v>3.0</ns0:v>
      </ns0:c>
    </ns0:row>
    <ns0:row r="944" ht="21" customHeight="1">
      <ns0:c r="A944" s="25" t="n"/>
      <ns0:c r="B944" s="26" t="n"/>
      <ns0:c r="C944" s="27" t="n"/>
      <ns0:c r="D944" s="27" t="n"/>
      <ns0:c r="E944" s="28" t="str">
        <ns0:f>IF(A944="","",YEAR(A944)&amp;"-"&amp;RIGHT("0"&amp;MONTH(A944),2))</ns0:f>
        <ns0:v/>
      </ns0:c>
      <ns0:c r="F944" s="28" t="str">
        <ns0:f>IF(OR(A944="",B944="",C944&lt;=0),"",IF(SUMPRODUCT(('Müşteriler'!$B$2:$B$101&lt;&gt;"")*ISNUMBER(SEARCH('Müşteriler'!$B$2:$B$101,B944)))=1,IFERROR(INDEX('Müşteriler'!$A$2:$A$101,SUMPRODUCT(('Müşteriler'!$B$2:$B$101&lt;&gt;"")*ISNUMBER(SEARCH('Müşteriler'!$B$2:$B$101,B944)),ROW('Müşteriler'!$B$2:$B$101)-ROW('Müşteriler'!$B$2)+1)),""),""))</ns0:f>
        <ns0:v/>
      </ns0:c>
      <ns0:c r="G944" s="28" t="str">
        <ns0:f>IF(F944="","",IFERROR(INDEX('Müşteriler'!$C$2:$C$101,MATCH(F944,'Müşteriler'!$A$2:$A$101,0)),""))</ns0:f>
        <ns0:v/>
      </ns0:c>
      <ns0:c r="H944" s="28" t="str">
        <ns0:f>IF(A944="","",IF(C944&lt;=0,"Satış dışı",IF(OR(F944="",G944=""),"Eşleşmedi","Eşleşti")))</ns0:f>
        <ns0:v/>
      </ns0:c>
      <ns0:c r="I944" s="28">
        <ns0:f>I943+IF(AND(H944="Eşleşmedi",E944='Panel'!$B$4),1,0)</ns0:f>
        <ns0:v>3.0</ns0:v>
      </ns0:c>
    </ns0:row>
    <ns0:row r="945" ht="21" customHeight="1">
      <ns0:c r="A945" s="25" t="n"/>
      <ns0:c r="B945" s="26" t="n"/>
      <ns0:c r="C945" s="27" t="n"/>
      <ns0:c r="D945" s="27" t="n"/>
      <ns0:c r="E945" s="28" t="str">
        <ns0:f>IF(A945="","",YEAR(A945)&amp;"-"&amp;RIGHT("0"&amp;MONTH(A945),2))</ns0:f>
        <ns0:v/>
      </ns0:c>
      <ns0:c r="F945" s="28" t="str">
        <ns0:f>IF(OR(A945="",B945="",C945&lt;=0),"",IF(SUMPRODUCT(('Müşteriler'!$B$2:$B$101&lt;&gt;"")*ISNUMBER(SEARCH('Müşteriler'!$B$2:$B$101,B945)))=1,IFERROR(INDEX('Müşteriler'!$A$2:$A$101,SUMPRODUCT(('Müşteriler'!$B$2:$B$101&lt;&gt;"")*ISNUMBER(SEARCH('Müşteriler'!$B$2:$B$101,B945)),ROW('Müşteriler'!$B$2:$B$101)-ROW('Müşteriler'!$B$2)+1)),""),""))</ns0:f>
        <ns0:v/>
      </ns0:c>
      <ns0:c r="G945" s="28" t="str">
        <ns0:f>IF(F945="","",IFERROR(INDEX('Müşteriler'!$C$2:$C$101,MATCH(F945,'Müşteriler'!$A$2:$A$101,0)),""))</ns0:f>
        <ns0:v/>
      </ns0:c>
      <ns0:c r="H945" s="28" t="str">
        <ns0:f>IF(A945="","",IF(C945&lt;=0,"Satış dışı",IF(OR(F945="",G945=""),"Eşleşmedi","Eşleşti")))</ns0:f>
        <ns0:v/>
      </ns0:c>
      <ns0:c r="I945" s="28">
        <ns0:f>I944+IF(AND(H945="Eşleşmedi",E945='Panel'!$B$4),1,0)</ns0:f>
        <ns0:v>3.0</ns0:v>
      </ns0:c>
    </ns0:row>
    <ns0:row r="946" ht="21" customHeight="1">
      <ns0:c r="A946" s="25" t="n"/>
      <ns0:c r="B946" s="26" t="n"/>
      <ns0:c r="C946" s="27" t="n"/>
      <ns0:c r="D946" s="27" t="n"/>
      <ns0:c r="E946" s="28" t="str">
        <ns0:f>IF(A946="","",YEAR(A946)&amp;"-"&amp;RIGHT("0"&amp;MONTH(A946),2))</ns0:f>
        <ns0:v/>
      </ns0:c>
      <ns0:c r="F946" s="28" t="str">
        <ns0:f>IF(OR(A946="",B946="",C946&lt;=0),"",IF(SUMPRODUCT(('Müşteriler'!$B$2:$B$101&lt;&gt;"")*ISNUMBER(SEARCH('Müşteriler'!$B$2:$B$101,B946)))=1,IFERROR(INDEX('Müşteriler'!$A$2:$A$101,SUMPRODUCT(('Müşteriler'!$B$2:$B$101&lt;&gt;"")*ISNUMBER(SEARCH('Müşteriler'!$B$2:$B$101,B946)),ROW('Müşteriler'!$B$2:$B$101)-ROW('Müşteriler'!$B$2)+1)),""),""))</ns0:f>
        <ns0:v/>
      </ns0:c>
      <ns0:c r="G946" s="28" t="str">
        <ns0:f>IF(F946="","",IFERROR(INDEX('Müşteriler'!$C$2:$C$101,MATCH(F946,'Müşteriler'!$A$2:$A$101,0)),""))</ns0:f>
        <ns0:v/>
      </ns0:c>
      <ns0:c r="H946" s="28" t="str">
        <ns0:f>IF(A946="","",IF(C946&lt;=0,"Satış dışı",IF(OR(F946="",G946=""),"Eşleşmedi","Eşleşti")))</ns0:f>
        <ns0:v/>
      </ns0:c>
      <ns0:c r="I946" s="28">
        <ns0:f>I945+IF(AND(H946="Eşleşmedi",E946='Panel'!$B$4),1,0)</ns0:f>
        <ns0:v>3.0</ns0:v>
      </ns0:c>
    </ns0:row>
    <ns0:row r="947" ht="21" customHeight="1">
      <ns0:c r="A947" s="25" t="n"/>
      <ns0:c r="B947" s="26" t="n"/>
      <ns0:c r="C947" s="27" t="n"/>
      <ns0:c r="D947" s="27" t="n"/>
      <ns0:c r="E947" s="28" t="str">
        <ns0:f>IF(A947="","",YEAR(A947)&amp;"-"&amp;RIGHT("0"&amp;MONTH(A947),2))</ns0:f>
        <ns0:v/>
      </ns0:c>
      <ns0:c r="F947" s="28" t="str">
        <ns0:f>IF(OR(A947="",B947="",C947&lt;=0),"",IF(SUMPRODUCT(('Müşteriler'!$B$2:$B$101&lt;&gt;"")*ISNUMBER(SEARCH('Müşteriler'!$B$2:$B$101,B947)))=1,IFERROR(INDEX('Müşteriler'!$A$2:$A$101,SUMPRODUCT(('Müşteriler'!$B$2:$B$101&lt;&gt;"")*ISNUMBER(SEARCH('Müşteriler'!$B$2:$B$101,B947)),ROW('Müşteriler'!$B$2:$B$101)-ROW('Müşteriler'!$B$2)+1)),""),""))</ns0:f>
        <ns0:v/>
      </ns0:c>
      <ns0:c r="G947" s="28" t="str">
        <ns0:f>IF(F947="","",IFERROR(INDEX('Müşteriler'!$C$2:$C$101,MATCH(F947,'Müşteriler'!$A$2:$A$101,0)),""))</ns0:f>
        <ns0:v/>
      </ns0:c>
      <ns0:c r="H947" s="28" t="str">
        <ns0:f>IF(A947="","",IF(C947&lt;=0,"Satış dışı",IF(OR(F947="",G947=""),"Eşleşmedi","Eşleşti")))</ns0:f>
        <ns0:v/>
      </ns0:c>
      <ns0:c r="I947" s="28">
        <ns0:f>I946+IF(AND(H947="Eşleşmedi",E947='Panel'!$B$4),1,0)</ns0:f>
        <ns0:v>3.0</ns0:v>
      </ns0:c>
    </ns0:row>
    <ns0:row r="948" ht="21" customHeight="1">
      <ns0:c r="A948" s="25" t="n"/>
      <ns0:c r="B948" s="26" t="n"/>
      <ns0:c r="C948" s="27" t="n"/>
      <ns0:c r="D948" s="27" t="n"/>
      <ns0:c r="E948" s="28" t="str">
        <ns0:f>IF(A948="","",YEAR(A948)&amp;"-"&amp;RIGHT("0"&amp;MONTH(A948),2))</ns0:f>
        <ns0:v/>
      </ns0:c>
      <ns0:c r="F948" s="28" t="str">
        <ns0:f>IF(OR(A948="",B948="",C948&lt;=0),"",IF(SUMPRODUCT(('Müşteriler'!$B$2:$B$101&lt;&gt;"")*ISNUMBER(SEARCH('Müşteriler'!$B$2:$B$101,B948)))=1,IFERROR(INDEX('Müşteriler'!$A$2:$A$101,SUMPRODUCT(('Müşteriler'!$B$2:$B$101&lt;&gt;"")*ISNUMBER(SEARCH('Müşteriler'!$B$2:$B$101,B948)),ROW('Müşteriler'!$B$2:$B$101)-ROW('Müşteriler'!$B$2)+1)),""),""))</ns0:f>
        <ns0:v/>
      </ns0:c>
      <ns0:c r="G948" s="28" t="str">
        <ns0:f>IF(F948="","",IFERROR(INDEX('Müşteriler'!$C$2:$C$101,MATCH(F948,'Müşteriler'!$A$2:$A$101,0)),""))</ns0:f>
        <ns0:v/>
      </ns0:c>
      <ns0:c r="H948" s="28" t="str">
        <ns0:f>IF(A948="","",IF(C948&lt;=0,"Satış dışı",IF(OR(F948="",G948=""),"Eşleşmedi","Eşleşti")))</ns0:f>
        <ns0:v/>
      </ns0:c>
      <ns0:c r="I948" s="28">
        <ns0:f>I947+IF(AND(H948="Eşleşmedi",E948='Panel'!$B$4),1,0)</ns0:f>
        <ns0:v>3.0</ns0:v>
      </ns0:c>
    </ns0:row>
    <ns0:row r="949" ht="21" customHeight="1">
      <ns0:c r="A949" s="25" t="n"/>
      <ns0:c r="B949" s="26" t="n"/>
      <ns0:c r="C949" s="27" t="n"/>
      <ns0:c r="D949" s="27" t="n"/>
      <ns0:c r="E949" s="28" t="str">
        <ns0:f>IF(A949="","",YEAR(A949)&amp;"-"&amp;RIGHT("0"&amp;MONTH(A949),2))</ns0:f>
        <ns0:v/>
      </ns0:c>
      <ns0:c r="F949" s="28" t="str">
        <ns0:f>IF(OR(A949="",B949="",C949&lt;=0),"",IF(SUMPRODUCT(('Müşteriler'!$B$2:$B$101&lt;&gt;"")*ISNUMBER(SEARCH('Müşteriler'!$B$2:$B$101,B949)))=1,IFERROR(INDEX('Müşteriler'!$A$2:$A$101,SUMPRODUCT(('Müşteriler'!$B$2:$B$101&lt;&gt;"")*ISNUMBER(SEARCH('Müşteriler'!$B$2:$B$101,B949)),ROW('Müşteriler'!$B$2:$B$101)-ROW('Müşteriler'!$B$2)+1)),""),""))</ns0:f>
        <ns0:v/>
      </ns0:c>
      <ns0:c r="G949" s="28" t="str">
        <ns0:f>IF(F949="","",IFERROR(INDEX('Müşteriler'!$C$2:$C$101,MATCH(F949,'Müşteriler'!$A$2:$A$101,0)),""))</ns0:f>
        <ns0:v/>
      </ns0:c>
      <ns0:c r="H949" s="28" t="str">
        <ns0:f>IF(A949="","",IF(C949&lt;=0,"Satış dışı",IF(OR(F949="",G949=""),"Eşleşmedi","Eşleşti")))</ns0:f>
        <ns0:v/>
      </ns0:c>
      <ns0:c r="I949" s="28">
        <ns0:f>I948+IF(AND(H949="Eşleşmedi",E949='Panel'!$B$4),1,0)</ns0:f>
        <ns0:v>3.0</ns0:v>
      </ns0:c>
    </ns0:row>
    <ns0:row r="950" ht="21" customHeight="1">
      <ns0:c r="A950" s="25" t="n"/>
      <ns0:c r="B950" s="26" t="n"/>
      <ns0:c r="C950" s="27" t="n"/>
      <ns0:c r="D950" s="27" t="n"/>
      <ns0:c r="E950" s="28" t="str">
        <ns0:f>IF(A950="","",YEAR(A950)&amp;"-"&amp;RIGHT("0"&amp;MONTH(A950),2))</ns0:f>
        <ns0:v/>
      </ns0:c>
      <ns0:c r="F950" s="28" t="str">
        <ns0:f>IF(OR(A950="",B950="",C950&lt;=0),"",IF(SUMPRODUCT(('Müşteriler'!$B$2:$B$101&lt;&gt;"")*ISNUMBER(SEARCH('Müşteriler'!$B$2:$B$101,B950)))=1,IFERROR(INDEX('Müşteriler'!$A$2:$A$101,SUMPRODUCT(('Müşteriler'!$B$2:$B$101&lt;&gt;"")*ISNUMBER(SEARCH('Müşteriler'!$B$2:$B$101,B950)),ROW('Müşteriler'!$B$2:$B$101)-ROW('Müşteriler'!$B$2)+1)),""),""))</ns0:f>
        <ns0:v/>
      </ns0:c>
      <ns0:c r="G950" s="28" t="str">
        <ns0:f>IF(F950="","",IFERROR(INDEX('Müşteriler'!$C$2:$C$101,MATCH(F950,'Müşteriler'!$A$2:$A$101,0)),""))</ns0:f>
        <ns0:v/>
      </ns0:c>
      <ns0:c r="H950" s="28" t="str">
        <ns0:f>IF(A950="","",IF(C950&lt;=0,"Satış dışı",IF(OR(F950="",G950=""),"Eşleşmedi","Eşleşti")))</ns0:f>
        <ns0:v/>
      </ns0:c>
      <ns0:c r="I950" s="28">
        <ns0:f>I949+IF(AND(H950="Eşleşmedi",E950='Panel'!$B$4),1,0)</ns0:f>
        <ns0:v>3.0</ns0:v>
      </ns0:c>
    </ns0:row>
    <ns0:row r="951" ht="21" customHeight="1">
      <ns0:c r="A951" s="25" t="n"/>
      <ns0:c r="B951" s="26" t="n"/>
      <ns0:c r="C951" s="27" t="n"/>
      <ns0:c r="D951" s="27" t="n"/>
      <ns0:c r="E951" s="28" t="str">
        <ns0:f>IF(A951="","",YEAR(A951)&amp;"-"&amp;RIGHT("0"&amp;MONTH(A951),2))</ns0:f>
        <ns0:v/>
      </ns0:c>
      <ns0:c r="F951" s="28" t="str">
        <ns0:f>IF(OR(A951="",B951="",C951&lt;=0),"",IF(SUMPRODUCT(('Müşteriler'!$B$2:$B$101&lt;&gt;"")*ISNUMBER(SEARCH('Müşteriler'!$B$2:$B$101,B951)))=1,IFERROR(INDEX('Müşteriler'!$A$2:$A$101,SUMPRODUCT(('Müşteriler'!$B$2:$B$101&lt;&gt;"")*ISNUMBER(SEARCH('Müşteriler'!$B$2:$B$101,B951)),ROW('Müşteriler'!$B$2:$B$101)-ROW('Müşteriler'!$B$2)+1)),""),""))</ns0:f>
        <ns0:v/>
      </ns0:c>
      <ns0:c r="G951" s="28" t="str">
        <ns0:f>IF(F951="","",IFERROR(INDEX('Müşteriler'!$C$2:$C$101,MATCH(F951,'Müşteriler'!$A$2:$A$101,0)),""))</ns0:f>
        <ns0:v/>
      </ns0:c>
      <ns0:c r="H951" s="28" t="str">
        <ns0:f>IF(A951="","",IF(C951&lt;=0,"Satış dışı",IF(OR(F951="",G951=""),"Eşleşmedi","Eşleşti")))</ns0:f>
        <ns0:v/>
      </ns0:c>
      <ns0:c r="I951" s="28">
        <ns0:f>I950+IF(AND(H951="Eşleşmedi",E951='Panel'!$B$4),1,0)</ns0:f>
        <ns0:v>3.0</ns0:v>
      </ns0:c>
    </ns0:row>
    <ns0:row r="952" ht="21" customHeight="1">
      <ns0:c r="A952" s="25" t="n"/>
      <ns0:c r="B952" s="26" t="n"/>
      <ns0:c r="C952" s="27" t="n"/>
      <ns0:c r="D952" s="27" t="n"/>
      <ns0:c r="E952" s="28" t="str">
        <ns0:f>IF(A952="","",YEAR(A952)&amp;"-"&amp;RIGHT("0"&amp;MONTH(A952),2))</ns0:f>
        <ns0:v/>
      </ns0:c>
      <ns0:c r="F952" s="28" t="str">
        <ns0:f>IF(OR(A952="",B952="",C952&lt;=0),"",IF(SUMPRODUCT(('Müşteriler'!$B$2:$B$101&lt;&gt;"")*ISNUMBER(SEARCH('Müşteriler'!$B$2:$B$101,B952)))=1,IFERROR(INDEX('Müşteriler'!$A$2:$A$101,SUMPRODUCT(('Müşteriler'!$B$2:$B$101&lt;&gt;"")*ISNUMBER(SEARCH('Müşteriler'!$B$2:$B$101,B952)),ROW('Müşteriler'!$B$2:$B$101)-ROW('Müşteriler'!$B$2)+1)),""),""))</ns0:f>
        <ns0:v/>
      </ns0:c>
      <ns0:c r="G952" s="28" t="str">
        <ns0:f>IF(F952="","",IFERROR(INDEX('Müşteriler'!$C$2:$C$101,MATCH(F952,'Müşteriler'!$A$2:$A$101,0)),""))</ns0:f>
        <ns0:v/>
      </ns0:c>
      <ns0:c r="H952" s="28" t="str">
        <ns0:f>IF(A952="","",IF(C952&lt;=0,"Satış dışı",IF(OR(F952="",G952=""),"Eşleşmedi","Eşleşti")))</ns0:f>
        <ns0:v/>
      </ns0:c>
      <ns0:c r="I952" s="28">
        <ns0:f>I951+IF(AND(H952="Eşleşmedi",E952='Panel'!$B$4),1,0)</ns0:f>
        <ns0:v>3.0</ns0:v>
      </ns0:c>
    </ns0:row>
    <ns0:row r="953" ht="21" customHeight="1">
      <ns0:c r="A953" s="25" t="n"/>
      <ns0:c r="B953" s="26" t="n"/>
      <ns0:c r="C953" s="27" t="n"/>
      <ns0:c r="D953" s="27" t="n"/>
      <ns0:c r="E953" s="28" t="str">
        <ns0:f>IF(A953="","",YEAR(A953)&amp;"-"&amp;RIGHT("0"&amp;MONTH(A953),2))</ns0:f>
        <ns0:v/>
      </ns0:c>
      <ns0:c r="F953" s="28" t="str">
        <ns0:f>IF(OR(A953="",B953="",C953&lt;=0),"",IF(SUMPRODUCT(('Müşteriler'!$B$2:$B$101&lt;&gt;"")*ISNUMBER(SEARCH('Müşteriler'!$B$2:$B$101,B953)))=1,IFERROR(INDEX('Müşteriler'!$A$2:$A$101,SUMPRODUCT(('Müşteriler'!$B$2:$B$101&lt;&gt;"")*ISNUMBER(SEARCH('Müşteriler'!$B$2:$B$101,B953)),ROW('Müşteriler'!$B$2:$B$101)-ROW('Müşteriler'!$B$2)+1)),""),""))</ns0:f>
        <ns0:v/>
      </ns0:c>
      <ns0:c r="G953" s="28" t="str">
        <ns0:f>IF(F953="","",IFERROR(INDEX('Müşteriler'!$C$2:$C$101,MATCH(F953,'Müşteriler'!$A$2:$A$101,0)),""))</ns0:f>
        <ns0:v/>
      </ns0:c>
      <ns0:c r="H953" s="28" t="str">
        <ns0:f>IF(A953="","",IF(C953&lt;=0,"Satış dışı",IF(OR(F953="",G953=""),"Eşleşmedi","Eşleşti")))</ns0:f>
        <ns0:v/>
      </ns0:c>
      <ns0:c r="I953" s="28">
        <ns0:f>I952+IF(AND(H953="Eşleşmedi",E953='Panel'!$B$4),1,0)</ns0:f>
        <ns0:v>3.0</ns0:v>
      </ns0:c>
    </ns0:row>
    <ns0:row r="954" ht="21" customHeight="1">
      <ns0:c r="A954" s="25" t="n"/>
      <ns0:c r="B954" s="26" t="n"/>
      <ns0:c r="C954" s="27" t="n"/>
      <ns0:c r="D954" s="27" t="n"/>
      <ns0:c r="E954" s="28" t="str">
        <ns0:f>IF(A954="","",YEAR(A954)&amp;"-"&amp;RIGHT("0"&amp;MONTH(A954),2))</ns0:f>
        <ns0:v/>
      </ns0:c>
      <ns0:c r="F954" s="28" t="str">
        <ns0:f>IF(OR(A954="",B954="",C954&lt;=0),"",IF(SUMPRODUCT(('Müşteriler'!$B$2:$B$101&lt;&gt;"")*ISNUMBER(SEARCH('Müşteriler'!$B$2:$B$101,B954)))=1,IFERROR(INDEX('Müşteriler'!$A$2:$A$101,SUMPRODUCT(('Müşteriler'!$B$2:$B$101&lt;&gt;"")*ISNUMBER(SEARCH('Müşteriler'!$B$2:$B$101,B954)),ROW('Müşteriler'!$B$2:$B$101)-ROW('Müşteriler'!$B$2)+1)),""),""))</ns0:f>
        <ns0:v/>
      </ns0:c>
      <ns0:c r="G954" s="28" t="str">
        <ns0:f>IF(F954="","",IFERROR(INDEX('Müşteriler'!$C$2:$C$101,MATCH(F954,'Müşteriler'!$A$2:$A$101,0)),""))</ns0:f>
        <ns0:v/>
      </ns0:c>
      <ns0:c r="H954" s="28" t="str">
        <ns0:f>IF(A954="","",IF(C954&lt;=0,"Satış dışı",IF(OR(F954="",G954=""),"Eşleşmedi","Eşleşti")))</ns0:f>
        <ns0:v/>
      </ns0:c>
      <ns0:c r="I954" s="28">
        <ns0:f>I953+IF(AND(H954="Eşleşmedi",E954='Panel'!$B$4),1,0)</ns0:f>
        <ns0:v>3.0</ns0:v>
      </ns0:c>
    </ns0:row>
    <ns0:row r="955" ht="21" customHeight="1">
      <ns0:c r="A955" s="25" t="n"/>
      <ns0:c r="B955" s="26" t="n"/>
      <ns0:c r="C955" s="27" t="n"/>
      <ns0:c r="D955" s="27" t="n"/>
      <ns0:c r="E955" s="28" t="str">
        <ns0:f>IF(A955="","",YEAR(A955)&amp;"-"&amp;RIGHT("0"&amp;MONTH(A955),2))</ns0:f>
        <ns0:v/>
      </ns0:c>
      <ns0:c r="F955" s="28" t="str">
        <ns0:f>IF(OR(A955="",B955="",C955&lt;=0),"",IF(SUMPRODUCT(('Müşteriler'!$B$2:$B$101&lt;&gt;"")*ISNUMBER(SEARCH('Müşteriler'!$B$2:$B$101,B955)))=1,IFERROR(INDEX('Müşteriler'!$A$2:$A$101,SUMPRODUCT(('Müşteriler'!$B$2:$B$101&lt;&gt;"")*ISNUMBER(SEARCH('Müşteriler'!$B$2:$B$101,B955)),ROW('Müşteriler'!$B$2:$B$101)-ROW('Müşteriler'!$B$2)+1)),""),""))</ns0:f>
        <ns0:v/>
      </ns0:c>
      <ns0:c r="G955" s="28" t="str">
        <ns0:f>IF(F955="","",IFERROR(INDEX('Müşteriler'!$C$2:$C$101,MATCH(F955,'Müşteriler'!$A$2:$A$101,0)),""))</ns0:f>
        <ns0:v/>
      </ns0:c>
      <ns0:c r="H955" s="28" t="str">
        <ns0:f>IF(A955="","",IF(C955&lt;=0,"Satış dışı",IF(OR(F955="",G955=""),"Eşleşmedi","Eşleşti")))</ns0:f>
        <ns0:v/>
      </ns0:c>
      <ns0:c r="I955" s="28">
        <ns0:f>I954+IF(AND(H955="Eşleşmedi",E955='Panel'!$B$4),1,0)</ns0:f>
        <ns0:v>3.0</ns0:v>
      </ns0:c>
    </ns0:row>
    <ns0:row r="956" ht="21" customHeight="1">
      <ns0:c r="A956" s="25" t="n"/>
      <ns0:c r="B956" s="26" t="n"/>
      <ns0:c r="C956" s="27" t="n"/>
      <ns0:c r="D956" s="27" t="n"/>
      <ns0:c r="E956" s="28" t="str">
        <ns0:f>IF(A956="","",YEAR(A956)&amp;"-"&amp;RIGHT("0"&amp;MONTH(A956),2))</ns0:f>
        <ns0:v/>
      </ns0:c>
      <ns0:c r="F956" s="28" t="str">
        <ns0:f>IF(OR(A956="",B956="",C956&lt;=0),"",IF(SUMPRODUCT(('Müşteriler'!$B$2:$B$101&lt;&gt;"")*ISNUMBER(SEARCH('Müşteriler'!$B$2:$B$101,B956)))=1,IFERROR(INDEX('Müşteriler'!$A$2:$A$101,SUMPRODUCT(('Müşteriler'!$B$2:$B$101&lt;&gt;"")*ISNUMBER(SEARCH('Müşteriler'!$B$2:$B$101,B956)),ROW('Müşteriler'!$B$2:$B$101)-ROW('Müşteriler'!$B$2)+1)),""),""))</ns0:f>
        <ns0:v/>
      </ns0:c>
      <ns0:c r="G956" s="28" t="str">
        <ns0:f>IF(F956="","",IFERROR(INDEX('Müşteriler'!$C$2:$C$101,MATCH(F956,'Müşteriler'!$A$2:$A$101,0)),""))</ns0:f>
        <ns0:v/>
      </ns0:c>
      <ns0:c r="H956" s="28" t="str">
        <ns0:f>IF(A956="","",IF(C956&lt;=0,"Satış dışı",IF(OR(F956="",G956=""),"Eşleşmedi","Eşleşti")))</ns0:f>
        <ns0:v/>
      </ns0:c>
      <ns0:c r="I956" s="28">
        <ns0:f>I955+IF(AND(H956="Eşleşmedi",E956='Panel'!$B$4),1,0)</ns0:f>
        <ns0:v>3.0</ns0:v>
      </ns0:c>
    </ns0:row>
    <ns0:row r="957" ht="21" customHeight="1">
      <ns0:c r="A957" s="25" t="n"/>
      <ns0:c r="B957" s="26" t="n"/>
      <ns0:c r="C957" s="27" t="n"/>
      <ns0:c r="D957" s="27" t="n"/>
      <ns0:c r="E957" s="28" t="str">
        <ns0:f>IF(A957="","",YEAR(A957)&amp;"-"&amp;RIGHT("0"&amp;MONTH(A957),2))</ns0:f>
        <ns0:v/>
      </ns0:c>
      <ns0:c r="F957" s="28" t="str">
        <ns0:f>IF(OR(A957="",B957="",C957&lt;=0),"",IF(SUMPRODUCT(('Müşteriler'!$B$2:$B$101&lt;&gt;"")*ISNUMBER(SEARCH('Müşteriler'!$B$2:$B$101,B957)))=1,IFERROR(INDEX('Müşteriler'!$A$2:$A$101,SUMPRODUCT(('Müşteriler'!$B$2:$B$101&lt;&gt;"")*ISNUMBER(SEARCH('Müşteriler'!$B$2:$B$101,B957)),ROW('Müşteriler'!$B$2:$B$101)-ROW('Müşteriler'!$B$2)+1)),""),""))</ns0:f>
        <ns0:v/>
      </ns0:c>
      <ns0:c r="G957" s="28" t="str">
        <ns0:f>IF(F957="","",IFERROR(INDEX('Müşteriler'!$C$2:$C$101,MATCH(F957,'Müşteriler'!$A$2:$A$101,0)),""))</ns0:f>
        <ns0:v/>
      </ns0:c>
      <ns0:c r="H957" s="28" t="str">
        <ns0:f>IF(A957="","",IF(C957&lt;=0,"Satış dışı",IF(OR(F957="",G957=""),"Eşleşmedi","Eşleşti")))</ns0:f>
        <ns0:v/>
      </ns0:c>
      <ns0:c r="I957" s="28">
        <ns0:f>I956+IF(AND(H957="Eşleşmedi",E957='Panel'!$B$4),1,0)</ns0:f>
        <ns0:v>3.0</ns0:v>
      </ns0:c>
    </ns0:row>
    <ns0:row r="958" ht="21" customHeight="1">
      <ns0:c r="A958" s="25" t="n"/>
      <ns0:c r="B958" s="26" t="n"/>
      <ns0:c r="C958" s="27" t="n"/>
      <ns0:c r="D958" s="27" t="n"/>
      <ns0:c r="E958" s="28" t="str">
        <ns0:f>IF(A958="","",YEAR(A958)&amp;"-"&amp;RIGHT("0"&amp;MONTH(A958),2))</ns0:f>
        <ns0:v/>
      </ns0:c>
      <ns0:c r="F958" s="28" t="str">
        <ns0:f>IF(OR(A958="",B958="",C958&lt;=0),"",IF(SUMPRODUCT(('Müşteriler'!$B$2:$B$101&lt;&gt;"")*ISNUMBER(SEARCH('Müşteriler'!$B$2:$B$101,B958)))=1,IFERROR(INDEX('Müşteriler'!$A$2:$A$101,SUMPRODUCT(('Müşteriler'!$B$2:$B$101&lt;&gt;"")*ISNUMBER(SEARCH('Müşteriler'!$B$2:$B$101,B958)),ROW('Müşteriler'!$B$2:$B$101)-ROW('Müşteriler'!$B$2)+1)),""),""))</ns0:f>
        <ns0:v/>
      </ns0:c>
      <ns0:c r="G958" s="28" t="str">
        <ns0:f>IF(F958="","",IFERROR(INDEX('Müşteriler'!$C$2:$C$101,MATCH(F958,'Müşteriler'!$A$2:$A$101,0)),""))</ns0:f>
        <ns0:v/>
      </ns0:c>
      <ns0:c r="H958" s="28" t="str">
        <ns0:f>IF(A958="","",IF(C958&lt;=0,"Satış dışı",IF(OR(F958="",G958=""),"Eşleşmedi","Eşleşti")))</ns0:f>
        <ns0:v/>
      </ns0:c>
      <ns0:c r="I958" s="28">
        <ns0:f>I957+IF(AND(H958="Eşleşmedi",E958='Panel'!$B$4),1,0)</ns0:f>
        <ns0:v>3.0</ns0:v>
      </ns0:c>
    </ns0:row>
    <ns0:row r="959" ht="21" customHeight="1">
      <ns0:c r="A959" s="25" t="n"/>
      <ns0:c r="B959" s="26" t="n"/>
      <ns0:c r="C959" s="27" t="n"/>
      <ns0:c r="D959" s="27" t="n"/>
      <ns0:c r="E959" s="28" t="str">
        <ns0:f>IF(A959="","",YEAR(A959)&amp;"-"&amp;RIGHT("0"&amp;MONTH(A959),2))</ns0:f>
        <ns0:v/>
      </ns0:c>
      <ns0:c r="F959" s="28" t="str">
        <ns0:f>IF(OR(A959="",B959="",C959&lt;=0),"",IF(SUMPRODUCT(('Müşteriler'!$B$2:$B$101&lt;&gt;"")*ISNUMBER(SEARCH('Müşteriler'!$B$2:$B$101,B959)))=1,IFERROR(INDEX('Müşteriler'!$A$2:$A$101,SUMPRODUCT(('Müşteriler'!$B$2:$B$101&lt;&gt;"")*ISNUMBER(SEARCH('Müşteriler'!$B$2:$B$101,B959)),ROW('Müşteriler'!$B$2:$B$101)-ROW('Müşteriler'!$B$2)+1)),""),""))</ns0:f>
        <ns0:v/>
      </ns0:c>
      <ns0:c r="G959" s="28" t="str">
        <ns0:f>IF(F959="","",IFERROR(INDEX('Müşteriler'!$C$2:$C$101,MATCH(F959,'Müşteriler'!$A$2:$A$101,0)),""))</ns0:f>
        <ns0:v/>
      </ns0:c>
      <ns0:c r="H959" s="28" t="str">
        <ns0:f>IF(A959="","",IF(C959&lt;=0,"Satış dışı",IF(OR(F959="",G959=""),"Eşleşmedi","Eşleşti")))</ns0:f>
        <ns0:v/>
      </ns0:c>
      <ns0:c r="I959" s="28">
        <ns0:f>I958+IF(AND(H959="Eşleşmedi",E959='Panel'!$B$4),1,0)</ns0:f>
        <ns0:v>3.0</ns0:v>
      </ns0:c>
    </ns0:row>
    <ns0:row r="960" ht="21" customHeight="1">
      <ns0:c r="A960" s="25" t="n"/>
      <ns0:c r="B960" s="26" t="n"/>
      <ns0:c r="C960" s="27" t="n"/>
      <ns0:c r="D960" s="27" t="n"/>
      <ns0:c r="E960" s="28" t="str">
        <ns0:f>IF(A960="","",YEAR(A960)&amp;"-"&amp;RIGHT("0"&amp;MONTH(A960),2))</ns0:f>
        <ns0:v/>
      </ns0:c>
      <ns0:c r="F960" s="28" t="str">
        <ns0:f>IF(OR(A960="",B960="",C960&lt;=0),"",IF(SUMPRODUCT(('Müşteriler'!$B$2:$B$101&lt;&gt;"")*ISNUMBER(SEARCH('Müşteriler'!$B$2:$B$101,B960)))=1,IFERROR(INDEX('Müşteriler'!$A$2:$A$101,SUMPRODUCT(('Müşteriler'!$B$2:$B$101&lt;&gt;"")*ISNUMBER(SEARCH('Müşteriler'!$B$2:$B$101,B960)),ROW('Müşteriler'!$B$2:$B$101)-ROW('Müşteriler'!$B$2)+1)),""),""))</ns0:f>
        <ns0:v/>
      </ns0:c>
      <ns0:c r="G960" s="28" t="str">
        <ns0:f>IF(F960="","",IFERROR(INDEX('Müşteriler'!$C$2:$C$101,MATCH(F960,'Müşteriler'!$A$2:$A$101,0)),""))</ns0:f>
        <ns0:v/>
      </ns0:c>
      <ns0:c r="H960" s="28" t="str">
        <ns0:f>IF(A960="","",IF(C960&lt;=0,"Satış dışı",IF(OR(F960="",G960=""),"Eşleşmedi","Eşleşti")))</ns0:f>
        <ns0:v/>
      </ns0:c>
      <ns0:c r="I960" s="28">
        <ns0:f>I959+IF(AND(H960="Eşleşmedi",E960='Panel'!$B$4),1,0)</ns0:f>
        <ns0:v>3.0</ns0:v>
      </ns0:c>
    </ns0:row>
    <ns0:row r="961" ht="21" customHeight="1">
      <ns0:c r="A961" s="25" t="n"/>
      <ns0:c r="B961" s="26" t="n"/>
      <ns0:c r="C961" s="27" t="n"/>
      <ns0:c r="D961" s="27" t="n"/>
      <ns0:c r="E961" s="28" t="str">
        <ns0:f>IF(A961="","",YEAR(A961)&amp;"-"&amp;RIGHT("0"&amp;MONTH(A961),2))</ns0:f>
        <ns0:v/>
      </ns0:c>
      <ns0:c r="F961" s="28" t="str">
        <ns0:f>IF(OR(A961="",B961="",C961&lt;=0),"",IF(SUMPRODUCT(('Müşteriler'!$B$2:$B$101&lt;&gt;"")*ISNUMBER(SEARCH('Müşteriler'!$B$2:$B$101,B961)))=1,IFERROR(INDEX('Müşteriler'!$A$2:$A$101,SUMPRODUCT(('Müşteriler'!$B$2:$B$101&lt;&gt;"")*ISNUMBER(SEARCH('Müşteriler'!$B$2:$B$101,B961)),ROW('Müşteriler'!$B$2:$B$101)-ROW('Müşteriler'!$B$2)+1)),""),""))</ns0:f>
        <ns0:v/>
      </ns0:c>
      <ns0:c r="G961" s="28" t="str">
        <ns0:f>IF(F961="","",IFERROR(INDEX('Müşteriler'!$C$2:$C$101,MATCH(F961,'Müşteriler'!$A$2:$A$101,0)),""))</ns0:f>
        <ns0:v/>
      </ns0:c>
      <ns0:c r="H961" s="28" t="str">
        <ns0:f>IF(A961="","",IF(C961&lt;=0,"Satış dışı",IF(OR(F961="",G961=""),"Eşleşmedi","Eşleşti")))</ns0:f>
        <ns0:v/>
      </ns0:c>
      <ns0:c r="I961" s="28">
        <ns0:f>I960+IF(AND(H961="Eşleşmedi",E961='Panel'!$B$4),1,0)</ns0:f>
        <ns0:v>3.0</ns0:v>
      </ns0:c>
    </ns0:row>
    <ns0:row r="962" ht="21" customHeight="1">
      <ns0:c r="A962" s="25" t="n"/>
      <ns0:c r="B962" s="26" t="n"/>
      <ns0:c r="C962" s="27" t="n"/>
      <ns0:c r="D962" s="27" t="n"/>
      <ns0:c r="E962" s="28" t="str">
        <ns0:f>IF(A962="","",YEAR(A962)&amp;"-"&amp;RIGHT("0"&amp;MONTH(A962),2))</ns0:f>
        <ns0:v/>
      </ns0:c>
      <ns0:c r="F962" s="28" t="str">
        <ns0:f>IF(OR(A962="",B962="",C962&lt;=0),"",IF(SUMPRODUCT(('Müşteriler'!$B$2:$B$101&lt;&gt;"")*ISNUMBER(SEARCH('Müşteriler'!$B$2:$B$101,B962)))=1,IFERROR(INDEX('Müşteriler'!$A$2:$A$101,SUMPRODUCT(('Müşteriler'!$B$2:$B$101&lt;&gt;"")*ISNUMBER(SEARCH('Müşteriler'!$B$2:$B$101,B962)),ROW('Müşteriler'!$B$2:$B$101)-ROW('Müşteriler'!$B$2)+1)),""),""))</ns0:f>
        <ns0:v/>
      </ns0:c>
      <ns0:c r="G962" s="28" t="str">
        <ns0:f>IF(F962="","",IFERROR(INDEX('Müşteriler'!$C$2:$C$101,MATCH(F962,'Müşteriler'!$A$2:$A$101,0)),""))</ns0:f>
        <ns0:v/>
      </ns0:c>
      <ns0:c r="H962" s="28" t="str">
        <ns0:f>IF(A962="","",IF(C962&lt;=0,"Satış dışı",IF(OR(F962="",G962=""),"Eşleşmedi","Eşleşti")))</ns0:f>
        <ns0:v/>
      </ns0:c>
      <ns0:c r="I962" s="28">
        <ns0:f>I961+IF(AND(H962="Eşleşmedi",E962='Panel'!$B$4),1,0)</ns0:f>
        <ns0:v>3.0</ns0:v>
      </ns0:c>
    </ns0:row>
    <ns0:row r="963" ht="21" customHeight="1">
      <ns0:c r="A963" s="25" t="n"/>
      <ns0:c r="B963" s="26" t="n"/>
      <ns0:c r="C963" s="27" t="n"/>
      <ns0:c r="D963" s="27" t="n"/>
      <ns0:c r="E963" s="28" t="str">
        <ns0:f>IF(A963="","",YEAR(A963)&amp;"-"&amp;RIGHT("0"&amp;MONTH(A963),2))</ns0:f>
        <ns0:v/>
      </ns0:c>
      <ns0:c r="F963" s="28" t="str">
        <ns0:f>IF(OR(A963="",B963="",C963&lt;=0),"",IF(SUMPRODUCT(('Müşteriler'!$B$2:$B$101&lt;&gt;"")*ISNUMBER(SEARCH('Müşteriler'!$B$2:$B$101,B963)))=1,IFERROR(INDEX('Müşteriler'!$A$2:$A$101,SUMPRODUCT(('Müşteriler'!$B$2:$B$101&lt;&gt;"")*ISNUMBER(SEARCH('Müşteriler'!$B$2:$B$101,B963)),ROW('Müşteriler'!$B$2:$B$101)-ROW('Müşteriler'!$B$2)+1)),""),""))</ns0:f>
        <ns0:v/>
      </ns0:c>
      <ns0:c r="G963" s="28" t="str">
        <ns0:f>IF(F963="","",IFERROR(INDEX('Müşteriler'!$C$2:$C$101,MATCH(F963,'Müşteriler'!$A$2:$A$101,0)),""))</ns0:f>
        <ns0:v/>
      </ns0:c>
      <ns0:c r="H963" s="28" t="str">
        <ns0:f>IF(A963="","",IF(C963&lt;=0,"Satış dışı",IF(OR(F963="",G963=""),"Eşleşmedi","Eşleşti")))</ns0:f>
        <ns0:v/>
      </ns0:c>
      <ns0:c r="I963" s="28">
        <ns0:f>I962+IF(AND(H963="Eşleşmedi",E963='Panel'!$B$4),1,0)</ns0:f>
        <ns0:v>3.0</ns0:v>
      </ns0:c>
    </ns0:row>
    <ns0:row r="964" ht="21" customHeight="1">
      <ns0:c r="A964" s="25" t="n"/>
      <ns0:c r="B964" s="26" t="n"/>
      <ns0:c r="C964" s="27" t="n"/>
      <ns0:c r="D964" s="27" t="n"/>
      <ns0:c r="E964" s="28" t="str">
        <ns0:f>IF(A964="","",YEAR(A964)&amp;"-"&amp;RIGHT("0"&amp;MONTH(A964),2))</ns0:f>
        <ns0:v/>
      </ns0:c>
      <ns0:c r="F964" s="28" t="str">
        <ns0:f>IF(OR(A964="",B964="",C964&lt;=0),"",IF(SUMPRODUCT(('Müşteriler'!$B$2:$B$101&lt;&gt;"")*ISNUMBER(SEARCH('Müşteriler'!$B$2:$B$101,B964)))=1,IFERROR(INDEX('Müşteriler'!$A$2:$A$101,SUMPRODUCT(('Müşteriler'!$B$2:$B$101&lt;&gt;"")*ISNUMBER(SEARCH('Müşteriler'!$B$2:$B$101,B964)),ROW('Müşteriler'!$B$2:$B$101)-ROW('Müşteriler'!$B$2)+1)),""),""))</ns0:f>
        <ns0:v/>
      </ns0:c>
      <ns0:c r="G964" s="28" t="str">
        <ns0:f>IF(F964="","",IFERROR(INDEX('Müşteriler'!$C$2:$C$101,MATCH(F964,'Müşteriler'!$A$2:$A$101,0)),""))</ns0:f>
        <ns0:v/>
      </ns0:c>
      <ns0:c r="H964" s="28" t="str">
        <ns0:f>IF(A964="","",IF(C964&lt;=0,"Satış dışı",IF(OR(F964="",G964=""),"Eşleşmedi","Eşleşti")))</ns0:f>
        <ns0:v/>
      </ns0:c>
      <ns0:c r="I964" s="28">
        <ns0:f>I963+IF(AND(H964="Eşleşmedi",E964='Panel'!$B$4),1,0)</ns0:f>
        <ns0:v>3.0</ns0:v>
      </ns0:c>
    </ns0:row>
    <ns0:row r="965" ht="21" customHeight="1">
      <ns0:c r="A965" s="25" t="n"/>
      <ns0:c r="B965" s="26" t="n"/>
      <ns0:c r="C965" s="27" t="n"/>
      <ns0:c r="D965" s="27" t="n"/>
      <ns0:c r="E965" s="28" t="str">
        <ns0:f>IF(A965="","",YEAR(A965)&amp;"-"&amp;RIGHT("0"&amp;MONTH(A965),2))</ns0:f>
        <ns0:v/>
      </ns0:c>
      <ns0:c r="F965" s="28" t="str">
        <ns0:f>IF(OR(A965="",B965="",C965&lt;=0),"",IF(SUMPRODUCT(('Müşteriler'!$B$2:$B$101&lt;&gt;"")*ISNUMBER(SEARCH('Müşteriler'!$B$2:$B$101,B965)))=1,IFERROR(INDEX('Müşteriler'!$A$2:$A$101,SUMPRODUCT(('Müşteriler'!$B$2:$B$101&lt;&gt;"")*ISNUMBER(SEARCH('Müşteriler'!$B$2:$B$101,B965)),ROW('Müşteriler'!$B$2:$B$101)-ROW('Müşteriler'!$B$2)+1)),""),""))</ns0:f>
        <ns0:v/>
      </ns0:c>
      <ns0:c r="G965" s="28" t="str">
        <ns0:f>IF(F965="","",IFERROR(INDEX('Müşteriler'!$C$2:$C$101,MATCH(F965,'Müşteriler'!$A$2:$A$101,0)),""))</ns0:f>
        <ns0:v/>
      </ns0:c>
      <ns0:c r="H965" s="28" t="str">
        <ns0:f>IF(A965="","",IF(C965&lt;=0,"Satış dışı",IF(OR(F965="",G965=""),"Eşleşmedi","Eşleşti")))</ns0:f>
        <ns0:v/>
      </ns0:c>
      <ns0:c r="I965" s="28">
        <ns0:f>I964+IF(AND(H965="Eşleşmedi",E965='Panel'!$B$4),1,0)</ns0:f>
        <ns0:v>3.0</ns0:v>
      </ns0:c>
    </ns0:row>
    <ns0:row r="966" ht="21" customHeight="1">
      <ns0:c r="A966" s="25" t="n"/>
      <ns0:c r="B966" s="26" t="n"/>
      <ns0:c r="C966" s="27" t="n"/>
      <ns0:c r="D966" s="27" t="n"/>
      <ns0:c r="E966" s="28" t="str">
        <ns0:f>IF(A966="","",YEAR(A966)&amp;"-"&amp;RIGHT("0"&amp;MONTH(A966),2))</ns0:f>
        <ns0:v/>
      </ns0:c>
      <ns0:c r="F966" s="28" t="str">
        <ns0:f>IF(OR(A966="",B966="",C966&lt;=0),"",IF(SUMPRODUCT(('Müşteriler'!$B$2:$B$101&lt;&gt;"")*ISNUMBER(SEARCH('Müşteriler'!$B$2:$B$101,B966)))=1,IFERROR(INDEX('Müşteriler'!$A$2:$A$101,SUMPRODUCT(('Müşteriler'!$B$2:$B$101&lt;&gt;"")*ISNUMBER(SEARCH('Müşteriler'!$B$2:$B$101,B966)),ROW('Müşteriler'!$B$2:$B$101)-ROW('Müşteriler'!$B$2)+1)),""),""))</ns0:f>
        <ns0:v/>
      </ns0:c>
      <ns0:c r="G966" s="28" t="str">
        <ns0:f>IF(F966="","",IFERROR(INDEX('Müşteriler'!$C$2:$C$101,MATCH(F966,'Müşteriler'!$A$2:$A$101,0)),""))</ns0:f>
        <ns0:v/>
      </ns0:c>
      <ns0:c r="H966" s="28" t="str">
        <ns0:f>IF(A966="","",IF(C966&lt;=0,"Satış dışı",IF(OR(F966="",G966=""),"Eşleşmedi","Eşleşti")))</ns0:f>
        <ns0:v/>
      </ns0:c>
      <ns0:c r="I966" s="28">
        <ns0:f>I965+IF(AND(H966="Eşleşmedi",E966='Panel'!$B$4),1,0)</ns0:f>
        <ns0:v>3.0</ns0:v>
      </ns0:c>
    </ns0:row>
    <ns0:row r="967" ht="21" customHeight="1">
      <ns0:c r="A967" s="25" t="n"/>
      <ns0:c r="B967" s="26" t="n"/>
      <ns0:c r="C967" s="27" t="n"/>
      <ns0:c r="D967" s="27" t="n"/>
      <ns0:c r="E967" s="28" t="str">
        <ns0:f>IF(A967="","",YEAR(A967)&amp;"-"&amp;RIGHT("0"&amp;MONTH(A967),2))</ns0:f>
        <ns0:v/>
      </ns0:c>
      <ns0:c r="F967" s="28" t="str">
        <ns0:f>IF(OR(A967="",B967="",C967&lt;=0),"",IF(SUMPRODUCT(('Müşteriler'!$B$2:$B$101&lt;&gt;"")*ISNUMBER(SEARCH('Müşteriler'!$B$2:$B$101,B967)))=1,IFERROR(INDEX('Müşteriler'!$A$2:$A$101,SUMPRODUCT(('Müşteriler'!$B$2:$B$101&lt;&gt;"")*ISNUMBER(SEARCH('Müşteriler'!$B$2:$B$101,B967)),ROW('Müşteriler'!$B$2:$B$101)-ROW('Müşteriler'!$B$2)+1)),""),""))</ns0:f>
        <ns0:v/>
      </ns0:c>
      <ns0:c r="G967" s="28" t="str">
        <ns0:f>IF(F967="","",IFERROR(INDEX('Müşteriler'!$C$2:$C$101,MATCH(F967,'Müşteriler'!$A$2:$A$101,0)),""))</ns0:f>
        <ns0:v/>
      </ns0:c>
      <ns0:c r="H967" s="28" t="str">
        <ns0:f>IF(A967="","",IF(C967&lt;=0,"Satış dışı",IF(OR(F967="",G967=""),"Eşleşmedi","Eşleşti")))</ns0:f>
        <ns0:v/>
      </ns0:c>
      <ns0:c r="I967" s="28">
        <ns0:f>I966+IF(AND(H967="Eşleşmedi",E967='Panel'!$B$4),1,0)</ns0:f>
        <ns0:v>3.0</ns0:v>
      </ns0:c>
    </ns0:row>
    <ns0:row r="968" ht="21" customHeight="1">
      <ns0:c r="A968" s="25" t="n"/>
      <ns0:c r="B968" s="26" t="n"/>
      <ns0:c r="C968" s="27" t="n"/>
      <ns0:c r="D968" s="27" t="n"/>
      <ns0:c r="E968" s="28" t="str">
        <ns0:f>IF(A968="","",YEAR(A968)&amp;"-"&amp;RIGHT("0"&amp;MONTH(A968),2))</ns0:f>
        <ns0:v/>
      </ns0:c>
      <ns0:c r="F968" s="28" t="str">
        <ns0:f>IF(OR(A968="",B968="",C968&lt;=0),"",IF(SUMPRODUCT(('Müşteriler'!$B$2:$B$101&lt;&gt;"")*ISNUMBER(SEARCH('Müşteriler'!$B$2:$B$101,B968)))=1,IFERROR(INDEX('Müşteriler'!$A$2:$A$101,SUMPRODUCT(('Müşteriler'!$B$2:$B$101&lt;&gt;"")*ISNUMBER(SEARCH('Müşteriler'!$B$2:$B$101,B968)),ROW('Müşteriler'!$B$2:$B$101)-ROW('Müşteriler'!$B$2)+1)),""),""))</ns0:f>
        <ns0:v/>
      </ns0:c>
      <ns0:c r="G968" s="28" t="str">
        <ns0:f>IF(F968="","",IFERROR(INDEX('Müşteriler'!$C$2:$C$101,MATCH(F968,'Müşteriler'!$A$2:$A$101,0)),""))</ns0:f>
        <ns0:v/>
      </ns0:c>
      <ns0:c r="H968" s="28" t="str">
        <ns0:f>IF(A968="","",IF(C968&lt;=0,"Satış dışı",IF(OR(F968="",G968=""),"Eşleşmedi","Eşleşti")))</ns0:f>
        <ns0:v/>
      </ns0:c>
      <ns0:c r="I968" s="28">
        <ns0:f>I967+IF(AND(H968="Eşleşmedi",E968='Panel'!$B$4),1,0)</ns0:f>
        <ns0:v>3.0</ns0:v>
      </ns0:c>
    </ns0:row>
    <ns0:row r="969" ht="21" customHeight="1">
      <ns0:c r="A969" s="25" t="n"/>
      <ns0:c r="B969" s="26" t="n"/>
      <ns0:c r="C969" s="27" t="n"/>
      <ns0:c r="D969" s="27" t="n"/>
      <ns0:c r="E969" s="28" t="str">
        <ns0:f>IF(A969="","",YEAR(A969)&amp;"-"&amp;RIGHT("0"&amp;MONTH(A969),2))</ns0:f>
        <ns0:v/>
      </ns0:c>
      <ns0:c r="F969" s="28" t="str">
        <ns0:f>IF(OR(A969="",B969="",C969&lt;=0),"",IF(SUMPRODUCT(('Müşteriler'!$B$2:$B$101&lt;&gt;"")*ISNUMBER(SEARCH('Müşteriler'!$B$2:$B$101,B969)))=1,IFERROR(INDEX('Müşteriler'!$A$2:$A$101,SUMPRODUCT(('Müşteriler'!$B$2:$B$101&lt;&gt;"")*ISNUMBER(SEARCH('Müşteriler'!$B$2:$B$101,B969)),ROW('Müşteriler'!$B$2:$B$101)-ROW('Müşteriler'!$B$2)+1)),""),""))</ns0:f>
        <ns0:v/>
      </ns0:c>
      <ns0:c r="G969" s="28" t="str">
        <ns0:f>IF(F969="","",IFERROR(INDEX('Müşteriler'!$C$2:$C$101,MATCH(F969,'Müşteriler'!$A$2:$A$101,0)),""))</ns0:f>
        <ns0:v/>
      </ns0:c>
      <ns0:c r="H969" s="28" t="str">
        <ns0:f>IF(A969="","",IF(C969&lt;=0,"Satış dışı",IF(OR(F969="",G969=""),"Eşleşmedi","Eşleşti")))</ns0:f>
        <ns0:v/>
      </ns0:c>
      <ns0:c r="I969" s="28">
        <ns0:f>I968+IF(AND(H969="Eşleşmedi",E969='Panel'!$B$4),1,0)</ns0:f>
        <ns0:v>3.0</ns0:v>
      </ns0:c>
    </ns0:row>
    <ns0:row r="970" ht="21" customHeight="1">
      <ns0:c r="A970" s="25" t="n"/>
      <ns0:c r="B970" s="26" t="n"/>
      <ns0:c r="C970" s="27" t="n"/>
      <ns0:c r="D970" s="27" t="n"/>
      <ns0:c r="E970" s="28" t="str">
        <ns0:f>IF(A970="","",YEAR(A970)&amp;"-"&amp;RIGHT("0"&amp;MONTH(A970),2))</ns0:f>
        <ns0:v/>
      </ns0:c>
      <ns0:c r="F970" s="28" t="str">
        <ns0:f>IF(OR(A970="",B970="",C970&lt;=0),"",IF(SUMPRODUCT(('Müşteriler'!$B$2:$B$101&lt;&gt;"")*ISNUMBER(SEARCH('Müşteriler'!$B$2:$B$101,B970)))=1,IFERROR(INDEX('Müşteriler'!$A$2:$A$101,SUMPRODUCT(('Müşteriler'!$B$2:$B$101&lt;&gt;"")*ISNUMBER(SEARCH('Müşteriler'!$B$2:$B$101,B970)),ROW('Müşteriler'!$B$2:$B$101)-ROW('Müşteriler'!$B$2)+1)),""),""))</ns0:f>
        <ns0:v/>
      </ns0:c>
      <ns0:c r="G970" s="28" t="str">
        <ns0:f>IF(F970="","",IFERROR(INDEX('Müşteriler'!$C$2:$C$101,MATCH(F970,'Müşteriler'!$A$2:$A$101,0)),""))</ns0:f>
        <ns0:v/>
      </ns0:c>
      <ns0:c r="H970" s="28" t="str">
        <ns0:f>IF(A970="","",IF(C970&lt;=0,"Satış dışı",IF(OR(F970="",G970=""),"Eşleşmedi","Eşleşti")))</ns0:f>
        <ns0:v/>
      </ns0:c>
      <ns0:c r="I970" s="28">
        <ns0:f>I969+IF(AND(H970="Eşleşmedi",E970='Panel'!$B$4),1,0)</ns0:f>
        <ns0:v>3.0</ns0:v>
      </ns0:c>
    </ns0:row>
    <ns0:row r="971" ht="21" customHeight="1">
      <ns0:c r="A971" s="25" t="n"/>
      <ns0:c r="B971" s="26" t="n"/>
      <ns0:c r="C971" s="27" t="n"/>
      <ns0:c r="D971" s="27" t="n"/>
      <ns0:c r="E971" s="28" t="str">
        <ns0:f>IF(A971="","",YEAR(A971)&amp;"-"&amp;RIGHT("0"&amp;MONTH(A971),2))</ns0:f>
        <ns0:v/>
      </ns0:c>
      <ns0:c r="F971" s="28" t="str">
        <ns0:f>IF(OR(A971="",B971="",C971&lt;=0),"",IF(SUMPRODUCT(('Müşteriler'!$B$2:$B$101&lt;&gt;"")*ISNUMBER(SEARCH('Müşteriler'!$B$2:$B$101,B971)))=1,IFERROR(INDEX('Müşteriler'!$A$2:$A$101,SUMPRODUCT(('Müşteriler'!$B$2:$B$101&lt;&gt;"")*ISNUMBER(SEARCH('Müşteriler'!$B$2:$B$101,B971)),ROW('Müşteriler'!$B$2:$B$101)-ROW('Müşteriler'!$B$2)+1)),""),""))</ns0:f>
        <ns0:v/>
      </ns0:c>
      <ns0:c r="G971" s="28" t="str">
        <ns0:f>IF(F971="","",IFERROR(INDEX('Müşteriler'!$C$2:$C$101,MATCH(F971,'Müşteriler'!$A$2:$A$101,0)),""))</ns0:f>
        <ns0:v/>
      </ns0:c>
      <ns0:c r="H971" s="28" t="str">
        <ns0:f>IF(A971="","",IF(C971&lt;=0,"Satış dışı",IF(OR(F971="",G971=""),"Eşleşmedi","Eşleşti")))</ns0:f>
        <ns0:v/>
      </ns0:c>
      <ns0:c r="I971" s="28">
        <ns0:f>I970+IF(AND(H971="Eşleşmedi",E971='Panel'!$B$4),1,0)</ns0:f>
        <ns0:v>3.0</ns0:v>
      </ns0:c>
    </ns0:row>
    <ns0:row r="972" ht="21" customHeight="1">
      <ns0:c r="A972" s="25" t="n"/>
      <ns0:c r="B972" s="26" t="n"/>
      <ns0:c r="C972" s="27" t="n"/>
      <ns0:c r="D972" s="27" t="n"/>
      <ns0:c r="E972" s="28" t="str">
        <ns0:f>IF(A972="","",YEAR(A972)&amp;"-"&amp;RIGHT("0"&amp;MONTH(A972),2))</ns0:f>
        <ns0:v/>
      </ns0:c>
      <ns0:c r="F972" s="28" t="str">
        <ns0:f>IF(OR(A972="",B972="",C972&lt;=0),"",IF(SUMPRODUCT(('Müşteriler'!$B$2:$B$101&lt;&gt;"")*ISNUMBER(SEARCH('Müşteriler'!$B$2:$B$101,B972)))=1,IFERROR(INDEX('Müşteriler'!$A$2:$A$101,SUMPRODUCT(('Müşteriler'!$B$2:$B$101&lt;&gt;"")*ISNUMBER(SEARCH('Müşteriler'!$B$2:$B$101,B972)),ROW('Müşteriler'!$B$2:$B$101)-ROW('Müşteriler'!$B$2)+1)),""),""))</ns0:f>
        <ns0:v/>
      </ns0:c>
      <ns0:c r="G972" s="28" t="str">
        <ns0:f>IF(F972="","",IFERROR(INDEX('Müşteriler'!$C$2:$C$101,MATCH(F972,'Müşteriler'!$A$2:$A$101,0)),""))</ns0:f>
        <ns0:v/>
      </ns0:c>
      <ns0:c r="H972" s="28" t="str">
        <ns0:f>IF(A972="","",IF(C972&lt;=0,"Satış dışı",IF(OR(F972="",G972=""),"Eşleşmedi","Eşleşti")))</ns0:f>
        <ns0:v/>
      </ns0:c>
      <ns0:c r="I972" s="28">
        <ns0:f>I971+IF(AND(H972="Eşleşmedi",E972='Panel'!$B$4),1,0)</ns0:f>
        <ns0:v>3.0</ns0:v>
      </ns0:c>
    </ns0:row>
    <ns0:row r="973" ht="21" customHeight="1">
      <ns0:c r="A973" s="25" t="n"/>
      <ns0:c r="B973" s="26" t="n"/>
      <ns0:c r="C973" s="27" t="n"/>
      <ns0:c r="D973" s="27" t="n"/>
      <ns0:c r="E973" s="28" t="str">
        <ns0:f>IF(A973="","",YEAR(A973)&amp;"-"&amp;RIGHT("0"&amp;MONTH(A973),2))</ns0:f>
        <ns0:v/>
      </ns0:c>
      <ns0:c r="F973" s="28" t="str">
        <ns0:f>IF(OR(A973="",B973="",C973&lt;=0),"",IF(SUMPRODUCT(('Müşteriler'!$B$2:$B$101&lt;&gt;"")*ISNUMBER(SEARCH('Müşteriler'!$B$2:$B$101,B973)))=1,IFERROR(INDEX('Müşteriler'!$A$2:$A$101,SUMPRODUCT(('Müşteriler'!$B$2:$B$101&lt;&gt;"")*ISNUMBER(SEARCH('Müşteriler'!$B$2:$B$101,B973)),ROW('Müşteriler'!$B$2:$B$101)-ROW('Müşteriler'!$B$2)+1)),""),""))</ns0:f>
        <ns0:v/>
      </ns0:c>
      <ns0:c r="G973" s="28" t="str">
        <ns0:f>IF(F973="","",IFERROR(INDEX('Müşteriler'!$C$2:$C$101,MATCH(F973,'Müşteriler'!$A$2:$A$101,0)),""))</ns0:f>
        <ns0:v/>
      </ns0:c>
      <ns0:c r="H973" s="28" t="str">
        <ns0:f>IF(A973="","",IF(C973&lt;=0,"Satış dışı",IF(OR(F973="",G973=""),"Eşleşmedi","Eşleşti")))</ns0:f>
        <ns0:v/>
      </ns0:c>
      <ns0:c r="I973" s="28">
        <ns0:f>I972+IF(AND(H973="Eşleşmedi",E973='Panel'!$B$4),1,0)</ns0:f>
        <ns0:v>3.0</ns0:v>
      </ns0:c>
    </ns0:row>
    <ns0:row r="974" ht="21" customHeight="1">
      <ns0:c r="A974" s="25" t="n"/>
      <ns0:c r="B974" s="26" t="n"/>
      <ns0:c r="C974" s="27" t="n"/>
      <ns0:c r="D974" s="27" t="n"/>
      <ns0:c r="E974" s="28" t="str">
        <ns0:f>IF(A974="","",YEAR(A974)&amp;"-"&amp;RIGHT("0"&amp;MONTH(A974),2))</ns0:f>
        <ns0:v/>
      </ns0:c>
      <ns0:c r="F974" s="28" t="str">
        <ns0:f>IF(OR(A974="",B974="",C974&lt;=0),"",IF(SUMPRODUCT(('Müşteriler'!$B$2:$B$101&lt;&gt;"")*ISNUMBER(SEARCH('Müşteriler'!$B$2:$B$101,B974)))=1,IFERROR(INDEX('Müşteriler'!$A$2:$A$101,SUMPRODUCT(('Müşteriler'!$B$2:$B$101&lt;&gt;"")*ISNUMBER(SEARCH('Müşteriler'!$B$2:$B$101,B974)),ROW('Müşteriler'!$B$2:$B$101)-ROW('Müşteriler'!$B$2)+1)),""),""))</ns0:f>
        <ns0:v/>
      </ns0:c>
      <ns0:c r="G974" s="28" t="str">
        <ns0:f>IF(F974="","",IFERROR(INDEX('Müşteriler'!$C$2:$C$101,MATCH(F974,'Müşteriler'!$A$2:$A$101,0)),""))</ns0:f>
        <ns0:v/>
      </ns0:c>
      <ns0:c r="H974" s="28" t="str">
        <ns0:f>IF(A974="","",IF(C974&lt;=0,"Satış dışı",IF(OR(F974="",G974=""),"Eşleşmedi","Eşleşti")))</ns0:f>
        <ns0:v/>
      </ns0:c>
      <ns0:c r="I974" s="28">
        <ns0:f>I973+IF(AND(H974="Eşleşmedi",E974='Panel'!$B$4),1,0)</ns0:f>
        <ns0:v>3.0</ns0:v>
      </ns0:c>
    </ns0:row>
    <ns0:row r="975" ht="21" customHeight="1">
      <ns0:c r="A975" s="25" t="n"/>
      <ns0:c r="B975" s="26" t="n"/>
      <ns0:c r="C975" s="27" t="n"/>
      <ns0:c r="D975" s="27" t="n"/>
      <ns0:c r="E975" s="28" t="str">
        <ns0:f>IF(A975="","",YEAR(A975)&amp;"-"&amp;RIGHT("0"&amp;MONTH(A975),2))</ns0:f>
        <ns0:v/>
      </ns0:c>
      <ns0:c r="F975" s="28" t="str">
        <ns0:f>IF(OR(A975="",B975="",C975&lt;=0),"",IF(SUMPRODUCT(('Müşteriler'!$B$2:$B$101&lt;&gt;"")*ISNUMBER(SEARCH('Müşteriler'!$B$2:$B$101,B975)))=1,IFERROR(INDEX('Müşteriler'!$A$2:$A$101,SUMPRODUCT(('Müşteriler'!$B$2:$B$101&lt;&gt;"")*ISNUMBER(SEARCH('Müşteriler'!$B$2:$B$101,B975)),ROW('Müşteriler'!$B$2:$B$101)-ROW('Müşteriler'!$B$2)+1)),""),""))</ns0:f>
        <ns0:v/>
      </ns0:c>
      <ns0:c r="G975" s="28" t="str">
        <ns0:f>IF(F975="","",IFERROR(INDEX('Müşteriler'!$C$2:$C$101,MATCH(F975,'Müşteriler'!$A$2:$A$101,0)),""))</ns0:f>
        <ns0:v/>
      </ns0:c>
      <ns0:c r="H975" s="28" t="str">
        <ns0:f>IF(A975="","",IF(C975&lt;=0,"Satış dışı",IF(OR(F975="",G975=""),"Eşleşmedi","Eşleşti")))</ns0:f>
        <ns0:v/>
      </ns0:c>
      <ns0:c r="I975" s="28">
        <ns0:f>I974+IF(AND(H975="Eşleşmedi",E975='Panel'!$B$4),1,0)</ns0:f>
        <ns0:v>3.0</ns0:v>
      </ns0:c>
    </ns0:row>
    <ns0:row r="976" ht="21" customHeight="1">
      <ns0:c r="A976" s="25" t="n"/>
      <ns0:c r="B976" s="26" t="n"/>
      <ns0:c r="C976" s="27" t="n"/>
      <ns0:c r="D976" s="27" t="n"/>
      <ns0:c r="E976" s="28" t="str">
        <ns0:f>IF(A976="","",YEAR(A976)&amp;"-"&amp;RIGHT("0"&amp;MONTH(A976),2))</ns0:f>
        <ns0:v/>
      </ns0:c>
      <ns0:c r="F976" s="28" t="str">
        <ns0:f>IF(OR(A976="",B976="",C976&lt;=0),"",IF(SUMPRODUCT(('Müşteriler'!$B$2:$B$101&lt;&gt;"")*ISNUMBER(SEARCH('Müşteriler'!$B$2:$B$101,B976)))=1,IFERROR(INDEX('Müşteriler'!$A$2:$A$101,SUMPRODUCT(('Müşteriler'!$B$2:$B$101&lt;&gt;"")*ISNUMBER(SEARCH('Müşteriler'!$B$2:$B$101,B976)),ROW('Müşteriler'!$B$2:$B$101)-ROW('Müşteriler'!$B$2)+1)),""),""))</ns0:f>
        <ns0:v/>
      </ns0:c>
      <ns0:c r="G976" s="28" t="str">
        <ns0:f>IF(F976="","",IFERROR(INDEX('Müşteriler'!$C$2:$C$101,MATCH(F976,'Müşteriler'!$A$2:$A$101,0)),""))</ns0:f>
        <ns0:v/>
      </ns0:c>
      <ns0:c r="H976" s="28" t="str">
        <ns0:f>IF(A976="","",IF(C976&lt;=0,"Satış dışı",IF(OR(F976="",G976=""),"Eşleşmedi","Eşleşti")))</ns0:f>
        <ns0:v/>
      </ns0:c>
      <ns0:c r="I976" s="28">
        <ns0:f>I975+IF(AND(H976="Eşleşmedi",E976='Panel'!$B$4),1,0)</ns0:f>
        <ns0:v>3.0</ns0:v>
      </ns0:c>
    </ns0:row>
    <ns0:row r="977" ht="21" customHeight="1">
      <ns0:c r="A977" s="25" t="n"/>
      <ns0:c r="B977" s="26" t="n"/>
      <ns0:c r="C977" s="27" t="n"/>
      <ns0:c r="D977" s="27" t="n"/>
      <ns0:c r="E977" s="28" t="str">
        <ns0:f>IF(A977="","",YEAR(A977)&amp;"-"&amp;RIGHT("0"&amp;MONTH(A977),2))</ns0:f>
        <ns0:v/>
      </ns0:c>
      <ns0:c r="F977" s="28" t="str">
        <ns0:f>IF(OR(A977="",B977="",C977&lt;=0),"",IF(SUMPRODUCT(('Müşteriler'!$B$2:$B$101&lt;&gt;"")*ISNUMBER(SEARCH('Müşteriler'!$B$2:$B$101,B977)))=1,IFERROR(INDEX('Müşteriler'!$A$2:$A$101,SUMPRODUCT(('Müşteriler'!$B$2:$B$101&lt;&gt;"")*ISNUMBER(SEARCH('Müşteriler'!$B$2:$B$101,B977)),ROW('Müşteriler'!$B$2:$B$101)-ROW('Müşteriler'!$B$2)+1)),""),""))</ns0:f>
        <ns0:v/>
      </ns0:c>
      <ns0:c r="G977" s="28" t="str">
        <ns0:f>IF(F977="","",IFERROR(INDEX('Müşteriler'!$C$2:$C$101,MATCH(F977,'Müşteriler'!$A$2:$A$101,0)),""))</ns0:f>
        <ns0:v/>
      </ns0:c>
      <ns0:c r="H977" s="28" t="str">
        <ns0:f>IF(A977="","",IF(C977&lt;=0,"Satış dışı",IF(OR(F977="",G977=""),"Eşleşmedi","Eşleşti")))</ns0:f>
        <ns0:v/>
      </ns0:c>
      <ns0:c r="I977" s="28">
        <ns0:f>I976+IF(AND(H977="Eşleşmedi",E977='Panel'!$B$4),1,0)</ns0:f>
        <ns0:v>3.0</ns0:v>
      </ns0:c>
    </ns0:row>
    <ns0:row r="978" ht="21" customHeight="1">
      <ns0:c r="A978" s="25" t="n"/>
      <ns0:c r="B978" s="26" t="n"/>
      <ns0:c r="C978" s="27" t="n"/>
      <ns0:c r="D978" s="27" t="n"/>
      <ns0:c r="E978" s="28" t="str">
        <ns0:f>IF(A978="","",YEAR(A978)&amp;"-"&amp;RIGHT("0"&amp;MONTH(A978),2))</ns0:f>
        <ns0:v/>
      </ns0:c>
      <ns0:c r="F978" s="28" t="str">
        <ns0:f>IF(OR(A978="",B978="",C978&lt;=0),"",IF(SUMPRODUCT(('Müşteriler'!$B$2:$B$101&lt;&gt;"")*ISNUMBER(SEARCH('Müşteriler'!$B$2:$B$101,B978)))=1,IFERROR(INDEX('Müşteriler'!$A$2:$A$101,SUMPRODUCT(('Müşteriler'!$B$2:$B$101&lt;&gt;"")*ISNUMBER(SEARCH('Müşteriler'!$B$2:$B$101,B978)),ROW('Müşteriler'!$B$2:$B$101)-ROW('Müşteriler'!$B$2)+1)),""),""))</ns0:f>
        <ns0:v/>
      </ns0:c>
      <ns0:c r="G978" s="28" t="str">
        <ns0:f>IF(F978="","",IFERROR(INDEX('Müşteriler'!$C$2:$C$101,MATCH(F978,'Müşteriler'!$A$2:$A$101,0)),""))</ns0:f>
        <ns0:v/>
      </ns0:c>
      <ns0:c r="H978" s="28" t="str">
        <ns0:f>IF(A978="","",IF(C978&lt;=0,"Satış dışı",IF(OR(F978="",G978=""),"Eşleşmedi","Eşleşti")))</ns0:f>
        <ns0:v/>
      </ns0:c>
      <ns0:c r="I978" s="28">
        <ns0:f>I977+IF(AND(H978="Eşleşmedi",E978='Panel'!$B$4),1,0)</ns0:f>
        <ns0:v>3.0</ns0:v>
      </ns0:c>
    </ns0:row>
    <ns0:row r="979" ht="21" customHeight="1">
      <ns0:c r="A979" s="25" t="n"/>
      <ns0:c r="B979" s="26" t="n"/>
      <ns0:c r="C979" s="27" t="n"/>
      <ns0:c r="D979" s="27" t="n"/>
      <ns0:c r="E979" s="28" t="str">
        <ns0:f>IF(A979="","",YEAR(A979)&amp;"-"&amp;RIGHT("0"&amp;MONTH(A979),2))</ns0:f>
        <ns0:v/>
      </ns0:c>
      <ns0:c r="F979" s="28" t="str">
        <ns0:f>IF(OR(A979="",B979="",C979&lt;=0),"",IF(SUMPRODUCT(('Müşteriler'!$B$2:$B$101&lt;&gt;"")*ISNUMBER(SEARCH('Müşteriler'!$B$2:$B$101,B979)))=1,IFERROR(INDEX('Müşteriler'!$A$2:$A$101,SUMPRODUCT(('Müşteriler'!$B$2:$B$101&lt;&gt;"")*ISNUMBER(SEARCH('Müşteriler'!$B$2:$B$101,B979)),ROW('Müşteriler'!$B$2:$B$101)-ROW('Müşteriler'!$B$2)+1)),""),""))</ns0:f>
        <ns0:v/>
      </ns0:c>
      <ns0:c r="G979" s="28" t="str">
        <ns0:f>IF(F979="","",IFERROR(INDEX('Müşteriler'!$C$2:$C$101,MATCH(F979,'Müşteriler'!$A$2:$A$101,0)),""))</ns0:f>
        <ns0:v/>
      </ns0:c>
      <ns0:c r="H979" s="28" t="str">
        <ns0:f>IF(A979="","",IF(C979&lt;=0,"Satış dışı",IF(OR(F979="",G979=""),"Eşleşmedi","Eşleşti")))</ns0:f>
        <ns0:v/>
      </ns0:c>
      <ns0:c r="I979" s="28">
        <ns0:f>I978+IF(AND(H979="Eşleşmedi",E979='Panel'!$B$4),1,0)</ns0:f>
        <ns0:v>3.0</ns0:v>
      </ns0:c>
    </ns0:row>
    <ns0:row r="980" ht="21" customHeight="1">
      <ns0:c r="A980" s="25" t="n"/>
      <ns0:c r="B980" s="26" t="n"/>
      <ns0:c r="C980" s="27" t="n"/>
      <ns0:c r="D980" s="27" t="n"/>
      <ns0:c r="E980" s="28" t="str">
        <ns0:f>IF(A980="","",YEAR(A980)&amp;"-"&amp;RIGHT("0"&amp;MONTH(A980),2))</ns0:f>
        <ns0:v/>
      </ns0:c>
      <ns0:c r="F980" s="28" t="str">
        <ns0:f>IF(OR(A980="",B980="",C980&lt;=0),"",IF(SUMPRODUCT(('Müşteriler'!$B$2:$B$101&lt;&gt;"")*ISNUMBER(SEARCH('Müşteriler'!$B$2:$B$101,B980)))=1,IFERROR(INDEX('Müşteriler'!$A$2:$A$101,SUMPRODUCT(('Müşteriler'!$B$2:$B$101&lt;&gt;"")*ISNUMBER(SEARCH('Müşteriler'!$B$2:$B$101,B980)),ROW('Müşteriler'!$B$2:$B$101)-ROW('Müşteriler'!$B$2)+1)),""),""))</ns0:f>
        <ns0:v/>
      </ns0:c>
      <ns0:c r="G980" s="28" t="str">
        <ns0:f>IF(F980="","",IFERROR(INDEX('Müşteriler'!$C$2:$C$101,MATCH(F980,'Müşteriler'!$A$2:$A$101,0)),""))</ns0:f>
        <ns0:v/>
      </ns0:c>
      <ns0:c r="H980" s="28" t="str">
        <ns0:f>IF(A980="","",IF(C980&lt;=0,"Satış dışı",IF(OR(F980="",G980=""),"Eşleşmedi","Eşleşti")))</ns0:f>
        <ns0:v/>
      </ns0:c>
      <ns0:c r="I980" s="28">
        <ns0:f>I979+IF(AND(H980="Eşleşmedi",E980='Panel'!$B$4),1,0)</ns0:f>
        <ns0:v>3.0</ns0:v>
      </ns0:c>
    </ns0:row>
    <ns0:row r="981" ht="21" customHeight="1">
      <ns0:c r="A981" s="25" t="n"/>
      <ns0:c r="B981" s="26" t="n"/>
      <ns0:c r="C981" s="27" t="n"/>
      <ns0:c r="D981" s="27" t="n"/>
      <ns0:c r="E981" s="28" t="str">
        <ns0:f>IF(A981="","",YEAR(A981)&amp;"-"&amp;RIGHT("0"&amp;MONTH(A981),2))</ns0:f>
        <ns0:v/>
      </ns0:c>
      <ns0:c r="F981" s="28" t="str">
        <ns0:f>IF(OR(A981="",B981="",C981&lt;=0),"",IF(SUMPRODUCT(('Müşteriler'!$B$2:$B$101&lt;&gt;"")*ISNUMBER(SEARCH('Müşteriler'!$B$2:$B$101,B981)))=1,IFERROR(INDEX('Müşteriler'!$A$2:$A$101,SUMPRODUCT(('Müşteriler'!$B$2:$B$101&lt;&gt;"")*ISNUMBER(SEARCH('Müşteriler'!$B$2:$B$101,B981)),ROW('Müşteriler'!$B$2:$B$101)-ROW('Müşteriler'!$B$2)+1)),""),""))</ns0:f>
        <ns0:v/>
      </ns0:c>
      <ns0:c r="G981" s="28" t="str">
        <ns0:f>IF(F981="","",IFERROR(INDEX('Müşteriler'!$C$2:$C$101,MATCH(F981,'Müşteriler'!$A$2:$A$101,0)),""))</ns0:f>
        <ns0:v/>
      </ns0:c>
      <ns0:c r="H981" s="28" t="str">
        <ns0:f>IF(A981="","",IF(C981&lt;=0,"Satış dışı",IF(OR(F981="",G981=""),"Eşleşmedi","Eşleşti")))</ns0:f>
        <ns0:v/>
      </ns0:c>
      <ns0:c r="I981" s="28">
        <ns0:f>I980+IF(AND(H981="Eşleşmedi",E981='Panel'!$B$4),1,0)</ns0:f>
        <ns0:v>3.0</ns0:v>
      </ns0:c>
    </ns0:row>
    <ns0:row r="982" ht="21" customHeight="1">
      <ns0:c r="A982" s="25" t="n"/>
      <ns0:c r="B982" s="26" t="n"/>
      <ns0:c r="C982" s="27" t="n"/>
      <ns0:c r="D982" s="27" t="n"/>
      <ns0:c r="E982" s="28" t="str">
        <ns0:f>IF(A982="","",YEAR(A982)&amp;"-"&amp;RIGHT("0"&amp;MONTH(A982),2))</ns0:f>
        <ns0:v/>
      </ns0:c>
      <ns0:c r="F982" s="28" t="str">
        <ns0:f>IF(OR(A982="",B982="",C982&lt;=0),"",IF(SUMPRODUCT(('Müşteriler'!$B$2:$B$101&lt;&gt;"")*ISNUMBER(SEARCH('Müşteriler'!$B$2:$B$101,B982)))=1,IFERROR(INDEX('Müşteriler'!$A$2:$A$101,SUMPRODUCT(('Müşteriler'!$B$2:$B$101&lt;&gt;"")*ISNUMBER(SEARCH('Müşteriler'!$B$2:$B$101,B982)),ROW('Müşteriler'!$B$2:$B$101)-ROW('Müşteriler'!$B$2)+1)),""),""))</ns0:f>
        <ns0:v/>
      </ns0:c>
      <ns0:c r="G982" s="28" t="str">
        <ns0:f>IF(F982="","",IFERROR(INDEX('Müşteriler'!$C$2:$C$101,MATCH(F982,'Müşteriler'!$A$2:$A$101,0)),""))</ns0:f>
        <ns0:v/>
      </ns0:c>
      <ns0:c r="H982" s="28" t="str">
        <ns0:f>IF(A982="","",IF(C982&lt;=0,"Satış dışı",IF(OR(F982="",G982=""),"Eşleşmedi","Eşleşti")))</ns0:f>
        <ns0:v/>
      </ns0:c>
      <ns0:c r="I982" s="28">
        <ns0:f>I981+IF(AND(H982="Eşleşmedi",E982='Panel'!$B$4),1,0)</ns0:f>
        <ns0:v>3.0</ns0:v>
      </ns0:c>
    </ns0:row>
    <ns0:row r="983" ht="21" customHeight="1">
      <ns0:c r="A983" s="25" t="n"/>
      <ns0:c r="B983" s="26" t="n"/>
      <ns0:c r="C983" s="27" t="n"/>
      <ns0:c r="D983" s="27" t="n"/>
      <ns0:c r="E983" s="28" t="str">
        <ns0:f>IF(A983="","",YEAR(A983)&amp;"-"&amp;RIGHT("0"&amp;MONTH(A983),2))</ns0:f>
        <ns0:v/>
      </ns0:c>
      <ns0:c r="F983" s="28" t="str">
        <ns0:f>IF(OR(A983="",B983="",C983&lt;=0),"",IF(SUMPRODUCT(('Müşteriler'!$B$2:$B$101&lt;&gt;"")*ISNUMBER(SEARCH('Müşteriler'!$B$2:$B$101,B983)))=1,IFERROR(INDEX('Müşteriler'!$A$2:$A$101,SUMPRODUCT(('Müşteriler'!$B$2:$B$101&lt;&gt;"")*ISNUMBER(SEARCH('Müşteriler'!$B$2:$B$101,B983)),ROW('Müşteriler'!$B$2:$B$101)-ROW('Müşteriler'!$B$2)+1)),""),""))</ns0:f>
        <ns0:v/>
      </ns0:c>
      <ns0:c r="G983" s="28" t="str">
        <ns0:f>IF(F983="","",IFERROR(INDEX('Müşteriler'!$C$2:$C$101,MATCH(F983,'Müşteriler'!$A$2:$A$101,0)),""))</ns0:f>
        <ns0:v/>
      </ns0:c>
      <ns0:c r="H983" s="28" t="str">
        <ns0:f>IF(A983="","",IF(C983&lt;=0,"Satış dışı",IF(OR(F983="",G983=""),"Eşleşmedi","Eşleşti")))</ns0:f>
        <ns0:v/>
      </ns0:c>
      <ns0:c r="I983" s="28">
        <ns0:f>I982+IF(AND(H983="Eşleşmedi",E983='Panel'!$B$4),1,0)</ns0:f>
        <ns0:v>3.0</ns0:v>
      </ns0:c>
    </ns0:row>
    <ns0:row r="984" ht="21" customHeight="1">
      <ns0:c r="A984" s="25" t="n"/>
      <ns0:c r="B984" s="26" t="n"/>
      <ns0:c r="C984" s="27" t="n"/>
      <ns0:c r="D984" s="27" t="n"/>
      <ns0:c r="E984" s="28" t="str">
        <ns0:f>IF(A984="","",YEAR(A984)&amp;"-"&amp;RIGHT("0"&amp;MONTH(A984),2))</ns0:f>
        <ns0:v/>
      </ns0:c>
      <ns0:c r="F984" s="28" t="str">
        <ns0:f>IF(OR(A984="",B984="",C984&lt;=0),"",IF(SUMPRODUCT(('Müşteriler'!$B$2:$B$101&lt;&gt;"")*ISNUMBER(SEARCH('Müşteriler'!$B$2:$B$101,B984)))=1,IFERROR(INDEX('Müşteriler'!$A$2:$A$101,SUMPRODUCT(('Müşteriler'!$B$2:$B$101&lt;&gt;"")*ISNUMBER(SEARCH('Müşteriler'!$B$2:$B$101,B984)),ROW('Müşteriler'!$B$2:$B$101)-ROW('Müşteriler'!$B$2)+1)),""),""))</ns0:f>
        <ns0:v/>
      </ns0:c>
      <ns0:c r="G984" s="28" t="str">
        <ns0:f>IF(F984="","",IFERROR(INDEX('Müşteriler'!$C$2:$C$101,MATCH(F984,'Müşteriler'!$A$2:$A$101,0)),""))</ns0:f>
        <ns0:v/>
      </ns0:c>
      <ns0:c r="H984" s="28" t="str">
        <ns0:f>IF(A984="","",IF(C984&lt;=0,"Satış dışı",IF(OR(F984="",G984=""),"Eşleşmedi","Eşleşti")))</ns0:f>
        <ns0:v/>
      </ns0:c>
      <ns0:c r="I984" s="28">
        <ns0:f>I983+IF(AND(H984="Eşleşmedi",E984='Panel'!$B$4),1,0)</ns0:f>
        <ns0:v>3.0</ns0:v>
      </ns0:c>
    </ns0:row>
    <ns0:row r="985" ht="21" customHeight="1">
      <ns0:c r="A985" s="25" t="n"/>
      <ns0:c r="B985" s="26" t="n"/>
      <ns0:c r="C985" s="27" t="n"/>
      <ns0:c r="D985" s="27" t="n"/>
      <ns0:c r="E985" s="28" t="str">
        <ns0:f>IF(A985="","",YEAR(A985)&amp;"-"&amp;RIGHT("0"&amp;MONTH(A985),2))</ns0:f>
        <ns0:v/>
      </ns0:c>
      <ns0:c r="F985" s="28" t="str">
        <ns0:f>IF(OR(A985="",B985="",C985&lt;=0),"",IF(SUMPRODUCT(('Müşteriler'!$B$2:$B$101&lt;&gt;"")*ISNUMBER(SEARCH('Müşteriler'!$B$2:$B$101,B985)))=1,IFERROR(INDEX('Müşteriler'!$A$2:$A$101,SUMPRODUCT(('Müşteriler'!$B$2:$B$101&lt;&gt;"")*ISNUMBER(SEARCH('Müşteriler'!$B$2:$B$101,B985)),ROW('Müşteriler'!$B$2:$B$101)-ROW('Müşteriler'!$B$2)+1)),""),""))</ns0:f>
        <ns0:v/>
      </ns0:c>
      <ns0:c r="G985" s="28" t="str">
        <ns0:f>IF(F985="","",IFERROR(INDEX('Müşteriler'!$C$2:$C$101,MATCH(F985,'Müşteriler'!$A$2:$A$101,0)),""))</ns0:f>
        <ns0:v/>
      </ns0:c>
      <ns0:c r="H985" s="28" t="str">
        <ns0:f>IF(A985="","",IF(C985&lt;=0,"Satış dışı",IF(OR(F985="",G985=""),"Eşleşmedi","Eşleşti")))</ns0:f>
        <ns0:v/>
      </ns0:c>
      <ns0:c r="I985" s="28">
        <ns0:f>I984+IF(AND(H985="Eşleşmedi",E985='Panel'!$B$4),1,0)</ns0:f>
        <ns0:v>3.0</ns0:v>
      </ns0:c>
    </ns0:row>
    <ns0:row r="986" ht="21" customHeight="1">
      <ns0:c r="A986" s="25" t="n"/>
      <ns0:c r="B986" s="26" t="n"/>
      <ns0:c r="C986" s="27" t="n"/>
      <ns0:c r="D986" s="27" t="n"/>
      <ns0:c r="E986" s="28" t="str">
        <ns0:f>IF(A986="","",YEAR(A986)&amp;"-"&amp;RIGHT("0"&amp;MONTH(A986),2))</ns0:f>
        <ns0:v/>
      </ns0:c>
      <ns0:c r="F986" s="28" t="str">
        <ns0:f>IF(OR(A986="",B986="",C986&lt;=0),"",IF(SUMPRODUCT(('Müşteriler'!$B$2:$B$101&lt;&gt;"")*ISNUMBER(SEARCH('Müşteriler'!$B$2:$B$101,B986)))=1,IFERROR(INDEX('Müşteriler'!$A$2:$A$101,SUMPRODUCT(('Müşteriler'!$B$2:$B$101&lt;&gt;"")*ISNUMBER(SEARCH('Müşteriler'!$B$2:$B$101,B986)),ROW('Müşteriler'!$B$2:$B$101)-ROW('Müşteriler'!$B$2)+1)),""),""))</ns0:f>
        <ns0:v/>
      </ns0:c>
      <ns0:c r="G986" s="28" t="str">
        <ns0:f>IF(F986="","",IFERROR(INDEX('Müşteriler'!$C$2:$C$101,MATCH(F986,'Müşteriler'!$A$2:$A$101,0)),""))</ns0:f>
        <ns0:v/>
      </ns0:c>
      <ns0:c r="H986" s="28" t="str">
        <ns0:f>IF(A986="","",IF(C986&lt;=0,"Satış dışı",IF(OR(F986="",G986=""),"Eşleşmedi","Eşleşti")))</ns0:f>
        <ns0:v/>
      </ns0:c>
      <ns0:c r="I986" s="28">
        <ns0:f>I985+IF(AND(H986="Eşleşmedi",E986='Panel'!$B$4),1,0)</ns0:f>
        <ns0:v>3.0</ns0:v>
      </ns0:c>
    </ns0:row>
    <ns0:row r="987" ht="21" customHeight="1">
      <ns0:c r="A987" s="25" t="n"/>
      <ns0:c r="B987" s="26" t="n"/>
      <ns0:c r="C987" s="27" t="n"/>
      <ns0:c r="D987" s="27" t="n"/>
      <ns0:c r="E987" s="28" t="str">
        <ns0:f>IF(A987="","",YEAR(A987)&amp;"-"&amp;RIGHT("0"&amp;MONTH(A987),2))</ns0:f>
        <ns0:v/>
      </ns0:c>
      <ns0:c r="F987" s="28" t="str">
        <ns0:f>IF(OR(A987="",B987="",C987&lt;=0),"",IF(SUMPRODUCT(('Müşteriler'!$B$2:$B$101&lt;&gt;"")*ISNUMBER(SEARCH('Müşteriler'!$B$2:$B$101,B987)))=1,IFERROR(INDEX('Müşteriler'!$A$2:$A$101,SUMPRODUCT(('Müşteriler'!$B$2:$B$101&lt;&gt;"")*ISNUMBER(SEARCH('Müşteriler'!$B$2:$B$101,B987)),ROW('Müşteriler'!$B$2:$B$101)-ROW('Müşteriler'!$B$2)+1)),""),""))</ns0:f>
        <ns0:v/>
      </ns0:c>
      <ns0:c r="G987" s="28" t="str">
        <ns0:f>IF(F987="","",IFERROR(INDEX('Müşteriler'!$C$2:$C$101,MATCH(F987,'Müşteriler'!$A$2:$A$101,0)),""))</ns0:f>
        <ns0:v/>
      </ns0:c>
      <ns0:c r="H987" s="28" t="str">
        <ns0:f>IF(A987="","",IF(C987&lt;=0,"Satış dışı",IF(OR(F987="",G987=""),"Eşleşmedi","Eşleşti")))</ns0:f>
        <ns0:v/>
      </ns0:c>
      <ns0:c r="I987" s="28">
        <ns0:f>I986+IF(AND(H987="Eşleşmedi",E987='Panel'!$B$4),1,0)</ns0:f>
        <ns0:v>3.0</ns0:v>
      </ns0:c>
    </ns0:row>
    <ns0:row r="988" ht="21" customHeight="1">
      <ns0:c r="A988" s="25" t="n"/>
      <ns0:c r="B988" s="26" t="n"/>
      <ns0:c r="C988" s="27" t="n"/>
      <ns0:c r="D988" s="27" t="n"/>
      <ns0:c r="E988" s="28" t="str">
        <ns0:f>IF(A988="","",YEAR(A988)&amp;"-"&amp;RIGHT("0"&amp;MONTH(A988),2))</ns0:f>
        <ns0:v/>
      </ns0:c>
      <ns0:c r="F988" s="28" t="str">
        <ns0:f>IF(OR(A988="",B988="",C988&lt;=0),"",IF(SUMPRODUCT(('Müşteriler'!$B$2:$B$101&lt;&gt;"")*ISNUMBER(SEARCH('Müşteriler'!$B$2:$B$101,B988)))=1,IFERROR(INDEX('Müşteriler'!$A$2:$A$101,SUMPRODUCT(('Müşteriler'!$B$2:$B$101&lt;&gt;"")*ISNUMBER(SEARCH('Müşteriler'!$B$2:$B$101,B988)),ROW('Müşteriler'!$B$2:$B$101)-ROW('Müşteriler'!$B$2)+1)),""),""))</ns0:f>
        <ns0:v/>
      </ns0:c>
      <ns0:c r="G988" s="28" t="str">
        <ns0:f>IF(F988="","",IFERROR(INDEX('Müşteriler'!$C$2:$C$101,MATCH(F988,'Müşteriler'!$A$2:$A$101,0)),""))</ns0:f>
        <ns0:v/>
      </ns0:c>
      <ns0:c r="H988" s="28" t="str">
        <ns0:f>IF(A988="","",IF(C988&lt;=0,"Satış dışı",IF(OR(F988="",G988=""),"Eşleşmedi","Eşleşti")))</ns0:f>
        <ns0:v/>
      </ns0:c>
      <ns0:c r="I988" s="28">
        <ns0:f>I987+IF(AND(H988="Eşleşmedi",E988='Panel'!$B$4),1,0)</ns0:f>
        <ns0:v>3.0</ns0:v>
      </ns0:c>
    </ns0:row>
    <ns0:row r="989" ht="21" customHeight="1">
      <ns0:c r="A989" s="25" t="n"/>
      <ns0:c r="B989" s="26" t="n"/>
      <ns0:c r="C989" s="27" t="n"/>
      <ns0:c r="D989" s="27" t="n"/>
      <ns0:c r="E989" s="28" t="str">
        <ns0:f>IF(A989="","",YEAR(A989)&amp;"-"&amp;RIGHT("0"&amp;MONTH(A989),2))</ns0:f>
        <ns0:v/>
      </ns0:c>
      <ns0:c r="F989" s="28" t="str">
        <ns0:f>IF(OR(A989="",B989="",C989&lt;=0),"",IF(SUMPRODUCT(('Müşteriler'!$B$2:$B$101&lt;&gt;"")*ISNUMBER(SEARCH('Müşteriler'!$B$2:$B$101,B989)))=1,IFERROR(INDEX('Müşteriler'!$A$2:$A$101,SUMPRODUCT(('Müşteriler'!$B$2:$B$101&lt;&gt;"")*ISNUMBER(SEARCH('Müşteriler'!$B$2:$B$101,B989)),ROW('Müşteriler'!$B$2:$B$101)-ROW('Müşteriler'!$B$2)+1)),""),""))</ns0:f>
        <ns0:v/>
      </ns0:c>
      <ns0:c r="G989" s="28" t="str">
        <ns0:f>IF(F989="","",IFERROR(INDEX('Müşteriler'!$C$2:$C$101,MATCH(F989,'Müşteriler'!$A$2:$A$101,0)),""))</ns0:f>
        <ns0:v/>
      </ns0:c>
      <ns0:c r="H989" s="28" t="str">
        <ns0:f>IF(A989="","",IF(C989&lt;=0,"Satış dışı",IF(OR(F989="",G989=""),"Eşleşmedi","Eşleşti")))</ns0:f>
        <ns0:v/>
      </ns0:c>
      <ns0:c r="I989" s="28">
        <ns0:f>I988+IF(AND(H989="Eşleşmedi",E989='Panel'!$B$4),1,0)</ns0:f>
        <ns0:v>3.0</ns0:v>
      </ns0:c>
    </ns0:row>
    <ns0:row r="990" ht="21" customHeight="1">
      <ns0:c r="A990" s="25" t="n"/>
      <ns0:c r="B990" s="26" t="n"/>
      <ns0:c r="C990" s="27" t="n"/>
      <ns0:c r="D990" s="27" t="n"/>
      <ns0:c r="E990" s="28" t="str">
        <ns0:f>IF(A990="","",YEAR(A990)&amp;"-"&amp;RIGHT("0"&amp;MONTH(A990),2))</ns0:f>
        <ns0:v/>
      </ns0:c>
      <ns0:c r="F990" s="28" t="str">
        <ns0:f>IF(OR(A990="",B990="",C990&lt;=0),"",IF(SUMPRODUCT(('Müşteriler'!$B$2:$B$101&lt;&gt;"")*ISNUMBER(SEARCH('Müşteriler'!$B$2:$B$101,B990)))=1,IFERROR(INDEX('Müşteriler'!$A$2:$A$101,SUMPRODUCT(('Müşteriler'!$B$2:$B$101&lt;&gt;"")*ISNUMBER(SEARCH('Müşteriler'!$B$2:$B$101,B990)),ROW('Müşteriler'!$B$2:$B$101)-ROW('Müşteriler'!$B$2)+1)),""),""))</ns0:f>
        <ns0:v/>
      </ns0:c>
      <ns0:c r="G990" s="28" t="str">
        <ns0:f>IF(F990="","",IFERROR(INDEX('Müşteriler'!$C$2:$C$101,MATCH(F990,'Müşteriler'!$A$2:$A$101,0)),""))</ns0:f>
        <ns0:v/>
      </ns0:c>
      <ns0:c r="H990" s="28" t="str">
        <ns0:f>IF(A990="","",IF(C990&lt;=0,"Satış dışı",IF(OR(F990="",G990=""),"Eşleşmedi","Eşleşti")))</ns0:f>
        <ns0:v/>
      </ns0:c>
      <ns0:c r="I990" s="28">
        <ns0:f>I989+IF(AND(H990="Eşleşmedi",E990='Panel'!$B$4),1,0)</ns0:f>
        <ns0:v>3.0</ns0:v>
      </ns0:c>
    </ns0:row>
    <ns0:row r="991" ht="21" customHeight="1">
      <ns0:c r="A991" s="25" t="n"/>
      <ns0:c r="B991" s="26" t="n"/>
      <ns0:c r="C991" s="27" t="n"/>
      <ns0:c r="D991" s="27" t="n"/>
      <ns0:c r="E991" s="28" t="str">
        <ns0:f>IF(A991="","",YEAR(A991)&amp;"-"&amp;RIGHT("0"&amp;MONTH(A991),2))</ns0:f>
        <ns0:v/>
      </ns0:c>
      <ns0:c r="F991" s="28" t="str">
        <ns0:f>IF(OR(A991="",B991="",C991&lt;=0),"",IF(SUMPRODUCT(('Müşteriler'!$B$2:$B$101&lt;&gt;"")*ISNUMBER(SEARCH('Müşteriler'!$B$2:$B$101,B991)))=1,IFERROR(INDEX('Müşteriler'!$A$2:$A$101,SUMPRODUCT(('Müşteriler'!$B$2:$B$101&lt;&gt;"")*ISNUMBER(SEARCH('Müşteriler'!$B$2:$B$101,B991)),ROW('Müşteriler'!$B$2:$B$101)-ROW('Müşteriler'!$B$2)+1)),""),""))</ns0:f>
        <ns0:v/>
      </ns0:c>
      <ns0:c r="G991" s="28" t="str">
        <ns0:f>IF(F991="","",IFERROR(INDEX('Müşteriler'!$C$2:$C$101,MATCH(F991,'Müşteriler'!$A$2:$A$101,0)),""))</ns0:f>
        <ns0:v/>
      </ns0:c>
      <ns0:c r="H991" s="28" t="str">
        <ns0:f>IF(A991="","",IF(C991&lt;=0,"Satış dışı",IF(OR(F991="",G991=""),"Eşleşmedi","Eşleşti")))</ns0:f>
        <ns0:v/>
      </ns0:c>
      <ns0:c r="I991" s="28">
        <ns0:f>I990+IF(AND(H991="Eşleşmedi",E991='Panel'!$B$4),1,0)</ns0:f>
        <ns0:v>3.0</ns0:v>
      </ns0:c>
    </ns0:row>
    <ns0:row r="992" ht="21" customHeight="1">
      <ns0:c r="A992" s="25" t="n"/>
      <ns0:c r="B992" s="26" t="n"/>
      <ns0:c r="C992" s="27" t="n"/>
      <ns0:c r="D992" s="27" t="n"/>
      <ns0:c r="E992" s="28" t="str">
        <ns0:f>IF(A992="","",YEAR(A992)&amp;"-"&amp;RIGHT("0"&amp;MONTH(A992),2))</ns0:f>
        <ns0:v/>
      </ns0:c>
      <ns0:c r="F992" s="28" t="str">
        <ns0:f>IF(OR(A992="",B992="",C992&lt;=0),"",IF(SUMPRODUCT(('Müşteriler'!$B$2:$B$101&lt;&gt;"")*ISNUMBER(SEARCH('Müşteriler'!$B$2:$B$101,B992)))=1,IFERROR(INDEX('Müşteriler'!$A$2:$A$101,SUMPRODUCT(('Müşteriler'!$B$2:$B$101&lt;&gt;"")*ISNUMBER(SEARCH('Müşteriler'!$B$2:$B$101,B992)),ROW('Müşteriler'!$B$2:$B$101)-ROW('Müşteriler'!$B$2)+1)),""),""))</ns0:f>
        <ns0:v/>
      </ns0:c>
      <ns0:c r="G992" s="28" t="str">
        <ns0:f>IF(F992="","",IFERROR(INDEX('Müşteriler'!$C$2:$C$101,MATCH(F992,'Müşteriler'!$A$2:$A$101,0)),""))</ns0:f>
        <ns0:v/>
      </ns0:c>
      <ns0:c r="H992" s="28" t="str">
        <ns0:f>IF(A992="","",IF(C992&lt;=0,"Satış dışı",IF(OR(F992="",G992=""),"Eşleşmedi","Eşleşti")))</ns0:f>
        <ns0:v/>
      </ns0:c>
      <ns0:c r="I992" s="28">
        <ns0:f>I991+IF(AND(H992="Eşleşmedi",E992='Panel'!$B$4),1,0)</ns0:f>
        <ns0:v>3.0</ns0:v>
      </ns0:c>
    </ns0:row>
    <ns0:row r="993" ht="21" customHeight="1">
      <ns0:c r="A993" s="25" t="n"/>
      <ns0:c r="B993" s="26" t="n"/>
      <ns0:c r="C993" s="27" t="n"/>
      <ns0:c r="D993" s="27" t="n"/>
      <ns0:c r="E993" s="28" t="str">
        <ns0:f>IF(A993="","",YEAR(A993)&amp;"-"&amp;RIGHT("0"&amp;MONTH(A993),2))</ns0:f>
        <ns0:v/>
      </ns0:c>
      <ns0:c r="F993" s="28" t="str">
        <ns0:f>IF(OR(A993="",B993="",C993&lt;=0),"",IF(SUMPRODUCT(('Müşteriler'!$B$2:$B$101&lt;&gt;"")*ISNUMBER(SEARCH('Müşteriler'!$B$2:$B$101,B993)))=1,IFERROR(INDEX('Müşteriler'!$A$2:$A$101,SUMPRODUCT(('Müşteriler'!$B$2:$B$101&lt;&gt;"")*ISNUMBER(SEARCH('Müşteriler'!$B$2:$B$101,B993)),ROW('Müşteriler'!$B$2:$B$101)-ROW('Müşteriler'!$B$2)+1)),""),""))</ns0:f>
        <ns0:v/>
      </ns0:c>
      <ns0:c r="G993" s="28" t="str">
        <ns0:f>IF(F993="","",IFERROR(INDEX('Müşteriler'!$C$2:$C$101,MATCH(F993,'Müşteriler'!$A$2:$A$101,0)),""))</ns0:f>
        <ns0:v/>
      </ns0:c>
      <ns0:c r="H993" s="28" t="str">
        <ns0:f>IF(A993="","",IF(C993&lt;=0,"Satış dışı",IF(OR(F993="",G993=""),"Eşleşmedi","Eşleşti")))</ns0:f>
        <ns0:v/>
      </ns0:c>
      <ns0:c r="I993" s="28">
        <ns0:f>I992+IF(AND(H993="Eşleşmedi",E993='Panel'!$B$4),1,0)</ns0:f>
        <ns0:v>3.0</ns0:v>
      </ns0:c>
    </ns0:row>
    <ns0:row r="994" ht="21" customHeight="1">
      <ns0:c r="A994" s="25" t="n"/>
      <ns0:c r="B994" s="26" t="n"/>
      <ns0:c r="C994" s="27" t="n"/>
      <ns0:c r="D994" s="27" t="n"/>
      <ns0:c r="E994" s="28" t="str">
        <ns0:f>IF(A994="","",YEAR(A994)&amp;"-"&amp;RIGHT("0"&amp;MONTH(A994),2))</ns0:f>
        <ns0:v/>
      </ns0:c>
      <ns0:c r="F994" s="28" t="str">
        <ns0:f>IF(OR(A994="",B994="",C994&lt;=0),"",IF(SUMPRODUCT(('Müşteriler'!$B$2:$B$101&lt;&gt;"")*ISNUMBER(SEARCH('Müşteriler'!$B$2:$B$101,B994)))=1,IFERROR(INDEX('Müşteriler'!$A$2:$A$101,SUMPRODUCT(('Müşteriler'!$B$2:$B$101&lt;&gt;"")*ISNUMBER(SEARCH('Müşteriler'!$B$2:$B$101,B994)),ROW('Müşteriler'!$B$2:$B$101)-ROW('Müşteriler'!$B$2)+1)),""),""))</ns0:f>
        <ns0:v/>
      </ns0:c>
      <ns0:c r="G994" s="28" t="str">
        <ns0:f>IF(F994="","",IFERROR(INDEX('Müşteriler'!$C$2:$C$101,MATCH(F994,'Müşteriler'!$A$2:$A$101,0)),""))</ns0:f>
        <ns0:v/>
      </ns0:c>
      <ns0:c r="H994" s="28" t="str">
        <ns0:f>IF(A994="","",IF(C994&lt;=0,"Satış dışı",IF(OR(F994="",G994=""),"Eşleşmedi","Eşleşti")))</ns0:f>
        <ns0:v/>
      </ns0:c>
      <ns0:c r="I994" s="28">
        <ns0:f>I993+IF(AND(H994="Eşleşmedi",E994='Panel'!$B$4),1,0)</ns0:f>
        <ns0:v>3.0</ns0:v>
      </ns0:c>
    </ns0:row>
    <ns0:row r="995" ht="21" customHeight="1">
      <ns0:c r="A995" s="25" t="n"/>
      <ns0:c r="B995" s="26" t="n"/>
      <ns0:c r="C995" s="27" t="n"/>
      <ns0:c r="D995" s="27" t="n"/>
      <ns0:c r="E995" s="28" t="str">
        <ns0:f>IF(A995="","",YEAR(A995)&amp;"-"&amp;RIGHT("0"&amp;MONTH(A995),2))</ns0:f>
        <ns0:v/>
      </ns0:c>
      <ns0:c r="F995" s="28" t="str">
        <ns0:f>IF(OR(A995="",B995="",C995&lt;=0),"",IF(SUMPRODUCT(('Müşteriler'!$B$2:$B$101&lt;&gt;"")*ISNUMBER(SEARCH('Müşteriler'!$B$2:$B$101,B995)))=1,IFERROR(INDEX('Müşteriler'!$A$2:$A$101,SUMPRODUCT(('Müşteriler'!$B$2:$B$101&lt;&gt;"")*ISNUMBER(SEARCH('Müşteriler'!$B$2:$B$101,B995)),ROW('Müşteriler'!$B$2:$B$101)-ROW('Müşteriler'!$B$2)+1)),""),""))</ns0:f>
        <ns0:v/>
      </ns0:c>
      <ns0:c r="G995" s="28" t="str">
        <ns0:f>IF(F995="","",IFERROR(INDEX('Müşteriler'!$C$2:$C$101,MATCH(F995,'Müşteriler'!$A$2:$A$101,0)),""))</ns0:f>
        <ns0:v/>
      </ns0:c>
      <ns0:c r="H995" s="28" t="str">
        <ns0:f>IF(A995="","",IF(C995&lt;=0,"Satış dışı",IF(OR(F995="",G995=""),"Eşleşmedi","Eşleşti")))</ns0:f>
        <ns0:v/>
      </ns0:c>
      <ns0:c r="I995" s="28">
        <ns0:f>I994+IF(AND(H995="Eşleşmedi",E995='Panel'!$B$4),1,0)</ns0:f>
        <ns0:v>3.0</ns0:v>
      </ns0:c>
    </ns0:row>
    <ns0:row r="996" ht="21" customHeight="1">
      <ns0:c r="A996" s="25" t="n"/>
      <ns0:c r="B996" s="26" t="n"/>
      <ns0:c r="C996" s="27" t="n"/>
      <ns0:c r="D996" s="27" t="n"/>
      <ns0:c r="E996" s="28" t="str">
        <ns0:f>IF(A996="","",YEAR(A996)&amp;"-"&amp;RIGHT("0"&amp;MONTH(A996),2))</ns0:f>
        <ns0:v/>
      </ns0:c>
      <ns0:c r="F996" s="28" t="str">
        <ns0:f>IF(OR(A996="",B996="",C996&lt;=0),"",IF(SUMPRODUCT(('Müşteriler'!$B$2:$B$101&lt;&gt;"")*ISNUMBER(SEARCH('Müşteriler'!$B$2:$B$101,B996)))=1,IFERROR(INDEX('Müşteriler'!$A$2:$A$101,SUMPRODUCT(('Müşteriler'!$B$2:$B$101&lt;&gt;"")*ISNUMBER(SEARCH('Müşteriler'!$B$2:$B$101,B996)),ROW('Müşteriler'!$B$2:$B$101)-ROW('Müşteriler'!$B$2)+1)),""),""))</ns0:f>
        <ns0:v/>
      </ns0:c>
      <ns0:c r="G996" s="28" t="str">
        <ns0:f>IF(F996="","",IFERROR(INDEX('Müşteriler'!$C$2:$C$101,MATCH(F996,'Müşteriler'!$A$2:$A$101,0)),""))</ns0:f>
        <ns0:v/>
      </ns0:c>
      <ns0:c r="H996" s="28" t="str">
        <ns0:f>IF(A996="","",IF(C996&lt;=0,"Satış dışı",IF(OR(F996="",G996=""),"Eşleşmedi","Eşleşti")))</ns0:f>
        <ns0:v/>
      </ns0:c>
      <ns0:c r="I996" s="28">
        <ns0:f>I995+IF(AND(H996="Eşleşmedi",E996='Panel'!$B$4),1,0)</ns0:f>
        <ns0:v>3.0</ns0:v>
      </ns0:c>
    </ns0:row>
    <ns0:row r="997" ht="21" customHeight="1">
      <ns0:c r="A997" s="25" t="n"/>
      <ns0:c r="B997" s="26" t="n"/>
      <ns0:c r="C997" s="27" t="n"/>
      <ns0:c r="D997" s="27" t="n"/>
      <ns0:c r="E997" s="28" t="str">
        <ns0:f>IF(A997="","",YEAR(A997)&amp;"-"&amp;RIGHT("0"&amp;MONTH(A997),2))</ns0:f>
        <ns0:v/>
      </ns0:c>
      <ns0:c r="F997" s="28" t="str">
        <ns0:f>IF(OR(A997="",B997="",C997&lt;=0),"",IF(SUMPRODUCT(('Müşteriler'!$B$2:$B$101&lt;&gt;"")*ISNUMBER(SEARCH('Müşteriler'!$B$2:$B$101,B997)))=1,IFERROR(INDEX('Müşteriler'!$A$2:$A$101,SUMPRODUCT(('Müşteriler'!$B$2:$B$101&lt;&gt;"")*ISNUMBER(SEARCH('Müşteriler'!$B$2:$B$101,B997)),ROW('Müşteriler'!$B$2:$B$101)-ROW('Müşteriler'!$B$2)+1)),""),""))</ns0:f>
        <ns0:v/>
      </ns0:c>
      <ns0:c r="G997" s="28" t="str">
        <ns0:f>IF(F997="","",IFERROR(INDEX('Müşteriler'!$C$2:$C$101,MATCH(F997,'Müşteriler'!$A$2:$A$101,0)),""))</ns0:f>
        <ns0:v/>
      </ns0:c>
      <ns0:c r="H997" s="28" t="str">
        <ns0:f>IF(A997="","",IF(C997&lt;=0,"Satış dışı",IF(OR(F997="",G997=""),"Eşleşmedi","Eşleşti")))</ns0:f>
        <ns0:v/>
      </ns0:c>
      <ns0:c r="I997" s="28">
        <ns0:f>I996+IF(AND(H997="Eşleşmedi",E997='Panel'!$B$4),1,0)</ns0:f>
        <ns0:v>3.0</ns0:v>
      </ns0:c>
    </ns0:row>
    <ns0:row r="998" ht="21" customHeight="1">
      <ns0:c r="A998" s="25" t="n"/>
      <ns0:c r="B998" s="26" t="n"/>
      <ns0:c r="C998" s="27" t="n"/>
      <ns0:c r="D998" s="27" t="n"/>
      <ns0:c r="E998" s="28" t="str">
        <ns0:f>IF(A998="","",YEAR(A998)&amp;"-"&amp;RIGHT("0"&amp;MONTH(A998),2))</ns0:f>
        <ns0:v/>
      </ns0:c>
      <ns0:c r="F998" s="28" t="str">
        <ns0:f>IF(OR(A998="",B998="",C998&lt;=0),"",IF(SUMPRODUCT(('Müşteriler'!$B$2:$B$101&lt;&gt;"")*ISNUMBER(SEARCH('Müşteriler'!$B$2:$B$101,B998)))=1,IFERROR(INDEX('Müşteriler'!$A$2:$A$101,SUMPRODUCT(('Müşteriler'!$B$2:$B$101&lt;&gt;"")*ISNUMBER(SEARCH('Müşteriler'!$B$2:$B$101,B998)),ROW('Müşteriler'!$B$2:$B$101)-ROW('Müşteriler'!$B$2)+1)),""),""))</ns0:f>
        <ns0:v/>
      </ns0:c>
      <ns0:c r="G998" s="28" t="str">
        <ns0:f>IF(F998="","",IFERROR(INDEX('Müşteriler'!$C$2:$C$101,MATCH(F998,'Müşteriler'!$A$2:$A$101,0)),""))</ns0:f>
        <ns0:v/>
      </ns0:c>
      <ns0:c r="H998" s="28" t="str">
        <ns0:f>IF(A998="","",IF(C998&lt;=0,"Satış dışı",IF(OR(F998="",G998=""),"Eşleşmedi","Eşleşti")))</ns0:f>
        <ns0:v/>
      </ns0:c>
      <ns0:c r="I998" s="28">
        <ns0:f>I997+IF(AND(H998="Eşleşmedi",E998='Panel'!$B$4),1,0)</ns0:f>
        <ns0:v>3.0</ns0:v>
      </ns0:c>
    </ns0:row>
    <ns0:row r="999" ht="21" customHeight="1">
      <ns0:c r="A999" s="25" t="n"/>
      <ns0:c r="B999" s="26" t="n"/>
      <ns0:c r="C999" s="27" t="n"/>
      <ns0:c r="D999" s="27" t="n"/>
      <ns0:c r="E999" s="28" t="str">
        <ns0:f>IF(A999="","",YEAR(A999)&amp;"-"&amp;RIGHT("0"&amp;MONTH(A999),2))</ns0:f>
        <ns0:v/>
      </ns0:c>
      <ns0:c r="F999" s="28" t="str">
        <ns0:f>IF(OR(A999="",B999="",C999&lt;=0),"",IF(SUMPRODUCT(('Müşteriler'!$B$2:$B$101&lt;&gt;"")*ISNUMBER(SEARCH('Müşteriler'!$B$2:$B$101,B999)))=1,IFERROR(INDEX('Müşteriler'!$A$2:$A$101,SUMPRODUCT(('Müşteriler'!$B$2:$B$101&lt;&gt;"")*ISNUMBER(SEARCH('Müşteriler'!$B$2:$B$101,B999)),ROW('Müşteriler'!$B$2:$B$101)-ROW('Müşteriler'!$B$2)+1)),""),""))</ns0:f>
        <ns0:v/>
      </ns0:c>
      <ns0:c r="G999" s="28" t="str">
        <ns0:f>IF(F999="","",IFERROR(INDEX('Müşteriler'!$C$2:$C$101,MATCH(F999,'Müşteriler'!$A$2:$A$101,0)),""))</ns0:f>
        <ns0:v/>
      </ns0:c>
      <ns0:c r="H999" s="28" t="str">
        <ns0:f>IF(A999="","",IF(C999&lt;=0,"Satış dışı",IF(OR(F999="",G999=""),"Eşleşmedi","Eşleşti")))</ns0:f>
        <ns0:v/>
      </ns0:c>
      <ns0:c r="I999" s="28">
        <ns0:f>I998+IF(AND(H999="Eşleşmedi",E999='Panel'!$B$4),1,0)</ns0:f>
        <ns0:v>3.0</ns0:v>
      </ns0:c>
    </ns0:row>
    <ns0:row r="1000" ht="21" customHeight="1">
      <ns0:c r="A1000" s="25" t="n"/>
      <ns0:c r="B1000" s="26" t="n"/>
      <ns0:c r="C1000" s="27" t="n"/>
      <ns0:c r="D1000" s="27" t="n"/>
      <ns0:c r="E1000" s="28" t="str">
        <ns0:f>IF(A1000="","",YEAR(A1000)&amp;"-"&amp;RIGHT("0"&amp;MONTH(A1000),2))</ns0:f>
        <ns0:v/>
      </ns0:c>
      <ns0:c r="F1000" s="28" t="str">
        <ns0:f>IF(OR(A1000="",B1000="",C1000&lt;=0),"",IF(SUMPRODUCT(('Müşteriler'!$B$2:$B$101&lt;&gt;"")*ISNUMBER(SEARCH('Müşteriler'!$B$2:$B$101,B1000)))=1,IFERROR(INDEX('Müşteriler'!$A$2:$A$101,SUMPRODUCT(('Müşteriler'!$B$2:$B$101&lt;&gt;"")*ISNUMBER(SEARCH('Müşteriler'!$B$2:$B$101,B1000)),ROW('Müşteriler'!$B$2:$B$101)-ROW('Müşteriler'!$B$2)+1)),""),""))</ns0:f>
        <ns0:v/>
      </ns0:c>
      <ns0:c r="G1000" s="28" t="str">
        <ns0:f>IF(F1000="","",IFERROR(INDEX('Müşteriler'!$C$2:$C$101,MATCH(F1000,'Müşteriler'!$A$2:$A$101,0)),""))</ns0:f>
        <ns0:v/>
      </ns0:c>
      <ns0:c r="H1000" s="28" t="str">
        <ns0:f>IF(A1000="","",IF(C1000&lt;=0,"Satış dışı",IF(OR(F1000="",G1000=""),"Eşleşmedi","Eşleşti")))</ns0:f>
        <ns0:v/>
      </ns0:c>
      <ns0:c r="I1000" s="28">
        <ns0:f>I999+IF(AND(H1000="Eşleşmedi",E1000='Panel'!$B$4),1,0)</ns0:f>
        <ns0:v>3.0</ns0:v>
      </ns0:c>
    </ns0:row>
    <ns0:row r="1001" ht="21" customHeight="1">
      <ns0:c r="A1001" s="25" t="n"/>
      <ns0:c r="B1001" s="26" t="n"/>
      <ns0:c r="C1001" s="27" t="n"/>
      <ns0:c r="D1001" s="27" t="n"/>
      <ns0:c r="E1001" s="28" t="str">
        <ns0:f>IF(A1001="","",YEAR(A1001)&amp;"-"&amp;RIGHT("0"&amp;MONTH(A1001),2))</ns0:f>
        <ns0:v/>
      </ns0:c>
      <ns0:c r="F1001" s="28" t="str">
        <ns0:f>IF(OR(A1001="",B1001="",C1001&lt;=0),"",IF(SUMPRODUCT(('Müşteriler'!$B$2:$B$101&lt;&gt;"")*ISNUMBER(SEARCH('Müşteriler'!$B$2:$B$101,B1001)))=1,IFERROR(INDEX('Müşteriler'!$A$2:$A$101,SUMPRODUCT(('Müşteriler'!$B$2:$B$101&lt;&gt;"")*ISNUMBER(SEARCH('Müşteriler'!$B$2:$B$101,B1001)),ROW('Müşteriler'!$B$2:$B$101)-ROW('Müşteriler'!$B$2)+1)),""),""))</ns0:f>
        <ns0:v/>
      </ns0:c>
      <ns0:c r="G1001" s="28" t="str">
        <ns0:f>IF(F1001="","",IFERROR(INDEX('Müşteriler'!$C$2:$C$101,MATCH(F1001,'Müşteriler'!$A$2:$A$101,0)),""))</ns0:f>
        <ns0:v/>
      </ns0:c>
      <ns0:c r="H1001" s="28" t="str">
        <ns0:f>IF(A1001="","",IF(C1001&lt;=0,"Satış dışı",IF(OR(F1001="",G1001=""),"Eşleşmedi","Eşleşti")))</ns0:f>
        <ns0:v/>
      </ns0:c>
      <ns0:c r="I1001" s="28">
        <ns0:f>I1000+IF(AND(H1001="Eşleşmedi",E1001='Panel'!$B$4),1,0)</ns0:f>
        <ns0:v>3.0</ns0:v>
      </ns0:c>
    </ns0:row>
    <ns0:row r="1002" ht="21" customHeight="1">
      <ns0:c r="A1002" s="25" t="n"/>
      <ns0:c r="B1002" s="26" t="n"/>
      <ns0:c r="C1002" s="27" t="n"/>
      <ns0:c r="D1002" s="27" t="n"/>
      <ns0:c r="E1002" s="28" t="str">
        <ns0:f>IF(A1002="","",YEAR(A1002)&amp;"-"&amp;RIGHT("0"&amp;MONTH(A1002),2))</ns0:f>
        <ns0:v/>
      </ns0:c>
      <ns0:c r="F1002" s="28" t="str">
        <ns0:f>IF(OR(A1002="",B1002="",C1002&lt;=0),"",IF(SUMPRODUCT(('Müşteriler'!$B$2:$B$101&lt;&gt;"")*ISNUMBER(SEARCH('Müşteriler'!$B$2:$B$101,B1002)))=1,IFERROR(INDEX('Müşteriler'!$A$2:$A$101,SUMPRODUCT(('Müşteriler'!$B$2:$B$101&lt;&gt;"")*ISNUMBER(SEARCH('Müşteriler'!$B$2:$B$101,B1002)),ROW('Müşteriler'!$B$2:$B$101)-ROW('Müşteriler'!$B$2)+1)),""),""))</ns0:f>
        <ns0:v/>
      </ns0:c>
      <ns0:c r="G1002" s="28" t="str">
        <ns0:f>IF(F1002="","",IFERROR(INDEX('Müşteriler'!$C$2:$C$101,MATCH(F1002,'Müşteriler'!$A$2:$A$101,0)),""))</ns0:f>
        <ns0:v/>
      </ns0:c>
      <ns0:c r="H1002" s="28" t="str">
        <ns0:f>IF(A1002="","",IF(C1002&lt;=0,"Satış dışı",IF(OR(F1002="",G1002=""),"Eşleşmedi","Eşleşti")))</ns0:f>
        <ns0:v/>
      </ns0:c>
      <ns0:c r="I1002" s="28">
        <ns0:f>I1001+IF(AND(H1002="Eşleşmedi",E1002='Panel'!$B$4),1,0)</ns0:f>
        <ns0:v>3.0</ns0:v>
      </ns0:c>
    </ns0:row>
    <ns0:row r="1003" ht="21" customHeight="1">
      <ns0:c r="A1003" s="25" t="n"/>
      <ns0:c r="B1003" s="26" t="n"/>
      <ns0:c r="C1003" s="27" t="n"/>
      <ns0:c r="D1003" s="27" t="n"/>
      <ns0:c r="E1003" s="28" t="str">
        <ns0:f>IF(A1003="","",YEAR(A1003)&amp;"-"&amp;RIGHT("0"&amp;MONTH(A1003),2))</ns0:f>
        <ns0:v/>
      </ns0:c>
      <ns0:c r="F1003" s="28" t="str">
        <ns0:f>IF(OR(A1003="",B1003="",C1003&lt;=0),"",IF(SUMPRODUCT(('Müşteriler'!$B$2:$B$101&lt;&gt;"")*ISNUMBER(SEARCH('Müşteriler'!$B$2:$B$101,B1003)))=1,IFERROR(INDEX('Müşteriler'!$A$2:$A$101,SUMPRODUCT(('Müşteriler'!$B$2:$B$101&lt;&gt;"")*ISNUMBER(SEARCH('Müşteriler'!$B$2:$B$101,B1003)),ROW('Müşteriler'!$B$2:$B$101)-ROW('Müşteriler'!$B$2)+1)),""),""))</ns0:f>
        <ns0:v/>
      </ns0:c>
      <ns0:c r="G1003" s="28" t="str">
        <ns0:f>IF(F1003="","",IFERROR(INDEX('Müşteriler'!$C$2:$C$101,MATCH(F1003,'Müşteriler'!$A$2:$A$101,0)),""))</ns0:f>
        <ns0:v/>
      </ns0:c>
      <ns0:c r="H1003" s="28" t="str">
        <ns0:f>IF(A1003="","",IF(C1003&lt;=0,"Satış dışı",IF(OR(F1003="",G1003=""),"Eşleşmedi","Eşleşti")))</ns0:f>
        <ns0:v/>
      </ns0:c>
      <ns0:c r="I1003" s="28">
        <ns0:f>I1002+IF(AND(H1003="Eşleşmedi",E1003='Panel'!$B$4),1,0)</ns0:f>
        <ns0:v>3.0</ns0:v>
      </ns0:c>
    </ns0:row>
    <ns0:row r="1004" ht="21" customHeight="1">
      <ns0:c r="A1004" s="25" t="n"/>
      <ns0:c r="B1004" s="26" t="n"/>
      <ns0:c r="C1004" s="27" t="n"/>
      <ns0:c r="D1004" s="27" t="n"/>
      <ns0:c r="E1004" s="28" t="str">
        <ns0:f>IF(A1004="","",YEAR(A1004)&amp;"-"&amp;RIGHT("0"&amp;MONTH(A1004),2))</ns0:f>
        <ns0:v/>
      </ns0:c>
      <ns0:c r="F1004" s="28" t="str">
        <ns0:f>IF(OR(A1004="",B1004="",C1004&lt;=0),"",IF(SUMPRODUCT(('Müşteriler'!$B$2:$B$101&lt;&gt;"")*ISNUMBER(SEARCH('Müşteriler'!$B$2:$B$101,B1004)))=1,IFERROR(INDEX('Müşteriler'!$A$2:$A$101,SUMPRODUCT(('Müşteriler'!$B$2:$B$101&lt;&gt;"")*ISNUMBER(SEARCH('Müşteriler'!$B$2:$B$101,B1004)),ROW('Müşteriler'!$B$2:$B$101)-ROW('Müşteriler'!$B$2)+1)),""),""))</ns0:f>
        <ns0:v/>
      </ns0:c>
      <ns0:c r="G1004" s="28" t="str">
        <ns0:f>IF(F1004="","",IFERROR(INDEX('Müşteriler'!$C$2:$C$101,MATCH(F1004,'Müşteriler'!$A$2:$A$101,0)),""))</ns0:f>
        <ns0:v/>
      </ns0:c>
      <ns0:c r="H1004" s="28" t="str">
        <ns0:f>IF(A1004="","",IF(C1004&lt;=0,"Satış dışı",IF(OR(F1004="",G1004=""),"Eşleşmedi","Eşleşti")))</ns0:f>
        <ns0:v/>
      </ns0:c>
      <ns0:c r="I1004" s="28">
        <ns0:f>I1003+IF(AND(H1004="Eşleşmedi",E1004='Panel'!$B$4),1,0)</ns0:f>
        <ns0:v>3.0</ns0:v>
      </ns0:c>
    </ns0:row>
    <ns0:row r="1005" ht="21" customHeight="1">
      <ns0:c r="A1005" s="25" t="n"/>
      <ns0:c r="B1005" s="26" t="n"/>
      <ns0:c r="C1005" s="27" t="n"/>
      <ns0:c r="D1005" s="27" t="n"/>
      <ns0:c r="E1005" s="28" t="str">
        <ns0:f>IF(A1005="","",YEAR(A1005)&amp;"-"&amp;RIGHT("0"&amp;MONTH(A1005),2))</ns0:f>
        <ns0:v/>
      </ns0:c>
      <ns0:c r="F1005" s="28" t="str">
        <ns0:f>IF(OR(A1005="",B1005="",C1005&lt;=0),"",IF(SUMPRODUCT(('Müşteriler'!$B$2:$B$101&lt;&gt;"")*ISNUMBER(SEARCH('Müşteriler'!$B$2:$B$101,B1005)))=1,IFERROR(INDEX('Müşteriler'!$A$2:$A$101,SUMPRODUCT(('Müşteriler'!$B$2:$B$101&lt;&gt;"")*ISNUMBER(SEARCH('Müşteriler'!$B$2:$B$101,B1005)),ROW('Müşteriler'!$B$2:$B$101)-ROW('Müşteriler'!$B$2)+1)),""),""))</ns0:f>
        <ns0:v/>
      </ns0:c>
      <ns0:c r="G1005" s="28" t="str">
        <ns0:f>IF(F1005="","",IFERROR(INDEX('Müşteriler'!$C$2:$C$101,MATCH(F1005,'Müşteriler'!$A$2:$A$101,0)),""))</ns0:f>
        <ns0:v/>
      </ns0:c>
      <ns0:c r="H1005" s="28" t="str">
        <ns0:f>IF(A1005="","",IF(C1005&lt;=0,"Satış dışı",IF(OR(F1005="",G1005=""),"Eşleşmedi","Eşleşti")))</ns0:f>
        <ns0:v/>
      </ns0:c>
      <ns0:c r="I1005" s="28">
        <ns0:f>I1004+IF(AND(H1005="Eşleşmedi",E1005='Panel'!$B$4),1,0)</ns0:f>
        <ns0:v>3.0</ns0:v>
      </ns0:c>
    </ns0:row>
    <ns0:row r="1006" ht="21" customHeight="1">
      <ns0:c r="A1006" s="25" t="n"/>
      <ns0:c r="B1006" s="26" t="n"/>
      <ns0:c r="C1006" s="27" t="n"/>
      <ns0:c r="D1006" s="27" t="n"/>
      <ns0:c r="E1006" s="28" t="str">
        <ns0:f>IF(A1006="","",YEAR(A1006)&amp;"-"&amp;RIGHT("0"&amp;MONTH(A1006),2))</ns0:f>
        <ns0:v/>
      </ns0:c>
      <ns0:c r="F1006" s="28" t="str">
        <ns0:f>IF(OR(A1006="",B1006="",C1006&lt;=0),"",IF(SUMPRODUCT(('Müşteriler'!$B$2:$B$101&lt;&gt;"")*ISNUMBER(SEARCH('Müşteriler'!$B$2:$B$101,B1006)))=1,IFERROR(INDEX('Müşteriler'!$A$2:$A$101,SUMPRODUCT(('Müşteriler'!$B$2:$B$101&lt;&gt;"")*ISNUMBER(SEARCH('Müşteriler'!$B$2:$B$101,B1006)),ROW('Müşteriler'!$B$2:$B$101)-ROW('Müşteriler'!$B$2)+1)),""),""))</ns0:f>
        <ns0:v/>
      </ns0:c>
      <ns0:c r="G1006" s="28" t="str">
        <ns0:f>IF(F1006="","",IFERROR(INDEX('Müşteriler'!$C$2:$C$101,MATCH(F1006,'Müşteriler'!$A$2:$A$101,0)),""))</ns0:f>
        <ns0:v/>
      </ns0:c>
      <ns0:c r="H1006" s="28" t="str">
        <ns0:f>IF(A1006="","",IF(C1006&lt;=0,"Satış dışı",IF(OR(F1006="",G1006=""),"Eşleşmedi","Eşleşti")))</ns0:f>
        <ns0:v/>
      </ns0:c>
      <ns0:c r="I1006" s="28">
        <ns0:f>I1005+IF(AND(H1006="Eşleşmedi",E1006='Panel'!$B$4),1,0)</ns0:f>
        <ns0:v>3.0</ns0:v>
      </ns0:c>
    </ns0:row>
    <ns0:row r="1007" ht="21" customHeight="1">
      <ns0:c r="A1007" s="25" t="n"/>
      <ns0:c r="B1007" s="26" t="n"/>
      <ns0:c r="C1007" s="27" t="n"/>
      <ns0:c r="D1007" s="27" t="n"/>
      <ns0:c r="E1007" s="28" t="str">
        <ns0:f>IF(A1007="","",YEAR(A1007)&amp;"-"&amp;RIGHT("0"&amp;MONTH(A1007),2))</ns0:f>
        <ns0:v/>
      </ns0:c>
      <ns0:c r="F1007" s="28" t="str">
        <ns0:f>IF(OR(A1007="",B1007="",C1007&lt;=0),"",IF(SUMPRODUCT(('Müşteriler'!$B$2:$B$101&lt;&gt;"")*ISNUMBER(SEARCH('Müşteriler'!$B$2:$B$101,B1007)))=1,IFERROR(INDEX('Müşteriler'!$A$2:$A$101,SUMPRODUCT(('Müşteriler'!$B$2:$B$101&lt;&gt;"")*ISNUMBER(SEARCH('Müşteriler'!$B$2:$B$101,B1007)),ROW('Müşteriler'!$B$2:$B$101)-ROW('Müşteriler'!$B$2)+1)),""),""))</ns0:f>
        <ns0:v/>
      </ns0:c>
      <ns0:c r="G1007" s="28" t="str">
        <ns0:f>IF(F1007="","",IFERROR(INDEX('Müşteriler'!$C$2:$C$101,MATCH(F1007,'Müşteriler'!$A$2:$A$101,0)),""))</ns0:f>
        <ns0:v/>
      </ns0:c>
      <ns0:c r="H1007" s="28" t="str">
        <ns0:f>IF(A1007="","",IF(C1007&lt;=0,"Satış dışı",IF(OR(F1007="",G1007=""),"Eşleşmedi","Eşleşti")))</ns0:f>
        <ns0:v/>
      </ns0:c>
      <ns0:c r="I1007" s="28">
        <ns0:f>I1006+IF(AND(H1007="Eşleşmedi",E1007='Panel'!$B$4),1,0)</ns0:f>
        <ns0:v>3.0</ns0:v>
      </ns0:c>
    </ns0:row>
    <ns0:row r="1008" ht="21" customHeight="1">
      <ns0:c r="A1008" s="25" t="n"/>
      <ns0:c r="B1008" s="26" t="n"/>
      <ns0:c r="C1008" s="27" t="n"/>
      <ns0:c r="D1008" s="27" t="n"/>
      <ns0:c r="E1008" s="28" t="str">
        <ns0:f>IF(A1008="","",YEAR(A1008)&amp;"-"&amp;RIGHT("0"&amp;MONTH(A1008),2))</ns0:f>
        <ns0:v/>
      </ns0:c>
      <ns0:c r="F1008" s="28" t="str">
        <ns0:f>IF(OR(A1008="",B1008="",C1008&lt;=0),"",IF(SUMPRODUCT(('Müşteriler'!$B$2:$B$101&lt;&gt;"")*ISNUMBER(SEARCH('Müşteriler'!$B$2:$B$101,B1008)))=1,IFERROR(INDEX('Müşteriler'!$A$2:$A$101,SUMPRODUCT(('Müşteriler'!$B$2:$B$101&lt;&gt;"")*ISNUMBER(SEARCH('Müşteriler'!$B$2:$B$101,B1008)),ROW('Müşteriler'!$B$2:$B$101)-ROW('Müşteriler'!$B$2)+1)),""),""))</ns0:f>
        <ns0:v/>
      </ns0:c>
      <ns0:c r="G1008" s="28" t="str">
        <ns0:f>IF(F1008="","",IFERROR(INDEX('Müşteriler'!$C$2:$C$101,MATCH(F1008,'Müşteriler'!$A$2:$A$101,0)),""))</ns0:f>
        <ns0:v/>
      </ns0:c>
      <ns0:c r="H1008" s="28" t="str">
        <ns0:f>IF(A1008="","",IF(C1008&lt;=0,"Satış dışı",IF(OR(F1008="",G1008=""),"Eşleşmedi","Eşleşti")))</ns0:f>
        <ns0:v/>
      </ns0:c>
      <ns0:c r="I1008" s="28">
        <ns0:f>I1007+IF(AND(H1008="Eşleşmedi",E1008='Panel'!$B$4),1,0)</ns0:f>
        <ns0:v>3.0</ns0:v>
      </ns0:c>
    </ns0:row>
    <ns0:row r="1009" ht="21" customHeight="1">
      <ns0:c r="A1009" s="25" t="n"/>
      <ns0:c r="B1009" s="26" t="n"/>
      <ns0:c r="C1009" s="27" t="n"/>
      <ns0:c r="D1009" s="27" t="n"/>
      <ns0:c r="E1009" s="28" t="str">
        <ns0:f>IF(A1009="","",YEAR(A1009)&amp;"-"&amp;RIGHT("0"&amp;MONTH(A1009),2))</ns0:f>
        <ns0:v/>
      </ns0:c>
      <ns0:c r="F1009" s="28" t="str">
        <ns0:f>IF(OR(A1009="",B1009="",C1009&lt;=0),"",IF(SUMPRODUCT(('Müşteriler'!$B$2:$B$101&lt;&gt;"")*ISNUMBER(SEARCH('Müşteriler'!$B$2:$B$101,B1009)))=1,IFERROR(INDEX('Müşteriler'!$A$2:$A$101,SUMPRODUCT(('Müşteriler'!$B$2:$B$101&lt;&gt;"")*ISNUMBER(SEARCH('Müşteriler'!$B$2:$B$101,B1009)),ROW('Müşteriler'!$B$2:$B$101)-ROW('Müşteriler'!$B$2)+1)),""),""))</ns0:f>
        <ns0:v/>
      </ns0:c>
      <ns0:c r="G1009" s="28" t="str">
        <ns0:f>IF(F1009="","",IFERROR(INDEX('Müşteriler'!$C$2:$C$101,MATCH(F1009,'Müşteriler'!$A$2:$A$101,0)),""))</ns0:f>
        <ns0:v/>
      </ns0:c>
      <ns0:c r="H1009" s="28" t="str">
        <ns0:f>IF(A1009="","",IF(C1009&lt;=0,"Satış dışı",IF(OR(F1009="",G1009=""),"Eşleşmedi","Eşleşti")))</ns0:f>
        <ns0:v/>
      </ns0:c>
      <ns0:c r="I1009" s="28">
        <ns0:f>I1008+IF(AND(H1009="Eşleşmedi",E1009='Panel'!$B$4),1,0)</ns0:f>
        <ns0:v>3.0</ns0:v>
      </ns0:c>
    </ns0:row>
    <ns0:row r="1010" ht="21" customHeight="1">
      <ns0:c r="A1010" s="25" t="n"/>
      <ns0:c r="B1010" s="26" t="n"/>
      <ns0:c r="C1010" s="27" t="n"/>
      <ns0:c r="D1010" s="27" t="n"/>
      <ns0:c r="E1010" s="28" t="str">
        <ns0:f>IF(A1010="","",YEAR(A1010)&amp;"-"&amp;RIGHT("0"&amp;MONTH(A1010),2))</ns0:f>
        <ns0:v/>
      </ns0:c>
      <ns0:c r="F1010" s="28" t="str">
        <ns0:f>IF(OR(A1010="",B1010="",C1010&lt;=0),"",IF(SUMPRODUCT(('Müşteriler'!$B$2:$B$101&lt;&gt;"")*ISNUMBER(SEARCH('Müşteriler'!$B$2:$B$101,B1010)))=1,IFERROR(INDEX('Müşteriler'!$A$2:$A$101,SUMPRODUCT(('Müşteriler'!$B$2:$B$101&lt;&gt;"")*ISNUMBER(SEARCH('Müşteriler'!$B$2:$B$101,B1010)),ROW('Müşteriler'!$B$2:$B$101)-ROW('Müşteriler'!$B$2)+1)),""),""))</ns0:f>
        <ns0:v/>
      </ns0:c>
      <ns0:c r="G1010" s="28" t="str">
        <ns0:f>IF(F1010="","",IFERROR(INDEX('Müşteriler'!$C$2:$C$101,MATCH(F1010,'Müşteriler'!$A$2:$A$101,0)),""))</ns0:f>
        <ns0:v/>
      </ns0:c>
      <ns0:c r="H1010" s="28" t="str">
        <ns0:f>IF(A1010="","",IF(C1010&lt;=0,"Satış dışı",IF(OR(F1010="",G1010=""),"Eşleşmedi","Eşleşti")))</ns0:f>
        <ns0:v/>
      </ns0:c>
      <ns0:c r="I1010" s="28">
        <ns0:f>I1009+IF(AND(H1010="Eşleşmedi",E1010='Panel'!$B$4),1,0)</ns0:f>
        <ns0:v>3.0</ns0:v>
      </ns0:c>
    </ns0:row>
    <ns0:row r="1011" ht="21" customHeight="1">
      <ns0:c r="A1011" s="25" t="n"/>
      <ns0:c r="B1011" s="26" t="n"/>
      <ns0:c r="C1011" s="27" t="n"/>
      <ns0:c r="D1011" s="27" t="n"/>
      <ns0:c r="E1011" s="28" t="str">
        <ns0:f>IF(A1011="","",YEAR(A1011)&amp;"-"&amp;RIGHT("0"&amp;MONTH(A1011),2))</ns0:f>
        <ns0:v/>
      </ns0:c>
      <ns0:c r="F1011" s="28" t="str">
        <ns0:f>IF(OR(A1011="",B1011="",C1011&lt;=0),"",IF(SUMPRODUCT(('Müşteriler'!$B$2:$B$101&lt;&gt;"")*ISNUMBER(SEARCH('Müşteriler'!$B$2:$B$101,B1011)))=1,IFERROR(INDEX('Müşteriler'!$A$2:$A$101,SUMPRODUCT(('Müşteriler'!$B$2:$B$101&lt;&gt;"")*ISNUMBER(SEARCH('Müşteriler'!$B$2:$B$101,B1011)),ROW('Müşteriler'!$B$2:$B$101)-ROW('Müşteriler'!$B$2)+1)),""),""))</ns0:f>
        <ns0:v/>
      </ns0:c>
      <ns0:c r="G1011" s="28" t="str">
        <ns0:f>IF(F1011="","",IFERROR(INDEX('Müşteriler'!$C$2:$C$101,MATCH(F1011,'Müşteriler'!$A$2:$A$101,0)),""))</ns0:f>
        <ns0:v/>
      </ns0:c>
      <ns0:c r="H1011" s="28" t="str">
        <ns0:f>IF(A1011="","",IF(C1011&lt;=0,"Satış dışı",IF(OR(F1011="",G1011=""),"Eşleşmedi","Eşleşti")))</ns0:f>
        <ns0:v/>
      </ns0:c>
      <ns0:c r="I1011" s="28">
        <ns0:f>I1010+IF(AND(H1011="Eşleşmedi",E1011='Panel'!$B$4),1,0)</ns0:f>
        <ns0:v>3.0</ns0:v>
      </ns0:c>
    </ns0:row>
    <ns0:row r="1012" ht="21" customHeight="1">
      <ns0:c r="A1012" s="25" t="n"/>
      <ns0:c r="B1012" s="26" t="n"/>
      <ns0:c r="C1012" s="27" t="n"/>
      <ns0:c r="D1012" s="27" t="n"/>
      <ns0:c r="E1012" s="28" t="str">
        <ns0:f>IF(A1012="","",YEAR(A1012)&amp;"-"&amp;RIGHT("0"&amp;MONTH(A1012),2))</ns0:f>
        <ns0:v/>
      </ns0:c>
      <ns0:c r="F1012" s="28" t="str">
        <ns0:f>IF(OR(A1012="",B1012="",C1012&lt;=0),"",IF(SUMPRODUCT(('Müşteriler'!$B$2:$B$101&lt;&gt;"")*ISNUMBER(SEARCH('Müşteriler'!$B$2:$B$101,B1012)))=1,IFERROR(INDEX('Müşteriler'!$A$2:$A$101,SUMPRODUCT(('Müşteriler'!$B$2:$B$101&lt;&gt;"")*ISNUMBER(SEARCH('Müşteriler'!$B$2:$B$101,B1012)),ROW('Müşteriler'!$B$2:$B$101)-ROW('Müşteriler'!$B$2)+1)),""),""))</ns0:f>
        <ns0:v/>
      </ns0:c>
      <ns0:c r="G1012" s="28" t="str">
        <ns0:f>IF(F1012="","",IFERROR(INDEX('Müşteriler'!$C$2:$C$101,MATCH(F1012,'Müşteriler'!$A$2:$A$101,0)),""))</ns0:f>
        <ns0:v/>
      </ns0:c>
      <ns0:c r="H1012" s="28" t="str">
        <ns0:f>IF(A1012="","",IF(C1012&lt;=0,"Satış dışı",IF(OR(F1012="",G1012=""),"Eşleşmedi","Eşleşti")))</ns0:f>
        <ns0:v/>
      </ns0:c>
      <ns0:c r="I1012" s="28">
        <ns0:f>I1011+IF(AND(H1012="Eşleşmedi",E1012='Panel'!$B$4),1,0)</ns0:f>
        <ns0:v>3.0</ns0:v>
      </ns0:c>
    </ns0:row>
    <ns0:row r="1013" ht="21" customHeight="1">
      <ns0:c r="A1013" s="25" t="n"/>
      <ns0:c r="B1013" s="26" t="n"/>
      <ns0:c r="C1013" s="27" t="n"/>
      <ns0:c r="D1013" s="27" t="n"/>
      <ns0:c r="E1013" s="28" t="str">
        <ns0:f>IF(A1013="","",YEAR(A1013)&amp;"-"&amp;RIGHT("0"&amp;MONTH(A1013),2))</ns0:f>
        <ns0:v/>
      </ns0:c>
      <ns0:c r="F1013" s="28" t="str">
        <ns0:f>IF(OR(A1013="",B1013="",C1013&lt;=0),"",IF(SUMPRODUCT(('Müşteriler'!$B$2:$B$101&lt;&gt;"")*ISNUMBER(SEARCH('Müşteriler'!$B$2:$B$101,B1013)))=1,IFERROR(INDEX('Müşteriler'!$A$2:$A$101,SUMPRODUCT(('Müşteriler'!$B$2:$B$101&lt;&gt;"")*ISNUMBER(SEARCH('Müşteriler'!$B$2:$B$101,B1013)),ROW('Müşteriler'!$B$2:$B$101)-ROW('Müşteriler'!$B$2)+1)),""),""))</ns0:f>
        <ns0:v/>
      </ns0:c>
      <ns0:c r="G1013" s="28" t="str">
        <ns0:f>IF(F1013="","",IFERROR(INDEX('Müşteriler'!$C$2:$C$101,MATCH(F1013,'Müşteriler'!$A$2:$A$101,0)),""))</ns0:f>
        <ns0:v/>
      </ns0:c>
      <ns0:c r="H1013" s="28" t="str">
        <ns0:f>IF(A1013="","",IF(C1013&lt;=0,"Satış dışı",IF(OR(F1013="",G1013=""),"Eşleşmedi","Eşleşti")))</ns0:f>
        <ns0:v/>
      </ns0:c>
      <ns0:c r="I1013" s="28">
        <ns0:f>I1012+IF(AND(H1013="Eşleşmedi",E1013='Panel'!$B$4),1,0)</ns0:f>
        <ns0:v>3.0</ns0:v>
      </ns0:c>
    </ns0:row>
    <ns0:row r="1014" ht="21" customHeight="1">
      <ns0:c r="A1014" s="25" t="n"/>
      <ns0:c r="B1014" s="26" t="n"/>
      <ns0:c r="C1014" s="27" t="n"/>
      <ns0:c r="D1014" s="27" t="n"/>
      <ns0:c r="E1014" s="28" t="str">
        <ns0:f>IF(A1014="","",YEAR(A1014)&amp;"-"&amp;RIGHT("0"&amp;MONTH(A1014),2))</ns0:f>
        <ns0:v/>
      </ns0:c>
      <ns0:c r="F1014" s="28" t="str">
        <ns0:f>IF(OR(A1014="",B1014="",C1014&lt;=0),"",IF(SUMPRODUCT(('Müşteriler'!$B$2:$B$101&lt;&gt;"")*ISNUMBER(SEARCH('Müşteriler'!$B$2:$B$101,B1014)))=1,IFERROR(INDEX('Müşteriler'!$A$2:$A$101,SUMPRODUCT(('Müşteriler'!$B$2:$B$101&lt;&gt;"")*ISNUMBER(SEARCH('Müşteriler'!$B$2:$B$101,B1014)),ROW('Müşteriler'!$B$2:$B$101)-ROW('Müşteriler'!$B$2)+1)),""),""))</ns0:f>
        <ns0:v/>
      </ns0:c>
      <ns0:c r="G1014" s="28" t="str">
        <ns0:f>IF(F1014="","",IFERROR(INDEX('Müşteriler'!$C$2:$C$101,MATCH(F1014,'Müşteriler'!$A$2:$A$101,0)),""))</ns0:f>
        <ns0:v/>
      </ns0:c>
      <ns0:c r="H1014" s="28" t="str">
        <ns0:f>IF(A1014="","",IF(C1014&lt;=0,"Satış dışı",IF(OR(F1014="",G1014=""),"Eşleşmedi","Eşleşti")))</ns0:f>
        <ns0:v/>
      </ns0:c>
      <ns0:c r="I1014" s="28">
        <ns0:f>I1013+IF(AND(H1014="Eşleşmedi",E1014='Panel'!$B$4),1,0)</ns0:f>
        <ns0:v>3.0</ns0:v>
      </ns0:c>
    </ns0:row>
    <ns0:row r="1015" ht="21" customHeight="1">
      <ns0:c r="A1015" s="25" t="n"/>
      <ns0:c r="B1015" s="26" t="n"/>
      <ns0:c r="C1015" s="27" t="n"/>
      <ns0:c r="D1015" s="27" t="n"/>
      <ns0:c r="E1015" s="28" t="str">
        <ns0:f>IF(A1015="","",YEAR(A1015)&amp;"-"&amp;RIGHT("0"&amp;MONTH(A1015),2))</ns0:f>
        <ns0:v/>
      </ns0:c>
      <ns0:c r="F1015" s="28" t="str">
        <ns0:f>IF(OR(A1015="",B1015="",C1015&lt;=0),"",IF(SUMPRODUCT(('Müşteriler'!$B$2:$B$101&lt;&gt;"")*ISNUMBER(SEARCH('Müşteriler'!$B$2:$B$101,B1015)))=1,IFERROR(INDEX('Müşteriler'!$A$2:$A$101,SUMPRODUCT(('Müşteriler'!$B$2:$B$101&lt;&gt;"")*ISNUMBER(SEARCH('Müşteriler'!$B$2:$B$101,B1015)),ROW('Müşteriler'!$B$2:$B$101)-ROW('Müşteriler'!$B$2)+1)),""),""))</ns0:f>
        <ns0:v/>
      </ns0:c>
      <ns0:c r="G1015" s="28" t="str">
        <ns0:f>IF(F1015="","",IFERROR(INDEX('Müşteriler'!$C$2:$C$101,MATCH(F1015,'Müşteriler'!$A$2:$A$101,0)),""))</ns0:f>
        <ns0:v/>
      </ns0:c>
      <ns0:c r="H1015" s="28" t="str">
        <ns0:f>IF(A1015="","",IF(C1015&lt;=0,"Satış dışı",IF(OR(F1015="",G1015=""),"Eşleşmedi","Eşleşti")))</ns0:f>
        <ns0:v/>
      </ns0:c>
      <ns0:c r="I1015" s="28">
        <ns0:f>I1014+IF(AND(H1015="Eşleşmedi",E1015='Panel'!$B$4),1,0)</ns0:f>
        <ns0:v>3.0</ns0:v>
      </ns0:c>
    </ns0:row>
    <ns0:row r="1016" ht="21" customHeight="1">
      <ns0:c r="A1016" s="25" t="n"/>
      <ns0:c r="B1016" s="26" t="n"/>
      <ns0:c r="C1016" s="27" t="n"/>
      <ns0:c r="D1016" s="27" t="n"/>
      <ns0:c r="E1016" s="28" t="str">
        <ns0:f>IF(A1016="","",YEAR(A1016)&amp;"-"&amp;RIGHT("0"&amp;MONTH(A1016),2))</ns0:f>
        <ns0:v/>
      </ns0:c>
      <ns0:c r="F1016" s="28" t="str">
        <ns0:f>IF(OR(A1016="",B1016="",C1016&lt;=0),"",IF(SUMPRODUCT(('Müşteriler'!$B$2:$B$101&lt;&gt;"")*ISNUMBER(SEARCH('Müşteriler'!$B$2:$B$101,B1016)))=1,IFERROR(INDEX('Müşteriler'!$A$2:$A$101,SUMPRODUCT(('Müşteriler'!$B$2:$B$101&lt;&gt;"")*ISNUMBER(SEARCH('Müşteriler'!$B$2:$B$101,B1016)),ROW('Müşteriler'!$B$2:$B$101)-ROW('Müşteriler'!$B$2)+1)),""),""))</ns0:f>
        <ns0:v/>
      </ns0:c>
      <ns0:c r="G1016" s="28" t="str">
        <ns0:f>IF(F1016="","",IFERROR(INDEX('Müşteriler'!$C$2:$C$101,MATCH(F1016,'Müşteriler'!$A$2:$A$101,0)),""))</ns0:f>
        <ns0:v/>
      </ns0:c>
      <ns0:c r="H1016" s="28" t="str">
        <ns0:f>IF(A1016="","",IF(C1016&lt;=0,"Satış dışı",IF(OR(F1016="",G1016=""),"Eşleşmedi","Eşleşti")))</ns0:f>
        <ns0:v/>
      </ns0:c>
      <ns0:c r="I1016" s="28">
        <ns0:f>I1015+IF(AND(H1016="Eşleşmedi",E1016='Panel'!$B$4),1,0)</ns0:f>
        <ns0:v>3.0</ns0:v>
      </ns0:c>
    </ns0:row>
    <ns0:row r="1017" ht="21" customHeight="1">
      <ns0:c r="A1017" s="25" t="n"/>
      <ns0:c r="B1017" s="26" t="n"/>
      <ns0:c r="C1017" s="27" t="n"/>
      <ns0:c r="D1017" s="27" t="n"/>
      <ns0:c r="E1017" s="28" t="str">
        <ns0:f>IF(A1017="","",YEAR(A1017)&amp;"-"&amp;RIGHT("0"&amp;MONTH(A1017),2))</ns0:f>
        <ns0:v/>
      </ns0:c>
      <ns0:c r="F1017" s="28" t="str">
        <ns0:f>IF(OR(A1017="",B1017="",C1017&lt;=0),"",IF(SUMPRODUCT(('Müşteriler'!$B$2:$B$101&lt;&gt;"")*ISNUMBER(SEARCH('Müşteriler'!$B$2:$B$101,B1017)))=1,IFERROR(INDEX('Müşteriler'!$A$2:$A$101,SUMPRODUCT(('Müşteriler'!$B$2:$B$101&lt;&gt;"")*ISNUMBER(SEARCH('Müşteriler'!$B$2:$B$101,B1017)),ROW('Müşteriler'!$B$2:$B$101)-ROW('Müşteriler'!$B$2)+1)),""),""))</ns0:f>
        <ns0:v/>
      </ns0:c>
      <ns0:c r="G1017" s="28" t="str">
        <ns0:f>IF(F1017="","",IFERROR(INDEX('Müşteriler'!$C$2:$C$101,MATCH(F1017,'Müşteriler'!$A$2:$A$101,0)),""))</ns0:f>
        <ns0:v/>
      </ns0:c>
      <ns0:c r="H1017" s="28" t="str">
        <ns0:f>IF(A1017="","",IF(C1017&lt;=0,"Satış dışı",IF(OR(F1017="",G1017=""),"Eşleşmedi","Eşleşti")))</ns0:f>
        <ns0:v/>
      </ns0:c>
      <ns0:c r="I1017" s="28">
        <ns0:f>I1016+IF(AND(H1017="Eşleşmedi",E1017='Panel'!$B$4),1,0)</ns0:f>
        <ns0:v>3.0</ns0:v>
      </ns0:c>
    </ns0:row>
    <ns0:row r="1018" ht="21" customHeight="1">
      <ns0:c r="A1018" s="25" t="n"/>
      <ns0:c r="B1018" s="26" t="n"/>
      <ns0:c r="C1018" s="27" t="n"/>
      <ns0:c r="D1018" s="27" t="n"/>
      <ns0:c r="E1018" s="28" t="str">
        <ns0:f>IF(A1018="","",YEAR(A1018)&amp;"-"&amp;RIGHT("0"&amp;MONTH(A1018),2))</ns0:f>
        <ns0:v/>
      </ns0:c>
      <ns0:c r="F1018" s="28" t="str">
        <ns0:f>IF(OR(A1018="",B1018="",C1018&lt;=0),"",IF(SUMPRODUCT(('Müşteriler'!$B$2:$B$101&lt;&gt;"")*ISNUMBER(SEARCH('Müşteriler'!$B$2:$B$101,B1018)))=1,IFERROR(INDEX('Müşteriler'!$A$2:$A$101,SUMPRODUCT(('Müşteriler'!$B$2:$B$101&lt;&gt;"")*ISNUMBER(SEARCH('Müşteriler'!$B$2:$B$101,B1018)),ROW('Müşteriler'!$B$2:$B$101)-ROW('Müşteriler'!$B$2)+1)),""),""))</ns0:f>
        <ns0:v/>
      </ns0:c>
      <ns0:c r="G1018" s="28" t="str">
        <ns0:f>IF(F1018="","",IFERROR(INDEX('Müşteriler'!$C$2:$C$101,MATCH(F1018,'Müşteriler'!$A$2:$A$101,0)),""))</ns0:f>
        <ns0:v/>
      </ns0:c>
      <ns0:c r="H1018" s="28" t="str">
        <ns0:f>IF(A1018="","",IF(C1018&lt;=0,"Satış dışı",IF(OR(F1018="",G1018=""),"Eşleşmedi","Eşleşti")))</ns0:f>
        <ns0:v/>
      </ns0:c>
      <ns0:c r="I1018" s="28">
        <ns0:f>I1017+IF(AND(H1018="Eşleşmedi",E1018='Panel'!$B$4),1,0)</ns0:f>
        <ns0:v>3.0</ns0:v>
      </ns0:c>
    </ns0:row>
    <ns0:row r="1019" ht="21" customHeight="1">
      <ns0:c r="A1019" s="25" t="n"/>
      <ns0:c r="B1019" s="26" t="n"/>
      <ns0:c r="C1019" s="27" t="n"/>
      <ns0:c r="D1019" s="27" t="n"/>
      <ns0:c r="E1019" s="28" t="str">
        <ns0:f>IF(A1019="","",YEAR(A1019)&amp;"-"&amp;RIGHT("0"&amp;MONTH(A1019),2))</ns0:f>
        <ns0:v/>
      </ns0:c>
      <ns0:c r="F1019" s="28" t="str">
        <ns0:f>IF(OR(A1019="",B1019="",C1019&lt;=0),"",IF(SUMPRODUCT(('Müşteriler'!$B$2:$B$101&lt;&gt;"")*ISNUMBER(SEARCH('Müşteriler'!$B$2:$B$101,B1019)))=1,IFERROR(INDEX('Müşteriler'!$A$2:$A$101,SUMPRODUCT(('Müşteriler'!$B$2:$B$101&lt;&gt;"")*ISNUMBER(SEARCH('Müşteriler'!$B$2:$B$101,B1019)),ROW('Müşteriler'!$B$2:$B$101)-ROW('Müşteriler'!$B$2)+1)),""),""))</ns0:f>
        <ns0:v/>
      </ns0:c>
      <ns0:c r="G1019" s="28" t="str">
        <ns0:f>IF(F1019="","",IFERROR(INDEX('Müşteriler'!$C$2:$C$101,MATCH(F1019,'Müşteriler'!$A$2:$A$101,0)),""))</ns0:f>
        <ns0:v/>
      </ns0:c>
      <ns0:c r="H1019" s="28" t="str">
        <ns0:f>IF(A1019="","",IF(C1019&lt;=0,"Satış dışı",IF(OR(F1019="",G1019=""),"Eşleşmedi","Eşleşti")))</ns0:f>
        <ns0:v/>
      </ns0:c>
      <ns0:c r="I1019" s="28">
        <ns0:f>I1018+IF(AND(H1019="Eşleşmedi",E1019='Panel'!$B$4),1,0)</ns0:f>
        <ns0:v>3.0</ns0:v>
      </ns0:c>
    </ns0:row>
    <ns0:row r="1020" ht="21" customHeight="1">
      <ns0:c r="A1020" s="25" t="n"/>
      <ns0:c r="B1020" s="26" t="n"/>
      <ns0:c r="C1020" s="27" t="n"/>
      <ns0:c r="D1020" s="27" t="n"/>
      <ns0:c r="E1020" s="28" t="str">
        <ns0:f>IF(A1020="","",YEAR(A1020)&amp;"-"&amp;RIGHT("0"&amp;MONTH(A1020),2))</ns0:f>
        <ns0:v/>
      </ns0:c>
      <ns0:c r="F1020" s="28" t="str">
        <ns0:f>IF(OR(A1020="",B1020="",C1020&lt;=0),"",IF(SUMPRODUCT(('Müşteriler'!$B$2:$B$101&lt;&gt;"")*ISNUMBER(SEARCH('Müşteriler'!$B$2:$B$101,B1020)))=1,IFERROR(INDEX('Müşteriler'!$A$2:$A$101,SUMPRODUCT(('Müşteriler'!$B$2:$B$101&lt;&gt;"")*ISNUMBER(SEARCH('Müşteriler'!$B$2:$B$101,B1020)),ROW('Müşteriler'!$B$2:$B$101)-ROW('Müşteriler'!$B$2)+1)),""),""))</ns0:f>
        <ns0:v/>
      </ns0:c>
      <ns0:c r="G1020" s="28" t="str">
        <ns0:f>IF(F1020="","",IFERROR(INDEX('Müşteriler'!$C$2:$C$101,MATCH(F1020,'Müşteriler'!$A$2:$A$101,0)),""))</ns0:f>
        <ns0:v/>
      </ns0:c>
      <ns0:c r="H1020" s="28" t="str">
        <ns0:f>IF(A1020="","",IF(C1020&lt;=0,"Satış dışı",IF(OR(F1020="",G1020=""),"Eşleşmedi","Eşleşti")))</ns0:f>
        <ns0:v/>
      </ns0:c>
      <ns0:c r="I1020" s="28">
        <ns0:f>I1019+IF(AND(H1020="Eşleşmedi",E1020='Panel'!$B$4),1,0)</ns0:f>
        <ns0:v>3.0</ns0:v>
      </ns0:c>
    </ns0:row>
    <ns0:row r="1021" ht="21" customHeight="1">
      <ns0:c r="A1021" s="25" t="n"/>
      <ns0:c r="B1021" s="26" t="n"/>
      <ns0:c r="C1021" s="27" t="n"/>
      <ns0:c r="D1021" s="27" t="n"/>
      <ns0:c r="E1021" s="28" t="str">
        <ns0:f>IF(A1021="","",YEAR(A1021)&amp;"-"&amp;RIGHT("0"&amp;MONTH(A1021),2))</ns0:f>
        <ns0:v/>
      </ns0:c>
      <ns0:c r="F1021" s="28" t="str">
        <ns0:f>IF(OR(A1021="",B1021="",C1021&lt;=0),"",IF(SUMPRODUCT(('Müşteriler'!$B$2:$B$101&lt;&gt;"")*ISNUMBER(SEARCH('Müşteriler'!$B$2:$B$101,B1021)))=1,IFERROR(INDEX('Müşteriler'!$A$2:$A$101,SUMPRODUCT(('Müşteriler'!$B$2:$B$101&lt;&gt;"")*ISNUMBER(SEARCH('Müşteriler'!$B$2:$B$101,B1021)),ROW('Müşteriler'!$B$2:$B$101)-ROW('Müşteriler'!$B$2)+1)),""),""))</ns0:f>
        <ns0:v/>
      </ns0:c>
      <ns0:c r="G1021" s="28" t="str">
        <ns0:f>IF(F1021="","",IFERROR(INDEX('Müşteriler'!$C$2:$C$101,MATCH(F1021,'Müşteriler'!$A$2:$A$101,0)),""))</ns0:f>
        <ns0:v/>
      </ns0:c>
      <ns0:c r="H1021" s="28" t="str">
        <ns0:f>IF(A1021="","",IF(C1021&lt;=0,"Satış dışı",IF(OR(F1021="",G1021=""),"Eşleşmedi","Eşleşti")))</ns0:f>
        <ns0:v/>
      </ns0:c>
      <ns0:c r="I1021" s="28">
        <ns0:f>I1020+IF(AND(H1021="Eşleşmedi",E1021='Panel'!$B$4),1,0)</ns0:f>
        <ns0:v>3.0</ns0:v>
      </ns0:c>
    </ns0:row>
    <ns0:row r="1022" ht="21" customHeight="1">
      <ns0:c r="A1022" s="25" t="n"/>
      <ns0:c r="B1022" s="26" t="n"/>
      <ns0:c r="C1022" s="27" t="n"/>
      <ns0:c r="D1022" s="27" t="n"/>
      <ns0:c r="E1022" s="28" t="str">
        <ns0:f>IF(A1022="","",YEAR(A1022)&amp;"-"&amp;RIGHT("0"&amp;MONTH(A1022),2))</ns0:f>
        <ns0:v/>
      </ns0:c>
      <ns0:c r="F1022" s="28" t="str">
        <ns0:f>IF(OR(A1022="",B1022="",C1022&lt;=0),"",IF(SUMPRODUCT(('Müşteriler'!$B$2:$B$101&lt;&gt;"")*ISNUMBER(SEARCH('Müşteriler'!$B$2:$B$101,B1022)))=1,IFERROR(INDEX('Müşteriler'!$A$2:$A$101,SUMPRODUCT(('Müşteriler'!$B$2:$B$101&lt;&gt;"")*ISNUMBER(SEARCH('Müşteriler'!$B$2:$B$101,B1022)),ROW('Müşteriler'!$B$2:$B$101)-ROW('Müşteriler'!$B$2)+1)),""),""))</ns0:f>
        <ns0:v/>
      </ns0:c>
      <ns0:c r="G1022" s="28" t="str">
        <ns0:f>IF(F1022="","",IFERROR(INDEX('Müşteriler'!$C$2:$C$101,MATCH(F1022,'Müşteriler'!$A$2:$A$101,0)),""))</ns0:f>
        <ns0:v/>
      </ns0:c>
      <ns0:c r="H1022" s="28" t="str">
        <ns0:f>IF(A1022="","",IF(C1022&lt;=0,"Satış dışı",IF(OR(F1022="",G1022=""),"Eşleşmedi","Eşleşti")))</ns0:f>
        <ns0:v/>
      </ns0:c>
      <ns0:c r="I1022" s="28">
        <ns0:f>I1021+IF(AND(H1022="Eşleşmedi",E1022='Panel'!$B$4),1,0)</ns0:f>
        <ns0:v>3.0</ns0:v>
      </ns0:c>
    </ns0:row>
    <ns0:row r="1023" ht="21" customHeight="1">
      <ns0:c r="A1023" s="25" t="n"/>
      <ns0:c r="B1023" s="26" t="n"/>
      <ns0:c r="C1023" s="27" t="n"/>
      <ns0:c r="D1023" s="27" t="n"/>
      <ns0:c r="E1023" s="28" t="str">
        <ns0:f>IF(A1023="","",YEAR(A1023)&amp;"-"&amp;RIGHT("0"&amp;MONTH(A1023),2))</ns0:f>
        <ns0:v/>
      </ns0:c>
      <ns0:c r="F1023" s="28" t="str">
        <ns0:f>IF(OR(A1023="",B1023="",C1023&lt;=0),"",IF(SUMPRODUCT(('Müşteriler'!$B$2:$B$101&lt;&gt;"")*ISNUMBER(SEARCH('Müşteriler'!$B$2:$B$101,B1023)))=1,IFERROR(INDEX('Müşteriler'!$A$2:$A$101,SUMPRODUCT(('Müşteriler'!$B$2:$B$101&lt;&gt;"")*ISNUMBER(SEARCH('Müşteriler'!$B$2:$B$101,B1023)),ROW('Müşteriler'!$B$2:$B$101)-ROW('Müşteriler'!$B$2)+1)),""),""))</ns0:f>
        <ns0:v/>
      </ns0:c>
      <ns0:c r="G1023" s="28" t="str">
        <ns0:f>IF(F1023="","",IFERROR(INDEX('Müşteriler'!$C$2:$C$101,MATCH(F1023,'Müşteriler'!$A$2:$A$101,0)),""))</ns0:f>
        <ns0:v/>
      </ns0:c>
      <ns0:c r="H1023" s="28" t="str">
        <ns0:f>IF(A1023="","",IF(C1023&lt;=0,"Satış dışı",IF(OR(F1023="",G1023=""),"Eşleşmedi","Eşleşti")))</ns0:f>
        <ns0:v/>
      </ns0:c>
      <ns0:c r="I1023" s="28">
        <ns0:f>I1022+IF(AND(H1023="Eşleşmedi",E1023='Panel'!$B$4),1,0)</ns0:f>
        <ns0:v>3.0</ns0:v>
      </ns0:c>
    </ns0:row>
    <ns0:row r="1024" ht="21" customHeight="1">
      <ns0:c r="A1024" s="25" t="n"/>
      <ns0:c r="B1024" s="26" t="n"/>
      <ns0:c r="C1024" s="27" t="n"/>
      <ns0:c r="D1024" s="27" t="n"/>
      <ns0:c r="E1024" s="28" t="str">
        <ns0:f>IF(A1024="","",YEAR(A1024)&amp;"-"&amp;RIGHT("0"&amp;MONTH(A1024),2))</ns0:f>
        <ns0:v/>
      </ns0:c>
      <ns0:c r="F1024" s="28" t="str">
        <ns0:f>IF(OR(A1024="",B1024="",C1024&lt;=0),"",IF(SUMPRODUCT(('Müşteriler'!$B$2:$B$101&lt;&gt;"")*ISNUMBER(SEARCH('Müşteriler'!$B$2:$B$101,B1024)))=1,IFERROR(INDEX('Müşteriler'!$A$2:$A$101,SUMPRODUCT(('Müşteriler'!$B$2:$B$101&lt;&gt;"")*ISNUMBER(SEARCH('Müşteriler'!$B$2:$B$101,B1024)),ROW('Müşteriler'!$B$2:$B$101)-ROW('Müşteriler'!$B$2)+1)),""),""))</ns0:f>
        <ns0:v/>
      </ns0:c>
      <ns0:c r="G1024" s="28" t="str">
        <ns0:f>IF(F1024="","",IFERROR(INDEX('Müşteriler'!$C$2:$C$101,MATCH(F1024,'Müşteriler'!$A$2:$A$101,0)),""))</ns0:f>
        <ns0:v/>
      </ns0:c>
      <ns0:c r="H1024" s="28" t="str">
        <ns0:f>IF(A1024="","",IF(C1024&lt;=0,"Satış dışı",IF(OR(F1024="",G1024=""),"Eşleşmedi","Eşleşti")))</ns0:f>
        <ns0:v/>
      </ns0:c>
      <ns0:c r="I1024" s="28">
        <ns0:f>I1023+IF(AND(H1024="Eşleşmedi",E1024='Panel'!$B$4),1,0)</ns0:f>
        <ns0:v>3.0</ns0:v>
      </ns0:c>
    </ns0:row>
    <ns0:row r="1025" ht="21" customHeight="1">
      <ns0:c r="A1025" s="25" t="n"/>
      <ns0:c r="B1025" s="26" t="n"/>
      <ns0:c r="C1025" s="27" t="n"/>
      <ns0:c r="D1025" s="27" t="n"/>
      <ns0:c r="E1025" s="28" t="str">
        <ns0:f>IF(A1025="","",YEAR(A1025)&amp;"-"&amp;RIGHT("0"&amp;MONTH(A1025),2))</ns0:f>
        <ns0:v/>
      </ns0:c>
      <ns0:c r="F1025" s="28" t="str">
        <ns0:f>IF(OR(A1025="",B1025="",C1025&lt;=0),"",IF(SUMPRODUCT(('Müşteriler'!$B$2:$B$101&lt;&gt;"")*ISNUMBER(SEARCH('Müşteriler'!$B$2:$B$101,B1025)))=1,IFERROR(INDEX('Müşteriler'!$A$2:$A$101,SUMPRODUCT(('Müşteriler'!$B$2:$B$101&lt;&gt;"")*ISNUMBER(SEARCH('Müşteriler'!$B$2:$B$101,B1025)),ROW('Müşteriler'!$B$2:$B$101)-ROW('Müşteriler'!$B$2)+1)),""),""))</ns0:f>
        <ns0:v/>
      </ns0:c>
      <ns0:c r="G1025" s="28" t="str">
        <ns0:f>IF(F1025="","",IFERROR(INDEX('Müşteriler'!$C$2:$C$101,MATCH(F1025,'Müşteriler'!$A$2:$A$101,0)),""))</ns0:f>
        <ns0:v/>
      </ns0:c>
      <ns0:c r="H1025" s="28" t="str">
        <ns0:f>IF(A1025="","",IF(C1025&lt;=0,"Satış dışı",IF(OR(F1025="",G1025=""),"Eşleşmedi","Eşleşti")))</ns0:f>
        <ns0:v/>
      </ns0:c>
      <ns0:c r="I1025" s="28">
        <ns0:f>I1024+IF(AND(H1025="Eşleşmedi",E1025='Panel'!$B$4),1,0)</ns0:f>
        <ns0:v>3.0</ns0:v>
      </ns0:c>
    </ns0:row>
    <ns0:row r="1026" ht="21" customHeight="1">
      <ns0:c r="A1026" s="25" t="n"/>
      <ns0:c r="B1026" s="26" t="n"/>
      <ns0:c r="C1026" s="27" t="n"/>
      <ns0:c r="D1026" s="27" t="n"/>
      <ns0:c r="E1026" s="28" t="str">
        <ns0:f>IF(A1026="","",YEAR(A1026)&amp;"-"&amp;RIGHT("0"&amp;MONTH(A1026),2))</ns0:f>
        <ns0:v/>
      </ns0:c>
      <ns0:c r="F1026" s="28" t="str">
        <ns0:f>IF(OR(A1026="",B1026="",C1026&lt;=0),"",IF(SUMPRODUCT(('Müşteriler'!$B$2:$B$101&lt;&gt;"")*ISNUMBER(SEARCH('Müşteriler'!$B$2:$B$101,B1026)))=1,IFERROR(INDEX('Müşteriler'!$A$2:$A$101,SUMPRODUCT(('Müşteriler'!$B$2:$B$101&lt;&gt;"")*ISNUMBER(SEARCH('Müşteriler'!$B$2:$B$101,B1026)),ROW('Müşteriler'!$B$2:$B$101)-ROW('Müşteriler'!$B$2)+1)),""),""))</ns0:f>
        <ns0:v/>
      </ns0:c>
      <ns0:c r="G1026" s="28" t="str">
        <ns0:f>IF(F1026="","",IFERROR(INDEX('Müşteriler'!$C$2:$C$101,MATCH(F1026,'Müşteriler'!$A$2:$A$101,0)),""))</ns0:f>
        <ns0:v/>
      </ns0:c>
      <ns0:c r="H1026" s="28" t="str">
        <ns0:f>IF(A1026="","",IF(C1026&lt;=0,"Satış dışı",IF(OR(F1026="",G1026=""),"Eşleşmedi","Eşleşti")))</ns0:f>
        <ns0:v/>
      </ns0:c>
      <ns0:c r="I1026" s="28">
        <ns0:f>I1025+IF(AND(H1026="Eşleşmedi",E1026='Panel'!$B$4),1,0)</ns0:f>
        <ns0:v>3.0</ns0:v>
      </ns0:c>
    </ns0:row>
    <ns0:row r="1027" ht="21" customHeight="1">
      <ns0:c r="A1027" s="25" t="n"/>
      <ns0:c r="B1027" s="26" t="n"/>
      <ns0:c r="C1027" s="27" t="n"/>
      <ns0:c r="D1027" s="27" t="n"/>
      <ns0:c r="E1027" s="28" t="str">
        <ns0:f>IF(A1027="","",YEAR(A1027)&amp;"-"&amp;RIGHT("0"&amp;MONTH(A1027),2))</ns0:f>
        <ns0:v/>
      </ns0:c>
      <ns0:c r="F1027" s="28" t="str">
        <ns0:f>IF(OR(A1027="",B1027="",C1027&lt;=0),"",IF(SUMPRODUCT(('Müşteriler'!$B$2:$B$101&lt;&gt;"")*ISNUMBER(SEARCH('Müşteriler'!$B$2:$B$101,B1027)))=1,IFERROR(INDEX('Müşteriler'!$A$2:$A$101,SUMPRODUCT(('Müşteriler'!$B$2:$B$101&lt;&gt;"")*ISNUMBER(SEARCH('Müşteriler'!$B$2:$B$101,B1027)),ROW('Müşteriler'!$B$2:$B$101)-ROW('Müşteriler'!$B$2)+1)),""),""))</ns0:f>
        <ns0:v/>
      </ns0:c>
      <ns0:c r="G1027" s="28" t="str">
        <ns0:f>IF(F1027="","",IFERROR(INDEX('Müşteriler'!$C$2:$C$101,MATCH(F1027,'Müşteriler'!$A$2:$A$101,0)),""))</ns0:f>
        <ns0:v/>
      </ns0:c>
      <ns0:c r="H1027" s="28" t="str">
        <ns0:f>IF(A1027="","",IF(C1027&lt;=0,"Satış dışı",IF(OR(F1027="",G1027=""),"Eşleşmedi","Eşleşti")))</ns0:f>
        <ns0:v/>
      </ns0:c>
      <ns0:c r="I1027" s="28">
        <ns0:f>I1026+IF(AND(H1027="Eşleşmedi",E1027='Panel'!$B$4),1,0)</ns0:f>
        <ns0:v>3.0</ns0:v>
      </ns0:c>
    </ns0:row>
    <ns0:row r="1028" ht="21" customHeight="1">
      <ns0:c r="A1028" s="25" t="n"/>
      <ns0:c r="B1028" s="26" t="n"/>
      <ns0:c r="C1028" s="27" t="n"/>
      <ns0:c r="D1028" s="27" t="n"/>
      <ns0:c r="E1028" s="28" t="str">
        <ns0:f>IF(A1028="","",YEAR(A1028)&amp;"-"&amp;RIGHT("0"&amp;MONTH(A1028),2))</ns0:f>
        <ns0:v/>
      </ns0:c>
      <ns0:c r="F1028" s="28" t="str">
        <ns0:f>IF(OR(A1028="",B1028="",C1028&lt;=0),"",IF(SUMPRODUCT(('Müşteriler'!$B$2:$B$101&lt;&gt;"")*ISNUMBER(SEARCH('Müşteriler'!$B$2:$B$101,B1028)))=1,IFERROR(INDEX('Müşteriler'!$A$2:$A$101,SUMPRODUCT(('Müşteriler'!$B$2:$B$101&lt;&gt;"")*ISNUMBER(SEARCH('Müşteriler'!$B$2:$B$101,B1028)),ROW('Müşteriler'!$B$2:$B$101)-ROW('Müşteriler'!$B$2)+1)),""),""))</ns0:f>
        <ns0:v/>
      </ns0:c>
      <ns0:c r="G1028" s="28" t="str">
        <ns0:f>IF(F1028="","",IFERROR(INDEX('Müşteriler'!$C$2:$C$101,MATCH(F1028,'Müşteriler'!$A$2:$A$101,0)),""))</ns0:f>
        <ns0:v/>
      </ns0:c>
      <ns0:c r="H1028" s="28" t="str">
        <ns0:f>IF(A1028="","",IF(C1028&lt;=0,"Satış dışı",IF(OR(F1028="",G1028=""),"Eşleşmedi","Eşleşti")))</ns0:f>
        <ns0:v/>
      </ns0:c>
      <ns0:c r="I1028" s="28">
        <ns0:f>I1027+IF(AND(H1028="Eşleşmedi",E1028='Panel'!$B$4),1,0)</ns0:f>
        <ns0:v>3.0</ns0:v>
      </ns0:c>
    </ns0:row>
    <ns0:row r="1029" ht="21" customHeight="1">
      <ns0:c r="A1029" s="25" t="n"/>
      <ns0:c r="B1029" s="26" t="n"/>
      <ns0:c r="C1029" s="27" t="n"/>
      <ns0:c r="D1029" s="27" t="n"/>
      <ns0:c r="E1029" s="28" t="str">
        <ns0:f>IF(A1029="","",YEAR(A1029)&amp;"-"&amp;RIGHT("0"&amp;MONTH(A1029),2))</ns0:f>
        <ns0:v/>
      </ns0:c>
      <ns0:c r="F1029" s="28" t="str">
        <ns0:f>IF(OR(A1029="",B1029="",C1029&lt;=0),"",IF(SUMPRODUCT(('Müşteriler'!$B$2:$B$101&lt;&gt;"")*ISNUMBER(SEARCH('Müşteriler'!$B$2:$B$101,B1029)))=1,IFERROR(INDEX('Müşteriler'!$A$2:$A$101,SUMPRODUCT(('Müşteriler'!$B$2:$B$101&lt;&gt;"")*ISNUMBER(SEARCH('Müşteriler'!$B$2:$B$101,B1029)),ROW('Müşteriler'!$B$2:$B$101)-ROW('Müşteriler'!$B$2)+1)),""),""))</ns0:f>
        <ns0:v/>
      </ns0:c>
      <ns0:c r="G1029" s="28" t="str">
        <ns0:f>IF(F1029="","",IFERROR(INDEX('Müşteriler'!$C$2:$C$101,MATCH(F1029,'Müşteriler'!$A$2:$A$101,0)),""))</ns0:f>
        <ns0:v/>
      </ns0:c>
      <ns0:c r="H1029" s="28" t="str">
        <ns0:f>IF(A1029="","",IF(C1029&lt;=0,"Satış dışı",IF(OR(F1029="",G1029=""),"Eşleşmedi","Eşleşti")))</ns0:f>
        <ns0:v/>
      </ns0:c>
      <ns0:c r="I1029" s="28">
        <ns0:f>I1028+IF(AND(H1029="Eşleşmedi",E1029='Panel'!$B$4),1,0)</ns0:f>
        <ns0:v>3.0</ns0:v>
      </ns0:c>
    </ns0:row>
    <ns0:row r="1030" ht="21" customHeight="1">
      <ns0:c r="A1030" s="25" t="n"/>
      <ns0:c r="B1030" s="26" t="n"/>
      <ns0:c r="C1030" s="27" t="n"/>
      <ns0:c r="D1030" s="27" t="n"/>
      <ns0:c r="E1030" s="28" t="str">
        <ns0:f>IF(A1030="","",YEAR(A1030)&amp;"-"&amp;RIGHT("0"&amp;MONTH(A1030),2))</ns0:f>
        <ns0:v/>
      </ns0:c>
      <ns0:c r="F1030" s="28" t="str">
        <ns0:f>IF(OR(A1030="",B1030="",C1030&lt;=0),"",IF(SUMPRODUCT(('Müşteriler'!$B$2:$B$101&lt;&gt;"")*ISNUMBER(SEARCH('Müşteriler'!$B$2:$B$101,B1030)))=1,IFERROR(INDEX('Müşteriler'!$A$2:$A$101,SUMPRODUCT(('Müşteriler'!$B$2:$B$101&lt;&gt;"")*ISNUMBER(SEARCH('Müşteriler'!$B$2:$B$101,B1030)),ROW('Müşteriler'!$B$2:$B$101)-ROW('Müşteriler'!$B$2)+1)),""),""))</ns0:f>
        <ns0:v/>
      </ns0:c>
      <ns0:c r="G1030" s="28" t="str">
        <ns0:f>IF(F1030="","",IFERROR(INDEX('Müşteriler'!$C$2:$C$101,MATCH(F1030,'Müşteriler'!$A$2:$A$101,0)),""))</ns0:f>
        <ns0:v/>
      </ns0:c>
      <ns0:c r="H1030" s="28" t="str">
        <ns0:f>IF(A1030="","",IF(C1030&lt;=0,"Satış dışı",IF(OR(F1030="",G1030=""),"Eşleşmedi","Eşleşti")))</ns0:f>
        <ns0:v/>
      </ns0:c>
      <ns0:c r="I1030" s="28">
        <ns0:f>I1029+IF(AND(H1030="Eşleşmedi",E1030='Panel'!$B$4),1,0)</ns0:f>
        <ns0:v>3.0</ns0:v>
      </ns0:c>
    </ns0:row>
    <ns0:row r="1031" ht="21" customHeight="1">
      <ns0:c r="A1031" s="25" t="n"/>
      <ns0:c r="B1031" s="26" t="n"/>
      <ns0:c r="C1031" s="27" t="n"/>
      <ns0:c r="D1031" s="27" t="n"/>
      <ns0:c r="E1031" s="28" t="str">
        <ns0:f>IF(A1031="","",YEAR(A1031)&amp;"-"&amp;RIGHT("0"&amp;MONTH(A1031),2))</ns0:f>
        <ns0:v/>
      </ns0:c>
      <ns0:c r="F1031" s="28" t="str">
        <ns0:f>IF(OR(A1031="",B1031="",C1031&lt;=0),"",IF(SUMPRODUCT(('Müşteriler'!$B$2:$B$101&lt;&gt;"")*ISNUMBER(SEARCH('Müşteriler'!$B$2:$B$101,B1031)))=1,IFERROR(INDEX('Müşteriler'!$A$2:$A$101,SUMPRODUCT(('Müşteriler'!$B$2:$B$101&lt;&gt;"")*ISNUMBER(SEARCH('Müşteriler'!$B$2:$B$101,B1031)),ROW('Müşteriler'!$B$2:$B$101)-ROW('Müşteriler'!$B$2)+1)),""),""))</ns0:f>
        <ns0:v/>
      </ns0:c>
      <ns0:c r="G1031" s="28" t="str">
        <ns0:f>IF(F1031="","",IFERROR(INDEX('Müşteriler'!$C$2:$C$101,MATCH(F1031,'Müşteriler'!$A$2:$A$101,0)),""))</ns0:f>
        <ns0:v/>
      </ns0:c>
      <ns0:c r="H1031" s="28" t="str">
        <ns0:f>IF(A1031="","",IF(C1031&lt;=0,"Satış dışı",IF(OR(F1031="",G1031=""),"Eşleşmedi","Eşleşti")))</ns0:f>
        <ns0:v/>
      </ns0:c>
      <ns0:c r="I1031" s="28">
        <ns0:f>I1030+IF(AND(H1031="Eşleşmedi",E1031='Panel'!$B$4),1,0)</ns0:f>
        <ns0:v>3.0</ns0:v>
      </ns0:c>
    </ns0:row>
    <ns0:row r="1032" ht="21" customHeight="1">
      <ns0:c r="A1032" s="25" t="n"/>
      <ns0:c r="B1032" s="26" t="n"/>
      <ns0:c r="C1032" s="27" t="n"/>
      <ns0:c r="D1032" s="27" t="n"/>
      <ns0:c r="E1032" s="28" t="str">
        <ns0:f>IF(A1032="","",YEAR(A1032)&amp;"-"&amp;RIGHT("0"&amp;MONTH(A1032),2))</ns0:f>
        <ns0:v/>
      </ns0:c>
      <ns0:c r="F1032" s="28" t="str">
        <ns0:f>IF(OR(A1032="",B1032="",C1032&lt;=0),"",IF(SUMPRODUCT(('Müşteriler'!$B$2:$B$101&lt;&gt;"")*ISNUMBER(SEARCH('Müşteriler'!$B$2:$B$101,B1032)))=1,IFERROR(INDEX('Müşteriler'!$A$2:$A$101,SUMPRODUCT(('Müşteriler'!$B$2:$B$101&lt;&gt;"")*ISNUMBER(SEARCH('Müşteriler'!$B$2:$B$101,B1032)),ROW('Müşteriler'!$B$2:$B$101)-ROW('Müşteriler'!$B$2)+1)),""),""))</ns0:f>
        <ns0:v/>
      </ns0:c>
      <ns0:c r="G1032" s="28" t="str">
        <ns0:f>IF(F1032="","",IFERROR(INDEX('Müşteriler'!$C$2:$C$101,MATCH(F1032,'Müşteriler'!$A$2:$A$101,0)),""))</ns0:f>
        <ns0:v/>
      </ns0:c>
      <ns0:c r="H1032" s="28" t="str">
        <ns0:f>IF(A1032="","",IF(C1032&lt;=0,"Satış dışı",IF(OR(F1032="",G1032=""),"Eşleşmedi","Eşleşti")))</ns0:f>
        <ns0:v/>
      </ns0:c>
      <ns0:c r="I1032" s="28">
        <ns0:f>I1031+IF(AND(H1032="Eşleşmedi",E1032='Panel'!$B$4),1,0)</ns0:f>
        <ns0:v>3.0</ns0:v>
      </ns0:c>
    </ns0:row>
    <ns0:row r="1033" ht="21" customHeight="1">
      <ns0:c r="A1033" s="25" t="n"/>
      <ns0:c r="B1033" s="26" t="n"/>
      <ns0:c r="C1033" s="27" t="n"/>
      <ns0:c r="D1033" s="27" t="n"/>
      <ns0:c r="E1033" s="28" t="str">
        <ns0:f>IF(A1033="","",YEAR(A1033)&amp;"-"&amp;RIGHT("0"&amp;MONTH(A1033),2))</ns0:f>
        <ns0:v/>
      </ns0:c>
      <ns0:c r="F1033" s="28" t="str">
        <ns0:f>IF(OR(A1033="",B1033="",C1033&lt;=0),"",IF(SUMPRODUCT(('Müşteriler'!$B$2:$B$101&lt;&gt;"")*ISNUMBER(SEARCH('Müşteriler'!$B$2:$B$101,B1033)))=1,IFERROR(INDEX('Müşteriler'!$A$2:$A$101,SUMPRODUCT(('Müşteriler'!$B$2:$B$101&lt;&gt;"")*ISNUMBER(SEARCH('Müşteriler'!$B$2:$B$101,B1033)),ROW('Müşteriler'!$B$2:$B$101)-ROW('Müşteriler'!$B$2)+1)),""),""))</ns0:f>
        <ns0:v/>
      </ns0:c>
      <ns0:c r="G1033" s="28" t="str">
        <ns0:f>IF(F1033="","",IFERROR(INDEX('Müşteriler'!$C$2:$C$101,MATCH(F1033,'Müşteriler'!$A$2:$A$101,0)),""))</ns0:f>
        <ns0:v/>
      </ns0:c>
      <ns0:c r="H1033" s="28" t="str">
        <ns0:f>IF(A1033="","",IF(C1033&lt;=0,"Satış dışı",IF(OR(F1033="",G1033=""),"Eşleşmedi","Eşleşti")))</ns0:f>
        <ns0:v/>
      </ns0:c>
      <ns0:c r="I1033" s="28">
        <ns0:f>I1032+IF(AND(H1033="Eşleşmedi",E1033='Panel'!$B$4),1,0)</ns0:f>
        <ns0:v>3.0</ns0:v>
      </ns0:c>
    </ns0:row>
    <ns0:row r="1034" ht="21" customHeight="1">
      <ns0:c r="A1034" s="25" t="n"/>
      <ns0:c r="B1034" s="26" t="n"/>
      <ns0:c r="C1034" s="27" t="n"/>
      <ns0:c r="D1034" s="27" t="n"/>
      <ns0:c r="E1034" s="28" t="str">
        <ns0:f>IF(A1034="","",YEAR(A1034)&amp;"-"&amp;RIGHT("0"&amp;MONTH(A1034),2))</ns0:f>
        <ns0:v/>
      </ns0:c>
      <ns0:c r="F1034" s="28" t="str">
        <ns0:f>IF(OR(A1034="",B1034="",C1034&lt;=0),"",IF(SUMPRODUCT(('Müşteriler'!$B$2:$B$101&lt;&gt;"")*ISNUMBER(SEARCH('Müşteriler'!$B$2:$B$101,B1034)))=1,IFERROR(INDEX('Müşteriler'!$A$2:$A$101,SUMPRODUCT(('Müşteriler'!$B$2:$B$101&lt;&gt;"")*ISNUMBER(SEARCH('Müşteriler'!$B$2:$B$101,B1034)),ROW('Müşteriler'!$B$2:$B$101)-ROW('Müşteriler'!$B$2)+1)),""),""))</ns0:f>
        <ns0:v/>
      </ns0:c>
      <ns0:c r="G1034" s="28" t="str">
        <ns0:f>IF(F1034="","",IFERROR(INDEX('Müşteriler'!$C$2:$C$101,MATCH(F1034,'Müşteriler'!$A$2:$A$101,0)),""))</ns0:f>
        <ns0:v/>
      </ns0:c>
      <ns0:c r="H1034" s="28" t="str">
        <ns0:f>IF(A1034="","",IF(C1034&lt;=0,"Satış dışı",IF(OR(F1034="",G1034=""),"Eşleşmedi","Eşleşti")))</ns0:f>
        <ns0:v/>
      </ns0:c>
      <ns0:c r="I1034" s="28">
        <ns0:f>I1033+IF(AND(H1034="Eşleşmedi",E1034='Panel'!$B$4),1,0)</ns0:f>
        <ns0:v>3.0</ns0:v>
      </ns0:c>
    </ns0:row>
    <ns0:row r="1035" ht="21" customHeight="1">
      <ns0:c r="A1035" s="25" t="n"/>
      <ns0:c r="B1035" s="26" t="n"/>
      <ns0:c r="C1035" s="27" t="n"/>
      <ns0:c r="D1035" s="27" t="n"/>
      <ns0:c r="E1035" s="28" t="str">
        <ns0:f>IF(A1035="","",YEAR(A1035)&amp;"-"&amp;RIGHT("0"&amp;MONTH(A1035),2))</ns0:f>
        <ns0:v/>
      </ns0:c>
      <ns0:c r="F1035" s="28" t="str">
        <ns0:f>IF(OR(A1035="",B1035="",C1035&lt;=0),"",IF(SUMPRODUCT(('Müşteriler'!$B$2:$B$101&lt;&gt;"")*ISNUMBER(SEARCH('Müşteriler'!$B$2:$B$101,B1035)))=1,IFERROR(INDEX('Müşteriler'!$A$2:$A$101,SUMPRODUCT(('Müşteriler'!$B$2:$B$101&lt;&gt;"")*ISNUMBER(SEARCH('Müşteriler'!$B$2:$B$101,B1035)),ROW('Müşteriler'!$B$2:$B$101)-ROW('Müşteriler'!$B$2)+1)),""),""))</ns0:f>
        <ns0:v/>
      </ns0:c>
      <ns0:c r="G1035" s="28" t="str">
        <ns0:f>IF(F1035="","",IFERROR(INDEX('Müşteriler'!$C$2:$C$101,MATCH(F1035,'Müşteriler'!$A$2:$A$101,0)),""))</ns0:f>
        <ns0:v/>
      </ns0:c>
      <ns0:c r="H1035" s="28" t="str">
        <ns0:f>IF(A1035="","",IF(C1035&lt;=0,"Satış dışı",IF(OR(F1035="",G1035=""),"Eşleşmedi","Eşleşti")))</ns0:f>
        <ns0:v/>
      </ns0:c>
      <ns0:c r="I1035" s="28">
        <ns0:f>I1034+IF(AND(H1035="Eşleşmedi",E1035='Panel'!$B$4),1,0)</ns0:f>
        <ns0:v>3.0</ns0:v>
      </ns0:c>
    </ns0:row>
    <ns0:row r="1036" ht="21" customHeight="1">
      <ns0:c r="A1036" s="25" t="n"/>
      <ns0:c r="B1036" s="26" t="n"/>
      <ns0:c r="C1036" s="27" t="n"/>
      <ns0:c r="D1036" s="27" t="n"/>
      <ns0:c r="E1036" s="28" t="str">
        <ns0:f>IF(A1036="","",YEAR(A1036)&amp;"-"&amp;RIGHT("0"&amp;MONTH(A1036),2))</ns0:f>
        <ns0:v/>
      </ns0:c>
      <ns0:c r="F1036" s="28" t="str">
        <ns0:f>IF(OR(A1036="",B1036="",C1036&lt;=0),"",IF(SUMPRODUCT(('Müşteriler'!$B$2:$B$101&lt;&gt;"")*ISNUMBER(SEARCH('Müşteriler'!$B$2:$B$101,B1036)))=1,IFERROR(INDEX('Müşteriler'!$A$2:$A$101,SUMPRODUCT(('Müşteriler'!$B$2:$B$101&lt;&gt;"")*ISNUMBER(SEARCH('Müşteriler'!$B$2:$B$101,B1036)),ROW('Müşteriler'!$B$2:$B$101)-ROW('Müşteriler'!$B$2)+1)),""),""))</ns0:f>
        <ns0:v/>
      </ns0:c>
      <ns0:c r="G1036" s="28" t="str">
        <ns0:f>IF(F1036="","",IFERROR(INDEX('Müşteriler'!$C$2:$C$101,MATCH(F1036,'Müşteriler'!$A$2:$A$101,0)),""))</ns0:f>
        <ns0:v/>
      </ns0:c>
      <ns0:c r="H1036" s="28" t="str">
        <ns0:f>IF(A1036="","",IF(C1036&lt;=0,"Satış dışı",IF(OR(F1036="",G1036=""),"Eşleşmedi","Eşleşti")))</ns0:f>
        <ns0:v/>
      </ns0:c>
      <ns0:c r="I1036" s="28">
        <ns0:f>I1035+IF(AND(H1036="Eşleşmedi",E1036='Panel'!$B$4),1,0)</ns0:f>
        <ns0:v>3.0</ns0:v>
      </ns0:c>
    </ns0:row>
    <ns0:row r="1037" ht="21" customHeight="1">
      <ns0:c r="A1037" s="25" t="n"/>
      <ns0:c r="B1037" s="26" t="n"/>
      <ns0:c r="C1037" s="27" t="n"/>
      <ns0:c r="D1037" s="27" t="n"/>
      <ns0:c r="E1037" s="28" t="str">
        <ns0:f>IF(A1037="","",YEAR(A1037)&amp;"-"&amp;RIGHT("0"&amp;MONTH(A1037),2))</ns0:f>
        <ns0:v/>
      </ns0:c>
      <ns0:c r="F1037" s="28" t="str">
        <ns0:f>IF(OR(A1037="",B1037="",C1037&lt;=0),"",IF(SUMPRODUCT(('Müşteriler'!$B$2:$B$101&lt;&gt;"")*ISNUMBER(SEARCH('Müşteriler'!$B$2:$B$101,B1037)))=1,IFERROR(INDEX('Müşteriler'!$A$2:$A$101,SUMPRODUCT(('Müşteriler'!$B$2:$B$101&lt;&gt;"")*ISNUMBER(SEARCH('Müşteriler'!$B$2:$B$101,B1037)),ROW('Müşteriler'!$B$2:$B$101)-ROW('Müşteriler'!$B$2)+1)),""),""))</ns0:f>
        <ns0:v/>
      </ns0:c>
      <ns0:c r="G1037" s="28" t="str">
        <ns0:f>IF(F1037="","",IFERROR(INDEX('Müşteriler'!$C$2:$C$101,MATCH(F1037,'Müşteriler'!$A$2:$A$101,0)),""))</ns0:f>
        <ns0:v/>
      </ns0:c>
      <ns0:c r="H1037" s="28" t="str">
        <ns0:f>IF(A1037="","",IF(C1037&lt;=0,"Satış dışı",IF(OR(F1037="",G1037=""),"Eşleşmedi","Eşleşti")))</ns0:f>
        <ns0:v/>
      </ns0:c>
      <ns0:c r="I1037" s="28">
        <ns0:f>I1036+IF(AND(H1037="Eşleşmedi",E1037='Panel'!$B$4),1,0)</ns0:f>
        <ns0:v>3.0</ns0:v>
      </ns0:c>
    </ns0:row>
    <ns0:row r="1038" ht="21" customHeight="1">
      <ns0:c r="A1038" s="25" t="n"/>
      <ns0:c r="B1038" s="26" t="n"/>
      <ns0:c r="C1038" s="27" t="n"/>
      <ns0:c r="D1038" s="27" t="n"/>
      <ns0:c r="E1038" s="28" t="str">
        <ns0:f>IF(A1038="","",YEAR(A1038)&amp;"-"&amp;RIGHT("0"&amp;MONTH(A1038),2))</ns0:f>
        <ns0:v/>
      </ns0:c>
      <ns0:c r="F1038" s="28" t="str">
        <ns0:f>IF(OR(A1038="",B1038="",C1038&lt;=0),"",IF(SUMPRODUCT(('Müşteriler'!$B$2:$B$101&lt;&gt;"")*ISNUMBER(SEARCH('Müşteriler'!$B$2:$B$101,B1038)))=1,IFERROR(INDEX('Müşteriler'!$A$2:$A$101,SUMPRODUCT(('Müşteriler'!$B$2:$B$101&lt;&gt;"")*ISNUMBER(SEARCH('Müşteriler'!$B$2:$B$101,B1038)),ROW('Müşteriler'!$B$2:$B$101)-ROW('Müşteriler'!$B$2)+1)),""),""))</ns0:f>
        <ns0:v/>
      </ns0:c>
      <ns0:c r="G1038" s="28" t="str">
        <ns0:f>IF(F1038="","",IFERROR(INDEX('Müşteriler'!$C$2:$C$101,MATCH(F1038,'Müşteriler'!$A$2:$A$101,0)),""))</ns0:f>
        <ns0:v/>
      </ns0:c>
      <ns0:c r="H1038" s="28" t="str">
        <ns0:f>IF(A1038="","",IF(C1038&lt;=0,"Satış dışı",IF(OR(F1038="",G1038=""),"Eşleşmedi","Eşleşti")))</ns0:f>
        <ns0:v/>
      </ns0:c>
      <ns0:c r="I1038" s="28">
        <ns0:f>I1037+IF(AND(H1038="Eşleşmedi",E1038='Panel'!$B$4),1,0)</ns0:f>
        <ns0:v>3.0</ns0:v>
      </ns0:c>
    </ns0:row>
    <ns0:row r="1039" ht="21" customHeight="1">
      <ns0:c r="A1039" s="25" t="n"/>
      <ns0:c r="B1039" s="26" t="n"/>
      <ns0:c r="C1039" s="27" t="n"/>
      <ns0:c r="D1039" s="27" t="n"/>
      <ns0:c r="E1039" s="28" t="str">
        <ns0:f>IF(A1039="","",YEAR(A1039)&amp;"-"&amp;RIGHT("0"&amp;MONTH(A1039),2))</ns0:f>
        <ns0:v/>
      </ns0:c>
      <ns0:c r="F1039" s="28" t="str">
        <ns0:f>IF(OR(A1039="",B1039="",C1039&lt;=0),"",IF(SUMPRODUCT(('Müşteriler'!$B$2:$B$101&lt;&gt;"")*ISNUMBER(SEARCH('Müşteriler'!$B$2:$B$101,B1039)))=1,IFERROR(INDEX('Müşteriler'!$A$2:$A$101,SUMPRODUCT(('Müşteriler'!$B$2:$B$101&lt;&gt;"")*ISNUMBER(SEARCH('Müşteriler'!$B$2:$B$101,B1039)),ROW('Müşteriler'!$B$2:$B$101)-ROW('Müşteriler'!$B$2)+1)),""),""))</ns0:f>
        <ns0:v/>
      </ns0:c>
      <ns0:c r="G1039" s="28" t="str">
        <ns0:f>IF(F1039="","",IFERROR(INDEX('Müşteriler'!$C$2:$C$101,MATCH(F1039,'Müşteriler'!$A$2:$A$101,0)),""))</ns0:f>
        <ns0:v/>
      </ns0:c>
      <ns0:c r="H1039" s="28" t="str">
        <ns0:f>IF(A1039="","",IF(C1039&lt;=0,"Satış dışı",IF(OR(F1039="",G1039=""),"Eşleşmedi","Eşleşti")))</ns0:f>
        <ns0:v/>
      </ns0:c>
      <ns0:c r="I1039" s="28">
        <ns0:f>I1038+IF(AND(H1039="Eşleşmedi",E1039='Panel'!$B$4),1,0)</ns0:f>
        <ns0:v>3.0</ns0:v>
      </ns0:c>
    </ns0:row>
    <ns0:row r="1040" ht="21" customHeight="1">
      <ns0:c r="A1040" s="25" t="n"/>
      <ns0:c r="B1040" s="26" t="n"/>
      <ns0:c r="C1040" s="27" t="n"/>
      <ns0:c r="D1040" s="27" t="n"/>
      <ns0:c r="E1040" s="28" t="str">
        <ns0:f>IF(A1040="","",YEAR(A1040)&amp;"-"&amp;RIGHT("0"&amp;MONTH(A1040),2))</ns0:f>
        <ns0:v/>
      </ns0:c>
      <ns0:c r="F1040" s="28" t="str">
        <ns0:f>IF(OR(A1040="",B1040="",C1040&lt;=0),"",IF(SUMPRODUCT(('Müşteriler'!$B$2:$B$101&lt;&gt;"")*ISNUMBER(SEARCH('Müşteriler'!$B$2:$B$101,B1040)))=1,IFERROR(INDEX('Müşteriler'!$A$2:$A$101,SUMPRODUCT(('Müşteriler'!$B$2:$B$101&lt;&gt;"")*ISNUMBER(SEARCH('Müşteriler'!$B$2:$B$101,B1040)),ROW('Müşteriler'!$B$2:$B$101)-ROW('Müşteriler'!$B$2)+1)),""),""))</ns0:f>
        <ns0:v/>
      </ns0:c>
      <ns0:c r="G1040" s="28" t="str">
        <ns0:f>IF(F1040="","",IFERROR(INDEX('Müşteriler'!$C$2:$C$101,MATCH(F1040,'Müşteriler'!$A$2:$A$101,0)),""))</ns0:f>
        <ns0:v/>
      </ns0:c>
      <ns0:c r="H1040" s="28" t="str">
        <ns0:f>IF(A1040="","",IF(C1040&lt;=0,"Satış dışı",IF(OR(F1040="",G1040=""),"Eşleşmedi","Eşleşti")))</ns0:f>
        <ns0:v/>
      </ns0:c>
      <ns0:c r="I1040" s="28">
        <ns0:f>I1039+IF(AND(H1040="Eşleşmedi",E1040='Panel'!$B$4),1,0)</ns0:f>
        <ns0:v>3.0</ns0:v>
      </ns0:c>
    </ns0:row>
    <ns0:row r="1041" ht="21" customHeight="1">
      <ns0:c r="A1041" s="25" t="n"/>
      <ns0:c r="B1041" s="26" t="n"/>
      <ns0:c r="C1041" s="27" t="n"/>
      <ns0:c r="D1041" s="27" t="n"/>
      <ns0:c r="E1041" s="28" t="str">
        <ns0:f>IF(A1041="","",YEAR(A1041)&amp;"-"&amp;RIGHT("0"&amp;MONTH(A1041),2))</ns0:f>
        <ns0:v/>
      </ns0:c>
      <ns0:c r="F1041" s="28" t="str">
        <ns0:f>IF(OR(A1041="",B1041="",C1041&lt;=0),"",IF(SUMPRODUCT(('Müşteriler'!$B$2:$B$101&lt;&gt;"")*ISNUMBER(SEARCH('Müşteriler'!$B$2:$B$101,B1041)))=1,IFERROR(INDEX('Müşteriler'!$A$2:$A$101,SUMPRODUCT(('Müşteriler'!$B$2:$B$101&lt;&gt;"")*ISNUMBER(SEARCH('Müşteriler'!$B$2:$B$101,B1041)),ROW('Müşteriler'!$B$2:$B$101)-ROW('Müşteriler'!$B$2)+1)),""),""))</ns0:f>
        <ns0:v/>
      </ns0:c>
      <ns0:c r="G1041" s="28" t="str">
        <ns0:f>IF(F1041="","",IFERROR(INDEX('Müşteriler'!$C$2:$C$101,MATCH(F1041,'Müşteriler'!$A$2:$A$101,0)),""))</ns0:f>
        <ns0:v/>
      </ns0:c>
      <ns0:c r="H1041" s="28" t="str">
        <ns0:f>IF(A1041="","",IF(C1041&lt;=0,"Satış dışı",IF(OR(F1041="",G1041=""),"Eşleşmedi","Eşleşti")))</ns0:f>
        <ns0:v/>
      </ns0:c>
      <ns0:c r="I1041" s="28">
        <ns0:f>I1040+IF(AND(H1041="Eşleşmedi",E1041='Panel'!$B$4),1,0)</ns0:f>
        <ns0:v>3.0</ns0:v>
      </ns0:c>
    </ns0:row>
    <ns0:row r="1042" ht="21" customHeight="1">
      <ns0:c r="A1042" s="25" t="n"/>
      <ns0:c r="B1042" s="26" t="n"/>
      <ns0:c r="C1042" s="27" t="n"/>
      <ns0:c r="D1042" s="27" t="n"/>
      <ns0:c r="E1042" s="28" t="str">
        <ns0:f>IF(A1042="","",YEAR(A1042)&amp;"-"&amp;RIGHT("0"&amp;MONTH(A1042),2))</ns0:f>
        <ns0:v/>
      </ns0:c>
      <ns0:c r="F1042" s="28" t="str">
        <ns0:f>IF(OR(A1042="",B1042="",C1042&lt;=0),"",IF(SUMPRODUCT(('Müşteriler'!$B$2:$B$101&lt;&gt;"")*ISNUMBER(SEARCH('Müşteriler'!$B$2:$B$101,B1042)))=1,IFERROR(INDEX('Müşteriler'!$A$2:$A$101,SUMPRODUCT(('Müşteriler'!$B$2:$B$101&lt;&gt;"")*ISNUMBER(SEARCH('Müşteriler'!$B$2:$B$101,B1042)),ROW('Müşteriler'!$B$2:$B$101)-ROW('Müşteriler'!$B$2)+1)),""),""))</ns0:f>
        <ns0:v/>
      </ns0:c>
      <ns0:c r="G1042" s="28" t="str">
        <ns0:f>IF(F1042="","",IFERROR(INDEX('Müşteriler'!$C$2:$C$101,MATCH(F1042,'Müşteriler'!$A$2:$A$101,0)),""))</ns0:f>
        <ns0:v/>
      </ns0:c>
      <ns0:c r="H1042" s="28" t="str">
        <ns0:f>IF(A1042="","",IF(C1042&lt;=0,"Satış dışı",IF(OR(F1042="",G1042=""),"Eşleşmedi","Eşleşti")))</ns0:f>
        <ns0:v/>
      </ns0:c>
      <ns0:c r="I1042" s="28">
        <ns0:f>I1041+IF(AND(H1042="Eşleşmedi",E1042='Panel'!$B$4),1,0)</ns0:f>
        <ns0:v>3.0</ns0:v>
      </ns0:c>
    </ns0:row>
    <ns0:row r="1043" ht="21" customHeight="1">
      <ns0:c r="A1043" s="25" t="n"/>
      <ns0:c r="B1043" s="26" t="n"/>
      <ns0:c r="C1043" s="27" t="n"/>
      <ns0:c r="D1043" s="27" t="n"/>
      <ns0:c r="E1043" s="28" t="str">
        <ns0:f>IF(A1043="","",YEAR(A1043)&amp;"-"&amp;RIGHT("0"&amp;MONTH(A1043),2))</ns0:f>
        <ns0:v/>
      </ns0:c>
      <ns0:c r="F1043" s="28" t="str">
        <ns0:f>IF(OR(A1043="",B1043="",C1043&lt;=0),"",IF(SUMPRODUCT(('Müşteriler'!$B$2:$B$101&lt;&gt;"")*ISNUMBER(SEARCH('Müşteriler'!$B$2:$B$101,B1043)))=1,IFERROR(INDEX('Müşteriler'!$A$2:$A$101,SUMPRODUCT(('Müşteriler'!$B$2:$B$101&lt;&gt;"")*ISNUMBER(SEARCH('Müşteriler'!$B$2:$B$101,B1043)),ROW('Müşteriler'!$B$2:$B$101)-ROW('Müşteriler'!$B$2)+1)),""),""))</ns0:f>
        <ns0:v/>
      </ns0:c>
      <ns0:c r="G1043" s="28" t="str">
        <ns0:f>IF(F1043="","",IFERROR(INDEX('Müşteriler'!$C$2:$C$101,MATCH(F1043,'Müşteriler'!$A$2:$A$101,0)),""))</ns0:f>
        <ns0:v/>
      </ns0:c>
      <ns0:c r="H1043" s="28" t="str">
        <ns0:f>IF(A1043="","",IF(C1043&lt;=0,"Satış dışı",IF(OR(F1043="",G1043=""),"Eşleşmedi","Eşleşti")))</ns0:f>
        <ns0:v/>
      </ns0:c>
      <ns0:c r="I1043" s="28">
        <ns0:f>I1042+IF(AND(H1043="Eşleşmedi",E1043='Panel'!$B$4),1,0)</ns0:f>
        <ns0:v>3.0</ns0:v>
      </ns0:c>
    </ns0:row>
    <ns0:row r="1044" ht="21" customHeight="1">
      <ns0:c r="A1044" s="25" t="n"/>
      <ns0:c r="B1044" s="26" t="n"/>
      <ns0:c r="C1044" s="27" t="n"/>
      <ns0:c r="D1044" s="27" t="n"/>
      <ns0:c r="E1044" s="28" t="str">
        <ns0:f>IF(A1044="","",YEAR(A1044)&amp;"-"&amp;RIGHT("0"&amp;MONTH(A1044),2))</ns0:f>
        <ns0:v/>
      </ns0:c>
      <ns0:c r="F1044" s="28" t="str">
        <ns0:f>IF(OR(A1044="",B1044="",C1044&lt;=0),"",IF(SUMPRODUCT(('Müşteriler'!$B$2:$B$101&lt;&gt;"")*ISNUMBER(SEARCH('Müşteriler'!$B$2:$B$101,B1044)))=1,IFERROR(INDEX('Müşteriler'!$A$2:$A$101,SUMPRODUCT(('Müşteriler'!$B$2:$B$101&lt;&gt;"")*ISNUMBER(SEARCH('Müşteriler'!$B$2:$B$101,B1044)),ROW('Müşteriler'!$B$2:$B$101)-ROW('Müşteriler'!$B$2)+1)),""),""))</ns0:f>
        <ns0:v/>
      </ns0:c>
      <ns0:c r="G1044" s="28" t="str">
        <ns0:f>IF(F1044="","",IFERROR(INDEX('Müşteriler'!$C$2:$C$101,MATCH(F1044,'Müşteriler'!$A$2:$A$101,0)),""))</ns0:f>
        <ns0:v/>
      </ns0:c>
      <ns0:c r="H1044" s="28" t="str">
        <ns0:f>IF(A1044="","",IF(C1044&lt;=0,"Satış dışı",IF(OR(F1044="",G1044=""),"Eşleşmedi","Eşleşti")))</ns0:f>
        <ns0:v/>
      </ns0:c>
      <ns0:c r="I1044" s="28">
        <ns0:f>I1043+IF(AND(H1044="Eşleşmedi",E1044='Panel'!$B$4),1,0)</ns0:f>
        <ns0:v>3.0</ns0:v>
      </ns0:c>
    </ns0:row>
    <ns0:row r="1045" ht="21" customHeight="1">
      <ns0:c r="A1045" s="25" t="n"/>
      <ns0:c r="B1045" s="26" t="n"/>
      <ns0:c r="C1045" s="27" t="n"/>
      <ns0:c r="D1045" s="27" t="n"/>
      <ns0:c r="E1045" s="28" t="str">
        <ns0:f>IF(A1045="","",YEAR(A1045)&amp;"-"&amp;RIGHT("0"&amp;MONTH(A1045),2))</ns0:f>
        <ns0:v/>
      </ns0:c>
      <ns0:c r="F1045" s="28" t="str">
        <ns0:f>IF(OR(A1045="",B1045="",C1045&lt;=0),"",IF(SUMPRODUCT(('Müşteriler'!$B$2:$B$101&lt;&gt;"")*ISNUMBER(SEARCH('Müşteriler'!$B$2:$B$101,B1045)))=1,IFERROR(INDEX('Müşteriler'!$A$2:$A$101,SUMPRODUCT(('Müşteriler'!$B$2:$B$101&lt;&gt;"")*ISNUMBER(SEARCH('Müşteriler'!$B$2:$B$101,B1045)),ROW('Müşteriler'!$B$2:$B$101)-ROW('Müşteriler'!$B$2)+1)),""),""))</ns0:f>
        <ns0:v/>
      </ns0:c>
      <ns0:c r="G1045" s="28" t="str">
        <ns0:f>IF(F1045="","",IFERROR(INDEX('Müşteriler'!$C$2:$C$101,MATCH(F1045,'Müşteriler'!$A$2:$A$101,0)),""))</ns0:f>
        <ns0:v/>
      </ns0:c>
      <ns0:c r="H1045" s="28" t="str">
        <ns0:f>IF(A1045="","",IF(C1045&lt;=0,"Satış dışı",IF(OR(F1045="",G1045=""),"Eşleşmedi","Eşleşti")))</ns0:f>
        <ns0:v/>
      </ns0:c>
      <ns0:c r="I1045" s="28">
        <ns0:f>I1044+IF(AND(H1045="Eşleşmedi",E1045='Panel'!$B$4),1,0)</ns0:f>
        <ns0:v>3.0</ns0:v>
      </ns0:c>
    </ns0:row>
    <ns0:row r="1046" ht="21" customHeight="1">
      <ns0:c r="A1046" s="25" t="n"/>
      <ns0:c r="B1046" s="26" t="n"/>
      <ns0:c r="C1046" s="27" t="n"/>
      <ns0:c r="D1046" s="27" t="n"/>
      <ns0:c r="E1046" s="28" t="str">
        <ns0:f>IF(A1046="","",YEAR(A1046)&amp;"-"&amp;RIGHT("0"&amp;MONTH(A1046),2))</ns0:f>
        <ns0:v/>
      </ns0:c>
      <ns0:c r="F1046" s="28" t="str">
        <ns0:f>IF(OR(A1046="",B1046="",C1046&lt;=0),"",IF(SUMPRODUCT(('Müşteriler'!$B$2:$B$101&lt;&gt;"")*ISNUMBER(SEARCH('Müşteriler'!$B$2:$B$101,B1046)))=1,IFERROR(INDEX('Müşteriler'!$A$2:$A$101,SUMPRODUCT(('Müşteriler'!$B$2:$B$101&lt;&gt;"")*ISNUMBER(SEARCH('Müşteriler'!$B$2:$B$101,B1046)),ROW('Müşteriler'!$B$2:$B$101)-ROW('Müşteriler'!$B$2)+1)),""),""))</ns0:f>
        <ns0:v/>
      </ns0:c>
      <ns0:c r="G1046" s="28" t="str">
        <ns0:f>IF(F1046="","",IFERROR(INDEX('Müşteriler'!$C$2:$C$101,MATCH(F1046,'Müşteriler'!$A$2:$A$101,0)),""))</ns0:f>
        <ns0:v/>
      </ns0:c>
      <ns0:c r="H1046" s="28" t="str">
        <ns0:f>IF(A1046="","",IF(C1046&lt;=0,"Satış dışı",IF(OR(F1046="",G1046=""),"Eşleşmedi","Eşleşti")))</ns0:f>
        <ns0:v/>
      </ns0:c>
      <ns0:c r="I1046" s="28">
        <ns0:f>I1045+IF(AND(H1046="Eşleşmedi",E1046='Panel'!$B$4),1,0)</ns0:f>
        <ns0:v>3.0</ns0:v>
      </ns0:c>
    </ns0:row>
    <ns0:row r="1047" ht="21" customHeight="1">
      <ns0:c r="A1047" s="25" t="n"/>
      <ns0:c r="B1047" s="26" t="n"/>
      <ns0:c r="C1047" s="27" t="n"/>
      <ns0:c r="D1047" s="27" t="n"/>
      <ns0:c r="E1047" s="28" t="str">
        <ns0:f>IF(A1047="","",YEAR(A1047)&amp;"-"&amp;RIGHT("0"&amp;MONTH(A1047),2))</ns0:f>
        <ns0:v/>
      </ns0:c>
      <ns0:c r="F1047" s="28" t="str">
        <ns0:f>IF(OR(A1047="",B1047="",C1047&lt;=0),"",IF(SUMPRODUCT(('Müşteriler'!$B$2:$B$101&lt;&gt;"")*ISNUMBER(SEARCH('Müşteriler'!$B$2:$B$101,B1047)))=1,IFERROR(INDEX('Müşteriler'!$A$2:$A$101,SUMPRODUCT(('Müşteriler'!$B$2:$B$101&lt;&gt;"")*ISNUMBER(SEARCH('Müşteriler'!$B$2:$B$101,B1047)),ROW('Müşteriler'!$B$2:$B$101)-ROW('Müşteriler'!$B$2)+1)),""),""))</ns0:f>
        <ns0:v/>
      </ns0:c>
      <ns0:c r="G1047" s="28" t="str">
        <ns0:f>IF(F1047="","",IFERROR(INDEX('Müşteriler'!$C$2:$C$101,MATCH(F1047,'Müşteriler'!$A$2:$A$101,0)),""))</ns0:f>
        <ns0:v/>
      </ns0:c>
      <ns0:c r="H1047" s="28" t="str">
        <ns0:f>IF(A1047="","",IF(C1047&lt;=0,"Satış dışı",IF(OR(F1047="",G1047=""),"Eşleşmedi","Eşleşti")))</ns0:f>
        <ns0:v/>
      </ns0:c>
      <ns0:c r="I1047" s="28">
        <ns0:f>I1046+IF(AND(H1047="Eşleşmedi",E1047='Panel'!$B$4),1,0)</ns0:f>
        <ns0:v>3.0</ns0:v>
      </ns0:c>
    </ns0:row>
    <ns0:row r="1048" ht="21" customHeight="1">
      <ns0:c r="A1048" s="25" t="n"/>
      <ns0:c r="B1048" s="26" t="n"/>
      <ns0:c r="C1048" s="27" t="n"/>
      <ns0:c r="D1048" s="27" t="n"/>
      <ns0:c r="E1048" s="28" t="str">
        <ns0:f>IF(A1048="","",YEAR(A1048)&amp;"-"&amp;RIGHT("0"&amp;MONTH(A1048),2))</ns0:f>
        <ns0:v/>
      </ns0:c>
      <ns0:c r="F1048" s="28" t="str">
        <ns0:f>IF(OR(A1048="",B1048="",C1048&lt;=0),"",IF(SUMPRODUCT(('Müşteriler'!$B$2:$B$101&lt;&gt;"")*ISNUMBER(SEARCH('Müşteriler'!$B$2:$B$101,B1048)))=1,IFERROR(INDEX('Müşteriler'!$A$2:$A$101,SUMPRODUCT(('Müşteriler'!$B$2:$B$101&lt;&gt;"")*ISNUMBER(SEARCH('Müşteriler'!$B$2:$B$101,B1048)),ROW('Müşteriler'!$B$2:$B$101)-ROW('Müşteriler'!$B$2)+1)),""),""))</ns0:f>
        <ns0:v/>
      </ns0:c>
      <ns0:c r="G1048" s="28" t="str">
        <ns0:f>IF(F1048="","",IFERROR(INDEX('Müşteriler'!$C$2:$C$101,MATCH(F1048,'Müşteriler'!$A$2:$A$101,0)),""))</ns0:f>
        <ns0:v/>
      </ns0:c>
      <ns0:c r="H1048" s="28" t="str">
        <ns0:f>IF(A1048="","",IF(C1048&lt;=0,"Satış dışı",IF(OR(F1048="",G1048=""),"Eşleşmedi","Eşleşti")))</ns0:f>
        <ns0:v/>
      </ns0:c>
      <ns0:c r="I1048" s="28">
        <ns0:f>I1047+IF(AND(H1048="Eşleşmedi",E1048='Panel'!$B$4),1,0)</ns0:f>
        <ns0:v>3.0</ns0:v>
      </ns0:c>
    </ns0:row>
    <ns0:row r="1049" ht="21" customHeight="1">
      <ns0:c r="A1049" s="25" t="n"/>
      <ns0:c r="B1049" s="26" t="n"/>
      <ns0:c r="C1049" s="27" t="n"/>
      <ns0:c r="D1049" s="27" t="n"/>
      <ns0:c r="E1049" s="28" t="str">
        <ns0:f>IF(A1049="","",YEAR(A1049)&amp;"-"&amp;RIGHT("0"&amp;MONTH(A1049),2))</ns0:f>
        <ns0:v/>
      </ns0:c>
      <ns0:c r="F1049" s="28" t="str">
        <ns0:f>IF(OR(A1049="",B1049="",C1049&lt;=0),"",IF(SUMPRODUCT(('Müşteriler'!$B$2:$B$101&lt;&gt;"")*ISNUMBER(SEARCH('Müşteriler'!$B$2:$B$101,B1049)))=1,IFERROR(INDEX('Müşteriler'!$A$2:$A$101,SUMPRODUCT(('Müşteriler'!$B$2:$B$101&lt;&gt;"")*ISNUMBER(SEARCH('Müşteriler'!$B$2:$B$101,B1049)),ROW('Müşteriler'!$B$2:$B$101)-ROW('Müşteriler'!$B$2)+1)),""),""))</ns0:f>
        <ns0:v/>
      </ns0:c>
      <ns0:c r="G1049" s="28" t="str">
        <ns0:f>IF(F1049="","",IFERROR(INDEX('Müşteriler'!$C$2:$C$101,MATCH(F1049,'Müşteriler'!$A$2:$A$101,0)),""))</ns0:f>
        <ns0:v/>
      </ns0:c>
      <ns0:c r="H1049" s="28" t="str">
        <ns0:f>IF(A1049="","",IF(C1049&lt;=0,"Satış dışı",IF(OR(F1049="",G1049=""),"Eşleşmedi","Eşleşti")))</ns0:f>
        <ns0:v/>
      </ns0:c>
      <ns0:c r="I1049" s="28">
        <ns0:f>I1048+IF(AND(H1049="Eşleşmedi",E1049='Panel'!$B$4),1,0)</ns0:f>
        <ns0:v>3.0</ns0:v>
      </ns0:c>
    </ns0:row>
    <ns0:row r="1050" ht="21" customHeight="1">
      <ns0:c r="A1050" s="25" t="n"/>
      <ns0:c r="B1050" s="26" t="n"/>
      <ns0:c r="C1050" s="27" t="n"/>
      <ns0:c r="D1050" s="27" t="n"/>
      <ns0:c r="E1050" s="28" t="str">
        <ns0:f>IF(A1050="","",YEAR(A1050)&amp;"-"&amp;RIGHT("0"&amp;MONTH(A1050),2))</ns0:f>
        <ns0:v/>
      </ns0:c>
      <ns0:c r="F1050" s="28" t="str">
        <ns0:f>IF(OR(A1050="",B1050="",C1050&lt;=0),"",IF(SUMPRODUCT(('Müşteriler'!$B$2:$B$101&lt;&gt;"")*ISNUMBER(SEARCH('Müşteriler'!$B$2:$B$101,B1050)))=1,IFERROR(INDEX('Müşteriler'!$A$2:$A$101,SUMPRODUCT(('Müşteriler'!$B$2:$B$101&lt;&gt;"")*ISNUMBER(SEARCH('Müşteriler'!$B$2:$B$101,B1050)),ROW('Müşteriler'!$B$2:$B$101)-ROW('Müşteriler'!$B$2)+1)),""),""))</ns0:f>
        <ns0:v/>
      </ns0:c>
      <ns0:c r="G1050" s="28" t="str">
        <ns0:f>IF(F1050="","",IFERROR(INDEX('Müşteriler'!$C$2:$C$101,MATCH(F1050,'Müşteriler'!$A$2:$A$101,0)),""))</ns0:f>
        <ns0:v/>
      </ns0:c>
      <ns0:c r="H1050" s="28" t="str">
        <ns0:f>IF(A1050="","",IF(C1050&lt;=0,"Satış dışı",IF(OR(F1050="",G1050=""),"Eşleşmedi","Eşleşti")))</ns0:f>
        <ns0:v/>
      </ns0:c>
      <ns0:c r="I1050" s="28">
        <ns0:f>I1049+IF(AND(H1050="Eşleşmedi",E1050='Panel'!$B$4),1,0)</ns0:f>
        <ns0:v>3.0</ns0:v>
      </ns0:c>
    </ns0:row>
    <ns0:row r="1051" ht="21" customHeight="1">
      <ns0:c r="A1051" s="25" t="n"/>
      <ns0:c r="B1051" s="26" t="n"/>
      <ns0:c r="C1051" s="27" t="n"/>
      <ns0:c r="D1051" s="27" t="n"/>
      <ns0:c r="E1051" s="28" t="str">
        <ns0:f>IF(A1051="","",YEAR(A1051)&amp;"-"&amp;RIGHT("0"&amp;MONTH(A1051),2))</ns0:f>
        <ns0:v/>
      </ns0:c>
      <ns0:c r="F1051" s="28" t="str">
        <ns0:f>IF(OR(A1051="",B1051="",C1051&lt;=0),"",IF(SUMPRODUCT(('Müşteriler'!$B$2:$B$101&lt;&gt;"")*ISNUMBER(SEARCH('Müşteriler'!$B$2:$B$101,B1051)))=1,IFERROR(INDEX('Müşteriler'!$A$2:$A$101,SUMPRODUCT(('Müşteriler'!$B$2:$B$101&lt;&gt;"")*ISNUMBER(SEARCH('Müşteriler'!$B$2:$B$101,B1051)),ROW('Müşteriler'!$B$2:$B$101)-ROW('Müşteriler'!$B$2)+1)),""),""))</ns0:f>
        <ns0:v/>
      </ns0:c>
      <ns0:c r="G1051" s="28" t="str">
        <ns0:f>IF(F1051="","",IFERROR(INDEX('Müşteriler'!$C$2:$C$101,MATCH(F1051,'Müşteriler'!$A$2:$A$101,0)),""))</ns0:f>
        <ns0:v/>
      </ns0:c>
      <ns0:c r="H1051" s="28" t="str">
        <ns0:f>IF(A1051="","",IF(C1051&lt;=0,"Satış dışı",IF(OR(F1051="",G1051=""),"Eşleşmedi","Eşleşti")))</ns0:f>
        <ns0:v/>
      </ns0:c>
      <ns0:c r="I1051" s="28">
        <ns0:f>I1050+IF(AND(H1051="Eşleşmedi",E1051='Panel'!$B$4),1,0)</ns0:f>
        <ns0:v>3.0</ns0:v>
      </ns0:c>
    </ns0:row>
    <ns0:row r="1052" ht="21" customHeight="1">
      <ns0:c r="A1052" s="25" t="n"/>
      <ns0:c r="B1052" s="26" t="n"/>
      <ns0:c r="C1052" s="27" t="n"/>
      <ns0:c r="D1052" s="27" t="n"/>
      <ns0:c r="E1052" s="28" t="str">
        <ns0:f>IF(A1052="","",YEAR(A1052)&amp;"-"&amp;RIGHT("0"&amp;MONTH(A1052),2))</ns0:f>
        <ns0:v/>
      </ns0:c>
      <ns0:c r="F1052" s="28" t="str">
        <ns0:f>IF(OR(A1052="",B1052="",C1052&lt;=0),"",IF(SUMPRODUCT(('Müşteriler'!$B$2:$B$101&lt;&gt;"")*ISNUMBER(SEARCH('Müşteriler'!$B$2:$B$101,B1052)))=1,IFERROR(INDEX('Müşteriler'!$A$2:$A$101,SUMPRODUCT(('Müşteriler'!$B$2:$B$101&lt;&gt;"")*ISNUMBER(SEARCH('Müşteriler'!$B$2:$B$101,B1052)),ROW('Müşteriler'!$B$2:$B$101)-ROW('Müşteriler'!$B$2)+1)),""),""))</ns0:f>
        <ns0:v/>
      </ns0:c>
      <ns0:c r="G1052" s="28" t="str">
        <ns0:f>IF(F1052="","",IFERROR(INDEX('Müşteriler'!$C$2:$C$101,MATCH(F1052,'Müşteriler'!$A$2:$A$101,0)),""))</ns0:f>
        <ns0:v/>
      </ns0:c>
      <ns0:c r="H1052" s="28" t="str">
        <ns0:f>IF(A1052="","",IF(C1052&lt;=0,"Satış dışı",IF(OR(F1052="",G1052=""),"Eşleşmedi","Eşleşti")))</ns0:f>
        <ns0:v/>
      </ns0:c>
      <ns0:c r="I1052" s="28">
        <ns0:f>I1051+IF(AND(H1052="Eşleşmedi",E1052='Panel'!$B$4),1,0)</ns0:f>
        <ns0:v>3.0</ns0:v>
      </ns0:c>
    </ns0:row>
    <ns0:row r="1053" ht="21" customHeight="1">
      <ns0:c r="A1053" s="25" t="n"/>
      <ns0:c r="B1053" s="26" t="n"/>
      <ns0:c r="C1053" s="27" t="n"/>
      <ns0:c r="D1053" s="27" t="n"/>
      <ns0:c r="E1053" s="28" t="str">
        <ns0:f>IF(A1053="","",YEAR(A1053)&amp;"-"&amp;RIGHT("0"&amp;MONTH(A1053),2))</ns0:f>
        <ns0:v/>
      </ns0:c>
      <ns0:c r="F1053" s="28" t="str">
        <ns0:f>IF(OR(A1053="",B1053="",C1053&lt;=0),"",IF(SUMPRODUCT(('Müşteriler'!$B$2:$B$101&lt;&gt;"")*ISNUMBER(SEARCH('Müşteriler'!$B$2:$B$101,B1053)))=1,IFERROR(INDEX('Müşteriler'!$A$2:$A$101,SUMPRODUCT(('Müşteriler'!$B$2:$B$101&lt;&gt;"")*ISNUMBER(SEARCH('Müşteriler'!$B$2:$B$101,B1053)),ROW('Müşteriler'!$B$2:$B$101)-ROW('Müşteriler'!$B$2)+1)),""),""))</ns0:f>
        <ns0:v/>
      </ns0:c>
      <ns0:c r="G1053" s="28" t="str">
        <ns0:f>IF(F1053="","",IFERROR(INDEX('Müşteriler'!$C$2:$C$101,MATCH(F1053,'Müşteriler'!$A$2:$A$101,0)),""))</ns0:f>
        <ns0:v/>
      </ns0:c>
      <ns0:c r="H1053" s="28" t="str">
        <ns0:f>IF(A1053="","",IF(C1053&lt;=0,"Satış dışı",IF(OR(F1053="",G1053=""),"Eşleşmedi","Eşleşti")))</ns0:f>
        <ns0:v/>
      </ns0:c>
      <ns0:c r="I1053" s="28">
        <ns0:f>I1052+IF(AND(H1053="Eşleşmedi",E1053='Panel'!$B$4),1,0)</ns0:f>
        <ns0:v>3.0</ns0:v>
      </ns0:c>
    </ns0:row>
    <ns0:row r="1054" ht="21" customHeight="1">
      <ns0:c r="A1054" s="25" t="n"/>
      <ns0:c r="B1054" s="26" t="n"/>
      <ns0:c r="C1054" s="27" t="n"/>
      <ns0:c r="D1054" s="27" t="n"/>
      <ns0:c r="E1054" s="28" t="str">
        <ns0:f>IF(A1054="","",YEAR(A1054)&amp;"-"&amp;RIGHT("0"&amp;MONTH(A1054),2))</ns0:f>
        <ns0:v/>
      </ns0:c>
      <ns0:c r="F1054" s="28" t="str">
        <ns0:f>IF(OR(A1054="",B1054="",C1054&lt;=0),"",IF(SUMPRODUCT(('Müşteriler'!$B$2:$B$101&lt;&gt;"")*ISNUMBER(SEARCH('Müşteriler'!$B$2:$B$101,B1054)))=1,IFERROR(INDEX('Müşteriler'!$A$2:$A$101,SUMPRODUCT(('Müşteriler'!$B$2:$B$101&lt;&gt;"")*ISNUMBER(SEARCH('Müşteriler'!$B$2:$B$101,B1054)),ROW('Müşteriler'!$B$2:$B$101)-ROW('Müşteriler'!$B$2)+1)),""),""))</ns0:f>
        <ns0:v/>
      </ns0:c>
      <ns0:c r="G1054" s="28" t="str">
        <ns0:f>IF(F1054="","",IFERROR(INDEX('Müşteriler'!$C$2:$C$101,MATCH(F1054,'Müşteriler'!$A$2:$A$101,0)),""))</ns0:f>
        <ns0:v/>
      </ns0:c>
      <ns0:c r="H1054" s="28" t="str">
        <ns0:f>IF(A1054="","",IF(C1054&lt;=0,"Satış dışı",IF(OR(F1054="",G1054=""),"Eşleşmedi","Eşleşti")))</ns0:f>
        <ns0:v/>
      </ns0:c>
      <ns0:c r="I1054" s="28">
        <ns0:f>I1053+IF(AND(H1054="Eşleşmedi",E1054='Panel'!$B$4),1,0)</ns0:f>
        <ns0:v>3.0</ns0:v>
      </ns0:c>
    </ns0:row>
    <ns0:row r="1055" ht="21" customHeight="1">
      <ns0:c r="A1055" s="25" t="n"/>
      <ns0:c r="B1055" s="26" t="n"/>
      <ns0:c r="C1055" s="27" t="n"/>
      <ns0:c r="D1055" s="27" t="n"/>
      <ns0:c r="E1055" s="28" t="str">
        <ns0:f>IF(A1055="","",YEAR(A1055)&amp;"-"&amp;RIGHT("0"&amp;MONTH(A1055),2))</ns0:f>
        <ns0:v/>
      </ns0:c>
      <ns0:c r="F1055" s="28" t="str">
        <ns0:f>IF(OR(A1055="",B1055="",C1055&lt;=0),"",IF(SUMPRODUCT(('Müşteriler'!$B$2:$B$101&lt;&gt;"")*ISNUMBER(SEARCH('Müşteriler'!$B$2:$B$101,B1055)))=1,IFERROR(INDEX('Müşteriler'!$A$2:$A$101,SUMPRODUCT(('Müşteriler'!$B$2:$B$101&lt;&gt;"")*ISNUMBER(SEARCH('Müşteriler'!$B$2:$B$101,B1055)),ROW('Müşteriler'!$B$2:$B$101)-ROW('Müşteriler'!$B$2)+1)),""),""))</ns0:f>
        <ns0:v/>
      </ns0:c>
      <ns0:c r="G1055" s="28" t="str">
        <ns0:f>IF(F1055="","",IFERROR(INDEX('Müşteriler'!$C$2:$C$101,MATCH(F1055,'Müşteriler'!$A$2:$A$101,0)),""))</ns0:f>
        <ns0:v/>
      </ns0:c>
      <ns0:c r="H1055" s="28" t="str">
        <ns0:f>IF(A1055="","",IF(C1055&lt;=0,"Satış dışı",IF(OR(F1055="",G1055=""),"Eşleşmedi","Eşleşti")))</ns0:f>
        <ns0:v/>
      </ns0:c>
      <ns0:c r="I1055" s="28">
        <ns0:f>I1054+IF(AND(H1055="Eşleşmedi",E1055='Panel'!$B$4),1,0)</ns0:f>
        <ns0:v>3.0</ns0:v>
      </ns0:c>
    </ns0:row>
    <ns0:row r="1056" ht="21" customHeight="1">
      <ns0:c r="A1056" s="25" t="n"/>
      <ns0:c r="B1056" s="26" t="n"/>
      <ns0:c r="C1056" s="27" t="n"/>
      <ns0:c r="D1056" s="27" t="n"/>
      <ns0:c r="E1056" s="28" t="str">
        <ns0:f>IF(A1056="","",YEAR(A1056)&amp;"-"&amp;RIGHT("0"&amp;MONTH(A1056),2))</ns0:f>
        <ns0:v/>
      </ns0:c>
      <ns0:c r="F1056" s="28" t="str">
        <ns0:f>IF(OR(A1056="",B1056="",C1056&lt;=0),"",IF(SUMPRODUCT(('Müşteriler'!$B$2:$B$101&lt;&gt;"")*ISNUMBER(SEARCH('Müşteriler'!$B$2:$B$101,B1056)))=1,IFERROR(INDEX('Müşteriler'!$A$2:$A$101,SUMPRODUCT(('Müşteriler'!$B$2:$B$101&lt;&gt;"")*ISNUMBER(SEARCH('Müşteriler'!$B$2:$B$101,B1056)),ROW('Müşteriler'!$B$2:$B$101)-ROW('Müşteriler'!$B$2)+1)),""),""))</ns0:f>
        <ns0:v/>
      </ns0:c>
      <ns0:c r="G1056" s="28" t="str">
        <ns0:f>IF(F1056="","",IFERROR(INDEX('Müşteriler'!$C$2:$C$101,MATCH(F1056,'Müşteriler'!$A$2:$A$101,0)),""))</ns0:f>
        <ns0:v/>
      </ns0:c>
      <ns0:c r="H1056" s="28" t="str">
        <ns0:f>IF(A1056="","",IF(C1056&lt;=0,"Satış dışı",IF(OR(F1056="",G1056=""),"Eşleşmedi","Eşleşti")))</ns0:f>
        <ns0:v/>
      </ns0:c>
      <ns0:c r="I1056" s="28">
        <ns0:f>I1055+IF(AND(H1056="Eşleşmedi",E1056='Panel'!$B$4),1,0)</ns0:f>
        <ns0:v>3.0</ns0:v>
      </ns0:c>
    </ns0:row>
    <ns0:row r="1057" ht="21" customHeight="1">
      <ns0:c r="A1057" s="25" t="n"/>
      <ns0:c r="B1057" s="26" t="n"/>
      <ns0:c r="C1057" s="27" t="n"/>
      <ns0:c r="D1057" s="27" t="n"/>
      <ns0:c r="E1057" s="28" t="str">
        <ns0:f>IF(A1057="","",YEAR(A1057)&amp;"-"&amp;RIGHT("0"&amp;MONTH(A1057),2))</ns0:f>
        <ns0:v/>
      </ns0:c>
      <ns0:c r="F1057" s="28" t="str">
        <ns0:f>IF(OR(A1057="",B1057="",C1057&lt;=0),"",IF(SUMPRODUCT(('Müşteriler'!$B$2:$B$101&lt;&gt;"")*ISNUMBER(SEARCH('Müşteriler'!$B$2:$B$101,B1057)))=1,IFERROR(INDEX('Müşteriler'!$A$2:$A$101,SUMPRODUCT(('Müşteriler'!$B$2:$B$101&lt;&gt;"")*ISNUMBER(SEARCH('Müşteriler'!$B$2:$B$101,B1057)),ROW('Müşteriler'!$B$2:$B$101)-ROW('Müşteriler'!$B$2)+1)),""),""))</ns0:f>
        <ns0:v/>
      </ns0:c>
      <ns0:c r="G1057" s="28" t="str">
        <ns0:f>IF(F1057="","",IFERROR(INDEX('Müşteriler'!$C$2:$C$101,MATCH(F1057,'Müşteriler'!$A$2:$A$101,0)),""))</ns0:f>
        <ns0:v/>
      </ns0:c>
      <ns0:c r="H1057" s="28" t="str">
        <ns0:f>IF(A1057="","",IF(C1057&lt;=0,"Satış dışı",IF(OR(F1057="",G1057=""),"Eşleşmedi","Eşleşti")))</ns0:f>
        <ns0:v/>
      </ns0:c>
      <ns0:c r="I1057" s="28">
        <ns0:f>I1056+IF(AND(H1057="Eşleşmedi",E1057='Panel'!$B$4),1,0)</ns0:f>
        <ns0:v>3.0</ns0:v>
      </ns0:c>
    </ns0:row>
    <ns0:row r="1058" ht="21" customHeight="1">
      <ns0:c r="A1058" s="25" t="n"/>
      <ns0:c r="B1058" s="26" t="n"/>
      <ns0:c r="C1058" s="27" t="n"/>
      <ns0:c r="D1058" s="27" t="n"/>
      <ns0:c r="E1058" s="28" t="str">
        <ns0:f>IF(A1058="","",YEAR(A1058)&amp;"-"&amp;RIGHT("0"&amp;MONTH(A1058),2))</ns0:f>
        <ns0:v/>
      </ns0:c>
      <ns0:c r="F1058" s="28" t="str">
        <ns0:f>IF(OR(A1058="",B1058="",C1058&lt;=0),"",IF(SUMPRODUCT(('Müşteriler'!$B$2:$B$101&lt;&gt;"")*ISNUMBER(SEARCH('Müşteriler'!$B$2:$B$101,B1058)))=1,IFERROR(INDEX('Müşteriler'!$A$2:$A$101,SUMPRODUCT(('Müşteriler'!$B$2:$B$101&lt;&gt;"")*ISNUMBER(SEARCH('Müşteriler'!$B$2:$B$101,B1058)),ROW('Müşteriler'!$B$2:$B$101)-ROW('Müşteriler'!$B$2)+1)),""),""))</ns0:f>
        <ns0:v/>
      </ns0:c>
      <ns0:c r="G1058" s="28" t="str">
        <ns0:f>IF(F1058="","",IFERROR(INDEX('Müşteriler'!$C$2:$C$101,MATCH(F1058,'Müşteriler'!$A$2:$A$101,0)),""))</ns0:f>
        <ns0:v/>
      </ns0:c>
      <ns0:c r="H1058" s="28" t="str">
        <ns0:f>IF(A1058="","",IF(C1058&lt;=0,"Satış dışı",IF(OR(F1058="",G1058=""),"Eşleşmedi","Eşleşti")))</ns0:f>
        <ns0:v/>
      </ns0:c>
      <ns0:c r="I1058" s="28">
        <ns0:f>I1057+IF(AND(H1058="Eşleşmedi",E1058='Panel'!$B$4),1,0)</ns0:f>
        <ns0:v>3.0</ns0:v>
      </ns0:c>
    </ns0:row>
    <ns0:row r="1059" ht="21" customHeight="1">
      <ns0:c r="A1059" s="25" t="n"/>
      <ns0:c r="B1059" s="26" t="n"/>
      <ns0:c r="C1059" s="27" t="n"/>
      <ns0:c r="D1059" s="27" t="n"/>
      <ns0:c r="E1059" s="28" t="str">
        <ns0:f>IF(A1059="","",YEAR(A1059)&amp;"-"&amp;RIGHT("0"&amp;MONTH(A1059),2))</ns0:f>
        <ns0:v/>
      </ns0:c>
      <ns0:c r="F1059" s="28" t="str">
        <ns0:f>IF(OR(A1059="",B1059="",C1059&lt;=0),"",IF(SUMPRODUCT(('Müşteriler'!$B$2:$B$101&lt;&gt;"")*ISNUMBER(SEARCH('Müşteriler'!$B$2:$B$101,B1059)))=1,IFERROR(INDEX('Müşteriler'!$A$2:$A$101,SUMPRODUCT(('Müşteriler'!$B$2:$B$101&lt;&gt;"")*ISNUMBER(SEARCH('Müşteriler'!$B$2:$B$101,B1059)),ROW('Müşteriler'!$B$2:$B$101)-ROW('Müşteriler'!$B$2)+1)),""),""))</ns0:f>
        <ns0:v/>
      </ns0:c>
      <ns0:c r="G1059" s="28" t="str">
        <ns0:f>IF(F1059="","",IFERROR(INDEX('Müşteriler'!$C$2:$C$101,MATCH(F1059,'Müşteriler'!$A$2:$A$101,0)),""))</ns0:f>
        <ns0:v/>
      </ns0:c>
      <ns0:c r="H1059" s="28" t="str">
        <ns0:f>IF(A1059="","",IF(C1059&lt;=0,"Satış dışı",IF(OR(F1059="",G1059=""),"Eşleşmedi","Eşleşti")))</ns0:f>
        <ns0:v/>
      </ns0:c>
      <ns0:c r="I1059" s="28">
        <ns0:f>I1058+IF(AND(H1059="Eşleşmedi",E1059='Panel'!$B$4),1,0)</ns0:f>
        <ns0:v>3.0</ns0:v>
      </ns0:c>
    </ns0:row>
    <ns0:row r="1060" ht="21" customHeight="1">
      <ns0:c r="A1060" s="25" t="n"/>
      <ns0:c r="B1060" s="26" t="n"/>
      <ns0:c r="C1060" s="27" t="n"/>
      <ns0:c r="D1060" s="27" t="n"/>
      <ns0:c r="E1060" s="28" t="str">
        <ns0:f>IF(A1060="","",YEAR(A1060)&amp;"-"&amp;RIGHT("0"&amp;MONTH(A1060),2))</ns0:f>
        <ns0:v/>
      </ns0:c>
      <ns0:c r="F1060" s="28" t="str">
        <ns0:f>IF(OR(A1060="",B1060="",C1060&lt;=0),"",IF(SUMPRODUCT(('Müşteriler'!$B$2:$B$101&lt;&gt;"")*ISNUMBER(SEARCH('Müşteriler'!$B$2:$B$101,B1060)))=1,IFERROR(INDEX('Müşteriler'!$A$2:$A$101,SUMPRODUCT(('Müşteriler'!$B$2:$B$101&lt;&gt;"")*ISNUMBER(SEARCH('Müşteriler'!$B$2:$B$101,B1060)),ROW('Müşteriler'!$B$2:$B$101)-ROW('Müşteriler'!$B$2)+1)),""),""))</ns0:f>
        <ns0:v/>
      </ns0:c>
      <ns0:c r="G1060" s="28" t="str">
        <ns0:f>IF(F1060="","",IFERROR(INDEX('Müşteriler'!$C$2:$C$101,MATCH(F1060,'Müşteriler'!$A$2:$A$101,0)),""))</ns0:f>
        <ns0:v/>
      </ns0:c>
      <ns0:c r="H1060" s="28" t="str">
        <ns0:f>IF(A1060="","",IF(C1060&lt;=0,"Satış dışı",IF(OR(F1060="",G1060=""),"Eşleşmedi","Eşleşti")))</ns0:f>
        <ns0:v/>
      </ns0:c>
      <ns0:c r="I1060" s="28">
        <ns0:f>I1059+IF(AND(H1060="Eşleşmedi",E1060='Panel'!$B$4),1,0)</ns0:f>
        <ns0:v>3.0</ns0:v>
      </ns0:c>
    </ns0:row>
    <ns0:row r="1061" ht="21" customHeight="1">
      <ns0:c r="A1061" s="25" t="n"/>
      <ns0:c r="B1061" s="26" t="n"/>
      <ns0:c r="C1061" s="27" t="n"/>
      <ns0:c r="D1061" s="27" t="n"/>
      <ns0:c r="E1061" s="28" t="str">
        <ns0:f>IF(A1061="","",YEAR(A1061)&amp;"-"&amp;RIGHT("0"&amp;MONTH(A1061),2))</ns0:f>
        <ns0:v/>
      </ns0:c>
      <ns0:c r="F1061" s="28" t="str">
        <ns0:f>IF(OR(A1061="",B1061="",C1061&lt;=0),"",IF(SUMPRODUCT(('Müşteriler'!$B$2:$B$101&lt;&gt;"")*ISNUMBER(SEARCH('Müşteriler'!$B$2:$B$101,B1061)))=1,IFERROR(INDEX('Müşteriler'!$A$2:$A$101,SUMPRODUCT(('Müşteriler'!$B$2:$B$101&lt;&gt;"")*ISNUMBER(SEARCH('Müşteriler'!$B$2:$B$101,B1061)),ROW('Müşteriler'!$B$2:$B$101)-ROW('Müşteriler'!$B$2)+1)),""),""))</ns0:f>
        <ns0:v/>
      </ns0:c>
      <ns0:c r="G1061" s="28" t="str">
        <ns0:f>IF(F1061="","",IFERROR(INDEX('Müşteriler'!$C$2:$C$101,MATCH(F1061,'Müşteriler'!$A$2:$A$101,0)),""))</ns0:f>
        <ns0:v/>
      </ns0:c>
      <ns0:c r="H1061" s="28" t="str">
        <ns0:f>IF(A1061="","",IF(C1061&lt;=0,"Satış dışı",IF(OR(F1061="",G1061=""),"Eşleşmedi","Eşleşti")))</ns0:f>
        <ns0:v/>
      </ns0:c>
      <ns0:c r="I1061" s="28">
        <ns0:f>I1060+IF(AND(H1061="Eşleşmedi",E1061='Panel'!$B$4),1,0)</ns0:f>
        <ns0:v>3.0</ns0:v>
      </ns0:c>
    </ns0:row>
    <ns0:row r="1062" ht="21" customHeight="1">
      <ns0:c r="A1062" s="25" t="n"/>
      <ns0:c r="B1062" s="26" t="n"/>
      <ns0:c r="C1062" s="27" t="n"/>
      <ns0:c r="D1062" s="27" t="n"/>
      <ns0:c r="E1062" s="28" t="str">
        <ns0:f>IF(A1062="","",YEAR(A1062)&amp;"-"&amp;RIGHT("0"&amp;MONTH(A1062),2))</ns0:f>
        <ns0:v/>
      </ns0:c>
      <ns0:c r="F1062" s="28" t="str">
        <ns0:f>IF(OR(A1062="",B1062="",C1062&lt;=0),"",IF(SUMPRODUCT(('Müşteriler'!$B$2:$B$101&lt;&gt;"")*ISNUMBER(SEARCH('Müşteriler'!$B$2:$B$101,B1062)))=1,IFERROR(INDEX('Müşteriler'!$A$2:$A$101,SUMPRODUCT(('Müşteriler'!$B$2:$B$101&lt;&gt;"")*ISNUMBER(SEARCH('Müşteriler'!$B$2:$B$101,B1062)),ROW('Müşteriler'!$B$2:$B$101)-ROW('Müşteriler'!$B$2)+1)),""),""))</ns0:f>
        <ns0:v/>
      </ns0:c>
      <ns0:c r="G1062" s="28" t="str">
        <ns0:f>IF(F1062="","",IFERROR(INDEX('Müşteriler'!$C$2:$C$101,MATCH(F1062,'Müşteriler'!$A$2:$A$101,0)),""))</ns0:f>
        <ns0:v/>
      </ns0:c>
      <ns0:c r="H1062" s="28" t="str">
        <ns0:f>IF(A1062="","",IF(C1062&lt;=0,"Satış dışı",IF(OR(F1062="",G1062=""),"Eşleşmedi","Eşleşti")))</ns0:f>
        <ns0:v/>
      </ns0:c>
      <ns0:c r="I1062" s="28">
        <ns0:f>I1061+IF(AND(H1062="Eşleşmedi",E1062='Panel'!$B$4),1,0)</ns0:f>
        <ns0:v>3.0</ns0:v>
      </ns0:c>
    </ns0:row>
    <ns0:row r="1063" ht="21" customHeight="1">
      <ns0:c r="A1063" s="25" t="n"/>
      <ns0:c r="B1063" s="26" t="n"/>
      <ns0:c r="C1063" s="27" t="n"/>
      <ns0:c r="D1063" s="27" t="n"/>
      <ns0:c r="E1063" s="28" t="str">
        <ns0:f>IF(A1063="","",YEAR(A1063)&amp;"-"&amp;RIGHT("0"&amp;MONTH(A1063),2))</ns0:f>
        <ns0:v/>
      </ns0:c>
      <ns0:c r="F1063" s="28" t="str">
        <ns0:f>IF(OR(A1063="",B1063="",C1063&lt;=0),"",IF(SUMPRODUCT(('Müşteriler'!$B$2:$B$101&lt;&gt;"")*ISNUMBER(SEARCH('Müşteriler'!$B$2:$B$101,B1063)))=1,IFERROR(INDEX('Müşteriler'!$A$2:$A$101,SUMPRODUCT(('Müşteriler'!$B$2:$B$101&lt;&gt;"")*ISNUMBER(SEARCH('Müşteriler'!$B$2:$B$101,B1063)),ROW('Müşteriler'!$B$2:$B$101)-ROW('Müşteriler'!$B$2)+1)),""),""))</ns0:f>
        <ns0:v/>
      </ns0:c>
      <ns0:c r="G1063" s="28" t="str">
        <ns0:f>IF(F1063="","",IFERROR(INDEX('Müşteriler'!$C$2:$C$101,MATCH(F1063,'Müşteriler'!$A$2:$A$101,0)),""))</ns0:f>
        <ns0:v/>
      </ns0:c>
      <ns0:c r="H1063" s="28" t="str">
        <ns0:f>IF(A1063="","",IF(C1063&lt;=0,"Satış dışı",IF(OR(F1063="",G1063=""),"Eşleşmedi","Eşleşti")))</ns0:f>
        <ns0:v/>
      </ns0:c>
      <ns0:c r="I1063" s="28">
        <ns0:f>I1062+IF(AND(H1063="Eşleşmedi",E1063='Panel'!$B$4),1,0)</ns0:f>
        <ns0:v>3.0</ns0:v>
      </ns0:c>
    </ns0:row>
    <ns0:row r="1064" ht="21" customHeight="1">
      <ns0:c r="A1064" s="25" t="n"/>
      <ns0:c r="B1064" s="26" t="n"/>
      <ns0:c r="C1064" s="27" t="n"/>
      <ns0:c r="D1064" s="27" t="n"/>
      <ns0:c r="E1064" s="28" t="str">
        <ns0:f>IF(A1064="","",YEAR(A1064)&amp;"-"&amp;RIGHT("0"&amp;MONTH(A1064),2))</ns0:f>
        <ns0:v/>
      </ns0:c>
      <ns0:c r="F1064" s="28" t="str">
        <ns0:f>IF(OR(A1064="",B1064="",C1064&lt;=0),"",IF(SUMPRODUCT(('Müşteriler'!$B$2:$B$101&lt;&gt;"")*ISNUMBER(SEARCH('Müşteriler'!$B$2:$B$101,B1064)))=1,IFERROR(INDEX('Müşteriler'!$A$2:$A$101,SUMPRODUCT(('Müşteriler'!$B$2:$B$101&lt;&gt;"")*ISNUMBER(SEARCH('Müşteriler'!$B$2:$B$101,B1064)),ROW('Müşteriler'!$B$2:$B$101)-ROW('Müşteriler'!$B$2)+1)),""),""))</ns0:f>
        <ns0:v/>
      </ns0:c>
      <ns0:c r="G1064" s="28" t="str">
        <ns0:f>IF(F1064="","",IFERROR(INDEX('Müşteriler'!$C$2:$C$101,MATCH(F1064,'Müşteriler'!$A$2:$A$101,0)),""))</ns0:f>
        <ns0:v/>
      </ns0:c>
      <ns0:c r="H1064" s="28" t="str">
        <ns0:f>IF(A1064="","",IF(C1064&lt;=0,"Satış dışı",IF(OR(F1064="",G1064=""),"Eşleşmedi","Eşleşti")))</ns0:f>
        <ns0:v/>
      </ns0:c>
      <ns0:c r="I1064" s="28">
        <ns0:f>I1063+IF(AND(H1064="Eşleşmedi",E1064='Panel'!$B$4),1,0)</ns0:f>
        <ns0:v>3.0</ns0:v>
      </ns0:c>
    </ns0:row>
    <ns0:row r="1065" ht="21" customHeight="1">
      <ns0:c r="A1065" s="25" t="n"/>
      <ns0:c r="B1065" s="26" t="n"/>
      <ns0:c r="C1065" s="27" t="n"/>
      <ns0:c r="D1065" s="27" t="n"/>
      <ns0:c r="E1065" s="28" t="str">
        <ns0:f>IF(A1065="","",YEAR(A1065)&amp;"-"&amp;RIGHT("0"&amp;MONTH(A1065),2))</ns0:f>
        <ns0:v/>
      </ns0:c>
      <ns0:c r="F1065" s="28" t="str">
        <ns0:f>IF(OR(A1065="",B1065="",C1065&lt;=0),"",IF(SUMPRODUCT(('Müşteriler'!$B$2:$B$101&lt;&gt;"")*ISNUMBER(SEARCH('Müşteriler'!$B$2:$B$101,B1065)))=1,IFERROR(INDEX('Müşteriler'!$A$2:$A$101,SUMPRODUCT(('Müşteriler'!$B$2:$B$101&lt;&gt;"")*ISNUMBER(SEARCH('Müşteriler'!$B$2:$B$101,B1065)),ROW('Müşteriler'!$B$2:$B$101)-ROW('Müşteriler'!$B$2)+1)),""),""))</ns0:f>
        <ns0:v/>
      </ns0:c>
      <ns0:c r="G1065" s="28" t="str">
        <ns0:f>IF(F1065="","",IFERROR(INDEX('Müşteriler'!$C$2:$C$101,MATCH(F1065,'Müşteriler'!$A$2:$A$101,0)),""))</ns0:f>
        <ns0:v/>
      </ns0:c>
      <ns0:c r="H1065" s="28" t="str">
        <ns0:f>IF(A1065="","",IF(C1065&lt;=0,"Satış dışı",IF(OR(F1065="",G1065=""),"Eşleşmedi","Eşleşti")))</ns0:f>
        <ns0:v/>
      </ns0:c>
      <ns0:c r="I1065" s="28">
        <ns0:f>I1064+IF(AND(H1065="Eşleşmedi",E1065='Panel'!$B$4),1,0)</ns0:f>
        <ns0:v>3.0</ns0:v>
      </ns0:c>
    </ns0:row>
    <ns0:row r="1066" ht="21" customHeight="1">
      <ns0:c r="A1066" s="25" t="n"/>
      <ns0:c r="B1066" s="26" t="n"/>
      <ns0:c r="C1066" s="27" t="n"/>
      <ns0:c r="D1066" s="27" t="n"/>
      <ns0:c r="E1066" s="28" t="str">
        <ns0:f>IF(A1066="","",YEAR(A1066)&amp;"-"&amp;RIGHT("0"&amp;MONTH(A1066),2))</ns0:f>
        <ns0:v/>
      </ns0:c>
      <ns0:c r="F1066" s="28" t="str">
        <ns0:f>IF(OR(A1066="",B1066="",C1066&lt;=0),"",IF(SUMPRODUCT(('Müşteriler'!$B$2:$B$101&lt;&gt;"")*ISNUMBER(SEARCH('Müşteriler'!$B$2:$B$101,B1066)))=1,IFERROR(INDEX('Müşteriler'!$A$2:$A$101,SUMPRODUCT(('Müşteriler'!$B$2:$B$101&lt;&gt;"")*ISNUMBER(SEARCH('Müşteriler'!$B$2:$B$101,B1066)),ROW('Müşteriler'!$B$2:$B$101)-ROW('Müşteriler'!$B$2)+1)),""),""))</ns0:f>
        <ns0:v/>
      </ns0:c>
      <ns0:c r="G1066" s="28" t="str">
        <ns0:f>IF(F1066="","",IFERROR(INDEX('Müşteriler'!$C$2:$C$101,MATCH(F1066,'Müşteriler'!$A$2:$A$101,0)),""))</ns0:f>
        <ns0:v/>
      </ns0:c>
      <ns0:c r="H1066" s="28" t="str">
        <ns0:f>IF(A1066="","",IF(C1066&lt;=0,"Satış dışı",IF(OR(F1066="",G1066=""),"Eşleşmedi","Eşleşti")))</ns0:f>
        <ns0:v/>
      </ns0:c>
      <ns0:c r="I1066" s="28">
        <ns0:f>I1065+IF(AND(H1066="Eşleşmedi",E1066='Panel'!$B$4),1,0)</ns0:f>
        <ns0:v>3.0</ns0:v>
      </ns0:c>
    </ns0:row>
    <ns0:row r="1067" ht="21" customHeight="1">
      <ns0:c r="A1067" s="25" t="n"/>
      <ns0:c r="B1067" s="26" t="n"/>
      <ns0:c r="C1067" s="27" t="n"/>
      <ns0:c r="D1067" s="27" t="n"/>
      <ns0:c r="E1067" s="28" t="str">
        <ns0:f>IF(A1067="","",YEAR(A1067)&amp;"-"&amp;RIGHT("0"&amp;MONTH(A1067),2))</ns0:f>
        <ns0:v/>
      </ns0:c>
      <ns0:c r="F1067" s="28" t="str">
        <ns0:f>IF(OR(A1067="",B1067="",C1067&lt;=0),"",IF(SUMPRODUCT(('Müşteriler'!$B$2:$B$101&lt;&gt;"")*ISNUMBER(SEARCH('Müşteriler'!$B$2:$B$101,B1067)))=1,IFERROR(INDEX('Müşteriler'!$A$2:$A$101,SUMPRODUCT(('Müşteriler'!$B$2:$B$101&lt;&gt;"")*ISNUMBER(SEARCH('Müşteriler'!$B$2:$B$101,B1067)),ROW('Müşteriler'!$B$2:$B$101)-ROW('Müşteriler'!$B$2)+1)),""),""))</ns0:f>
        <ns0:v/>
      </ns0:c>
      <ns0:c r="G1067" s="28" t="str">
        <ns0:f>IF(F1067="","",IFERROR(INDEX('Müşteriler'!$C$2:$C$101,MATCH(F1067,'Müşteriler'!$A$2:$A$101,0)),""))</ns0:f>
        <ns0:v/>
      </ns0:c>
      <ns0:c r="H1067" s="28" t="str">
        <ns0:f>IF(A1067="","",IF(C1067&lt;=0,"Satış dışı",IF(OR(F1067="",G1067=""),"Eşleşmedi","Eşleşti")))</ns0:f>
        <ns0:v/>
      </ns0:c>
      <ns0:c r="I1067" s="28">
        <ns0:f>I1066+IF(AND(H1067="Eşleşmedi",E1067='Panel'!$B$4),1,0)</ns0:f>
        <ns0:v>3.0</ns0:v>
      </ns0:c>
    </ns0:row>
    <ns0:row r="1068" ht="21" customHeight="1">
      <ns0:c r="A1068" s="25" t="n"/>
      <ns0:c r="B1068" s="26" t="n"/>
      <ns0:c r="C1068" s="27" t="n"/>
      <ns0:c r="D1068" s="27" t="n"/>
      <ns0:c r="E1068" s="28" t="str">
        <ns0:f>IF(A1068="","",YEAR(A1068)&amp;"-"&amp;RIGHT("0"&amp;MONTH(A1068),2))</ns0:f>
        <ns0:v/>
      </ns0:c>
      <ns0:c r="F1068" s="28" t="str">
        <ns0:f>IF(OR(A1068="",B1068="",C1068&lt;=0),"",IF(SUMPRODUCT(('Müşteriler'!$B$2:$B$101&lt;&gt;"")*ISNUMBER(SEARCH('Müşteriler'!$B$2:$B$101,B1068)))=1,IFERROR(INDEX('Müşteriler'!$A$2:$A$101,SUMPRODUCT(('Müşteriler'!$B$2:$B$101&lt;&gt;"")*ISNUMBER(SEARCH('Müşteriler'!$B$2:$B$101,B1068)),ROW('Müşteriler'!$B$2:$B$101)-ROW('Müşteriler'!$B$2)+1)),""),""))</ns0:f>
        <ns0:v/>
      </ns0:c>
      <ns0:c r="G1068" s="28" t="str">
        <ns0:f>IF(F1068="","",IFERROR(INDEX('Müşteriler'!$C$2:$C$101,MATCH(F1068,'Müşteriler'!$A$2:$A$101,0)),""))</ns0:f>
        <ns0:v/>
      </ns0:c>
      <ns0:c r="H1068" s="28" t="str">
        <ns0:f>IF(A1068="","",IF(C1068&lt;=0,"Satış dışı",IF(OR(F1068="",G1068=""),"Eşleşmedi","Eşleşti")))</ns0:f>
        <ns0:v/>
      </ns0:c>
      <ns0:c r="I1068" s="28">
        <ns0:f>I1067+IF(AND(H1068="Eşleşmedi",E1068='Panel'!$B$4),1,0)</ns0:f>
        <ns0:v>3.0</ns0:v>
      </ns0:c>
    </ns0:row>
    <ns0:row r="1069" ht="21" customHeight="1">
      <ns0:c r="A1069" s="25" t="n"/>
      <ns0:c r="B1069" s="26" t="n"/>
      <ns0:c r="C1069" s="27" t="n"/>
      <ns0:c r="D1069" s="27" t="n"/>
      <ns0:c r="E1069" s="28" t="str">
        <ns0:f>IF(A1069="","",YEAR(A1069)&amp;"-"&amp;RIGHT("0"&amp;MONTH(A1069),2))</ns0:f>
        <ns0:v/>
      </ns0:c>
      <ns0:c r="F1069" s="28" t="str">
        <ns0:f>IF(OR(A1069="",B1069="",C1069&lt;=0),"",IF(SUMPRODUCT(('Müşteriler'!$B$2:$B$101&lt;&gt;"")*ISNUMBER(SEARCH('Müşteriler'!$B$2:$B$101,B1069)))=1,IFERROR(INDEX('Müşteriler'!$A$2:$A$101,SUMPRODUCT(('Müşteriler'!$B$2:$B$101&lt;&gt;"")*ISNUMBER(SEARCH('Müşteriler'!$B$2:$B$101,B1069)),ROW('Müşteriler'!$B$2:$B$101)-ROW('Müşteriler'!$B$2)+1)),""),""))</ns0:f>
        <ns0:v/>
      </ns0:c>
      <ns0:c r="G1069" s="28" t="str">
        <ns0:f>IF(F1069="","",IFERROR(INDEX('Müşteriler'!$C$2:$C$101,MATCH(F1069,'Müşteriler'!$A$2:$A$101,0)),""))</ns0:f>
        <ns0:v/>
      </ns0:c>
      <ns0:c r="H1069" s="28" t="str">
        <ns0:f>IF(A1069="","",IF(C1069&lt;=0,"Satış dışı",IF(OR(F1069="",G1069=""),"Eşleşmedi","Eşleşti")))</ns0:f>
        <ns0:v/>
      </ns0:c>
      <ns0:c r="I1069" s="28">
        <ns0:f>I1068+IF(AND(H1069="Eşleşmedi",E1069='Panel'!$B$4),1,0)</ns0:f>
        <ns0:v>3.0</ns0:v>
      </ns0:c>
    </ns0:row>
    <ns0:row r="1070" ht="21" customHeight="1">
      <ns0:c r="A1070" s="25" t="n"/>
      <ns0:c r="B1070" s="26" t="n"/>
      <ns0:c r="C1070" s="27" t="n"/>
      <ns0:c r="D1070" s="27" t="n"/>
      <ns0:c r="E1070" s="28" t="str">
        <ns0:f>IF(A1070="","",YEAR(A1070)&amp;"-"&amp;RIGHT("0"&amp;MONTH(A1070),2))</ns0:f>
        <ns0:v/>
      </ns0:c>
      <ns0:c r="F1070" s="28" t="str">
        <ns0:f>IF(OR(A1070="",B1070="",C1070&lt;=0),"",IF(SUMPRODUCT(('Müşteriler'!$B$2:$B$101&lt;&gt;"")*ISNUMBER(SEARCH('Müşteriler'!$B$2:$B$101,B1070)))=1,IFERROR(INDEX('Müşteriler'!$A$2:$A$101,SUMPRODUCT(('Müşteriler'!$B$2:$B$101&lt;&gt;"")*ISNUMBER(SEARCH('Müşteriler'!$B$2:$B$101,B1070)),ROW('Müşteriler'!$B$2:$B$101)-ROW('Müşteriler'!$B$2)+1)),""),""))</ns0:f>
        <ns0:v/>
      </ns0:c>
      <ns0:c r="G1070" s="28" t="str">
        <ns0:f>IF(F1070="","",IFERROR(INDEX('Müşteriler'!$C$2:$C$101,MATCH(F1070,'Müşteriler'!$A$2:$A$101,0)),""))</ns0:f>
        <ns0:v/>
      </ns0:c>
      <ns0:c r="H1070" s="28" t="str">
        <ns0:f>IF(A1070="","",IF(C1070&lt;=0,"Satış dışı",IF(OR(F1070="",G1070=""),"Eşleşmedi","Eşleşti")))</ns0:f>
        <ns0:v/>
      </ns0:c>
      <ns0:c r="I1070" s="28">
        <ns0:f>I1069+IF(AND(H1070="Eşleşmedi",E1070='Panel'!$B$4),1,0)</ns0:f>
        <ns0:v>3.0</ns0:v>
      </ns0:c>
    </ns0:row>
    <ns0:row r="1071" ht="21" customHeight="1">
      <ns0:c r="A1071" s="25" t="n"/>
      <ns0:c r="B1071" s="26" t="n"/>
      <ns0:c r="C1071" s="27" t="n"/>
      <ns0:c r="D1071" s="27" t="n"/>
      <ns0:c r="E1071" s="28" t="str">
        <ns0:f>IF(A1071="","",YEAR(A1071)&amp;"-"&amp;RIGHT("0"&amp;MONTH(A1071),2))</ns0:f>
        <ns0:v/>
      </ns0:c>
      <ns0:c r="F1071" s="28" t="str">
        <ns0:f>IF(OR(A1071="",B1071="",C1071&lt;=0),"",IF(SUMPRODUCT(('Müşteriler'!$B$2:$B$101&lt;&gt;"")*ISNUMBER(SEARCH('Müşteriler'!$B$2:$B$101,B1071)))=1,IFERROR(INDEX('Müşteriler'!$A$2:$A$101,SUMPRODUCT(('Müşteriler'!$B$2:$B$101&lt;&gt;"")*ISNUMBER(SEARCH('Müşteriler'!$B$2:$B$101,B1071)),ROW('Müşteriler'!$B$2:$B$101)-ROW('Müşteriler'!$B$2)+1)),""),""))</ns0:f>
        <ns0:v/>
      </ns0:c>
      <ns0:c r="G1071" s="28" t="str">
        <ns0:f>IF(F1071="","",IFERROR(INDEX('Müşteriler'!$C$2:$C$101,MATCH(F1071,'Müşteriler'!$A$2:$A$101,0)),""))</ns0:f>
        <ns0:v/>
      </ns0:c>
      <ns0:c r="H1071" s="28" t="str">
        <ns0:f>IF(A1071="","",IF(C1071&lt;=0,"Satış dışı",IF(OR(F1071="",G1071=""),"Eşleşmedi","Eşleşti")))</ns0:f>
        <ns0:v/>
      </ns0:c>
      <ns0:c r="I1071" s="28">
        <ns0:f>I1070+IF(AND(H1071="Eşleşmedi",E1071='Panel'!$B$4),1,0)</ns0:f>
        <ns0:v>3.0</ns0:v>
      </ns0:c>
    </ns0:row>
    <ns0:row r="1072" ht="21" customHeight="1">
      <ns0:c r="A1072" s="25" t="n"/>
      <ns0:c r="B1072" s="26" t="n"/>
      <ns0:c r="C1072" s="27" t="n"/>
      <ns0:c r="D1072" s="27" t="n"/>
      <ns0:c r="E1072" s="28" t="str">
        <ns0:f>IF(A1072="","",YEAR(A1072)&amp;"-"&amp;RIGHT("0"&amp;MONTH(A1072),2))</ns0:f>
        <ns0:v/>
      </ns0:c>
      <ns0:c r="F1072" s="28" t="str">
        <ns0:f>IF(OR(A1072="",B1072="",C1072&lt;=0),"",IF(SUMPRODUCT(('Müşteriler'!$B$2:$B$101&lt;&gt;"")*ISNUMBER(SEARCH('Müşteriler'!$B$2:$B$101,B1072)))=1,IFERROR(INDEX('Müşteriler'!$A$2:$A$101,SUMPRODUCT(('Müşteriler'!$B$2:$B$101&lt;&gt;"")*ISNUMBER(SEARCH('Müşteriler'!$B$2:$B$101,B1072)),ROW('Müşteriler'!$B$2:$B$101)-ROW('Müşteriler'!$B$2)+1)),""),""))</ns0:f>
        <ns0:v/>
      </ns0:c>
      <ns0:c r="G1072" s="28" t="str">
        <ns0:f>IF(F1072="","",IFERROR(INDEX('Müşteriler'!$C$2:$C$101,MATCH(F1072,'Müşteriler'!$A$2:$A$101,0)),""))</ns0:f>
        <ns0:v/>
      </ns0:c>
      <ns0:c r="H1072" s="28" t="str">
        <ns0:f>IF(A1072="","",IF(C1072&lt;=0,"Satış dışı",IF(OR(F1072="",G1072=""),"Eşleşmedi","Eşleşti")))</ns0:f>
        <ns0:v/>
      </ns0:c>
      <ns0:c r="I1072" s="28">
        <ns0:f>I1071+IF(AND(H1072="Eşleşmedi",E1072='Panel'!$B$4),1,0)</ns0:f>
        <ns0:v>3.0</ns0:v>
      </ns0:c>
    </ns0:row>
    <ns0:row r="1073" ht="21" customHeight="1">
      <ns0:c r="A1073" s="25" t="n"/>
      <ns0:c r="B1073" s="26" t="n"/>
      <ns0:c r="C1073" s="27" t="n"/>
      <ns0:c r="D1073" s="27" t="n"/>
      <ns0:c r="E1073" s="28" t="str">
        <ns0:f>IF(A1073="","",YEAR(A1073)&amp;"-"&amp;RIGHT("0"&amp;MONTH(A1073),2))</ns0:f>
        <ns0:v/>
      </ns0:c>
      <ns0:c r="F1073" s="28" t="str">
        <ns0:f>IF(OR(A1073="",B1073="",C1073&lt;=0),"",IF(SUMPRODUCT(('Müşteriler'!$B$2:$B$101&lt;&gt;"")*ISNUMBER(SEARCH('Müşteriler'!$B$2:$B$101,B1073)))=1,IFERROR(INDEX('Müşteriler'!$A$2:$A$101,SUMPRODUCT(('Müşteriler'!$B$2:$B$101&lt;&gt;"")*ISNUMBER(SEARCH('Müşteriler'!$B$2:$B$101,B1073)),ROW('Müşteriler'!$B$2:$B$101)-ROW('Müşteriler'!$B$2)+1)),""),""))</ns0:f>
        <ns0:v/>
      </ns0:c>
      <ns0:c r="G1073" s="28" t="str">
        <ns0:f>IF(F1073="","",IFERROR(INDEX('Müşteriler'!$C$2:$C$101,MATCH(F1073,'Müşteriler'!$A$2:$A$101,0)),""))</ns0:f>
        <ns0:v/>
      </ns0:c>
      <ns0:c r="H1073" s="28" t="str">
        <ns0:f>IF(A1073="","",IF(C1073&lt;=0,"Satış dışı",IF(OR(F1073="",G1073=""),"Eşleşmedi","Eşleşti")))</ns0:f>
        <ns0:v/>
      </ns0:c>
      <ns0:c r="I1073" s="28">
        <ns0:f>I1072+IF(AND(H1073="Eşleşmedi",E1073='Panel'!$B$4),1,0)</ns0:f>
        <ns0:v>3.0</ns0:v>
      </ns0:c>
    </ns0:row>
    <ns0:row r="1074" ht="21" customHeight="1">
      <ns0:c r="A1074" s="25" t="n"/>
      <ns0:c r="B1074" s="26" t="n"/>
      <ns0:c r="C1074" s="27" t="n"/>
      <ns0:c r="D1074" s="27" t="n"/>
      <ns0:c r="E1074" s="28" t="str">
        <ns0:f>IF(A1074="","",YEAR(A1074)&amp;"-"&amp;RIGHT("0"&amp;MONTH(A1074),2))</ns0:f>
        <ns0:v/>
      </ns0:c>
      <ns0:c r="F1074" s="28" t="str">
        <ns0:f>IF(OR(A1074="",B1074="",C1074&lt;=0),"",IF(SUMPRODUCT(('Müşteriler'!$B$2:$B$101&lt;&gt;"")*ISNUMBER(SEARCH('Müşteriler'!$B$2:$B$101,B1074)))=1,IFERROR(INDEX('Müşteriler'!$A$2:$A$101,SUMPRODUCT(('Müşteriler'!$B$2:$B$101&lt;&gt;"")*ISNUMBER(SEARCH('Müşteriler'!$B$2:$B$101,B1074)),ROW('Müşteriler'!$B$2:$B$101)-ROW('Müşteriler'!$B$2)+1)),""),""))</ns0:f>
        <ns0:v/>
      </ns0:c>
      <ns0:c r="G1074" s="28" t="str">
        <ns0:f>IF(F1074="","",IFERROR(INDEX('Müşteriler'!$C$2:$C$101,MATCH(F1074,'Müşteriler'!$A$2:$A$101,0)),""))</ns0:f>
        <ns0:v/>
      </ns0:c>
      <ns0:c r="H1074" s="28" t="str">
        <ns0:f>IF(A1074="","",IF(C1074&lt;=0,"Satış dışı",IF(OR(F1074="",G1074=""),"Eşleşmedi","Eşleşti")))</ns0:f>
        <ns0:v/>
      </ns0:c>
      <ns0:c r="I1074" s="28">
        <ns0:f>I1073+IF(AND(H1074="Eşleşmedi",E1074='Panel'!$B$4),1,0)</ns0:f>
        <ns0:v>3.0</ns0:v>
      </ns0:c>
    </ns0:row>
    <ns0:row r="1075" ht="21" customHeight="1">
      <ns0:c r="A1075" s="25" t="n"/>
      <ns0:c r="B1075" s="26" t="n"/>
      <ns0:c r="C1075" s="27" t="n"/>
      <ns0:c r="D1075" s="27" t="n"/>
      <ns0:c r="E1075" s="28" t="str">
        <ns0:f>IF(A1075="","",YEAR(A1075)&amp;"-"&amp;RIGHT("0"&amp;MONTH(A1075),2))</ns0:f>
        <ns0:v/>
      </ns0:c>
      <ns0:c r="F1075" s="28" t="str">
        <ns0:f>IF(OR(A1075="",B1075="",C1075&lt;=0),"",IF(SUMPRODUCT(('Müşteriler'!$B$2:$B$101&lt;&gt;"")*ISNUMBER(SEARCH('Müşteriler'!$B$2:$B$101,B1075)))=1,IFERROR(INDEX('Müşteriler'!$A$2:$A$101,SUMPRODUCT(('Müşteriler'!$B$2:$B$101&lt;&gt;"")*ISNUMBER(SEARCH('Müşteriler'!$B$2:$B$101,B1075)),ROW('Müşteriler'!$B$2:$B$101)-ROW('Müşteriler'!$B$2)+1)),""),""))</ns0:f>
        <ns0:v/>
      </ns0:c>
      <ns0:c r="G1075" s="28" t="str">
        <ns0:f>IF(F1075="","",IFERROR(INDEX('Müşteriler'!$C$2:$C$101,MATCH(F1075,'Müşteriler'!$A$2:$A$101,0)),""))</ns0:f>
        <ns0:v/>
      </ns0:c>
      <ns0:c r="H1075" s="28" t="str">
        <ns0:f>IF(A1075="","",IF(C1075&lt;=0,"Satış dışı",IF(OR(F1075="",G1075=""),"Eşleşmedi","Eşleşti")))</ns0:f>
        <ns0:v/>
      </ns0:c>
      <ns0:c r="I1075" s="28">
        <ns0:f>I1074+IF(AND(H1075="Eşleşmedi",E1075='Panel'!$B$4),1,0)</ns0:f>
        <ns0:v>3.0</ns0:v>
      </ns0:c>
    </ns0:row>
    <ns0:row r="1076" ht="21" customHeight="1">
      <ns0:c r="A1076" s="25" t="n"/>
      <ns0:c r="B1076" s="26" t="n"/>
      <ns0:c r="C1076" s="27" t="n"/>
      <ns0:c r="D1076" s="27" t="n"/>
      <ns0:c r="E1076" s="28" t="str">
        <ns0:f>IF(A1076="","",YEAR(A1076)&amp;"-"&amp;RIGHT("0"&amp;MONTH(A1076),2))</ns0:f>
        <ns0:v/>
      </ns0:c>
      <ns0:c r="F1076" s="28" t="str">
        <ns0:f>IF(OR(A1076="",B1076="",C1076&lt;=0),"",IF(SUMPRODUCT(('Müşteriler'!$B$2:$B$101&lt;&gt;"")*ISNUMBER(SEARCH('Müşteriler'!$B$2:$B$101,B1076)))=1,IFERROR(INDEX('Müşteriler'!$A$2:$A$101,SUMPRODUCT(('Müşteriler'!$B$2:$B$101&lt;&gt;"")*ISNUMBER(SEARCH('Müşteriler'!$B$2:$B$101,B1076)),ROW('Müşteriler'!$B$2:$B$101)-ROW('Müşteriler'!$B$2)+1)),""),""))</ns0:f>
        <ns0:v/>
      </ns0:c>
      <ns0:c r="G1076" s="28" t="str">
        <ns0:f>IF(F1076="","",IFERROR(INDEX('Müşteriler'!$C$2:$C$101,MATCH(F1076,'Müşteriler'!$A$2:$A$101,0)),""))</ns0:f>
        <ns0:v/>
      </ns0:c>
      <ns0:c r="H1076" s="28" t="str">
        <ns0:f>IF(A1076="","",IF(C1076&lt;=0,"Satış dışı",IF(OR(F1076="",G1076=""),"Eşleşmedi","Eşleşti")))</ns0:f>
        <ns0:v/>
      </ns0:c>
      <ns0:c r="I1076" s="28">
        <ns0:f>I1075+IF(AND(H1076="Eşleşmedi",E1076='Panel'!$B$4),1,0)</ns0:f>
        <ns0:v>3.0</ns0:v>
      </ns0:c>
    </ns0:row>
    <ns0:row r="1077" ht="21" customHeight="1">
      <ns0:c r="A1077" s="25" t="n"/>
      <ns0:c r="B1077" s="26" t="n"/>
      <ns0:c r="C1077" s="27" t="n"/>
      <ns0:c r="D1077" s="27" t="n"/>
      <ns0:c r="E1077" s="28" t="str">
        <ns0:f>IF(A1077="","",YEAR(A1077)&amp;"-"&amp;RIGHT("0"&amp;MONTH(A1077),2))</ns0:f>
        <ns0:v/>
      </ns0:c>
      <ns0:c r="F1077" s="28" t="str">
        <ns0:f>IF(OR(A1077="",B1077="",C1077&lt;=0),"",IF(SUMPRODUCT(('Müşteriler'!$B$2:$B$101&lt;&gt;"")*ISNUMBER(SEARCH('Müşteriler'!$B$2:$B$101,B1077)))=1,IFERROR(INDEX('Müşteriler'!$A$2:$A$101,SUMPRODUCT(('Müşteriler'!$B$2:$B$101&lt;&gt;"")*ISNUMBER(SEARCH('Müşteriler'!$B$2:$B$101,B1077)),ROW('Müşteriler'!$B$2:$B$101)-ROW('Müşteriler'!$B$2)+1)),""),""))</ns0:f>
        <ns0:v/>
      </ns0:c>
      <ns0:c r="G1077" s="28" t="str">
        <ns0:f>IF(F1077="","",IFERROR(INDEX('Müşteriler'!$C$2:$C$101,MATCH(F1077,'Müşteriler'!$A$2:$A$101,0)),""))</ns0:f>
        <ns0:v/>
      </ns0:c>
      <ns0:c r="H1077" s="28" t="str">
        <ns0:f>IF(A1077="","",IF(C1077&lt;=0,"Satış dışı",IF(OR(F1077="",G1077=""),"Eşleşmedi","Eşleşti")))</ns0:f>
        <ns0:v/>
      </ns0:c>
      <ns0:c r="I1077" s="28">
        <ns0:f>I1076+IF(AND(H1077="Eşleşmedi",E1077='Panel'!$B$4),1,0)</ns0:f>
        <ns0:v>3.0</ns0:v>
      </ns0:c>
    </ns0:row>
    <ns0:row r="1078" ht="21" customHeight="1">
      <ns0:c r="A1078" s="25" t="n"/>
      <ns0:c r="B1078" s="26" t="n"/>
      <ns0:c r="C1078" s="27" t="n"/>
      <ns0:c r="D1078" s="27" t="n"/>
      <ns0:c r="E1078" s="28" t="str">
        <ns0:f>IF(A1078="","",YEAR(A1078)&amp;"-"&amp;RIGHT("0"&amp;MONTH(A1078),2))</ns0:f>
        <ns0:v/>
      </ns0:c>
      <ns0:c r="F1078" s="28" t="str">
        <ns0:f>IF(OR(A1078="",B1078="",C1078&lt;=0),"",IF(SUMPRODUCT(('Müşteriler'!$B$2:$B$101&lt;&gt;"")*ISNUMBER(SEARCH('Müşteriler'!$B$2:$B$101,B1078)))=1,IFERROR(INDEX('Müşteriler'!$A$2:$A$101,SUMPRODUCT(('Müşteriler'!$B$2:$B$101&lt;&gt;"")*ISNUMBER(SEARCH('Müşteriler'!$B$2:$B$101,B1078)),ROW('Müşteriler'!$B$2:$B$101)-ROW('Müşteriler'!$B$2)+1)),""),""))</ns0:f>
        <ns0:v/>
      </ns0:c>
      <ns0:c r="G1078" s="28" t="str">
        <ns0:f>IF(F1078="","",IFERROR(INDEX('Müşteriler'!$C$2:$C$101,MATCH(F1078,'Müşteriler'!$A$2:$A$101,0)),""))</ns0:f>
        <ns0:v/>
      </ns0:c>
      <ns0:c r="H1078" s="28" t="str">
        <ns0:f>IF(A1078="","",IF(C1078&lt;=0,"Satış dışı",IF(OR(F1078="",G1078=""),"Eşleşmedi","Eşleşti")))</ns0:f>
        <ns0:v/>
      </ns0:c>
      <ns0:c r="I1078" s="28">
        <ns0:f>I1077+IF(AND(H1078="Eşleşmedi",E1078='Panel'!$B$4),1,0)</ns0:f>
        <ns0:v>3.0</ns0:v>
      </ns0:c>
    </ns0:row>
    <ns0:row r="1079" ht="21" customHeight="1">
      <ns0:c r="A1079" s="25" t="n"/>
      <ns0:c r="B1079" s="26" t="n"/>
      <ns0:c r="C1079" s="27" t="n"/>
      <ns0:c r="D1079" s="27" t="n"/>
      <ns0:c r="E1079" s="28" t="str">
        <ns0:f>IF(A1079="","",YEAR(A1079)&amp;"-"&amp;RIGHT("0"&amp;MONTH(A1079),2))</ns0:f>
        <ns0:v/>
      </ns0:c>
      <ns0:c r="F1079" s="28" t="str">
        <ns0:f>IF(OR(A1079="",B1079="",C1079&lt;=0),"",IF(SUMPRODUCT(('Müşteriler'!$B$2:$B$101&lt;&gt;"")*ISNUMBER(SEARCH('Müşteriler'!$B$2:$B$101,B1079)))=1,IFERROR(INDEX('Müşteriler'!$A$2:$A$101,SUMPRODUCT(('Müşteriler'!$B$2:$B$101&lt;&gt;"")*ISNUMBER(SEARCH('Müşteriler'!$B$2:$B$101,B1079)),ROW('Müşteriler'!$B$2:$B$101)-ROW('Müşteriler'!$B$2)+1)),""),""))</ns0:f>
        <ns0:v/>
      </ns0:c>
      <ns0:c r="G1079" s="28" t="str">
        <ns0:f>IF(F1079="","",IFERROR(INDEX('Müşteriler'!$C$2:$C$101,MATCH(F1079,'Müşteriler'!$A$2:$A$101,0)),""))</ns0:f>
        <ns0:v/>
      </ns0:c>
      <ns0:c r="H1079" s="28" t="str">
        <ns0:f>IF(A1079="","",IF(C1079&lt;=0,"Satış dışı",IF(OR(F1079="",G1079=""),"Eşleşmedi","Eşleşti")))</ns0:f>
        <ns0:v/>
      </ns0:c>
      <ns0:c r="I1079" s="28">
        <ns0:f>I1078+IF(AND(H1079="Eşleşmedi",E1079='Panel'!$B$4),1,0)</ns0:f>
        <ns0:v>3.0</ns0:v>
      </ns0:c>
    </ns0:row>
    <ns0:row r="1080" ht="21" customHeight="1">
      <ns0:c r="A1080" s="25" t="n"/>
      <ns0:c r="B1080" s="26" t="n"/>
      <ns0:c r="C1080" s="27" t="n"/>
      <ns0:c r="D1080" s="27" t="n"/>
      <ns0:c r="E1080" s="28" t="str">
        <ns0:f>IF(A1080="","",YEAR(A1080)&amp;"-"&amp;RIGHT("0"&amp;MONTH(A1080),2))</ns0:f>
        <ns0:v/>
      </ns0:c>
      <ns0:c r="F1080" s="28" t="str">
        <ns0:f>IF(OR(A1080="",B1080="",C1080&lt;=0),"",IF(SUMPRODUCT(('Müşteriler'!$B$2:$B$101&lt;&gt;"")*ISNUMBER(SEARCH('Müşteriler'!$B$2:$B$101,B1080)))=1,IFERROR(INDEX('Müşteriler'!$A$2:$A$101,SUMPRODUCT(('Müşteriler'!$B$2:$B$101&lt;&gt;"")*ISNUMBER(SEARCH('Müşteriler'!$B$2:$B$101,B1080)),ROW('Müşteriler'!$B$2:$B$101)-ROW('Müşteriler'!$B$2)+1)),""),""))</ns0:f>
        <ns0:v/>
      </ns0:c>
      <ns0:c r="G1080" s="28" t="str">
        <ns0:f>IF(F1080="","",IFERROR(INDEX('Müşteriler'!$C$2:$C$101,MATCH(F1080,'Müşteriler'!$A$2:$A$101,0)),""))</ns0:f>
        <ns0:v/>
      </ns0:c>
      <ns0:c r="H1080" s="28" t="str">
        <ns0:f>IF(A1080="","",IF(C1080&lt;=0,"Satış dışı",IF(OR(F1080="",G1080=""),"Eşleşmedi","Eşleşti")))</ns0:f>
        <ns0:v/>
      </ns0:c>
      <ns0:c r="I1080" s="28">
        <ns0:f>I1079+IF(AND(H1080="Eşleşmedi",E1080='Panel'!$B$4),1,0)</ns0:f>
        <ns0:v>3.0</ns0:v>
      </ns0:c>
    </ns0:row>
    <ns0:row r="1081" ht="21" customHeight="1">
      <ns0:c r="A1081" s="25" t="n"/>
      <ns0:c r="B1081" s="26" t="n"/>
      <ns0:c r="C1081" s="27" t="n"/>
      <ns0:c r="D1081" s="27" t="n"/>
      <ns0:c r="E1081" s="28" t="str">
        <ns0:f>IF(A1081="","",YEAR(A1081)&amp;"-"&amp;RIGHT("0"&amp;MONTH(A1081),2))</ns0:f>
        <ns0:v/>
      </ns0:c>
      <ns0:c r="F1081" s="28" t="str">
        <ns0:f>IF(OR(A1081="",B1081="",C1081&lt;=0),"",IF(SUMPRODUCT(('Müşteriler'!$B$2:$B$101&lt;&gt;"")*ISNUMBER(SEARCH('Müşteriler'!$B$2:$B$101,B1081)))=1,IFERROR(INDEX('Müşteriler'!$A$2:$A$101,SUMPRODUCT(('Müşteriler'!$B$2:$B$101&lt;&gt;"")*ISNUMBER(SEARCH('Müşteriler'!$B$2:$B$101,B1081)),ROW('Müşteriler'!$B$2:$B$101)-ROW('Müşteriler'!$B$2)+1)),""),""))</ns0:f>
        <ns0:v/>
      </ns0:c>
      <ns0:c r="G1081" s="28" t="str">
        <ns0:f>IF(F1081="","",IFERROR(INDEX('Müşteriler'!$C$2:$C$101,MATCH(F1081,'Müşteriler'!$A$2:$A$101,0)),""))</ns0:f>
        <ns0:v/>
      </ns0:c>
      <ns0:c r="H1081" s="28" t="str">
        <ns0:f>IF(A1081="","",IF(C1081&lt;=0,"Satış dışı",IF(OR(F1081="",G1081=""),"Eşleşmedi","Eşleşti")))</ns0:f>
        <ns0:v/>
      </ns0:c>
      <ns0:c r="I1081" s="28">
        <ns0:f>I1080+IF(AND(H1081="Eşleşmedi",E1081='Panel'!$B$4),1,0)</ns0:f>
        <ns0:v>3.0</ns0:v>
      </ns0:c>
    </ns0:row>
    <ns0:row r="1082" ht="21" customHeight="1">
      <ns0:c r="A1082" s="25" t="n"/>
      <ns0:c r="B1082" s="26" t="n"/>
      <ns0:c r="C1082" s="27" t="n"/>
      <ns0:c r="D1082" s="27" t="n"/>
      <ns0:c r="E1082" s="28" t="str">
        <ns0:f>IF(A1082="","",YEAR(A1082)&amp;"-"&amp;RIGHT("0"&amp;MONTH(A1082),2))</ns0:f>
        <ns0:v/>
      </ns0:c>
      <ns0:c r="F1082" s="28" t="str">
        <ns0:f>IF(OR(A1082="",B1082="",C1082&lt;=0),"",IF(SUMPRODUCT(('Müşteriler'!$B$2:$B$101&lt;&gt;"")*ISNUMBER(SEARCH('Müşteriler'!$B$2:$B$101,B1082)))=1,IFERROR(INDEX('Müşteriler'!$A$2:$A$101,SUMPRODUCT(('Müşteriler'!$B$2:$B$101&lt;&gt;"")*ISNUMBER(SEARCH('Müşteriler'!$B$2:$B$101,B1082)),ROW('Müşteriler'!$B$2:$B$101)-ROW('Müşteriler'!$B$2)+1)),""),""))</ns0:f>
        <ns0:v/>
      </ns0:c>
      <ns0:c r="G1082" s="28" t="str">
        <ns0:f>IF(F1082="","",IFERROR(INDEX('Müşteriler'!$C$2:$C$101,MATCH(F1082,'Müşteriler'!$A$2:$A$101,0)),""))</ns0:f>
        <ns0:v/>
      </ns0:c>
      <ns0:c r="H1082" s="28" t="str">
        <ns0:f>IF(A1082="","",IF(C1082&lt;=0,"Satış dışı",IF(OR(F1082="",G1082=""),"Eşleşmedi","Eşleşti")))</ns0:f>
        <ns0:v/>
      </ns0:c>
      <ns0:c r="I1082" s="28">
        <ns0:f>I1081+IF(AND(H1082="Eşleşmedi",E1082='Panel'!$B$4),1,0)</ns0:f>
        <ns0:v>3.0</ns0:v>
      </ns0:c>
    </ns0:row>
    <ns0:row r="1083" ht="21" customHeight="1">
      <ns0:c r="A1083" s="25" t="n"/>
      <ns0:c r="B1083" s="26" t="n"/>
      <ns0:c r="C1083" s="27" t="n"/>
      <ns0:c r="D1083" s="27" t="n"/>
      <ns0:c r="E1083" s="28" t="str">
        <ns0:f>IF(A1083="","",YEAR(A1083)&amp;"-"&amp;RIGHT("0"&amp;MONTH(A1083),2))</ns0:f>
        <ns0:v/>
      </ns0:c>
      <ns0:c r="F1083" s="28" t="str">
        <ns0:f>IF(OR(A1083="",B1083="",C1083&lt;=0),"",IF(SUMPRODUCT(('Müşteriler'!$B$2:$B$101&lt;&gt;"")*ISNUMBER(SEARCH('Müşteriler'!$B$2:$B$101,B1083)))=1,IFERROR(INDEX('Müşteriler'!$A$2:$A$101,SUMPRODUCT(('Müşteriler'!$B$2:$B$101&lt;&gt;"")*ISNUMBER(SEARCH('Müşteriler'!$B$2:$B$101,B1083)),ROW('Müşteriler'!$B$2:$B$101)-ROW('Müşteriler'!$B$2)+1)),""),""))</ns0:f>
        <ns0:v/>
      </ns0:c>
      <ns0:c r="G1083" s="28" t="str">
        <ns0:f>IF(F1083="","",IFERROR(INDEX('Müşteriler'!$C$2:$C$101,MATCH(F1083,'Müşteriler'!$A$2:$A$101,0)),""))</ns0:f>
        <ns0:v/>
      </ns0:c>
      <ns0:c r="H1083" s="28" t="str">
        <ns0:f>IF(A1083="","",IF(C1083&lt;=0,"Satış dışı",IF(OR(F1083="",G1083=""),"Eşleşmedi","Eşleşti")))</ns0:f>
        <ns0:v/>
      </ns0:c>
      <ns0:c r="I1083" s="28">
        <ns0:f>I1082+IF(AND(H1083="Eşleşmedi",E1083='Panel'!$B$4),1,0)</ns0:f>
        <ns0:v>3.0</ns0:v>
      </ns0:c>
    </ns0:row>
    <ns0:row r="1084" ht="21" customHeight="1">
      <ns0:c r="A1084" s="25" t="n"/>
      <ns0:c r="B1084" s="26" t="n"/>
      <ns0:c r="C1084" s="27" t="n"/>
      <ns0:c r="D1084" s="27" t="n"/>
      <ns0:c r="E1084" s="28" t="str">
        <ns0:f>IF(A1084="","",YEAR(A1084)&amp;"-"&amp;RIGHT("0"&amp;MONTH(A1084),2))</ns0:f>
        <ns0:v/>
      </ns0:c>
      <ns0:c r="F1084" s="28" t="str">
        <ns0:f>IF(OR(A1084="",B1084="",C1084&lt;=0),"",IF(SUMPRODUCT(('Müşteriler'!$B$2:$B$101&lt;&gt;"")*ISNUMBER(SEARCH('Müşteriler'!$B$2:$B$101,B1084)))=1,IFERROR(INDEX('Müşteriler'!$A$2:$A$101,SUMPRODUCT(('Müşteriler'!$B$2:$B$101&lt;&gt;"")*ISNUMBER(SEARCH('Müşteriler'!$B$2:$B$101,B1084)),ROW('Müşteriler'!$B$2:$B$101)-ROW('Müşteriler'!$B$2)+1)),""),""))</ns0:f>
        <ns0:v/>
      </ns0:c>
      <ns0:c r="G1084" s="28" t="str">
        <ns0:f>IF(F1084="","",IFERROR(INDEX('Müşteriler'!$C$2:$C$101,MATCH(F1084,'Müşteriler'!$A$2:$A$101,0)),""))</ns0:f>
        <ns0:v/>
      </ns0:c>
      <ns0:c r="H1084" s="28" t="str">
        <ns0:f>IF(A1084="","",IF(C1084&lt;=0,"Satış dışı",IF(OR(F1084="",G1084=""),"Eşleşmedi","Eşleşti")))</ns0:f>
        <ns0:v/>
      </ns0:c>
      <ns0:c r="I1084" s="28">
        <ns0:f>I1083+IF(AND(H1084="Eşleşmedi",E1084='Panel'!$B$4),1,0)</ns0:f>
        <ns0:v>3.0</ns0:v>
      </ns0:c>
    </ns0:row>
    <ns0:row r="1085" ht="21" customHeight="1">
      <ns0:c r="A1085" s="25" t="n"/>
      <ns0:c r="B1085" s="26" t="n"/>
      <ns0:c r="C1085" s="27" t="n"/>
      <ns0:c r="D1085" s="27" t="n"/>
      <ns0:c r="E1085" s="28" t="str">
        <ns0:f>IF(A1085="","",YEAR(A1085)&amp;"-"&amp;RIGHT("0"&amp;MONTH(A1085),2))</ns0:f>
        <ns0:v/>
      </ns0:c>
      <ns0:c r="F1085" s="28" t="str">
        <ns0:f>IF(OR(A1085="",B1085="",C1085&lt;=0),"",IF(SUMPRODUCT(('Müşteriler'!$B$2:$B$101&lt;&gt;"")*ISNUMBER(SEARCH('Müşteriler'!$B$2:$B$101,B1085)))=1,IFERROR(INDEX('Müşteriler'!$A$2:$A$101,SUMPRODUCT(('Müşteriler'!$B$2:$B$101&lt;&gt;"")*ISNUMBER(SEARCH('Müşteriler'!$B$2:$B$101,B1085)),ROW('Müşteriler'!$B$2:$B$101)-ROW('Müşteriler'!$B$2)+1)),""),""))</ns0:f>
        <ns0:v/>
      </ns0:c>
      <ns0:c r="G1085" s="28" t="str">
        <ns0:f>IF(F1085="","",IFERROR(INDEX('Müşteriler'!$C$2:$C$101,MATCH(F1085,'Müşteriler'!$A$2:$A$101,0)),""))</ns0:f>
        <ns0:v/>
      </ns0:c>
      <ns0:c r="H1085" s="28" t="str">
        <ns0:f>IF(A1085="","",IF(C1085&lt;=0,"Satış dışı",IF(OR(F1085="",G1085=""),"Eşleşmedi","Eşleşti")))</ns0:f>
        <ns0:v/>
      </ns0:c>
      <ns0:c r="I1085" s="28">
        <ns0:f>I1084+IF(AND(H1085="Eşleşmedi",E1085='Panel'!$B$4),1,0)</ns0:f>
        <ns0:v>3.0</ns0:v>
      </ns0:c>
    </ns0:row>
    <ns0:row r="1086" ht="21" customHeight="1">
      <ns0:c r="A1086" s="25" t="n"/>
      <ns0:c r="B1086" s="26" t="n"/>
      <ns0:c r="C1086" s="27" t="n"/>
      <ns0:c r="D1086" s="27" t="n"/>
      <ns0:c r="E1086" s="28" t="str">
        <ns0:f>IF(A1086="","",YEAR(A1086)&amp;"-"&amp;RIGHT("0"&amp;MONTH(A1086),2))</ns0:f>
        <ns0:v/>
      </ns0:c>
      <ns0:c r="F1086" s="28" t="str">
        <ns0:f>IF(OR(A1086="",B1086="",C1086&lt;=0),"",IF(SUMPRODUCT(('Müşteriler'!$B$2:$B$101&lt;&gt;"")*ISNUMBER(SEARCH('Müşteriler'!$B$2:$B$101,B1086)))=1,IFERROR(INDEX('Müşteriler'!$A$2:$A$101,SUMPRODUCT(('Müşteriler'!$B$2:$B$101&lt;&gt;"")*ISNUMBER(SEARCH('Müşteriler'!$B$2:$B$101,B1086)),ROW('Müşteriler'!$B$2:$B$101)-ROW('Müşteriler'!$B$2)+1)),""),""))</ns0:f>
        <ns0:v/>
      </ns0:c>
      <ns0:c r="G1086" s="28" t="str">
        <ns0:f>IF(F1086="","",IFERROR(INDEX('Müşteriler'!$C$2:$C$101,MATCH(F1086,'Müşteriler'!$A$2:$A$101,0)),""))</ns0:f>
        <ns0:v/>
      </ns0:c>
      <ns0:c r="H1086" s="28" t="str">
        <ns0:f>IF(A1086="","",IF(C1086&lt;=0,"Satış dışı",IF(OR(F1086="",G1086=""),"Eşleşmedi","Eşleşti")))</ns0:f>
        <ns0:v/>
      </ns0:c>
      <ns0:c r="I1086" s="28">
        <ns0:f>I1085+IF(AND(H1086="Eşleşmedi",E1086='Panel'!$B$4),1,0)</ns0:f>
        <ns0:v>3.0</ns0:v>
      </ns0:c>
    </ns0:row>
    <ns0:row r="1087" ht="21" customHeight="1">
      <ns0:c r="A1087" s="25" t="n"/>
      <ns0:c r="B1087" s="26" t="n"/>
      <ns0:c r="C1087" s="27" t="n"/>
      <ns0:c r="D1087" s="27" t="n"/>
      <ns0:c r="E1087" s="28" t="str">
        <ns0:f>IF(A1087="","",YEAR(A1087)&amp;"-"&amp;RIGHT("0"&amp;MONTH(A1087),2))</ns0:f>
        <ns0:v/>
      </ns0:c>
      <ns0:c r="F1087" s="28" t="str">
        <ns0:f>IF(OR(A1087="",B1087="",C1087&lt;=0),"",IF(SUMPRODUCT(('Müşteriler'!$B$2:$B$101&lt;&gt;"")*ISNUMBER(SEARCH('Müşteriler'!$B$2:$B$101,B1087)))=1,IFERROR(INDEX('Müşteriler'!$A$2:$A$101,SUMPRODUCT(('Müşteriler'!$B$2:$B$101&lt;&gt;"")*ISNUMBER(SEARCH('Müşteriler'!$B$2:$B$101,B1087)),ROW('Müşteriler'!$B$2:$B$101)-ROW('Müşteriler'!$B$2)+1)),""),""))</ns0:f>
        <ns0:v/>
      </ns0:c>
      <ns0:c r="G1087" s="28" t="str">
        <ns0:f>IF(F1087="","",IFERROR(INDEX('Müşteriler'!$C$2:$C$101,MATCH(F1087,'Müşteriler'!$A$2:$A$101,0)),""))</ns0:f>
        <ns0:v/>
      </ns0:c>
      <ns0:c r="H1087" s="28" t="str">
        <ns0:f>IF(A1087="","",IF(C1087&lt;=0,"Satış dışı",IF(OR(F1087="",G1087=""),"Eşleşmedi","Eşleşti")))</ns0:f>
        <ns0:v/>
      </ns0:c>
      <ns0:c r="I1087" s="28">
        <ns0:f>I1086+IF(AND(H1087="Eşleşmedi",E1087='Panel'!$B$4),1,0)</ns0:f>
        <ns0:v>3.0</ns0:v>
      </ns0:c>
    </ns0:row>
    <ns0:row r="1088" ht="21" customHeight="1">
      <ns0:c r="A1088" s="25" t="n"/>
      <ns0:c r="B1088" s="26" t="n"/>
      <ns0:c r="C1088" s="27" t="n"/>
      <ns0:c r="D1088" s="27" t="n"/>
      <ns0:c r="E1088" s="28" t="str">
        <ns0:f>IF(A1088="","",YEAR(A1088)&amp;"-"&amp;RIGHT("0"&amp;MONTH(A1088),2))</ns0:f>
        <ns0:v/>
      </ns0:c>
      <ns0:c r="F1088" s="28" t="str">
        <ns0:f>IF(OR(A1088="",B1088="",C1088&lt;=0),"",IF(SUMPRODUCT(('Müşteriler'!$B$2:$B$101&lt;&gt;"")*ISNUMBER(SEARCH('Müşteriler'!$B$2:$B$101,B1088)))=1,IFERROR(INDEX('Müşteriler'!$A$2:$A$101,SUMPRODUCT(('Müşteriler'!$B$2:$B$101&lt;&gt;"")*ISNUMBER(SEARCH('Müşteriler'!$B$2:$B$101,B1088)),ROW('Müşteriler'!$B$2:$B$101)-ROW('Müşteriler'!$B$2)+1)),""),""))</ns0:f>
        <ns0:v/>
      </ns0:c>
      <ns0:c r="G1088" s="28" t="str">
        <ns0:f>IF(F1088="","",IFERROR(INDEX('Müşteriler'!$C$2:$C$101,MATCH(F1088,'Müşteriler'!$A$2:$A$101,0)),""))</ns0:f>
        <ns0:v/>
      </ns0:c>
      <ns0:c r="H1088" s="28" t="str">
        <ns0:f>IF(A1088="","",IF(C1088&lt;=0,"Satış dışı",IF(OR(F1088="",G1088=""),"Eşleşmedi","Eşleşti")))</ns0:f>
        <ns0:v/>
      </ns0:c>
      <ns0:c r="I1088" s="28">
        <ns0:f>I1087+IF(AND(H1088="Eşleşmedi",E1088='Panel'!$B$4),1,0)</ns0:f>
        <ns0:v>3.0</ns0:v>
      </ns0:c>
    </ns0:row>
    <ns0:row r="1089" ht="21" customHeight="1">
      <ns0:c r="A1089" s="25" t="n"/>
      <ns0:c r="B1089" s="26" t="n"/>
      <ns0:c r="C1089" s="27" t="n"/>
      <ns0:c r="D1089" s="27" t="n"/>
      <ns0:c r="E1089" s="28" t="str">
        <ns0:f>IF(A1089="","",YEAR(A1089)&amp;"-"&amp;RIGHT("0"&amp;MONTH(A1089),2))</ns0:f>
        <ns0:v/>
      </ns0:c>
      <ns0:c r="F1089" s="28" t="str">
        <ns0:f>IF(OR(A1089="",B1089="",C1089&lt;=0),"",IF(SUMPRODUCT(('Müşteriler'!$B$2:$B$101&lt;&gt;"")*ISNUMBER(SEARCH('Müşteriler'!$B$2:$B$101,B1089)))=1,IFERROR(INDEX('Müşteriler'!$A$2:$A$101,SUMPRODUCT(('Müşteriler'!$B$2:$B$101&lt;&gt;"")*ISNUMBER(SEARCH('Müşteriler'!$B$2:$B$101,B1089)),ROW('Müşteriler'!$B$2:$B$101)-ROW('Müşteriler'!$B$2)+1)),""),""))</ns0:f>
        <ns0:v/>
      </ns0:c>
      <ns0:c r="G1089" s="28" t="str">
        <ns0:f>IF(F1089="","",IFERROR(INDEX('Müşteriler'!$C$2:$C$101,MATCH(F1089,'Müşteriler'!$A$2:$A$101,0)),""))</ns0:f>
        <ns0:v/>
      </ns0:c>
      <ns0:c r="H1089" s="28" t="str">
        <ns0:f>IF(A1089="","",IF(C1089&lt;=0,"Satış dışı",IF(OR(F1089="",G1089=""),"Eşleşmedi","Eşleşti")))</ns0:f>
        <ns0:v/>
      </ns0:c>
      <ns0:c r="I1089" s="28">
        <ns0:f>I1088+IF(AND(H1089="Eşleşmedi",E1089='Panel'!$B$4),1,0)</ns0:f>
        <ns0:v>3.0</ns0:v>
      </ns0:c>
    </ns0:row>
    <ns0:row r="1090" ht="21" customHeight="1">
      <ns0:c r="A1090" s="25" t="n"/>
      <ns0:c r="B1090" s="26" t="n"/>
      <ns0:c r="C1090" s="27" t="n"/>
      <ns0:c r="D1090" s="27" t="n"/>
      <ns0:c r="E1090" s="28" t="str">
        <ns0:f>IF(A1090="","",YEAR(A1090)&amp;"-"&amp;RIGHT("0"&amp;MONTH(A1090),2))</ns0:f>
        <ns0:v/>
      </ns0:c>
      <ns0:c r="F1090" s="28" t="str">
        <ns0:f>IF(OR(A1090="",B1090="",C1090&lt;=0),"",IF(SUMPRODUCT(('Müşteriler'!$B$2:$B$101&lt;&gt;"")*ISNUMBER(SEARCH('Müşteriler'!$B$2:$B$101,B1090)))=1,IFERROR(INDEX('Müşteriler'!$A$2:$A$101,SUMPRODUCT(('Müşteriler'!$B$2:$B$101&lt;&gt;"")*ISNUMBER(SEARCH('Müşteriler'!$B$2:$B$101,B1090)),ROW('Müşteriler'!$B$2:$B$101)-ROW('Müşteriler'!$B$2)+1)),""),""))</ns0:f>
        <ns0:v/>
      </ns0:c>
      <ns0:c r="G1090" s="28" t="str">
        <ns0:f>IF(F1090="","",IFERROR(INDEX('Müşteriler'!$C$2:$C$101,MATCH(F1090,'Müşteriler'!$A$2:$A$101,0)),""))</ns0:f>
        <ns0:v/>
      </ns0:c>
      <ns0:c r="H1090" s="28" t="str">
        <ns0:f>IF(A1090="","",IF(C1090&lt;=0,"Satış dışı",IF(OR(F1090="",G1090=""),"Eşleşmedi","Eşleşti")))</ns0:f>
        <ns0:v/>
      </ns0:c>
      <ns0:c r="I1090" s="28">
        <ns0:f>I1089+IF(AND(H1090="Eşleşmedi",E1090='Panel'!$B$4),1,0)</ns0:f>
        <ns0:v>3.0</ns0:v>
      </ns0:c>
    </ns0:row>
    <ns0:row r="1091" ht="21" customHeight="1">
      <ns0:c r="A1091" s="25" t="n"/>
      <ns0:c r="B1091" s="26" t="n"/>
      <ns0:c r="C1091" s="27" t="n"/>
      <ns0:c r="D1091" s="27" t="n"/>
      <ns0:c r="E1091" s="28" t="str">
        <ns0:f>IF(A1091="","",YEAR(A1091)&amp;"-"&amp;RIGHT("0"&amp;MONTH(A1091),2))</ns0:f>
        <ns0:v/>
      </ns0:c>
      <ns0:c r="F1091" s="28" t="str">
        <ns0:f>IF(OR(A1091="",B1091="",C1091&lt;=0),"",IF(SUMPRODUCT(('Müşteriler'!$B$2:$B$101&lt;&gt;"")*ISNUMBER(SEARCH('Müşteriler'!$B$2:$B$101,B1091)))=1,IFERROR(INDEX('Müşteriler'!$A$2:$A$101,SUMPRODUCT(('Müşteriler'!$B$2:$B$101&lt;&gt;"")*ISNUMBER(SEARCH('Müşteriler'!$B$2:$B$101,B1091)),ROW('Müşteriler'!$B$2:$B$101)-ROW('Müşteriler'!$B$2)+1)),""),""))</ns0:f>
        <ns0:v/>
      </ns0:c>
      <ns0:c r="G1091" s="28" t="str">
        <ns0:f>IF(F1091="","",IFERROR(INDEX('Müşteriler'!$C$2:$C$101,MATCH(F1091,'Müşteriler'!$A$2:$A$101,0)),""))</ns0:f>
        <ns0:v/>
      </ns0:c>
      <ns0:c r="H1091" s="28" t="str">
        <ns0:f>IF(A1091="","",IF(C1091&lt;=0,"Satış dışı",IF(OR(F1091="",G1091=""),"Eşleşmedi","Eşleşti")))</ns0:f>
        <ns0:v/>
      </ns0:c>
      <ns0:c r="I1091" s="28">
        <ns0:f>I1090+IF(AND(H1091="Eşleşmedi",E1091='Panel'!$B$4),1,0)</ns0:f>
        <ns0:v>3.0</ns0:v>
      </ns0:c>
    </ns0:row>
    <ns0:row r="1092" ht="21" customHeight="1">
      <ns0:c r="A1092" s="25" t="n"/>
      <ns0:c r="B1092" s="26" t="n"/>
      <ns0:c r="C1092" s="27" t="n"/>
      <ns0:c r="D1092" s="27" t="n"/>
      <ns0:c r="E1092" s="28" t="str">
        <ns0:f>IF(A1092="","",YEAR(A1092)&amp;"-"&amp;RIGHT("0"&amp;MONTH(A1092),2))</ns0:f>
        <ns0:v/>
      </ns0:c>
      <ns0:c r="F1092" s="28" t="str">
        <ns0:f>IF(OR(A1092="",B1092="",C1092&lt;=0),"",IF(SUMPRODUCT(('Müşteriler'!$B$2:$B$101&lt;&gt;"")*ISNUMBER(SEARCH('Müşteriler'!$B$2:$B$101,B1092)))=1,IFERROR(INDEX('Müşteriler'!$A$2:$A$101,SUMPRODUCT(('Müşteriler'!$B$2:$B$101&lt;&gt;"")*ISNUMBER(SEARCH('Müşteriler'!$B$2:$B$101,B1092)),ROW('Müşteriler'!$B$2:$B$101)-ROW('Müşteriler'!$B$2)+1)),""),""))</ns0:f>
        <ns0:v/>
      </ns0:c>
      <ns0:c r="G1092" s="28" t="str">
        <ns0:f>IF(F1092="","",IFERROR(INDEX('Müşteriler'!$C$2:$C$101,MATCH(F1092,'Müşteriler'!$A$2:$A$101,0)),""))</ns0:f>
        <ns0:v/>
      </ns0:c>
      <ns0:c r="H1092" s="28" t="str">
        <ns0:f>IF(A1092="","",IF(C1092&lt;=0,"Satış dışı",IF(OR(F1092="",G1092=""),"Eşleşmedi","Eşleşti")))</ns0:f>
        <ns0:v/>
      </ns0:c>
      <ns0:c r="I1092" s="28">
        <ns0:f>I1091+IF(AND(H1092="Eşleşmedi",E1092='Panel'!$B$4),1,0)</ns0:f>
        <ns0:v>3.0</ns0:v>
      </ns0:c>
    </ns0:row>
    <ns0:row r="1093" ht="21" customHeight="1">
      <ns0:c r="A1093" s="25" t="n"/>
      <ns0:c r="B1093" s="26" t="n"/>
      <ns0:c r="C1093" s="27" t="n"/>
      <ns0:c r="D1093" s="27" t="n"/>
      <ns0:c r="E1093" s="28" t="str">
        <ns0:f>IF(A1093="","",YEAR(A1093)&amp;"-"&amp;RIGHT("0"&amp;MONTH(A1093),2))</ns0:f>
        <ns0:v/>
      </ns0:c>
      <ns0:c r="F1093" s="28" t="str">
        <ns0:f>IF(OR(A1093="",B1093="",C1093&lt;=0),"",IF(SUMPRODUCT(('Müşteriler'!$B$2:$B$101&lt;&gt;"")*ISNUMBER(SEARCH('Müşteriler'!$B$2:$B$101,B1093)))=1,IFERROR(INDEX('Müşteriler'!$A$2:$A$101,SUMPRODUCT(('Müşteriler'!$B$2:$B$101&lt;&gt;"")*ISNUMBER(SEARCH('Müşteriler'!$B$2:$B$101,B1093)),ROW('Müşteriler'!$B$2:$B$101)-ROW('Müşteriler'!$B$2)+1)),""),""))</ns0:f>
        <ns0:v/>
      </ns0:c>
      <ns0:c r="G1093" s="28" t="str">
        <ns0:f>IF(F1093="","",IFERROR(INDEX('Müşteriler'!$C$2:$C$101,MATCH(F1093,'Müşteriler'!$A$2:$A$101,0)),""))</ns0:f>
        <ns0:v/>
      </ns0:c>
      <ns0:c r="H1093" s="28" t="str">
        <ns0:f>IF(A1093="","",IF(C1093&lt;=0,"Satış dışı",IF(OR(F1093="",G1093=""),"Eşleşmedi","Eşleşti")))</ns0:f>
        <ns0:v/>
      </ns0:c>
      <ns0:c r="I1093" s="28">
        <ns0:f>I1092+IF(AND(H1093="Eşleşmedi",E1093='Panel'!$B$4),1,0)</ns0:f>
        <ns0:v>3.0</ns0:v>
      </ns0:c>
    </ns0:row>
    <ns0:row r="1094" ht="21" customHeight="1">
      <ns0:c r="A1094" s="25" t="n"/>
      <ns0:c r="B1094" s="26" t="n"/>
      <ns0:c r="C1094" s="27" t="n"/>
      <ns0:c r="D1094" s="27" t="n"/>
      <ns0:c r="E1094" s="28" t="str">
        <ns0:f>IF(A1094="","",YEAR(A1094)&amp;"-"&amp;RIGHT("0"&amp;MONTH(A1094),2))</ns0:f>
        <ns0:v/>
      </ns0:c>
      <ns0:c r="F1094" s="28" t="str">
        <ns0:f>IF(OR(A1094="",B1094="",C1094&lt;=0),"",IF(SUMPRODUCT(('Müşteriler'!$B$2:$B$101&lt;&gt;"")*ISNUMBER(SEARCH('Müşteriler'!$B$2:$B$101,B1094)))=1,IFERROR(INDEX('Müşteriler'!$A$2:$A$101,SUMPRODUCT(('Müşteriler'!$B$2:$B$101&lt;&gt;"")*ISNUMBER(SEARCH('Müşteriler'!$B$2:$B$101,B1094)),ROW('Müşteriler'!$B$2:$B$101)-ROW('Müşteriler'!$B$2)+1)),""),""))</ns0:f>
        <ns0:v/>
      </ns0:c>
      <ns0:c r="G1094" s="28" t="str">
        <ns0:f>IF(F1094="","",IFERROR(INDEX('Müşteriler'!$C$2:$C$101,MATCH(F1094,'Müşteriler'!$A$2:$A$101,0)),""))</ns0:f>
        <ns0:v/>
      </ns0:c>
      <ns0:c r="H1094" s="28" t="str">
        <ns0:f>IF(A1094="","",IF(C1094&lt;=0,"Satış dışı",IF(OR(F1094="",G1094=""),"Eşleşmedi","Eşleşti")))</ns0:f>
        <ns0:v/>
      </ns0:c>
      <ns0:c r="I1094" s="28">
        <ns0:f>I1093+IF(AND(H1094="Eşleşmedi",E1094='Panel'!$B$4),1,0)</ns0:f>
        <ns0:v>3.0</ns0:v>
      </ns0:c>
    </ns0:row>
    <ns0:row r="1095" ht="21" customHeight="1">
      <ns0:c r="A1095" s="25" t="n"/>
      <ns0:c r="B1095" s="26" t="n"/>
      <ns0:c r="C1095" s="27" t="n"/>
      <ns0:c r="D1095" s="27" t="n"/>
      <ns0:c r="E1095" s="28" t="str">
        <ns0:f>IF(A1095="","",YEAR(A1095)&amp;"-"&amp;RIGHT("0"&amp;MONTH(A1095),2))</ns0:f>
        <ns0:v/>
      </ns0:c>
      <ns0:c r="F1095" s="28" t="str">
        <ns0:f>IF(OR(A1095="",B1095="",C1095&lt;=0),"",IF(SUMPRODUCT(('Müşteriler'!$B$2:$B$101&lt;&gt;"")*ISNUMBER(SEARCH('Müşteriler'!$B$2:$B$101,B1095)))=1,IFERROR(INDEX('Müşteriler'!$A$2:$A$101,SUMPRODUCT(('Müşteriler'!$B$2:$B$101&lt;&gt;"")*ISNUMBER(SEARCH('Müşteriler'!$B$2:$B$101,B1095)),ROW('Müşteriler'!$B$2:$B$101)-ROW('Müşteriler'!$B$2)+1)),""),""))</ns0:f>
        <ns0:v/>
      </ns0:c>
      <ns0:c r="G1095" s="28" t="str">
        <ns0:f>IF(F1095="","",IFERROR(INDEX('Müşteriler'!$C$2:$C$101,MATCH(F1095,'Müşteriler'!$A$2:$A$101,0)),""))</ns0:f>
        <ns0:v/>
      </ns0:c>
      <ns0:c r="H1095" s="28" t="str">
        <ns0:f>IF(A1095="","",IF(C1095&lt;=0,"Satış dışı",IF(OR(F1095="",G1095=""),"Eşleşmedi","Eşleşti")))</ns0:f>
        <ns0:v/>
      </ns0:c>
      <ns0:c r="I1095" s="28">
        <ns0:f>I1094+IF(AND(H1095="Eşleşmedi",E1095='Panel'!$B$4),1,0)</ns0:f>
        <ns0:v>3.0</ns0:v>
      </ns0:c>
    </ns0:row>
    <ns0:row r="1096" ht="21" customHeight="1">
      <ns0:c r="A1096" s="25" t="n"/>
      <ns0:c r="B1096" s="26" t="n"/>
      <ns0:c r="C1096" s="27" t="n"/>
      <ns0:c r="D1096" s="27" t="n"/>
      <ns0:c r="E1096" s="28" t="str">
        <ns0:f>IF(A1096="","",YEAR(A1096)&amp;"-"&amp;RIGHT("0"&amp;MONTH(A1096),2))</ns0:f>
        <ns0:v/>
      </ns0:c>
      <ns0:c r="F1096" s="28" t="str">
        <ns0:f>IF(OR(A1096="",B1096="",C1096&lt;=0),"",IF(SUMPRODUCT(('Müşteriler'!$B$2:$B$101&lt;&gt;"")*ISNUMBER(SEARCH('Müşteriler'!$B$2:$B$101,B1096)))=1,IFERROR(INDEX('Müşteriler'!$A$2:$A$101,SUMPRODUCT(('Müşteriler'!$B$2:$B$101&lt;&gt;"")*ISNUMBER(SEARCH('Müşteriler'!$B$2:$B$101,B1096)),ROW('Müşteriler'!$B$2:$B$101)-ROW('Müşteriler'!$B$2)+1)),""),""))</ns0:f>
        <ns0:v/>
      </ns0:c>
      <ns0:c r="G1096" s="28" t="str">
        <ns0:f>IF(F1096="","",IFERROR(INDEX('Müşteriler'!$C$2:$C$101,MATCH(F1096,'Müşteriler'!$A$2:$A$101,0)),""))</ns0:f>
        <ns0:v/>
      </ns0:c>
      <ns0:c r="H1096" s="28" t="str">
        <ns0:f>IF(A1096="","",IF(C1096&lt;=0,"Satış dışı",IF(OR(F1096="",G1096=""),"Eşleşmedi","Eşleşti")))</ns0:f>
        <ns0:v/>
      </ns0:c>
      <ns0:c r="I1096" s="28">
        <ns0:f>I1095+IF(AND(H1096="Eşleşmedi",E1096='Panel'!$B$4),1,0)</ns0:f>
        <ns0:v>3.0</ns0:v>
      </ns0:c>
    </ns0:row>
    <ns0:row r="1097" ht="21" customHeight="1">
      <ns0:c r="A1097" s="25" t="n"/>
      <ns0:c r="B1097" s="26" t="n"/>
      <ns0:c r="C1097" s="27" t="n"/>
      <ns0:c r="D1097" s="27" t="n"/>
      <ns0:c r="E1097" s="28" t="str">
        <ns0:f>IF(A1097="","",YEAR(A1097)&amp;"-"&amp;RIGHT("0"&amp;MONTH(A1097),2))</ns0:f>
        <ns0:v/>
      </ns0:c>
      <ns0:c r="F1097" s="28" t="str">
        <ns0:f>IF(OR(A1097="",B1097="",C1097&lt;=0),"",IF(SUMPRODUCT(('Müşteriler'!$B$2:$B$101&lt;&gt;"")*ISNUMBER(SEARCH('Müşteriler'!$B$2:$B$101,B1097)))=1,IFERROR(INDEX('Müşteriler'!$A$2:$A$101,SUMPRODUCT(('Müşteriler'!$B$2:$B$101&lt;&gt;"")*ISNUMBER(SEARCH('Müşteriler'!$B$2:$B$101,B1097)),ROW('Müşteriler'!$B$2:$B$101)-ROW('Müşteriler'!$B$2)+1)),""),""))</ns0:f>
        <ns0:v/>
      </ns0:c>
      <ns0:c r="G1097" s="28" t="str">
        <ns0:f>IF(F1097="","",IFERROR(INDEX('Müşteriler'!$C$2:$C$101,MATCH(F1097,'Müşteriler'!$A$2:$A$101,0)),""))</ns0:f>
        <ns0:v/>
      </ns0:c>
      <ns0:c r="H1097" s="28" t="str">
        <ns0:f>IF(A1097="","",IF(C1097&lt;=0,"Satış dışı",IF(OR(F1097="",G1097=""),"Eşleşmedi","Eşleşti")))</ns0:f>
        <ns0:v/>
      </ns0:c>
      <ns0:c r="I1097" s="28">
        <ns0:f>I1096+IF(AND(H1097="Eşleşmedi",E1097='Panel'!$B$4),1,0)</ns0:f>
        <ns0:v>3.0</ns0:v>
      </ns0:c>
    </ns0:row>
    <ns0:row r="1098" ht="21" customHeight="1">
      <ns0:c r="A1098" s="25" t="n"/>
      <ns0:c r="B1098" s="26" t="n"/>
      <ns0:c r="C1098" s="27" t="n"/>
      <ns0:c r="D1098" s="27" t="n"/>
      <ns0:c r="E1098" s="28" t="str">
        <ns0:f>IF(A1098="","",YEAR(A1098)&amp;"-"&amp;RIGHT("0"&amp;MONTH(A1098),2))</ns0:f>
        <ns0:v/>
      </ns0:c>
      <ns0:c r="F1098" s="28" t="str">
        <ns0:f>IF(OR(A1098="",B1098="",C1098&lt;=0),"",IF(SUMPRODUCT(('Müşteriler'!$B$2:$B$101&lt;&gt;"")*ISNUMBER(SEARCH('Müşteriler'!$B$2:$B$101,B1098)))=1,IFERROR(INDEX('Müşteriler'!$A$2:$A$101,SUMPRODUCT(('Müşteriler'!$B$2:$B$101&lt;&gt;"")*ISNUMBER(SEARCH('Müşteriler'!$B$2:$B$101,B1098)),ROW('Müşteriler'!$B$2:$B$101)-ROW('Müşteriler'!$B$2)+1)),""),""))</ns0:f>
        <ns0:v/>
      </ns0:c>
      <ns0:c r="G1098" s="28" t="str">
        <ns0:f>IF(F1098="","",IFERROR(INDEX('Müşteriler'!$C$2:$C$101,MATCH(F1098,'Müşteriler'!$A$2:$A$101,0)),""))</ns0:f>
        <ns0:v/>
      </ns0:c>
      <ns0:c r="H1098" s="28" t="str">
        <ns0:f>IF(A1098="","",IF(C1098&lt;=0,"Satış dışı",IF(OR(F1098="",G1098=""),"Eşleşmedi","Eşleşti")))</ns0:f>
        <ns0:v/>
      </ns0:c>
      <ns0:c r="I1098" s="28">
        <ns0:f>I1097+IF(AND(H1098="Eşleşmedi",E1098='Panel'!$B$4),1,0)</ns0:f>
        <ns0:v>3.0</ns0:v>
      </ns0:c>
    </ns0:row>
    <ns0:row r="1099" ht="21" customHeight="1">
      <ns0:c r="A1099" s="25" t="n"/>
      <ns0:c r="B1099" s="26" t="n"/>
      <ns0:c r="C1099" s="27" t="n"/>
      <ns0:c r="D1099" s="27" t="n"/>
      <ns0:c r="E1099" s="28" t="str">
        <ns0:f>IF(A1099="","",YEAR(A1099)&amp;"-"&amp;RIGHT("0"&amp;MONTH(A1099),2))</ns0:f>
        <ns0:v/>
      </ns0:c>
      <ns0:c r="F1099" s="28" t="str">
        <ns0:f>IF(OR(A1099="",B1099="",C1099&lt;=0),"",IF(SUMPRODUCT(('Müşteriler'!$B$2:$B$101&lt;&gt;"")*ISNUMBER(SEARCH('Müşteriler'!$B$2:$B$101,B1099)))=1,IFERROR(INDEX('Müşteriler'!$A$2:$A$101,SUMPRODUCT(('Müşteriler'!$B$2:$B$101&lt;&gt;"")*ISNUMBER(SEARCH('Müşteriler'!$B$2:$B$101,B1099)),ROW('Müşteriler'!$B$2:$B$101)-ROW('Müşteriler'!$B$2)+1)),""),""))</ns0:f>
        <ns0:v/>
      </ns0:c>
      <ns0:c r="G1099" s="28" t="str">
        <ns0:f>IF(F1099="","",IFERROR(INDEX('Müşteriler'!$C$2:$C$101,MATCH(F1099,'Müşteriler'!$A$2:$A$101,0)),""))</ns0:f>
        <ns0:v/>
      </ns0:c>
      <ns0:c r="H1099" s="28" t="str">
        <ns0:f>IF(A1099="","",IF(C1099&lt;=0,"Satış dışı",IF(OR(F1099="",G1099=""),"Eşleşmedi","Eşleşti")))</ns0:f>
        <ns0:v/>
      </ns0:c>
      <ns0:c r="I1099" s="28">
        <ns0:f>I1098+IF(AND(H1099="Eşleşmedi",E1099='Panel'!$B$4),1,0)</ns0:f>
        <ns0:v>3.0</ns0:v>
      </ns0:c>
    </ns0:row>
    <ns0:row r="1100" ht="21" customHeight="1">
      <ns0:c r="A1100" s="25" t="n"/>
      <ns0:c r="B1100" s="26" t="n"/>
      <ns0:c r="C1100" s="27" t="n"/>
      <ns0:c r="D1100" s="27" t="n"/>
      <ns0:c r="E1100" s="28" t="str">
        <ns0:f>IF(A1100="","",YEAR(A1100)&amp;"-"&amp;RIGHT("0"&amp;MONTH(A1100),2))</ns0:f>
        <ns0:v/>
      </ns0:c>
      <ns0:c r="F1100" s="28" t="str">
        <ns0:f>IF(OR(A1100="",B1100="",C1100&lt;=0),"",IF(SUMPRODUCT(('Müşteriler'!$B$2:$B$101&lt;&gt;"")*ISNUMBER(SEARCH('Müşteriler'!$B$2:$B$101,B1100)))=1,IFERROR(INDEX('Müşteriler'!$A$2:$A$101,SUMPRODUCT(('Müşteriler'!$B$2:$B$101&lt;&gt;"")*ISNUMBER(SEARCH('Müşteriler'!$B$2:$B$101,B1100)),ROW('Müşteriler'!$B$2:$B$101)-ROW('Müşteriler'!$B$2)+1)),""),""))</ns0:f>
        <ns0:v/>
      </ns0:c>
      <ns0:c r="G1100" s="28" t="str">
        <ns0:f>IF(F1100="","",IFERROR(INDEX('Müşteriler'!$C$2:$C$101,MATCH(F1100,'Müşteriler'!$A$2:$A$101,0)),""))</ns0:f>
        <ns0:v/>
      </ns0:c>
      <ns0:c r="H1100" s="28" t="str">
        <ns0:f>IF(A1100="","",IF(C1100&lt;=0,"Satış dışı",IF(OR(F1100="",G1100=""),"Eşleşmedi","Eşleşti")))</ns0:f>
        <ns0:v/>
      </ns0:c>
      <ns0:c r="I1100" s="28">
        <ns0:f>I1099+IF(AND(H1100="Eşleşmedi",E1100='Panel'!$B$4),1,0)</ns0:f>
        <ns0:v>3.0</ns0:v>
      </ns0:c>
    </ns0:row>
    <ns0:row r="1101" ht="21" customHeight="1">
      <ns0:c r="A1101" s="25" t="n"/>
      <ns0:c r="B1101" s="26" t="n"/>
      <ns0:c r="C1101" s="27" t="n"/>
      <ns0:c r="D1101" s="27" t="n"/>
      <ns0:c r="E1101" s="28" t="str">
        <ns0:f>IF(A1101="","",YEAR(A1101)&amp;"-"&amp;RIGHT("0"&amp;MONTH(A1101),2))</ns0:f>
        <ns0:v/>
      </ns0:c>
      <ns0:c r="F1101" s="28" t="str">
        <ns0:f>IF(OR(A1101="",B1101="",C1101&lt;=0),"",IF(SUMPRODUCT(('Müşteriler'!$B$2:$B$101&lt;&gt;"")*ISNUMBER(SEARCH('Müşteriler'!$B$2:$B$101,B1101)))=1,IFERROR(INDEX('Müşteriler'!$A$2:$A$101,SUMPRODUCT(('Müşteriler'!$B$2:$B$101&lt;&gt;"")*ISNUMBER(SEARCH('Müşteriler'!$B$2:$B$101,B1101)),ROW('Müşteriler'!$B$2:$B$101)-ROW('Müşteriler'!$B$2)+1)),""),""))</ns0:f>
        <ns0:v/>
      </ns0:c>
      <ns0:c r="G1101" s="28" t="str">
        <ns0:f>IF(F1101="","",IFERROR(INDEX('Müşteriler'!$C$2:$C$101,MATCH(F1101,'Müşteriler'!$A$2:$A$101,0)),""))</ns0:f>
        <ns0:v/>
      </ns0:c>
      <ns0:c r="H1101" s="28" t="str">
        <ns0:f>IF(A1101="","",IF(C1101&lt;=0,"Satış dışı",IF(OR(F1101="",G1101=""),"Eşleşmedi","Eşleşti")))</ns0:f>
        <ns0:v/>
      </ns0:c>
      <ns0:c r="I1101" s="28">
        <ns0:f>I1100+IF(AND(H1101="Eşleşmedi",E1101='Panel'!$B$4),1,0)</ns0:f>
        <ns0:v>3.0</ns0:v>
      </ns0:c>
    </ns0:row>
    <ns0:row r="1102" ht="21" customHeight="1">
      <ns0:c r="A1102" s="25" t="n"/>
      <ns0:c r="B1102" s="26" t="n"/>
      <ns0:c r="C1102" s="27" t="n"/>
      <ns0:c r="D1102" s="27" t="n"/>
      <ns0:c r="E1102" s="28" t="str">
        <ns0:f>IF(A1102="","",YEAR(A1102)&amp;"-"&amp;RIGHT("0"&amp;MONTH(A1102),2))</ns0:f>
        <ns0:v/>
      </ns0:c>
      <ns0:c r="F1102" s="28" t="str">
        <ns0:f>IF(OR(A1102="",B1102="",C1102&lt;=0),"",IF(SUMPRODUCT(('Müşteriler'!$B$2:$B$101&lt;&gt;"")*ISNUMBER(SEARCH('Müşteriler'!$B$2:$B$101,B1102)))=1,IFERROR(INDEX('Müşteriler'!$A$2:$A$101,SUMPRODUCT(('Müşteriler'!$B$2:$B$101&lt;&gt;"")*ISNUMBER(SEARCH('Müşteriler'!$B$2:$B$101,B1102)),ROW('Müşteriler'!$B$2:$B$101)-ROW('Müşteriler'!$B$2)+1)),""),""))</ns0:f>
        <ns0:v/>
      </ns0:c>
      <ns0:c r="G1102" s="28" t="str">
        <ns0:f>IF(F1102="","",IFERROR(INDEX('Müşteriler'!$C$2:$C$101,MATCH(F1102,'Müşteriler'!$A$2:$A$101,0)),""))</ns0:f>
        <ns0:v/>
      </ns0:c>
      <ns0:c r="H1102" s="28" t="str">
        <ns0:f>IF(A1102="","",IF(C1102&lt;=0,"Satış dışı",IF(OR(F1102="",G1102=""),"Eşleşmedi","Eşleşti")))</ns0:f>
        <ns0:v/>
      </ns0:c>
      <ns0:c r="I1102" s="28">
        <ns0:f>I1101+IF(AND(H1102="Eşleşmedi",E1102='Panel'!$B$4),1,0)</ns0:f>
        <ns0:v>3.0</ns0:v>
      </ns0:c>
    </ns0:row>
    <ns0:row r="1103" ht="21" customHeight="1">
      <ns0:c r="A1103" s="25" t="n"/>
      <ns0:c r="B1103" s="26" t="n"/>
      <ns0:c r="C1103" s="27" t="n"/>
      <ns0:c r="D1103" s="27" t="n"/>
      <ns0:c r="E1103" s="28" t="str">
        <ns0:f>IF(A1103="","",YEAR(A1103)&amp;"-"&amp;RIGHT("0"&amp;MONTH(A1103),2))</ns0:f>
        <ns0:v/>
      </ns0:c>
      <ns0:c r="F1103" s="28" t="str">
        <ns0:f>IF(OR(A1103="",B1103="",C1103&lt;=0),"",IF(SUMPRODUCT(('Müşteriler'!$B$2:$B$101&lt;&gt;"")*ISNUMBER(SEARCH('Müşteriler'!$B$2:$B$101,B1103)))=1,IFERROR(INDEX('Müşteriler'!$A$2:$A$101,SUMPRODUCT(('Müşteriler'!$B$2:$B$101&lt;&gt;"")*ISNUMBER(SEARCH('Müşteriler'!$B$2:$B$101,B1103)),ROW('Müşteriler'!$B$2:$B$101)-ROW('Müşteriler'!$B$2)+1)),""),""))</ns0:f>
        <ns0:v/>
      </ns0:c>
      <ns0:c r="G1103" s="28" t="str">
        <ns0:f>IF(F1103="","",IFERROR(INDEX('Müşteriler'!$C$2:$C$101,MATCH(F1103,'Müşteriler'!$A$2:$A$101,0)),""))</ns0:f>
        <ns0:v/>
      </ns0:c>
      <ns0:c r="H1103" s="28" t="str">
        <ns0:f>IF(A1103="","",IF(C1103&lt;=0,"Satış dışı",IF(OR(F1103="",G1103=""),"Eşleşmedi","Eşleşti")))</ns0:f>
        <ns0:v/>
      </ns0:c>
      <ns0:c r="I1103" s="28">
        <ns0:f>I1102+IF(AND(H1103="Eşleşmedi",E1103='Panel'!$B$4),1,0)</ns0:f>
        <ns0:v>3.0</ns0:v>
      </ns0:c>
    </ns0:row>
    <ns0:row r="1104" ht="21" customHeight="1">
      <ns0:c r="A1104" s="25" t="n"/>
      <ns0:c r="B1104" s="26" t="n"/>
      <ns0:c r="C1104" s="27" t="n"/>
      <ns0:c r="D1104" s="27" t="n"/>
      <ns0:c r="E1104" s="28" t="str">
        <ns0:f>IF(A1104="","",YEAR(A1104)&amp;"-"&amp;RIGHT("0"&amp;MONTH(A1104),2))</ns0:f>
        <ns0:v/>
      </ns0:c>
      <ns0:c r="F1104" s="28" t="str">
        <ns0:f>IF(OR(A1104="",B1104="",C1104&lt;=0),"",IF(SUMPRODUCT(('Müşteriler'!$B$2:$B$101&lt;&gt;"")*ISNUMBER(SEARCH('Müşteriler'!$B$2:$B$101,B1104)))=1,IFERROR(INDEX('Müşteriler'!$A$2:$A$101,SUMPRODUCT(('Müşteriler'!$B$2:$B$101&lt;&gt;"")*ISNUMBER(SEARCH('Müşteriler'!$B$2:$B$101,B1104)),ROW('Müşteriler'!$B$2:$B$101)-ROW('Müşteriler'!$B$2)+1)),""),""))</ns0:f>
        <ns0:v/>
      </ns0:c>
      <ns0:c r="G1104" s="28" t="str">
        <ns0:f>IF(F1104="","",IFERROR(INDEX('Müşteriler'!$C$2:$C$101,MATCH(F1104,'Müşteriler'!$A$2:$A$101,0)),""))</ns0:f>
        <ns0:v/>
      </ns0:c>
      <ns0:c r="H1104" s="28" t="str">
        <ns0:f>IF(A1104="","",IF(C1104&lt;=0,"Satış dışı",IF(OR(F1104="",G1104=""),"Eşleşmedi","Eşleşti")))</ns0:f>
        <ns0:v/>
      </ns0:c>
      <ns0:c r="I1104" s="28">
        <ns0:f>I1103+IF(AND(H1104="Eşleşmedi",E1104='Panel'!$B$4),1,0)</ns0:f>
        <ns0:v>3.0</ns0:v>
      </ns0:c>
    </ns0:row>
    <ns0:row r="1105" ht="21" customHeight="1">
      <ns0:c r="A1105" s="25" t="n"/>
      <ns0:c r="B1105" s="26" t="n"/>
      <ns0:c r="C1105" s="27" t="n"/>
      <ns0:c r="D1105" s="27" t="n"/>
      <ns0:c r="E1105" s="28" t="str">
        <ns0:f>IF(A1105="","",YEAR(A1105)&amp;"-"&amp;RIGHT("0"&amp;MONTH(A1105),2))</ns0:f>
        <ns0:v/>
      </ns0:c>
      <ns0:c r="F1105" s="28" t="str">
        <ns0:f>IF(OR(A1105="",B1105="",C1105&lt;=0),"",IF(SUMPRODUCT(('Müşteriler'!$B$2:$B$101&lt;&gt;"")*ISNUMBER(SEARCH('Müşteriler'!$B$2:$B$101,B1105)))=1,IFERROR(INDEX('Müşteriler'!$A$2:$A$101,SUMPRODUCT(('Müşteriler'!$B$2:$B$101&lt;&gt;"")*ISNUMBER(SEARCH('Müşteriler'!$B$2:$B$101,B1105)),ROW('Müşteriler'!$B$2:$B$101)-ROW('Müşteriler'!$B$2)+1)),""),""))</ns0:f>
        <ns0:v/>
      </ns0:c>
      <ns0:c r="G1105" s="28" t="str">
        <ns0:f>IF(F1105="","",IFERROR(INDEX('Müşteriler'!$C$2:$C$101,MATCH(F1105,'Müşteriler'!$A$2:$A$101,0)),""))</ns0:f>
        <ns0:v/>
      </ns0:c>
      <ns0:c r="H1105" s="28" t="str">
        <ns0:f>IF(A1105="","",IF(C1105&lt;=0,"Satış dışı",IF(OR(F1105="",G1105=""),"Eşleşmedi","Eşleşti")))</ns0:f>
        <ns0:v/>
      </ns0:c>
      <ns0:c r="I1105" s="28">
        <ns0:f>I1104+IF(AND(H1105="Eşleşmedi",E1105='Panel'!$B$4),1,0)</ns0:f>
        <ns0:v>3.0</ns0:v>
      </ns0:c>
    </ns0:row>
    <ns0:row r="1106" ht="21" customHeight="1">
      <ns0:c r="A1106" s="25" t="n"/>
      <ns0:c r="B1106" s="26" t="n"/>
      <ns0:c r="C1106" s="27" t="n"/>
      <ns0:c r="D1106" s="27" t="n"/>
      <ns0:c r="E1106" s="28" t="str">
        <ns0:f>IF(A1106="","",YEAR(A1106)&amp;"-"&amp;RIGHT("0"&amp;MONTH(A1106),2))</ns0:f>
        <ns0:v/>
      </ns0:c>
      <ns0:c r="F1106" s="28" t="str">
        <ns0:f>IF(OR(A1106="",B1106="",C1106&lt;=0),"",IF(SUMPRODUCT(('Müşteriler'!$B$2:$B$101&lt;&gt;"")*ISNUMBER(SEARCH('Müşteriler'!$B$2:$B$101,B1106)))=1,IFERROR(INDEX('Müşteriler'!$A$2:$A$101,SUMPRODUCT(('Müşteriler'!$B$2:$B$101&lt;&gt;"")*ISNUMBER(SEARCH('Müşteriler'!$B$2:$B$101,B1106)),ROW('Müşteriler'!$B$2:$B$101)-ROW('Müşteriler'!$B$2)+1)),""),""))</ns0:f>
        <ns0:v/>
      </ns0:c>
      <ns0:c r="G1106" s="28" t="str">
        <ns0:f>IF(F1106="","",IFERROR(INDEX('Müşteriler'!$C$2:$C$101,MATCH(F1106,'Müşteriler'!$A$2:$A$101,0)),""))</ns0:f>
        <ns0:v/>
      </ns0:c>
      <ns0:c r="H1106" s="28" t="str">
        <ns0:f>IF(A1106="","",IF(C1106&lt;=0,"Satış dışı",IF(OR(F1106="",G1106=""),"Eşleşmedi","Eşleşti")))</ns0:f>
        <ns0:v/>
      </ns0:c>
      <ns0:c r="I1106" s="28">
        <ns0:f>I1105+IF(AND(H1106="Eşleşmedi",E1106='Panel'!$B$4),1,0)</ns0:f>
        <ns0:v>3.0</ns0:v>
      </ns0:c>
    </ns0:row>
    <ns0:row r="1107" ht="21" customHeight="1">
      <ns0:c r="A1107" s="25" t="n"/>
      <ns0:c r="B1107" s="26" t="n"/>
      <ns0:c r="C1107" s="27" t="n"/>
      <ns0:c r="D1107" s="27" t="n"/>
      <ns0:c r="E1107" s="28" t="str">
        <ns0:f>IF(A1107="","",YEAR(A1107)&amp;"-"&amp;RIGHT("0"&amp;MONTH(A1107),2))</ns0:f>
        <ns0:v/>
      </ns0:c>
      <ns0:c r="F1107" s="28" t="str">
        <ns0:f>IF(OR(A1107="",B1107="",C1107&lt;=0),"",IF(SUMPRODUCT(('Müşteriler'!$B$2:$B$101&lt;&gt;"")*ISNUMBER(SEARCH('Müşteriler'!$B$2:$B$101,B1107)))=1,IFERROR(INDEX('Müşteriler'!$A$2:$A$101,SUMPRODUCT(('Müşteriler'!$B$2:$B$101&lt;&gt;"")*ISNUMBER(SEARCH('Müşteriler'!$B$2:$B$101,B1107)),ROW('Müşteriler'!$B$2:$B$101)-ROW('Müşteriler'!$B$2)+1)),""),""))</ns0:f>
        <ns0:v/>
      </ns0:c>
      <ns0:c r="G1107" s="28" t="str">
        <ns0:f>IF(F1107="","",IFERROR(INDEX('Müşteriler'!$C$2:$C$101,MATCH(F1107,'Müşteriler'!$A$2:$A$101,0)),""))</ns0:f>
        <ns0:v/>
      </ns0:c>
      <ns0:c r="H1107" s="28" t="str">
        <ns0:f>IF(A1107="","",IF(C1107&lt;=0,"Satış dışı",IF(OR(F1107="",G1107=""),"Eşleşmedi","Eşleşti")))</ns0:f>
        <ns0:v/>
      </ns0:c>
      <ns0:c r="I1107" s="28">
        <ns0:f>I1106+IF(AND(H1107="Eşleşmedi",E1107='Panel'!$B$4),1,0)</ns0:f>
        <ns0:v>3.0</ns0:v>
      </ns0:c>
    </ns0:row>
    <ns0:row r="1108" ht="21" customHeight="1">
      <ns0:c r="A1108" s="25" t="n"/>
      <ns0:c r="B1108" s="26" t="n"/>
      <ns0:c r="C1108" s="27" t="n"/>
      <ns0:c r="D1108" s="27" t="n"/>
      <ns0:c r="E1108" s="28" t="str">
        <ns0:f>IF(A1108="","",YEAR(A1108)&amp;"-"&amp;RIGHT("0"&amp;MONTH(A1108),2))</ns0:f>
        <ns0:v/>
      </ns0:c>
      <ns0:c r="F1108" s="28" t="str">
        <ns0:f>IF(OR(A1108="",B1108="",C1108&lt;=0),"",IF(SUMPRODUCT(('Müşteriler'!$B$2:$B$101&lt;&gt;"")*ISNUMBER(SEARCH('Müşteriler'!$B$2:$B$101,B1108)))=1,IFERROR(INDEX('Müşteriler'!$A$2:$A$101,SUMPRODUCT(('Müşteriler'!$B$2:$B$101&lt;&gt;"")*ISNUMBER(SEARCH('Müşteriler'!$B$2:$B$101,B1108)),ROW('Müşteriler'!$B$2:$B$101)-ROW('Müşteriler'!$B$2)+1)),""),""))</ns0:f>
        <ns0:v/>
      </ns0:c>
      <ns0:c r="G1108" s="28" t="str">
        <ns0:f>IF(F1108="","",IFERROR(INDEX('Müşteriler'!$C$2:$C$101,MATCH(F1108,'Müşteriler'!$A$2:$A$101,0)),""))</ns0:f>
        <ns0:v/>
      </ns0:c>
      <ns0:c r="H1108" s="28" t="str">
        <ns0:f>IF(A1108="","",IF(C1108&lt;=0,"Satış dışı",IF(OR(F1108="",G1108=""),"Eşleşmedi","Eşleşti")))</ns0:f>
        <ns0:v/>
      </ns0:c>
      <ns0:c r="I1108" s="28">
        <ns0:f>I1107+IF(AND(H1108="Eşleşmedi",E1108='Panel'!$B$4),1,0)</ns0:f>
        <ns0:v>3.0</ns0:v>
      </ns0:c>
    </ns0:row>
    <ns0:row r="1109" ht="21" customHeight="1">
      <ns0:c r="A1109" s="25" t="n"/>
      <ns0:c r="B1109" s="26" t="n"/>
      <ns0:c r="C1109" s="27" t="n"/>
      <ns0:c r="D1109" s="27" t="n"/>
      <ns0:c r="E1109" s="28" t="str">
        <ns0:f>IF(A1109="","",YEAR(A1109)&amp;"-"&amp;RIGHT("0"&amp;MONTH(A1109),2))</ns0:f>
        <ns0:v/>
      </ns0:c>
      <ns0:c r="F1109" s="28" t="str">
        <ns0:f>IF(OR(A1109="",B1109="",C1109&lt;=0),"",IF(SUMPRODUCT(('Müşteriler'!$B$2:$B$101&lt;&gt;"")*ISNUMBER(SEARCH('Müşteriler'!$B$2:$B$101,B1109)))=1,IFERROR(INDEX('Müşteriler'!$A$2:$A$101,SUMPRODUCT(('Müşteriler'!$B$2:$B$101&lt;&gt;"")*ISNUMBER(SEARCH('Müşteriler'!$B$2:$B$101,B1109)),ROW('Müşteriler'!$B$2:$B$101)-ROW('Müşteriler'!$B$2)+1)),""),""))</ns0:f>
        <ns0:v/>
      </ns0:c>
      <ns0:c r="G1109" s="28" t="str">
        <ns0:f>IF(F1109="","",IFERROR(INDEX('Müşteriler'!$C$2:$C$101,MATCH(F1109,'Müşteriler'!$A$2:$A$101,0)),""))</ns0:f>
        <ns0:v/>
      </ns0:c>
      <ns0:c r="H1109" s="28" t="str">
        <ns0:f>IF(A1109="","",IF(C1109&lt;=0,"Satış dışı",IF(OR(F1109="",G1109=""),"Eşleşmedi","Eşleşti")))</ns0:f>
        <ns0:v/>
      </ns0:c>
      <ns0:c r="I1109" s="28">
        <ns0:f>I1108+IF(AND(H1109="Eşleşmedi",E1109='Panel'!$B$4),1,0)</ns0:f>
        <ns0:v>3.0</ns0:v>
      </ns0:c>
    </ns0:row>
    <ns0:row r="1110" ht="21" customHeight="1">
      <ns0:c r="A1110" s="25" t="n"/>
      <ns0:c r="B1110" s="26" t="n"/>
      <ns0:c r="C1110" s="27" t="n"/>
      <ns0:c r="D1110" s="27" t="n"/>
      <ns0:c r="E1110" s="28" t="str">
        <ns0:f>IF(A1110="","",YEAR(A1110)&amp;"-"&amp;RIGHT("0"&amp;MONTH(A1110),2))</ns0:f>
        <ns0:v/>
      </ns0:c>
      <ns0:c r="F1110" s="28" t="str">
        <ns0:f>IF(OR(A1110="",B1110="",C1110&lt;=0),"",IF(SUMPRODUCT(('Müşteriler'!$B$2:$B$101&lt;&gt;"")*ISNUMBER(SEARCH('Müşteriler'!$B$2:$B$101,B1110)))=1,IFERROR(INDEX('Müşteriler'!$A$2:$A$101,SUMPRODUCT(('Müşteriler'!$B$2:$B$101&lt;&gt;"")*ISNUMBER(SEARCH('Müşteriler'!$B$2:$B$101,B1110)),ROW('Müşteriler'!$B$2:$B$101)-ROW('Müşteriler'!$B$2)+1)),""),""))</ns0:f>
        <ns0:v/>
      </ns0:c>
      <ns0:c r="G1110" s="28" t="str">
        <ns0:f>IF(F1110="","",IFERROR(INDEX('Müşteriler'!$C$2:$C$101,MATCH(F1110,'Müşteriler'!$A$2:$A$101,0)),""))</ns0:f>
        <ns0:v/>
      </ns0:c>
      <ns0:c r="H1110" s="28" t="str">
        <ns0:f>IF(A1110="","",IF(C1110&lt;=0,"Satış dışı",IF(OR(F1110="",G1110=""),"Eşleşmedi","Eşleşti")))</ns0:f>
        <ns0:v/>
      </ns0:c>
      <ns0:c r="I1110" s="28">
        <ns0:f>I1109+IF(AND(H1110="Eşleşmedi",E1110='Panel'!$B$4),1,0)</ns0:f>
        <ns0:v>3.0</ns0:v>
      </ns0:c>
    </ns0:row>
    <ns0:row r="1111" ht="21" customHeight="1">
      <ns0:c r="A1111" s="25" t="n"/>
      <ns0:c r="B1111" s="26" t="n"/>
      <ns0:c r="C1111" s="27" t="n"/>
      <ns0:c r="D1111" s="27" t="n"/>
      <ns0:c r="E1111" s="28" t="str">
        <ns0:f>IF(A1111="","",YEAR(A1111)&amp;"-"&amp;RIGHT("0"&amp;MONTH(A1111),2))</ns0:f>
        <ns0:v/>
      </ns0:c>
      <ns0:c r="F1111" s="28" t="str">
        <ns0:f>IF(OR(A1111="",B1111="",C1111&lt;=0),"",IF(SUMPRODUCT(('Müşteriler'!$B$2:$B$101&lt;&gt;"")*ISNUMBER(SEARCH('Müşteriler'!$B$2:$B$101,B1111)))=1,IFERROR(INDEX('Müşteriler'!$A$2:$A$101,SUMPRODUCT(('Müşteriler'!$B$2:$B$101&lt;&gt;"")*ISNUMBER(SEARCH('Müşteriler'!$B$2:$B$101,B1111)),ROW('Müşteriler'!$B$2:$B$101)-ROW('Müşteriler'!$B$2)+1)),""),""))</ns0:f>
        <ns0:v/>
      </ns0:c>
      <ns0:c r="G1111" s="28" t="str">
        <ns0:f>IF(F1111="","",IFERROR(INDEX('Müşteriler'!$C$2:$C$101,MATCH(F1111,'Müşteriler'!$A$2:$A$101,0)),""))</ns0:f>
        <ns0:v/>
      </ns0:c>
      <ns0:c r="H1111" s="28" t="str">
        <ns0:f>IF(A1111="","",IF(C1111&lt;=0,"Satış dışı",IF(OR(F1111="",G1111=""),"Eşleşmedi","Eşleşti")))</ns0:f>
        <ns0:v/>
      </ns0:c>
      <ns0:c r="I1111" s="28">
        <ns0:f>I1110+IF(AND(H1111="Eşleşmedi",E1111='Panel'!$B$4),1,0)</ns0:f>
        <ns0:v>3.0</ns0:v>
      </ns0:c>
    </ns0:row>
    <ns0:row r="1112" ht="21" customHeight="1">
      <ns0:c r="A1112" s="25" t="n"/>
      <ns0:c r="B1112" s="26" t="n"/>
      <ns0:c r="C1112" s="27" t="n"/>
      <ns0:c r="D1112" s="27" t="n"/>
      <ns0:c r="E1112" s="28" t="str">
        <ns0:f>IF(A1112="","",YEAR(A1112)&amp;"-"&amp;RIGHT("0"&amp;MONTH(A1112),2))</ns0:f>
        <ns0:v/>
      </ns0:c>
      <ns0:c r="F1112" s="28" t="str">
        <ns0:f>IF(OR(A1112="",B1112="",C1112&lt;=0),"",IF(SUMPRODUCT(('Müşteriler'!$B$2:$B$101&lt;&gt;"")*ISNUMBER(SEARCH('Müşteriler'!$B$2:$B$101,B1112)))=1,IFERROR(INDEX('Müşteriler'!$A$2:$A$101,SUMPRODUCT(('Müşteriler'!$B$2:$B$101&lt;&gt;"")*ISNUMBER(SEARCH('Müşteriler'!$B$2:$B$101,B1112)),ROW('Müşteriler'!$B$2:$B$101)-ROW('Müşteriler'!$B$2)+1)),""),""))</ns0:f>
        <ns0:v/>
      </ns0:c>
      <ns0:c r="G1112" s="28" t="str">
        <ns0:f>IF(F1112="","",IFERROR(INDEX('Müşteriler'!$C$2:$C$101,MATCH(F1112,'Müşteriler'!$A$2:$A$101,0)),""))</ns0:f>
        <ns0:v/>
      </ns0:c>
      <ns0:c r="H1112" s="28" t="str">
        <ns0:f>IF(A1112="","",IF(C1112&lt;=0,"Satış dışı",IF(OR(F1112="",G1112=""),"Eşleşmedi","Eşleşti")))</ns0:f>
        <ns0:v/>
      </ns0:c>
      <ns0:c r="I1112" s="28">
        <ns0:f>I1111+IF(AND(H1112="Eşleşmedi",E1112='Panel'!$B$4),1,0)</ns0:f>
        <ns0:v>3.0</ns0:v>
      </ns0:c>
    </ns0:row>
    <ns0:row r="1113" ht="21" customHeight="1">
      <ns0:c r="A1113" s="25" t="n"/>
      <ns0:c r="B1113" s="26" t="n"/>
      <ns0:c r="C1113" s="27" t="n"/>
      <ns0:c r="D1113" s="27" t="n"/>
      <ns0:c r="E1113" s="28" t="str">
        <ns0:f>IF(A1113="","",YEAR(A1113)&amp;"-"&amp;RIGHT("0"&amp;MONTH(A1113),2))</ns0:f>
        <ns0:v/>
      </ns0:c>
      <ns0:c r="F1113" s="28" t="str">
        <ns0:f>IF(OR(A1113="",B1113="",C1113&lt;=0),"",IF(SUMPRODUCT(('Müşteriler'!$B$2:$B$101&lt;&gt;"")*ISNUMBER(SEARCH('Müşteriler'!$B$2:$B$101,B1113)))=1,IFERROR(INDEX('Müşteriler'!$A$2:$A$101,SUMPRODUCT(('Müşteriler'!$B$2:$B$101&lt;&gt;"")*ISNUMBER(SEARCH('Müşteriler'!$B$2:$B$101,B1113)),ROW('Müşteriler'!$B$2:$B$101)-ROW('Müşteriler'!$B$2)+1)),""),""))</ns0:f>
        <ns0:v/>
      </ns0:c>
      <ns0:c r="G1113" s="28" t="str">
        <ns0:f>IF(F1113="","",IFERROR(INDEX('Müşteriler'!$C$2:$C$101,MATCH(F1113,'Müşteriler'!$A$2:$A$101,0)),""))</ns0:f>
        <ns0:v/>
      </ns0:c>
      <ns0:c r="H1113" s="28" t="str">
        <ns0:f>IF(A1113="","",IF(C1113&lt;=0,"Satış dışı",IF(OR(F1113="",G1113=""),"Eşleşmedi","Eşleşti")))</ns0:f>
        <ns0:v/>
      </ns0:c>
      <ns0:c r="I1113" s="28">
        <ns0:f>I1112+IF(AND(H1113="Eşleşmedi",E1113='Panel'!$B$4),1,0)</ns0:f>
        <ns0:v>3.0</ns0:v>
      </ns0:c>
    </ns0:row>
    <ns0:row r="1114" ht="21" customHeight="1">
      <ns0:c r="A1114" s="25" t="n"/>
      <ns0:c r="B1114" s="26" t="n"/>
      <ns0:c r="C1114" s="27" t="n"/>
      <ns0:c r="D1114" s="27" t="n"/>
      <ns0:c r="E1114" s="28" t="str">
        <ns0:f>IF(A1114="","",YEAR(A1114)&amp;"-"&amp;RIGHT("0"&amp;MONTH(A1114),2))</ns0:f>
        <ns0:v/>
      </ns0:c>
      <ns0:c r="F1114" s="28" t="str">
        <ns0:f>IF(OR(A1114="",B1114="",C1114&lt;=0),"",IF(SUMPRODUCT(('Müşteriler'!$B$2:$B$101&lt;&gt;"")*ISNUMBER(SEARCH('Müşteriler'!$B$2:$B$101,B1114)))=1,IFERROR(INDEX('Müşteriler'!$A$2:$A$101,SUMPRODUCT(('Müşteriler'!$B$2:$B$101&lt;&gt;"")*ISNUMBER(SEARCH('Müşteriler'!$B$2:$B$101,B1114)),ROW('Müşteriler'!$B$2:$B$101)-ROW('Müşteriler'!$B$2)+1)),""),""))</ns0:f>
        <ns0:v/>
      </ns0:c>
      <ns0:c r="G1114" s="28" t="str">
        <ns0:f>IF(F1114="","",IFERROR(INDEX('Müşteriler'!$C$2:$C$101,MATCH(F1114,'Müşteriler'!$A$2:$A$101,0)),""))</ns0:f>
        <ns0:v/>
      </ns0:c>
      <ns0:c r="H1114" s="28" t="str">
        <ns0:f>IF(A1114="","",IF(C1114&lt;=0,"Satış dışı",IF(OR(F1114="",G1114=""),"Eşleşmedi","Eşleşti")))</ns0:f>
        <ns0:v/>
      </ns0:c>
      <ns0:c r="I1114" s="28">
        <ns0:f>I1113+IF(AND(H1114="Eşleşmedi",E1114='Panel'!$B$4),1,0)</ns0:f>
        <ns0:v>3.0</ns0:v>
      </ns0:c>
    </ns0:row>
    <ns0:row r="1115" ht="21" customHeight="1">
      <ns0:c r="A1115" s="25" t="n"/>
      <ns0:c r="B1115" s="26" t="n"/>
      <ns0:c r="C1115" s="27" t="n"/>
      <ns0:c r="D1115" s="27" t="n"/>
      <ns0:c r="E1115" s="28" t="str">
        <ns0:f>IF(A1115="","",YEAR(A1115)&amp;"-"&amp;RIGHT("0"&amp;MONTH(A1115),2))</ns0:f>
        <ns0:v/>
      </ns0:c>
      <ns0:c r="F1115" s="28" t="str">
        <ns0:f>IF(OR(A1115="",B1115="",C1115&lt;=0),"",IF(SUMPRODUCT(('Müşteriler'!$B$2:$B$101&lt;&gt;"")*ISNUMBER(SEARCH('Müşteriler'!$B$2:$B$101,B1115)))=1,IFERROR(INDEX('Müşteriler'!$A$2:$A$101,SUMPRODUCT(('Müşteriler'!$B$2:$B$101&lt;&gt;"")*ISNUMBER(SEARCH('Müşteriler'!$B$2:$B$101,B1115)),ROW('Müşteriler'!$B$2:$B$101)-ROW('Müşteriler'!$B$2)+1)),""),""))</ns0:f>
        <ns0:v/>
      </ns0:c>
      <ns0:c r="G1115" s="28" t="str">
        <ns0:f>IF(F1115="","",IFERROR(INDEX('Müşteriler'!$C$2:$C$101,MATCH(F1115,'Müşteriler'!$A$2:$A$101,0)),""))</ns0:f>
        <ns0:v/>
      </ns0:c>
      <ns0:c r="H1115" s="28" t="str">
        <ns0:f>IF(A1115="","",IF(C1115&lt;=0,"Satış dışı",IF(OR(F1115="",G1115=""),"Eşleşmedi","Eşleşti")))</ns0:f>
        <ns0:v/>
      </ns0:c>
      <ns0:c r="I1115" s="28">
        <ns0:f>I1114+IF(AND(H1115="Eşleşmedi",E1115='Panel'!$B$4),1,0)</ns0:f>
        <ns0:v>3.0</ns0:v>
      </ns0:c>
    </ns0:row>
    <ns0:row r="1116" ht="21" customHeight="1">
      <ns0:c r="A1116" s="25" t="n"/>
      <ns0:c r="B1116" s="26" t="n"/>
      <ns0:c r="C1116" s="27" t="n"/>
      <ns0:c r="D1116" s="27" t="n"/>
      <ns0:c r="E1116" s="28" t="str">
        <ns0:f>IF(A1116="","",YEAR(A1116)&amp;"-"&amp;RIGHT("0"&amp;MONTH(A1116),2))</ns0:f>
        <ns0:v/>
      </ns0:c>
      <ns0:c r="F1116" s="28" t="str">
        <ns0:f>IF(OR(A1116="",B1116="",C1116&lt;=0),"",IF(SUMPRODUCT(('Müşteriler'!$B$2:$B$101&lt;&gt;"")*ISNUMBER(SEARCH('Müşteriler'!$B$2:$B$101,B1116)))=1,IFERROR(INDEX('Müşteriler'!$A$2:$A$101,SUMPRODUCT(('Müşteriler'!$B$2:$B$101&lt;&gt;"")*ISNUMBER(SEARCH('Müşteriler'!$B$2:$B$101,B1116)),ROW('Müşteriler'!$B$2:$B$101)-ROW('Müşteriler'!$B$2)+1)),""),""))</ns0:f>
        <ns0:v/>
      </ns0:c>
      <ns0:c r="G1116" s="28" t="str">
        <ns0:f>IF(F1116="","",IFERROR(INDEX('Müşteriler'!$C$2:$C$101,MATCH(F1116,'Müşteriler'!$A$2:$A$101,0)),""))</ns0:f>
        <ns0:v/>
      </ns0:c>
      <ns0:c r="H1116" s="28" t="str">
        <ns0:f>IF(A1116="","",IF(C1116&lt;=0,"Satış dışı",IF(OR(F1116="",G1116=""),"Eşleşmedi","Eşleşti")))</ns0:f>
        <ns0:v/>
      </ns0:c>
      <ns0:c r="I1116" s="28">
        <ns0:f>I1115+IF(AND(H1116="Eşleşmedi",E1116='Panel'!$B$4),1,0)</ns0:f>
        <ns0:v>3.0</ns0:v>
      </ns0:c>
    </ns0:row>
    <ns0:row r="1117" ht="21" customHeight="1">
      <ns0:c r="A1117" s="25" t="n"/>
      <ns0:c r="B1117" s="26" t="n"/>
      <ns0:c r="C1117" s="27" t="n"/>
      <ns0:c r="D1117" s="27" t="n"/>
      <ns0:c r="E1117" s="28" t="str">
        <ns0:f>IF(A1117="","",YEAR(A1117)&amp;"-"&amp;RIGHT("0"&amp;MONTH(A1117),2))</ns0:f>
        <ns0:v/>
      </ns0:c>
      <ns0:c r="F1117" s="28" t="str">
        <ns0:f>IF(OR(A1117="",B1117="",C1117&lt;=0),"",IF(SUMPRODUCT(('Müşteriler'!$B$2:$B$101&lt;&gt;"")*ISNUMBER(SEARCH('Müşteriler'!$B$2:$B$101,B1117)))=1,IFERROR(INDEX('Müşteriler'!$A$2:$A$101,SUMPRODUCT(('Müşteriler'!$B$2:$B$101&lt;&gt;"")*ISNUMBER(SEARCH('Müşteriler'!$B$2:$B$101,B1117)),ROW('Müşteriler'!$B$2:$B$101)-ROW('Müşteriler'!$B$2)+1)),""),""))</ns0:f>
        <ns0:v/>
      </ns0:c>
      <ns0:c r="G1117" s="28" t="str">
        <ns0:f>IF(F1117="","",IFERROR(INDEX('Müşteriler'!$C$2:$C$101,MATCH(F1117,'Müşteriler'!$A$2:$A$101,0)),""))</ns0:f>
        <ns0:v/>
      </ns0:c>
      <ns0:c r="H1117" s="28" t="str">
        <ns0:f>IF(A1117="","",IF(C1117&lt;=0,"Satış dışı",IF(OR(F1117="",G1117=""),"Eşleşmedi","Eşleşti")))</ns0:f>
        <ns0:v/>
      </ns0:c>
      <ns0:c r="I1117" s="28">
        <ns0:f>I1116+IF(AND(H1117="Eşleşmedi",E1117='Panel'!$B$4),1,0)</ns0:f>
        <ns0:v>3.0</ns0:v>
      </ns0:c>
    </ns0:row>
    <ns0:row r="1118" ht="21" customHeight="1">
      <ns0:c r="A1118" s="25" t="n"/>
      <ns0:c r="B1118" s="26" t="n"/>
      <ns0:c r="C1118" s="27" t="n"/>
      <ns0:c r="D1118" s="27" t="n"/>
      <ns0:c r="E1118" s="28" t="str">
        <ns0:f>IF(A1118="","",YEAR(A1118)&amp;"-"&amp;RIGHT("0"&amp;MONTH(A1118),2))</ns0:f>
        <ns0:v/>
      </ns0:c>
      <ns0:c r="F1118" s="28" t="str">
        <ns0:f>IF(OR(A1118="",B1118="",C1118&lt;=0),"",IF(SUMPRODUCT(('Müşteriler'!$B$2:$B$101&lt;&gt;"")*ISNUMBER(SEARCH('Müşteriler'!$B$2:$B$101,B1118)))=1,IFERROR(INDEX('Müşteriler'!$A$2:$A$101,SUMPRODUCT(('Müşteriler'!$B$2:$B$101&lt;&gt;"")*ISNUMBER(SEARCH('Müşteriler'!$B$2:$B$101,B1118)),ROW('Müşteriler'!$B$2:$B$101)-ROW('Müşteriler'!$B$2)+1)),""),""))</ns0:f>
        <ns0:v/>
      </ns0:c>
      <ns0:c r="G1118" s="28" t="str">
        <ns0:f>IF(F1118="","",IFERROR(INDEX('Müşteriler'!$C$2:$C$101,MATCH(F1118,'Müşteriler'!$A$2:$A$101,0)),""))</ns0:f>
        <ns0:v/>
      </ns0:c>
      <ns0:c r="H1118" s="28" t="str">
        <ns0:f>IF(A1118="","",IF(C1118&lt;=0,"Satış dışı",IF(OR(F1118="",G1118=""),"Eşleşmedi","Eşleşti")))</ns0:f>
        <ns0:v/>
      </ns0:c>
      <ns0:c r="I1118" s="28">
        <ns0:f>I1117+IF(AND(H1118="Eşleşmedi",E1118='Panel'!$B$4),1,0)</ns0:f>
        <ns0:v>3.0</ns0:v>
      </ns0:c>
    </ns0:row>
    <ns0:row r="1119" ht="21" customHeight="1">
      <ns0:c r="A1119" s="25" t="n"/>
      <ns0:c r="B1119" s="26" t="n"/>
      <ns0:c r="C1119" s="27" t="n"/>
      <ns0:c r="D1119" s="27" t="n"/>
      <ns0:c r="E1119" s="28" t="str">
        <ns0:f>IF(A1119="","",YEAR(A1119)&amp;"-"&amp;RIGHT("0"&amp;MONTH(A1119),2))</ns0:f>
        <ns0:v/>
      </ns0:c>
      <ns0:c r="F1119" s="28" t="str">
        <ns0:f>IF(OR(A1119="",B1119="",C1119&lt;=0),"",IF(SUMPRODUCT(('Müşteriler'!$B$2:$B$101&lt;&gt;"")*ISNUMBER(SEARCH('Müşteriler'!$B$2:$B$101,B1119)))=1,IFERROR(INDEX('Müşteriler'!$A$2:$A$101,SUMPRODUCT(('Müşteriler'!$B$2:$B$101&lt;&gt;"")*ISNUMBER(SEARCH('Müşteriler'!$B$2:$B$101,B1119)),ROW('Müşteriler'!$B$2:$B$101)-ROW('Müşteriler'!$B$2)+1)),""),""))</ns0:f>
        <ns0:v/>
      </ns0:c>
      <ns0:c r="G1119" s="28" t="str">
        <ns0:f>IF(F1119="","",IFERROR(INDEX('Müşteriler'!$C$2:$C$101,MATCH(F1119,'Müşteriler'!$A$2:$A$101,0)),""))</ns0:f>
        <ns0:v/>
      </ns0:c>
      <ns0:c r="H1119" s="28" t="str">
        <ns0:f>IF(A1119="","",IF(C1119&lt;=0,"Satış dışı",IF(OR(F1119="",G1119=""),"Eşleşmedi","Eşleşti")))</ns0:f>
        <ns0:v/>
      </ns0:c>
      <ns0:c r="I1119" s="28">
        <ns0:f>I1118+IF(AND(H1119="Eşleşmedi",E1119='Panel'!$B$4),1,0)</ns0:f>
        <ns0:v>3.0</ns0:v>
      </ns0:c>
    </ns0:row>
    <ns0:row r="1120" ht="21" customHeight="1">
      <ns0:c r="A1120" s="25" t="n"/>
      <ns0:c r="B1120" s="26" t="n"/>
      <ns0:c r="C1120" s="27" t="n"/>
      <ns0:c r="D1120" s="27" t="n"/>
      <ns0:c r="E1120" s="28" t="str">
        <ns0:f>IF(A1120="","",YEAR(A1120)&amp;"-"&amp;RIGHT("0"&amp;MONTH(A1120),2))</ns0:f>
        <ns0:v/>
      </ns0:c>
      <ns0:c r="F1120" s="28" t="str">
        <ns0:f>IF(OR(A1120="",B1120="",C1120&lt;=0),"",IF(SUMPRODUCT(('Müşteriler'!$B$2:$B$101&lt;&gt;"")*ISNUMBER(SEARCH('Müşteriler'!$B$2:$B$101,B1120)))=1,IFERROR(INDEX('Müşteriler'!$A$2:$A$101,SUMPRODUCT(('Müşteriler'!$B$2:$B$101&lt;&gt;"")*ISNUMBER(SEARCH('Müşteriler'!$B$2:$B$101,B1120)),ROW('Müşteriler'!$B$2:$B$101)-ROW('Müşteriler'!$B$2)+1)),""),""))</ns0:f>
        <ns0:v/>
      </ns0:c>
      <ns0:c r="G1120" s="28" t="str">
        <ns0:f>IF(F1120="","",IFERROR(INDEX('Müşteriler'!$C$2:$C$101,MATCH(F1120,'Müşteriler'!$A$2:$A$101,0)),""))</ns0:f>
        <ns0:v/>
      </ns0:c>
      <ns0:c r="H1120" s="28" t="str">
        <ns0:f>IF(A1120="","",IF(C1120&lt;=0,"Satış dışı",IF(OR(F1120="",G1120=""),"Eşleşmedi","Eşleşti")))</ns0:f>
        <ns0:v/>
      </ns0:c>
      <ns0:c r="I1120" s="28">
        <ns0:f>I1119+IF(AND(H1120="Eşleşmedi",E1120='Panel'!$B$4),1,0)</ns0:f>
        <ns0:v>3.0</ns0:v>
      </ns0:c>
    </ns0:row>
    <ns0:row r="1121" ht="21" customHeight="1">
      <ns0:c r="A1121" s="25" t="n"/>
      <ns0:c r="B1121" s="26" t="n"/>
      <ns0:c r="C1121" s="27" t="n"/>
      <ns0:c r="D1121" s="27" t="n"/>
      <ns0:c r="E1121" s="28" t="str">
        <ns0:f>IF(A1121="","",YEAR(A1121)&amp;"-"&amp;RIGHT("0"&amp;MONTH(A1121),2))</ns0:f>
        <ns0:v/>
      </ns0:c>
      <ns0:c r="F1121" s="28" t="str">
        <ns0:f>IF(OR(A1121="",B1121="",C1121&lt;=0),"",IF(SUMPRODUCT(('Müşteriler'!$B$2:$B$101&lt;&gt;"")*ISNUMBER(SEARCH('Müşteriler'!$B$2:$B$101,B1121)))=1,IFERROR(INDEX('Müşteriler'!$A$2:$A$101,SUMPRODUCT(('Müşteriler'!$B$2:$B$101&lt;&gt;"")*ISNUMBER(SEARCH('Müşteriler'!$B$2:$B$101,B1121)),ROW('Müşteriler'!$B$2:$B$101)-ROW('Müşteriler'!$B$2)+1)),""),""))</ns0:f>
        <ns0:v/>
      </ns0:c>
      <ns0:c r="G1121" s="28" t="str">
        <ns0:f>IF(F1121="","",IFERROR(INDEX('Müşteriler'!$C$2:$C$101,MATCH(F1121,'Müşteriler'!$A$2:$A$101,0)),""))</ns0:f>
        <ns0:v/>
      </ns0:c>
      <ns0:c r="H1121" s="28" t="str">
        <ns0:f>IF(A1121="","",IF(C1121&lt;=0,"Satış dışı",IF(OR(F1121="",G1121=""),"Eşleşmedi","Eşleşti")))</ns0:f>
        <ns0:v/>
      </ns0:c>
      <ns0:c r="I1121" s="28">
        <ns0:f>I1120+IF(AND(H1121="Eşleşmedi",E1121='Panel'!$B$4),1,0)</ns0:f>
        <ns0:v>3.0</ns0:v>
      </ns0:c>
    </ns0:row>
    <ns0:row r="1122" ht="21" customHeight="1">
      <ns0:c r="A1122" s="25" t="n"/>
      <ns0:c r="B1122" s="26" t="n"/>
      <ns0:c r="C1122" s="27" t="n"/>
      <ns0:c r="D1122" s="27" t="n"/>
      <ns0:c r="E1122" s="28" t="str">
        <ns0:f>IF(A1122="","",YEAR(A1122)&amp;"-"&amp;RIGHT("0"&amp;MONTH(A1122),2))</ns0:f>
        <ns0:v/>
      </ns0:c>
      <ns0:c r="F1122" s="28" t="str">
        <ns0:f>IF(OR(A1122="",B1122="",C1122&lt;=0),"",IF(SUMPRODUCT(('Müşteriler'!$B$2:$B$101&lt;&gt;"")*ISNUMBER(SEARCH('Müşteriler'!$B$2:$B$101,B1122)))=1,IFERROR(INDEX('Müşteriler'!$A$2:$A$101,SUMPRODUCT(('Müşteriler'!$B$2:$B$101&lt;&gt;"")*ISNUMBER(SEARCH('Müşteriler'!$B$2:$B$101,B1122)),ROW('Müşteriler'!$B$2:$B$101)-ROW('Müşteriler'!$B$2)+1)),""),""))</ns0:f>
        <ns0:v/>
      </ns0:c>
      <ns0:c r="G1122" s="28" t="str">
        <ns0:f>IF(F1122="","",IFERROR(INDEX('Müşteriler'!$C$2:$C$101,MATCH(F1122,'Müşteriler'!$A$2:$A$101,0)),""))</ns0:f>
        <ns0:v/>
      </ns0:c>
      <ns0:c r="H1122" s="28" t="str">
        <ns0:f>IF(A1122="","",IF(C1122&lt;=0,"Satış dışı",IF(OR(F1122="",G1122=""),"Eşleşmedi","Eşleşti")))</ns0:f>
        <ns0:v/>
      </ns0:c>
      <ns0:c r="I1122" s="28">
        <ns0:f>I1121+IF(AND(H1122="Eşleşmedi",E1122='Panel'!$B$4),1,0)</ns0:f>
        <ns0:v>3.0</ns0:v>
      </ns0:c>
    </ns0:row>
    <ns0:row r="1123" ht="21" customHeight="1">
      <ns0:c r="A1123" s="25" t="n"/>
      <ns0:c r="B1123" s="26" t="n"/>
      <ns0:c r="C1123" s="27" t="n"/>
      <ns0:c r="D1123" s="27" t="n"/>
      <ns0:c r="E1123" s="28" t="str">
        <ns0:f>IF(A1123="","",YEAR(A1123)&amp;"-"&amp;RIGHT("0"&amp;MONTH(A1123),2))</ns0:f>
        <ns0:v/>
      </ns0:c>
      <ns0:c r="F1123" s="28" t="str">
        <ns0:f>IF(OR(A1123="",B1123="",C1123&lt;=0),"",IF(SUMPRODUCT(('Müşteriler'!$B$2:$B$101&lt;&gt;"")*ISNUMBER(SEARCH('Müşteriler'!$B$2:$B$101,B1123)))=1,IFERROR(INDEX('Müşteriler'!$A$2:$A$101,SUMPRODUCT(('Müşteriler'!$B$2:$B$101&lt;&gt;"")*ISNUMBER(SEARCH('Müşteriler'!$B$2:$B$101,B1123)),ROW('Müşteriler'!$B$2:$B$101)-ROW('Müşteriler'!$B$2)+1)),""),""))</ns0:f>
        <ns0:v/>
      </ns0:c>
      <ns0:c r="G1123" s="28" t="str">
        <ns0:f>IF(F1123="","",IFERROR(INDEX('Müşteriler'!$C$2:$C$101,MATCH(F1123,'Müşteriler'!$A$2:$A$101,0)),""))</ns0:f>
        <ns0:v/>
      </ns0:c>
      <ns0:c r="H1123" s="28" t="str">
        <ns0:f>IF(A1123="","",IF(C1123&lt;=0,"Satış dışı",IF(OR(F1123="",G1123=""),"Eşleşmedi","Eşleşti")))</ns0:f>
        <ns0:v/>
      </ns0:c>
      <ns0:c r="I1123" s="28">
        <ns0:f>I1122+IF(AND(H1123="Eşleşmedi",E1123='Panel'!$B$4),1,0)</ns0:f>
        <ns0:v>3.0</ns0:v>
      </ns0:c>
    </ns0:row>
    <ns0:row r="1124" ht="21" customHeight="1">
      <ns0:c r="A1124" s="25" t="n"/>
      <ns0:c r="B1124" s="26" t="n"/>
      <ns0:c r="C1124" s="27" t="n"/>
      <ns0:c r="D1124" s="27" t="n"/>
      <ns0:c r="E1124" s="28" t="str">
        <ns0:f>IF(A1124="","",YEAR(A1124)&amp;"-"&amp;RIGHT("0"&amp;MONTH(A1124),2))</ns0:f>
        <ns0:v/>
      </ns0:c>
      <ns0:c r="F1124" s="28" t="str">
        <ns0:f>IF(OR(A1124="",B1124="",C1124&lt;=0),"",IF(SUMPRODUCT(('Müşteriler'!$B$2:$B$101&lt;&gt;"")*ISNUMBER(SEARCH('Müşteriler'!$B$2:$B$101,B1124)))=1,IFERROR(INDEX('Müşteriler'!$A$2:$A$101,SUMPRODUCT(('Müşteriler'!$B$2:$B$101&lt;&gt;"")*ISNUMBER(SEARCH('Müşteriler'!$B$2:$B$101,B1124)),ROW('Müşteriler'!$B$2:$B$101)-ROW('Müşteriler'!$B$2)+1)),""),""))</ns0:f>
        <ns0:v/>
      </ns0:c>
      <ns0:c r="G1124" s="28" t="str">
        <ns0:f>IF(F1124="","",IFERROR(INDEX('Müşteriler'!$C$2:$C$101,MATCH(F1124,'Müşteriler'!$A$2:$A$101,0)),""))</ns0:f>
        <ns0:v/>
      </ns0:c>
      <ns0:c r="H1124" s="28" t="str">
        <ns0:f>IF(A1124="","",IF(C1124&lt;=0,"Satış dışı",IF(OR(F1124="",G1124=""),"Eşleşmedi","Eşleşti")))</ns0:f>
        <ns0:v/>
      </ns0:c>
      <ns0:c r="I1124" s="28">
        <ns0:f>I1123+IF(AND(H1124="Eşleşmedi",E1124='Panel'!$B$4),1,0)</ns0:f>
        <ns0:v>3.0</ns0:v>
      </ns0:c>
    </ns0:row>
    <ns0:row r="1125" ht="21" customHeight="1">
      <ns0:c r="A1125" s="25" t="n"/>
      <ns0:c r="B1125" s="26" t="n"/>
      <ns0:c r="C1125" s="27" t="n"/>
      <ns0:c r="D1125" s="27" t="n"/>
      <ns0:c r="E1125" s="28" t="str">
        <ns0:f>IF(A1125="","",YEAR(A1125)&amp;"-"&amp;RIGHT("0"&amp;MONTH(A1125),2))</ns0:f>
        <ns0:v/>
      </ns0:c>
      <ns0:c r="F1125" s="28" t="str">
        <ns0:f>IF(OR(A1125="",B1125="",C1125&lt;=0),"",IF(SUMPRODUCT(('Müşteriler'!$B$2:$B$101&lt;&gt;"")*ISNUMBER(SEARCH('Müşteriler'!$B$2:$B$101,B1125)))=1,IFERROR(INDEX('Müşteriler'!$A$2:$A$101,SUMPRODUCT(('Müşteriler'!$B$2:$B$101&lt;&gt;"")*ISNUMBER(SEARCH('Müşteriler'!$B$2:$B$101,B1125)),ROW('Müşteriler'!$B$2:$B$101)-ROW('Müşteriler'!$B$2)+1)),""),""))</ns0:f>
        <ns0:v/>
      </ns0:c>
      <ns0:c r="G1125" s="28" t="str">
        <ns0:f>IF(F1125="","",IFERROR(INDEX('Müşteriler'!$C$2:$C$101,MATCH(F1125,'Müşteriler'!$A$2:$A$101,0)),""))</ns0:f>
        <ns0:v/>
      </ns0:c>
      <ns0:c r="H1125" s="28" t="str">
        <ns0:f>IF(A1125="","",IF(C1125&lt;=0,"Satış dışı",IF(OR(F1125="",G1125=""),"Eşleşmedi","Eşleşti")))</ns0:f>
        <ns0:v/>
      </ns0:c>
      <ns0:c r="I1125" s="28">
        <ns0:f>I1124+IF(AND(H1125="Eşleşmedi",E1125='Panel'!$B$4),1,0)</ns0:f>
        <ns0:v>3.0</ns0:v>
      </ns0:c>
    </ns0:row>
    <ns0:row r="1126" ht="21" customHeight="1">
      <ns0:c r="A1126" s="25" t="n"/>
      <ns0:c r="B1126" s="26" t="n"/>
      <ns0:c r="C1126" s="27" t="n"/>
      <ns0:c r="D1126" s="27" t="n"/>
      <ns0:c r="E1126" s="28" t="str">
        <ns0:f>IF(A1126="","",YEAR(A1126)&amp;"-"&amp;RIGHT("0"&amp;MONTH(A1126),2))</ns0:f>
        <ns0:v/>
      </ns0:c>
      <ns0:c r="F1126" s="28" t="str">
        <ns0:f>IF(OR(A1126="",B1126="",C1126&lt;=0),"",IF(SUMPRODUCT(('Müşteriler'!$B$2:$B$101&lt;&gt;"")*ISNUMBER(SEARCH('Müşteriler'!$B$2:$B$101,B1126)))=1,IFERROR(INDEX('Müşteriler'!$A$2:$A$101,SUMPRODUCT(('Müşteriler'!$B$2:$B$101&lt;&gt;"")*ISNUMBER(SEARCH('Müşteriler'!$B$2:$B$101,B1126)),ROW('Müşteriler'!$B$2:$B$101)-ROW('Müşteriler'!$B$2)+1)),""),""))</ns0:f>
        <ns0:v/>
      </ns0:c>
      <ns0:c r="G1126" s="28" t="str">
        <ns0:f>IF(F1126="","",IFERROR(INDEX('Müşteriler'!$C$2:$C$101,MATCH(F1126,'Müşteriler'!$A$2:$A$101,0)),""))</ns0:f>
        <ns0:v/>
      </ns0:c>
      <ns0:c r="H1126" s="28" t="str">
        <ns0:f>IF(A1126="","",IF(C1126&lt;=0,"Satış dışı",IF(OR(F1126="",G1126=""),"Eşleşmedi","Eşleşti")))</ns0:f>
        <ns0:v/>
      </ns0:c>
      <ns0:c r="I1126" s="28">
        <ns0:f>I1125+IF(AND(H1126="Eşleşmedi",E1126='Panel'!$B$4),1,0)</ns0:f>
        <ns0:v>3.0</ns0:v>
      </ns0:c>
    </ns0:row>
    <ns0:row r="1127" ht="21" customHeight="1">
      <ns0:c r="A1127" s="25" t="n"/>
      <ns0:c r="B1127" s="26" t="n"/>
      <ns0:c r="C1127" s="27" t="n"/>
      <ns0:c r="D1127" s="27" t="n"/>
      <ns0:c r="E1127" s="28" t="str">
        <ns0:f>IF(A1127="","",YEAR(A1127)&amp;"-"&amp;RIGHT("0"&amp;MONTH(A1127),2))</ns0:f>
        <ns0:v/>
      </ns0:c>
      <ns0:c r="F1127" s="28" t="str">
        <ns0:f>IF(OR(A1127="",B1127="",C1127&lt;=0),"",IF(SUMPRODUCT(('Müşteriler'!$B$2:$B$101&lt;&gt;"")*ISNUMBER(SEARCH('Müşteriler'!$B$2:$B$101,B1127)))=1,IFERROR(INDEX('Müşteriler'!$A$2:$A$101,SUMPRODUCT(('Müşteriler'!$B$2:$B$101&lt;&gt;"")*ISNUMBER(SEARCH('Müşteriler'!$B$2:$B$101,B1127)),ROW('Müşteriler'!$B$2:$B$101)-ROW('Müşteriler'!$B$2)+1)),""),""))</ns0:f>
        <ns0:v/>
      </ns0:c>
      <ns0:c r="G1127" s="28" t="str">
        <ns0:f>IF(F1127="","",IFERROR(INDEX('Müşteriler'!$C$2:$C$101,MATCH(F1127,'Müşteriler'!$A$2:$A$101,0)),""))</ns0:f>
        <ns0:v/>
      </ns0:c>
      <ns0:c r="H1127" s="28" t="str">
        <ns0:f>IF(A1127="","",IF(C1127&lt;=0,"Satış dışı",IF(OR(F1127="",G1127=""),"Eşleşmedi","Eşleşti")))</ns0:f>
        <ns0:v/>
      </ns0:c>
      <ns0:c r="I1127" s="28">
        <ns0:f>I1126+IF(AND(H1127="Eşleşmedi",E1127='Panel'!$B$4),1,0)</ns0:f>
        <ns0:v>3.0</ns0:v>
      </ns0:c>
    </ns0:row>
    <ns0:row r="1128" ht="21" customHeight="1">
      <ns0:c r="A1128" s="25" t="n"/>
      <ns0:c r="B1128" s="26" t="n"/>
      <ns0:c r="C1128" s="27" t="n"/>
      <ns0:c r="D1128" s="27" t="n"/>
      <ns0:c r="E1128" s="28" t="str">
        <ns0:f>IF(A1128="","",YEAR(A1128)&amp;"-"&amp;RIGHT("0"&amp;MONTH(A1128),2))</ns0:f>
        <ns0:v/>
      </ns0:c>
      <ns0:c r="F1128" s="28" t="str">
        <ns0:f>IF(OR(A1128="",B1128="",C1128&lt;=0),"",IF(SUMPRODUCT(('Müşteriler'!$B$2:$B$101&lt;&gt;"")*ISNUMBER(SEARCH('Müşteriler'!$B$2:$B$101,B1128)))=1,IFERROR(INDEX('Müşteriler'!$A$2:$A$101,SUMPRODUCT(('Müşteriler'!$B$2:$B$101&lt;&gt;"")*ISNUMBER(SEARCH('Müşteriler'!$B$2:$B$101,B1128)),ROW('Müşteriler'!$B$2:$B$101)-ROW('Müşteriler'!$B$2)+1)),""),""))</ns0:f>
        <ns0:v/>
      </ns0:c>
      <ns0:c r="G1128" s="28" t="str">
        <ns0:f>IF(F1128="","",IFERROR(INDEX('Müşteriler'!$C$2:$C$101,MATCH(F1128,'Müşteriler'!$A$2:$A$101,0)),""))</ns0:f>
        <ns0:v/>
      </ns0:c>
      <ns0:c r="H1128" s="28" t="str">
        <ns0:f>IF(A1128="","",IF(C1128&lt;=0,"Satış dışı",IF(OR(F1128="",G1128=""),"Eşleşmedi","Eşleşti")))</ns0:f>
        <ns0:v/>
      </ns0:c>
      <ns0:c r="I1128" s="28">
        <ns0:f>I1127+IF(AND(H1128="Eşleşmedi",E1128='Panel'!$B$4),1,0)</ns0:f>
        <ns0:v>3.0</ns0:v>
      </ns0:c>
    </ns0:row>
    <ns0:row r="1129" ht="21" customHeight="1">
      <ns0:c r="A1129" s="25" t="n"/>
      <ns0:c r="B1129" s="26" t="n"/>
      <ns0:c r="C1129" s="27" t="n"/>
      <ns0:c r="D1129" s="27" t="n"/>
      <ns0:c r="E1129" s="28" t="str">
        <ns0:f>IF(A1129="","",YEAR(A1129)&amp;"-"&amp;RIGHT("0"&amp;MONTH(A1129),2))</ns0:f>
        <ns0:v/>
      </ns0:c>
      <ns0:c r="F1129" s="28" t="str">
        <ns0:f>IF(OR(A1129="",B1129="",C1129&lt;=0),"",IF(SUMPRODUCT(('Müşteriler'!$B$2:$B$101&lt;&gt;"")*ISNUMBER(SEARCH('Müşteriler'!$B$2:$B$101,B1129)))=1,IFERROR(INDEX('Müşteriler'!$A$2:$A$101,SUMPRODUCT(('Müşteriler'!$B$2:$B$101&lt;&gt;"")*ISNUMBER(SEARCH('Müşteriler'!$B$2:$B$101,B1129)),ROW('Müşteriler'!$B$2:$B$101)-ROW('Müşteriler'!$B$2)+1)),""),""))</ns0:f>
        <ns0:v/>
      </ns0:c>
      <ns0:c r="G1129" s="28" t="str">
        <ns0:f>IF(F1129="","",IFERROR(INDEX('Müşteriler'!$C$2:$C$101,MATCH(F1129,'Müşteriler'!$A$2:$A$101,0)),""))</ns0:f>
        <ns0:v/>
      </ns0:c>
      <ns0:c r="H1129" s="28" t="str">
        <ns0:f>IF(A1129="","",IF(C1129&lt;=0,"Satış dışı",IF(OR(F1129="",G1129=""),"Eşleşmedi","Eşleşti")))</ns0:f>
        <ns0:v/>
      </ns0:c>
      <ns0:c r="I1129" s="28">
        <ns0:f>I1128+IF(AND(H1129="Eşleşmedi",E1129='Panel'!$B$4),1,0)</ns0:f>
        <ns0:v>3.0</ns0:v>
      </ns0:c>
    </ns0:row>
    <ns0:row r="1130" ht="21" customHeight="1">
      <ns0:c r="A1130" s="25" t="n"/>
      <ns0:c r="B1130" s="26" t="n"/>
      <ns0:c r="C1130" s="27" t="n"/>
      <ns0:c r="D1130" s="27" t="n"/>
      <ns0:c r="E1130" s="28" t="str">
        <ns0:f>IF(A1130="","",YEAR(A1130)&amp;"-"&amp;RIGHT("0"&amp;MONTH(A1130),2))</ns0:f>
        <ns0:v/>
      </ns0:c>
      <ns0:c r="F1130" s="28" t="str">
        <ns0:f>IF(OR(A1130="",B1130="",C1130&lt;=0),"",IF(SUMPRODUCT(('Müşteriler'!$B$2:$B$101&lt;&gt;"")*ISNUMBER(SEARCH('Müşteriler'!$B$2:$B$101,B1130)))=1,IFERROR(INDEX('Müşteriler'!$A$2:$A$101,SUMPRODUCT(('Müşteriler'!$B$2:$B$101&lt;&gt;"")*ISNUMBER(SEARCH('Müşteriler'!$B$2:$B$101,B1130)),ROW('Müşteriler'!$B$2:$B$101)-ROW('Müşteriler'!$B$2)+1)),""),""))</ns0:f>
        <ns0:v/>
      </ns0:c>
      <ns0:c r="G1130" s="28" t="str">
        <ns0:f>IF(F1130="","",IFERROR(INDEX('Müşteriler'!$C$2:$C$101,MATCH(F1130,'Müşteriler'!$A$2:$A$101,0)),""))</ns0:f>
        <ns0:v/>
      </ns0:c>
      <ns0:c r="H1130" s="28" t="str">
        <ns0:f>IF(A1130="","",IF(C1130&lt;=0,"Satış dışı",IF(OR(F1130="",G1130=""),"Eşleşmedi","Eşleşti")))</ns0:f>
        <ns0:v/>
      </ns0:c>
      <ns0:c r="I1130" s="28">
        <ns0:f>I1129+IF(AND(H1130="Eşleşmedi",E1130='Panel'!$B$4),1,0)</ns0:f>
        <ns0:v>3.0</ns0:v>
      </ns0:c>
    </ns0:row>
    <ns0:row r="1131" ht="21" customHeight="1">
      <ns0:c r="A1131" s="25" t="n"/>
      <ns0:c r="B1131" s="26" t="n"/>
      <ns0:c r="C1131" s="27" t="n"/>
      <ns0:c r="D1131" s="27" t="n"/>
      <ns0:c r="E1131" s="28" t="str">
        <ns0:f>IF(A1131="","",YEAR(A1131)&amp;"-"&amp;RIGHT("0"&amp;MONTH(A1131),2))</ns0:f>
        <ns0:v/>
      </ns0:c>
      <ns0:c r="F1131" s="28" t="str">
        <ns0:f>IF(OR(A1131="",B1131="",C1131&lt;=0),"",IF(SUMPRODUCT(('Müşteriler'!$B$2:$B$101&lt;&gt;"")*ISNUMBER(SEARCH('Müşteriler'!$B$2:$B$101,B1131)))=1,IFERROR(INDEX('Müşteriler'!$A$2:$A$101,SUMPRODUCT(('Müşteriler'!$B$2:$B$101&lt;&gt;"")*ISNUMBER(SEARCH('Müşteriler'!$B$2:$B$101,B1131)),ROW('Müşteriler'!$B$2:$B$101)-ROW('Müşteriler'!$B$2)+1)),""),""))</ns0:f>
        <ns0:v/>
      </ns0:c>
      <ns0:c r="G1131" s="28" t="str">
        <ns0:f>IF(F1131="","",IFERROR(INDEX('Müşteriler'!$C$2:$C$101,MATCH(F1131,'Müşteriler'!$A$2:$A$101,0)),""))</ns0:f>
        <ns0:v/>
      </ns0:c>
      <ns0:c r="H1131" s="28" t="str">
        <ns0:f>IF(A1131="","",IF(C1131&lt;=0,"Satış dışı",IF(OR(F1131="",G1131=""),"Eşleşmedi","Eşleşti")))</ns0:f>
        <ns0:v/>
      </ns0:c>
      <ns0:c r="I1131" s="28">
        <ns0:f>I1130+IF(AND(H1131="Eşleşmedi",E1131='Panel'!$B$4),1,0)</ns0:f>
        <ns0:v>3.0</ns0:v>
      </ns0:c>
    </ns0:row>
    <ns0:row r="1132" ht="21" customHeight="1">
      <ns0:c r="A1132" s="25" t="n"/>
      <ns0:c r="B1132" s="26" t="n"/>
      <ns0:c r="C1132" s="27" t="n"/>
      <ns0:c r="D1132" s="27" t="n"/>
      <ns0:c r="E1132" s="28" t="str">
        <ns0:f>IF(A1132="","",YEAR(A1132)&amp;"-"&amp;RIGHT("0"&amp;MONTH(A1132),2))</ns0:f>
        <ns0:v/>
      </ns0:c>
      <ns0:c r="F1132" s="28" t="str">
        <ns0:f>IF(OR(A1132="",B1132="",C1132&lt;=0),"",IF(SUMPRODUCT(('Müşteriler'!$B$2:$B$101&lt;&gt;"")*ISNUMBER(SEARCH('Müşteriler'!$B$2:$B$101,B1132)))=1,IFERROR(INDEX('Müşteriler'!$A$2:$A$101,SUMPRODUCT(('Müşteriler'!$B$2:$B$101&lt;&gt;"")*ISNUMBER(SEARCH('Müşteriler'!$B$2:$B$101,B1132)),ROW('Müşteriler'!$B$2:$B$101)-ROW('Müşteriler'!$B$2)+1)),""),""))</ns0:f>
        <ns0:v/>
      </ns0:c>
      <ns0:c r="G1132" s="28" t="str">
        <ns0:f>IF(F1132="","",IFERROR(INDEX('Müşteriler'!$C$2:$C$101,MATCH(F1132,'Müşteriler'!$A$2:$A$101,0)),""))</ns0:f>
        <ns0:v/>
      </ns0:c>
      <ns0:c r="H1132" s="28" t="str">
        <ns0:f>IF(A1132="","",IF(C1132&lt;=0,"Satış dışı",IF(OR(F1132="",G1132=""),"Eşleşmedi","Eşleşti")))</ns0:f>
        <ns0:v/>
      </ns0:c>
      <ns0:c r="I1132" s="28">
        <ns0:f>I1131+IF(AND(H1132="Eşleşmedi",E1132='Panel'!$B$4),1,0)</ns0:f>
        <ns0:v>3.0</ns0:v>
      </ns0:c>
    </ns0:row>
    <ns0:row r="1133" ht="21" customHeight="1">
      <ns0:c r="A1133" s="25" t="n"/>
      <ns0:c r="B1133" s="26" t="n"/>
      <ns0:c r="C1133" s="27" t="n"/>
      <ns0:c r="D1133" s="27" t="n"/>
      <ns0:c r="E1133" s="28" t="str">
        <ns0:f>IF(A1133="","",YEAR(A1133)&amp;"-"&amp;RIGHT("0"&amp;MONTH(A1133),2))</ns0:f>
        <ns0:v/>
      </ns0:c>
      <ns0:c r="F1133" s="28" t="str">
        <ns0:f>IF(OR(A1133="",B1133="",C1133&lt;=0),"",IF(SUMPRODUCT(('Müşteriler'!$B$2:$B$101&lt;&gt;"")*ISNUMBER(SEARCH('Müşteriler'!$B$2:$B$101,B1133)))=1,IFERROR(INDEX('Müşteriler'!$A$2:$A$101,SUMPRODUCT(('Müşteriler'!$B$2:$B$101&lt;&gt;"")*ISNUMBER(SEARCH('Müşteriler'!$B$2:$B$101,B1133)),ROW('Müşteriler'!$B$2:$B$101)-ROW('Müşteriler'!$B$2)+1)),""),""))</ns0:f>
        <ns0:v/>
      </ns0:c>
      <ns0:c r="G1133" s="28" t="str">
        <ns0:f>IF(F1133="","",IFERROR(INDEX('Müşteriler'!$C$2:$C$101,MATCH(F1133,'Müşteriler'!$A$2:$A$101,0)),""))</ns0:f>
        <ns0:v/>
      </ns0:c>
      <ns0:c r="H1133" s="28" t="str">
        <ns0:f>IF(A1133="","",IF(C1133&lt;=0,"Satış dışı",IF(OR(F1133="",G1133=""),"Eşleşmedi","Eşleşti")))</ns0:f>
        <ns0:v/>
      </ns0:c>
      <ns0:c r="I1133" s="28">
        <ns0:f>I1132+IF(AND(H1133="Eşleşmedi",E1133='Panel'!$B$4),1,0)</ns0:f>
        <ns0:v>3.0</ns0:v>
      </ns0:c>
    </ns0:row>
    <ns0:row r="1134" ht="21" customHeight="1">
      <ns0:c r="A1134" s="25" t="n"/>
      <ns0:c r="B1134" s="26" t="n"/>
      <ns0:c r="C1134" s="27" t="n"/>
      <ns0:c r="D1134" s="27" t="n"/>
      <ns0:c r="E1134" s="28" t="str">
        <ns0:f>IF(A1134="","",YEAR(A1134)&amp;"-"&amp;RIGHT("0"&amp;MONTH(A1134),2))</ns0:f>
        <ns0:v/>
      </ns0:c>
      <ns0:c r="F1134" s="28" t="str">
        <ns0:f>IF(OR(A1134="",B1134="",C1134&lt;=0),"",IF(SUMPRODUCT(('Müşteriler'!$B$2:$B$101&lt;&gt;"")*ISNUMBER(SEARCH('Müşteriler'!$B$2:$B$101,B1134)))=1,IFERROR(INDEX('Müşteriler'!$A$2:$A$101,SUMPRODUCT(('Müşteriler'!$B$2:$B$101&lt;&gt;"")*ISNUMBER(SEARCH('Müşteriler'!$B$2:$B$101,B1134)),ROW('Müşteriler'!$B$2:$B$101)-ROW('Müşteriler'!$B$2)+1)),""),""))</ns0:f>
        <ns0:v/>
      </ns0:c>
      <ns0:c r="G1134" s="28" t="str">
        <ns0:f>IF(F1134="","",IFERROR(INDEX('Müşteriler'!$C$2:$C$101,MATCH(F1134,'Müşteriler'!$A$2:$A$101,0)),""))</ns0:f>
        <ns0:v/>
      </ns0:c>
      <ns0:c r="H1134" s="28" t="str">
        <ns0:f>IF(A1134="","",IF(C1134&lt;=0,"Satış dışı",IF(OR(F1134="",G1134=""),"Eşleşmedi","Eşleşti")))</ns0:f>
        <ns0:v/>
      </ns0:c>
      <ns0:c r="I1134" s="28">
        <ns0:f>I1133+IF(AND(H1134="Eşleşmedi",E1134='Panel'!$B$4),1,0)</ns0:f>
        <ns0:v>3.0</ns0:v>
      </ns0:c>
    </ns0:row>
    <ns0:row r="1135" ht="21" customHeight="1">
      <ns0:c r="A1135" s="25" t="n"/>
      <ns0:c r="B1135" s="26" t="n"/>
      <ns0:c r="C1135" s="27" t="n"/>
      <ns0:c r="D1135" s="27" t="n"/>
      <ns0:c r="E1135" s="28" t="str">
        <ns0:f>IF(A1135="","",YEAR(A1135)&amp;"-"&amp;RIGHT("0"&amp;MONTH(A1135),2))</ns0:f>
        <ns0:v/>
      </ns0:c>
      <ns0:c r="F1135" s="28" t="str">
        <ns0:f>IF(OR(A1135="",B1135="",C1135&lt;=0),"",IF(SUMPRODUCT(('Müşteriler'!$B$2:$B$101&lt;&gt;"")*ISNUMBER(SEARCH('Müşteriler'!$B$2:$B$101,B1135)))=1,IFERROR(INDEX('Müşteriler'!$A$2:$A$101,SUMPRODUCT(('Müşteriler'!$B$2:$B$101&lt;&gt;"")*ISNUMBER(SEARCH('Müşteriler'!$B$2:$B$101,B1135)),ROW('Müşteriler'!$B$2:$B$101)-ROW('Müşteriler'!$B$2)+1)),""),""))</ns0:f>
        <ns0:v/>
      </ns0:c>
      <ns0:c r="G1135" s="28" t="str">
        <ns0:f>IF(F1135="","",IFERROR(INDEX('Müşteriler'!$C$2:$C$101,MATCH(F1135,'Müşteriler'!$A$2:$A$101,0)),""))</ns0:f>
        <ns0:v/>
      </ns0:c>
      <ns0:c r="H1135" s="28" t="str">
        <ns0:f>IF(A1135="","",IF(C1135&lt;=0,"Satış dışı",IF(OR(F1135="",G1135=""),"Eşleşmedi","Eşleşti")))</ns0:f>
        <ns0:v/>
      </ns0:c>
      <ns0:c r="I1135" s="28">
        <ns0:f>I1134+IF(AND(H1135="Eşleşmedi",E1135='Panel'!$B$4),1,0)</ns0:f>
        <ns0:v>3.0</ns0:v>
      </ns0:c>
    </ns0:row>
    <ns0:row r="1136" ht="21" customHeight="1">
      <ns0:c r="A1136" s="25" t="n"/>
      <ns0:c r="B1136" s="26" t="n"/>
      <ns0:c r="C1136" s="27" t="n"/>
      <ns0:c r="D1136" s="27" t="n"/>
      <ns0:c r="E1136" s="28" t="str">
        <ns0:f>IF(A1136="","",YEAR(A1136)&amp;"-"&amp;RIGHT("0"&amp;MONTH(A1136),2))</ns0:f>
        <ns0:v/>
      </ns0:c>
      <ns0:c r="F1136" s="28" t="str">
        <ns0:f>IF(OR(A1136="",B1136="",C1136&lt;=0),"",IF(SUMPRODUCT(('Müşteriler'!$B$2:$B$101&lt;&gt;"")*ISNUMBER(SEARCH('Müşteriler'!$B$2:$B$101,B1136)))=1,IFERROR(INDEX('Müşteriler'!$A$2:$A$101,SUMPRODUCT(('Müşteriler'!$B$2:$B$101&lt;&gt;"")*ISNUMBER(SEARCH('Müşteriler'!$B$2:$B$101,B1136)),ROW('Müşteriler'!$B$2:$B$101)-ROW('Müşteriler'!$B$2)+1)),""),""))</ns0:f>
        <ns0:v/>
      </ns0:c>
      <ns0:c r="G1136" s="28" t="str">
        <ns0:f>IF(F1136="","",IFERROR(INDEX('Müşteriler'!$C$2:$C$101,MATCH(F1136,'Müşteriler'!$A$2:$A$101,0)),""))</ns0:f>
        <ns0:v/>
      </ns0:c>
      <ns0:c r="H1136" s="28" t="str">
        <ns0:f>IF(A1136="","",IF(C1136&lt;=0,"Satış dışı",IF(OR(F1136="",G1136=""),"Eşleşmedi","Eşleşti")))</ns0:f>
        <ns0:v/>
      </ns0:c>
      <ns0:c r="I1136" s="28">
        <ns0:f>I1135+IF(AND(H1136="Eşleşmedi",E1136='Panel'!$B$4),1,0)</ns0:f>
        <ns0:v>3.0</ns0:v>
      </ns0:c>
    </ns0:row>
    <ns0:row r="1137" ht="21" customHeight="1">
      <ns0:c r="A1137" s="25" t="n"/>
      <ns0:c r="B1137" s="26" t="n"/>
      <ns0:c r="C1137" s="27" t="n"/>
      <ns0:c r="D1137" s="27" t="n"/>
      <ns0:c r="E1137" s="28" t="str">
        <ns0:f>IF(A1137="","",YEAR(A1137)&amp;"-"&amp;RIGHT("0"&amp;MONTH(A1137),2))</ns0:f>
        <ns0:v/>
      </ns0:c>
      <ns0:c r="F1137" s="28" t="str">
        <ns0:f>IF(OR(A1137="",B1137="",C1137&lt;=0),"",IF(SUMPRODUCT(('Müşteriler'!$B$2:$B$101&lt;&gt;"")*ISNUMBER(SEARCH('Müşteriler'!$B$2:$B$101,B1137)))=1,IFERROR(INDEX('Müşteriler'!$A$2:$A$101,SUMPRODUCT(('Müşteriler'!$B$2:$B$101&lt;&gt;"")*ISNUMBER(SEARCH('Müşteriler'!$B$2:$B$101,B1137)),ROW('Müşteriler'!$B$2:$B$101)-ROW('Müşteriler'!$B$2)+1)),""),""))</ns0:f>
        <ns0:v/>
      </ns0:c>
      <ns0:c r="G1137" s="28" t="str">
        <ns0:f>IF(F1137="","",IFERROR(INDEX('Müşteriler'!$C$2:$C$101,MATCH(F1137,'Müşteriler'!$A$2:$A$101,0)),""))</ns0:f>
        <ns0:v/>
      </ns0:c>
      <ns0:c r="H1137" s="28" t="str">
        <ns0:f>IF(A1137="","",IF(C1137&lt;=0,"Satış dışı",IF(OR(F1137="",G1137=""),"Eşleşmedi","Eşleşti")))</ns0:f>
        <ns0:v/>
      </ns0:c>
      <ns0:c r="I1137" s="28">
        <ns0:f>I1136+IF(AND(H1137="Eşleşmedi",E1137='Panel'!$B$4),1,0)</ns0:f>
        <ns0:v>3.0</ns0:v>
      </ns0:c>
    </ns0:row>
    <ns0:row r="1138" ht="21" customHeight="1">
      <ns0:c r="A1138" s="25" t="n"/>
      <ns0:c r="B1138" s="26" t="n"/>
      <ns0:c r="C1138" s="27" t="n"/>
      <ns0:c r="D1138" s="27" t="n"/>
      <ns0:c r="E1138" s="28" t="str">
        <ns0:f>IF(A1138="","",YEAR(A1138)&amp;"-"&amp;RIGHT("0"&amp;MONTH(A1138),2))</ns0:f>
        <ns0:v/>
      </ns0:c>
      <ns0:c r="F1138" s="28" t="str">
        <ns0:f>IF(OR(A1138="",B1138="",C1138&lt;=0),"",IF(SUMPRODUCT(('Müşteriler'!$B$2:$B$101&lt;&gt;"")*ISNUMBER(SEARCH('Müşteriler'!$B$2:$B$101,B1138)))=1,IFERROR(INDEX('Müşteriler'!$A$2:$A$101,SUMPRODUCT(('Müşteriler'!$B$2:$B$101&lt;&gt;"")*ISNUMBER(SEARCH('Müşteriler'!$B$2:$B$101,B1138)),ROW('Müşteriler'!$B$2:$B$101)-ROW('Müşteriler'!$B$2)+1)),""),""))</ns0:f>
        <ns0:v/>
      </ns0:c>
      <ns0:c r="G1138" s="28" t="str">
        <ns0:f>IF(F1138="","",IFERROR(INDEX('Müşteriler'!$C$2:$C$101,MATCH(F1138,'Müşteriler'!$A$2:$A$101,0)),""))</ns0:f>
        <ns0:v/>
      </ns0:c>
      <ns0:c r="H1138" s="28" t="str">
        <ns0:f>IF(A1138="","",IF(C1138&lt;=0,"Satış dışı",IF(OR(F1138="",G1138=""),"Eşleşmedi","Eşleşti")))</ns0:f>
        <ns0:v/>
      </ns0:c>
      <ns0:c r="I1138" s="28">
        <ns0:f>I1137+IF(AND(H1138="Eşleşmedi",E1138='Panel'!$B$4),1,0)</ns0:f>
        <ns0:v>3.0</ns0:v>
      </ns0:c>
    </ns0:row>
    <ns0:row r="1139" ht="21" customHeight="1">
      <ns0:c r="A1139" s="25" t="n"/>
      <ns0:c r="B1139" s="26" t="n"/>
      <ns0:c r="C1139" s="27" t="n"/>
      <ns0:c r="D1139" s="27" t="n"/>
      <ns0:c r="E1139" s="28" t="str">
        <ns0:f>IF(A1139="","",YEAR(A1139)&amp;"-"&amp;RIGHT("0"&amp;MONTH(A1139),2))</ns0:f>
        <ns0:v/>
      </ns0:c>
      <ns0:c r="F1139" s="28" t="str">
        <ns0:f>IF(OR(A1139="",B1139="",C1139&lt;=0),"",IF(SUMPRODUCT(('Müşteriler'!$B$2:$B$101&lt;&gt;"")*ISNUMBER(SEARCH('Müşteriler'!$B$2:$B$101,B1139)))=1,IFERROR(INDEX('Müşteriler'!$A$2:$A$101,SUMPRODUCT(('Müşteriler'!$B$2:$B$101&lt;&gt;"")*ISNUMBER(SEARCH('Müşteriler'!$B$2:$B$101,B1139)),ROW('Müşteriler'!$B$2:$B$101)-ROW('Müşteriler'!$B$2)+1)),""),""))</ns0:f>
        <ns0:v/>
      </ns0:c>
      <ns0:c r="G1139" s="28" t="str">
        <ns0:f>IF(F1139="","",IFERROR(INDEX('Müşteriler'!$C$2:$C$101,MATCH(F1139,'Müşteriler'!$A$2:$A$101,0)),""))</ns0:f>
        <ns0:v/>
      </ns0:c>
      <ns0:c r="H1139" s="28" t="str">
        <ns0:f>IF(A1139="","",IF(C1139&lt;=0,"Satış dışı",IF(OR(F1139="",G1139=""),"Eşleşmedi","Eşleşti")))</ns0:f>
        <ns0:v/>
      </ns0:c>
      <ns0:c r="I1139" s="28">
        <ns0:f>I1138+IF(AND(H1139="Eşleşmedi",E1139='Panel'!$B$4),1,0)</ns0:f>
        <ns0:v>3.0</ns0:v>
      </ns0:c>
    </ns0:row>
    <ns0:row r="1140" ht="21" customHeight="1">
      <ns0:c r="A1140" s="25" t="n"/>
      <ns0:c r="B1140" s="26" t="n"/>
      <ns0:c r="C1140" s="27" t="n"/>
      <ns0:c r="D1140" s="27" t="n"/>
      <ns0:c r="E1140" s="28" t="str">
        <ns0:f>IF(A1140="","",YEAR(A1140)&amp;"-"&amp;RIGHT("0"&amp;MONTH(A1140),2))</ns0:f>
        <ns0:v/>
      </ns0:c>
      <ns0:c r="F1140" s="28" t="str">
        <ns0:f>IF(OR(A1140="",B1140="",C1140&lt;=0),"",IF(SUMPRODUCT(('Müşteriler'!$B$2:$B$101&lt;&gt;"")*ISNUMBER(SEARCH('Müşteriler'!$B$2:$B$101,B1140)))=1,IFERROR(INDEX('Müşteriler'!$A$2:$A$101,SUMPRODUCT(('Müşteriler'!$B$2:$B$101&lt;&gt;"")*ISNUMBER(SEARCH('Müşteriler'!$B$2:$B$101,B1140)),ROW('Müşteriler'!$B$2:$B$101)-ROW('Müşteriler'!$B$2)+1)),""),""))</ns0:f>
        <ns0:v/>
      </ns0:c>
      <ns0:c r="G1140" s="28" t="str">
        <ns0:f>IF(F1140="","",IFERROR(INDEX('Müşteriler'!$C$2:$C$101,MATCH(F1140,'Müşteriler'!$A$2:$A$101,0)),""))</ns0:f>
        <ns0:v/>
      </ns0:c>
      <ns0:c r="H1140" s="28" t="str">
        <ns0:f>IF(A1140="","",IF(C1140&lt;=0,"Satış dışı",IF(OR(F1140="",G1140=""),"Eşleşmedi","Eşleşti")))</ns0:f>
        <ns0:v/>
      </ns0:c>
      <ns0:c r="I1140" s="28">
        <ns0:f>I1139+IF(AND(H1140="Eşleşmedi",E1140='Panel'!$B$4),1,0)</ns0:f>
        <ns0:v>3.0</ns0:v>
      </ns0:c>
    </ns0:row>
    <ns0:row r="1141" ht="21" customHeight="1">
      <ns0:c r="A1141" s="25" t="n"/>
      <ns0:c r="B1141" s="26" t="n"/>
      <ns0:c r="C1141" s="27" t="n"/>
      <ns0:c r="D1141" s="27" t="n"/>
      <ns0:c r="E1141" s="28" t="str">
        <ns0:f>IF(A1141="","",YEAR(A1141)&amp;"-"&amp;RIGHT("0"&amp;MONTH(A1141),2))</ns0:f>
        <ns0:v/>
      </ns0:c>
      <ns0:c r="F1141" s="28" t="str">
        <ns0:f>IF(OR(A1141="",B1141="",C1141&lt;=0),"",IF(SUMPRODUCT(('Müşteriler'!$B$2:$B$101&lt;&gt;"")*ISNUMBER(SEARCH('Müşteriler'!$B$2:$B$101,B1141)))=1,IFERROR(INDEX('Müşteriler'!$A$2:$A$101,SUMPRODUCT(('Müşteriler'!$B$2:$B$101&lt;&gt;"")*ISNUMBER(SEARCH('Müşteriler'!$B$2:$B$101,B1141)),ROW('Müşteriler'!$B$2:$B$101)-ROW('Müşteriler'!$B$2)+1)),""),""))</ns0:f>
        <ns0:v/>
      </ns0:c>
      <ns0:c r="G1141" s="28" t="str">
        <ns0:f>IF(F1141="","",IFERROR(INDEX('Müşteriler'!$C$2:$C$101,MATCH(F1141,'Müşteriler'!$A$2:$A$101,0)),""))</ns0:f>
        <ns0:v/>
      </ns0:c>
      <ns0:c r="H1141" s="28" t="str">
        <ns0:f>IF(A1141="","",IF(C1141&lt;=0,"Satış dışı",IF(OR(F1141="",G1141=""),"Eşleşmedi","Eşleşti")))</ns0:f>
        <ns0:v/>
      </ns0:c>
      <ns0:c r="I1141" s="28">
        <ns0:f>I1140+IF(AND(H1141="Eşleşmedi",E1141='Panel'!$B$4),1,0)</ns0:f>
        <ns0:v>3.0</ns0:v>
      </ns0:c>
    </ns0:row>
    <ns0:row r="1142" ht="21" customHeight="1">
      <ns0:c r="A1142" s="25" t="n"/>
      <ns0:c r="B1142" s="26" t="n"/>
      <ns0:c r="C1142" s="27" t="n"/>
      <ns0:c r="D1142" s="27" t="n"/>
      <ns0:c r="E1142" s="28" t="str">
        <ns0:f>IF(A1142="","",YEAR(A1142)&amp;"-"&amp;RIGHT("0"&amp;MONTH(A1142),2))</ns0:f>
        <ns0:v/>
      </ns0:c>
      <ns0:c r="F1142" s="28" t="str">
        <ns0:f>IF(OR(A1142="",B1142="",C1142&lt;=0),"",IF(SUMPRODUCT(('Müşteriler'!$B$2:$B$101&lt;&gt;"")*ISNUMBER(SEARCH('Müşteriler'!$B$2:$B$101,B1142)))=1,IFERROR(INDEX('Müşteriler'!$A$2:$A$101,SUMPRODUCT(('Müşteriler'!$B$2:$B$101&lt;&gt;"")*ISNUMBER(SEARCH('Müşteriler'!$B$2:$B$101,B1142)),ROW('Müşteriler'!$B$2:$B$101)-ROW('Müşteriler'!$B$2)+1)),""),""))</ns0:f>
        <ns0:v/>
      </ns0:c>
      <ns0:c r="G1142" s="28" t="str">
        <ns0:f>IF(F1142="","",IFERROR(INDEX('Müşteriler'!$C$2:$C$101,MATCH(F1142,'Müşteriler'!$A$2:$A$101,0)),""))</ns0:f>
        <ns0:v/>
      </ns0:c>
      <ns0:c r="H1142" s="28" t="str">
        <ns0:f>IF(A1142="","",IF(C1142&lt;=0,"Satış dışı",IF(OR(F1142="",G1142=""),"Eşleşmedi","Eşleşti")))</ns0:f>
        <ns0:v/>
      </ns0:c>
      <ns0:c r="I1142" s="28">
        <ns0:f>I1141+IF(AND(H1142="Eşleşmedi",E1142='Panel'!$B$4),1,0)</ns0:f>
        <ns0:v>3.0</ns0:v>
      </ns0:c>
    </ns0:row>
    <ns0:row r="1143" ht="21" customHeight="1">
      <ns0:c r="A1143" s="25" t="n"/>
      <ns0:c r="B1143" s="26" t="n"/>
      <ns0:c r="C1143" s="27" t="n"/>
      <ns0:c r="D1143" s="27" t="n"/>
      <ns0:c r="E1143" s="28" t="str">
        <ns0:f>IF(A1143="","",YEAR(A1143)&amp;"-"&amp;RIGHT("0"&amp;MONTH(A1143),2))</ns0:f>
        <ns0:v/>
      </ns0:c>
      <ns0:c r="F1143" s="28" t="str">
        <ns0:f>IF(OR(A1143="",B1143="",C1143&lt;=0),"",IF(SUMPRODUCT(('Müşteriler'!$B$2:$B$101&lt;&gt;"")*ISNUMBER(SEARCH('Müşteriler'!$B$2:$B$101,B1143)))=1,IFERROR(INDEX('Müşteriler'!$A$2:$A$101,SUMPRODUCT(('Müşteriler'!$B$2:$B$101&lt;&gt;"")*ISNUMBER(SEARCH('Müşteriler'!$B$2:$B$101,B1143)),ROW('Müşteriler'!$B$2:$B$101)-ROW('Müşteriler'!$B$2)+1)),""),""))</ns0:f>
        <ns0:v/>
      </ns0:c>
      <ns0:c r="G1143" s="28" t="str">
        <ns0:f>IF(F1143="","",IFERROR(INDEX('Müşteriler'!$C$2:$C$101,MATCH(F1143,'Müşteriler'!$A$2:$A$101,0)),""))</ns0:f>
        <ns0:v/>
      </ns0:c>
      <ns0:c r="H1143" s="28" t="str">
        <ns0:f>IF(A1143="","",IF(C1143&lt;=0,"Satış dışı",IF(OR(F1143="",G1143=""),"Eşleşmedi","Eşleşti")))</ns0:f>
        <ns0:v/>
      </ns0:c>
      <ns0:c r="I1143" s="28">
        <ns0:f>I1142+IF(AND(H1143="Eşleşmedi",E1143='Panel'!$B$4),1,0)</ns0:f>
        <ns0:v>3.0</ns0:v>
      </ns0:c>
    </ns0:row>
    <ns0:row r="1144" ht="21" customHeight="1">
      <ns0:c r="A1144" s="25" t="n"/>
      <ns0:c r="B1144" s="26" t="n"/>
      <ns0:c r="C1144" s="27" t="n"/>
      <ns0:c r="D1144" s="27" t="n"/>
      <ns0:c r="E1144" s="28" t="str">
        <ns0:f>IF(A1144="","",YEAR(A1144)&amp;"-"&amp;RIGHT("0"&amp;MONTH(A1144),2))</ns0:f>
        <ns0:v/>
      </ns0:c>
      <ns0:c r="F1144" s="28" t="str">
        <ns0:f>IF(OR(A1144="",B1144="",C1144&lt;=0),"",IF(SUMPRODUCT(('Müşteriler'!$B$2:$B$101&lt;&gt;"")*ISNUMBER(SEARCH('Müşteriler'!$B$2:$B$101,B1144)))=1,IFERROR(INDEX('Müşteriler'!$A$2:$A$101,SUMPRODUCT(('Müşteriler'!$B$2:$B$101&lt;&gt;"")*ISNUMBER(SEARCH('Müşteriler'!$B$2:$B$101,B1144)),ROW('Müşteriler'!$B$2:$B$101)-ROW('Müşteriler'!$B$2)+1)),""),""))</ns0:f>
        <ns0:v/>
      </ns0:c>
      <ns0:c r="G1144" s="28" t="str">
        <ns0:f>IF(F1144="","",IFERROR(INDEX('Müşteriler'!$C$2:$C$101,MATCH(F1144,'Müşteriler'!$A$2:$A$101,0)),""))</ns0:f>
        <ns0:v/>
      </ns0:c>
      <ns0:c r="H1144" s="28" t="str">
        <ns0:f>IF(A1144="","",IF(C1144&lt;=0,"Satış dışı",IF(OR(F1144="",G1144=""),"Eşleşmedi","Eşleşti")))</ns0:f>
        <ns0:v/>
      </ns0:c>
      <ns0:c r="I1144" s="28">
        <ns0:f>I1143+IF(AND(H1144="Eşleşmedi",E1144='Panel'!$B$4),1,0)</ns0:f>
        <ns0:v>3.0</ns0:v>
      </ns0:c>
    </ns0:row>
    <ns0:row r="1145" ht="21" customHeight="1">
      <ns0:c r="A1145" s="25" t="n"/>
      <ns0:c r="B1145" s="26" t="n"/>
      <ns0:c r="C1145" s="27" t="n"/>
      <ns0:c r="D1145" s="27" t="n"/>
      <ns0:c r="E1145" s="28" t="str">
        <ns0:f>IF(A1145="","",YEAR(A1145)&amp;"-"&amp;RIGHT("0"&amp;MONTH(A1145),2))</ns0:f>
        <ns0:v/>
      </ns0:c>
      <ns0:c r="F1145" s="28" t="str">
        <ns0:f>IF(OR(A1145="",B1145="",C1145&lt;=0),"",IF(SUMPRODUCT(('Müşteriler'!$B$2:$B$101&lt;&gt;"")*ISNUMBER(SEARCH('Müşteriler'!$B$2:$B$101,B1145)))=1,IFERROR(INDEX('Müşteriler'!$A$2:$A$101,SUMPRODUCT(('Müşteriler'!$B$2:$B$101&lt;&gt;"")*ISNUMBER(SEARCH('Müşteriler'!$B$2:$B$101,B1145)),ROW('Müşteriler'!$B$2:$B$101)-ROW('Müşteriler'!$B$2)+1)),""),""))</ns0:f>
        <ns0:v/>
      </ns0:c>
      <ns0:c r="G1145" s="28" t="str">
        <ns0:f>IF(F1145="","",IFERROR(INDEX('Müşteriler'!$C$2:$C$101,MATCH(F1145,'Müşteriler'!$A$2:$A$101,0)),""))</ns0:f>
        <ns0:v/>
      </ns0:c>
      <ns0:c r="H1145" s="28" t="str">
        <ns0:f>IF(A1145="","",IF(C1145&lt;=0,"Satış dışı",IF(OR(F1145="",G1145=""),"Eşleşmedi","Eşleşti")))</ns0:f>
        <ns0:v/>
      </ns0:c>
      <ns0:c r="I1145" s="28">
        <ns0:f>I1144+IF(AND(H1145="Eşleşmedi",E1145='Panel'!$B$4),1,0)</ns0:f>
        <ns0:v>3.0</ns0:v>
      </ns0:c>
    </ns0:row>
    <ns0:row r="1146" ht="21" customHeight="1">
      <ns0:c r="A1146" s="25" t="n"/>
      <ns0:c r="B1146" s="26" t="n"/>
      <ns0:c r="C1146" s="27" t="n"/>
      <ns0:c r="D1146" s="27" t="n"/>
      <ns0:c r="E1146" s="28" t="str">
        <ns0:f>IF(A1146="","",YEAR(A1146)&amp;"-"&amp;RIGHT("0"&amp;MONTH(A1146),2))</ns0:f>
        <ns0:v/>
      </ns0:c>
      <ns0:c r="F1146" s="28" t="str">
        <ns0:f>IF(OR(A1146="",B1146="",C1146&lt;=0),"",IF(SUMPRODUCT(('Müşteriler'!$B$2:$B$101&lt;&gt;"")*ISNUMBER(SEARCH('Müşteriler'!$B$2:$B$101,B1146)))=1,IFERROR(INDEX('Müşteriler'!$A$2:$A$101,SUMPRODUCT(('Müşteriler'!$B$2:$B$101&lt;&gt;"")*ISNUMBER(SEARCH('Müşteriler'!$B$2:$B$101,B1146)),ROW('Müşteriler'!$B$2:$B$101)-ROW('Müşteriler'!$B$2)+1)),""),""))</ns0:f>
        <ns0:v/>
      </ns0:c>
      <ns0:c r="G1146" s="28" t="str">
        <ns0:f>IF(F1146="","",IFERROR(INDEX('Müşteriler'!$C$2:$C$101,MATCH(F1146,'Müşteriler'!$A$2:$A$101,0)),""))</ns0:f>
        <ns0:v/>
      </ns0:c>
      <ns0:c r="H1146" s="28" t="str">
        <ns0:f>IF(A1146="","",IF(C1146&lt;=0,"Satış dışı",IF(OR(F1146="",G1146=""),"Eşleşmedi","Eşleşti")))</ns0:f>
        <ns0:v/>
      </ns0:c>
      <ns0:c r="I1146" s="28">
        <ns0:f>I1145+IF(AND(H1146="Eşleşmedi",E1146='Panel'!$B$4),1,0)</ns0:f>
        <ns0:v>3.0</ns0:v>
      </ns0:c>
    </ns0:row>
    <ns0:row r="1147" ht="21" customHeight="1">
      <ns0:c r="A1147" s="25" t="n"/>
      <ns0:c r="B1147" s="26" t="n"/>
      <ns0:c r="C1147" s="27" t="n"/>
      <ns0:c r="D1147" s="27" t="n"/>
      <ns0:c r="E1147" s="28" t="str">
        <ns0:f>IF(A1147="","",YEAR(A1147)&amp;"-"&amp;RIGHT("0"&amp;MONTH(A1147),2))</ns0:f>
        <ns0:v/>
      </ns0:c>
      <ns0:c r="F1147" s="28" t="str">
        <ns0:f>IF(OR(A1147="",B1147="",C1147&lt;=0),"",IF(SUMPRODUCT(('Müşteriler'!$B$2:$B$101&lt;&gt;"")*ISNUMBER(SEARCH('Müşteriler'!$B$2:$B$101,B1147)))=1,IFERROR(INDEX('Müşteriler'!$A$2:$A$101,SUMPRODUCT(('Müşteriler'!$B$2:$B$101&lt;&gt;"")*ISNUMBER(SEARCH('Müşteriler'!$B$2:$B$101,B1147)),ROW('Müşteriler'!$B$2:$B$101)-ROW('Müşteriler'!$B$2)+1)),""),""))</ns0:f>
        <ns0:v/>
      </ns0:c>
      <ns0:c r="G1147" s="28" t="str">
        <ns0:f>IF(F1147="","",IFERROR(INDEX('Müşteriler'!$C$2:$C$101,MATCH(F1147,'Müşteriler'!$A$2:$A$101,0)),""))</ns0:f>
        <ns0:v/>
      </ns0:c>
      <ns0:c r="H1147" s="28" t="str">
        <ns0:f>IF(A1147="","",IF(C1147&lt;=0,"Satış dışı",IF(OR(F1147="",G1147=""),"Eşleşmedi","Eşleşti")))</ns0:f>
        <ns0:v/>
      </ns0:c>
      <ns0:c r="I1147" s="28">
        <ns0:f>I1146+IF(AND(H1147="Eşleşmedi",E1147='Panel'!$B$4),1,0)</ns0:f>
        <ns0:v>3.0</ns0:v>
      </ns0:c>
    </ns0:row>
    <ns0:row r="1148" ht="21" customHeight="1">
      <ns0:c r="A1148" s="25" t="n"/>
      <ns0:c r="B1148" s="26" t="n"/>
      <ns0:c r="C1148" s="27" t="n"/>
      <ns0:c r="D1148" s="27" t="n"/>
      <ns0:c r="E1148" s="28" t="str">
        <ns0:f>IF(A1148="","",YEAR(A1148)&amp;"-"&amp;RIGHT("0"&amp;MONTH(A1148),2))</ns0:f>
        <ns0:v/>
      </ns0:c>
      <ns0:c r="F1148" s="28" t="str">
        <ns0:f>IF(OR(A1148="",B1148="",C1148&lt;=0),"",IF(SUMPRODUCT(('Müşteriler'!$B$2:$B$101&lt;&gt;"")*ISNUMBER(SEARCH('Müşteriler'!$B$2:$B$101,B1148)))=1,IFERROR(INDEX('Müşteriler'!$A$2:$A$101,SUMPRODUCT(('Müşteriler'!$B$2:$B$101&lt;&gt;"")*ISNUMBER(SEARCH('Müşteriler'!$B$2:$B$101,B1148)),ROW('Müşteriler'!$B$2:$B$101)-ROW('Müşteriler'!$B$2)+1)),""),""))</ns0:f>
        <ns0:v/>
      </ns0:c>
      <ns0:c r="G1148" s="28" t="str">
        <ns0:f>IF(F1148="","",IFERROR(INDEX('Müşteriler'!$C$2:$C$101,MATCH(F1148,'Müşteriler'!$A$2:$A$101,0)),""))</ns0:f>
        <ns0:v/>
      </ns0:c>
      <ns0:c r="H1148" s="28" t="str">
        <ns0:f>IF(A1148="","",IF(C1148&lt;=0,"Satış dışı",IF(OR(F1148="",G1148=""),"Eşleşmedi","Eşleşti")))</ns0:f>
        <ns0:v/>
      </ns0:c>
      <ns0:c r="I1148" s="28">
        <ns0:f>I1147+IF(AND(H1148="Eşleşmedi",E1148='Panel'!$B$4),1,0)</ns0:f>
        <ns0:v>3.0</ns0:v>
      </ns0:c>
    </ns0:row>
    <ns0:row r="1149" ht="21" customHeight="1">
      <ns0:c r="A1149" s="25" t="n"/>
      <ns0:c r="B1149" s="26" t="n"/>
      <ns0:c r="C1149" s="27" t="n"/>
      <ns0:c r="D1149" s="27" t="n"/>
      <ns0:c r="E1149" s="28" t="str">
        <ns0:f>IF(A1149="","",YEAR(A1149)&amp;"-"&amp;RIGHT("0"&amp;MONTH(A1149),2))</ns0:f>
        <ns0:v/>
      </ns0:c>
      <ns0:c r="F1149" s="28" t="str">
        <ns0:f>IF(OR(A1149="",B1149="",C1149&lt;=0),"",IF(SUMPRODUCT(('Müşteriler'!$B$2:$B$101&lt;&gt;"")*ISNUMBER(SEARCH('Müşteriler'!$B$2:$B$101,B1149)))=1,IFERROR(INDEX('Müşteriler'!$A$2:$A$101,SUMPRODUCT(('Müşteriler'!$B$2:$B$101&lt;&gt;"")*ISNUMBER(SEARCH('Müşteriler'!$B$2:$B$101,B1149)),ROW('Müşteriler'!$B$2:$B$101)-ROW('Müşteriler'!$B$2)+1)),""),""))</ns0:f>
        <ns0:v/>
      </ns0:c>
      <ns0:c r="G1149" s="28" t="str">
        <ns0:f>IF(F1149="","",IFERROR(INDEX('Müşteriler'!$C$2:$C$101,MATCH(F1149,'Müşteriler'!$A$2:$A$101,0)),""))</ns0:f>
        <ns0:v/>
      </ns0:c>
      <ns0:c r="H1149" s="28" t="str">
        <ns0:f>IF(A1149="","",IF(C1149&lt;=0,"Satış dışı",IF(OR(F1149="",G1149=""),"Eşleşmedi","Eşleşti")))</ns0:f>
        <ns0:v/>
      </ns0:c>
      <ns0:c r="I1149" s="28">
        <ns0:f>I1148+IF(AND(H1149="Eşleşmedi",E1149='Panel'!$B$4),1,0)</ns0:f>
        <ns0:v>3.0</ns0:v>
      </ns0:c>
    </ns0:row>
    <ns0:row r="1150" ht="21" customHeight="1">
      <ns0:c r="A1150" s="25" t="n"/>
      <ns0:c r="B1150" s="26" t="n"/>
      <ns0:c r="C1150" s="27" t="n"/>
      <ns0:c r="D1150" s="27" t="n"/>
      <ns0:c r="E1150" s="28" t="str">
        <ns0:f>IF(A1150="","",YEAR(A1150)&amp;"-"&amp;RIGHT("0"&amp;MONTH(A1150),2))</ns0:f>
        <ns0:v/>
      </ns0:c>
      <ns0:c r="F1150" s="28" t="str">
        <ns0:f>IF(OR(A1150="",B1150="",C1150&lt;=0),"",IF(SUMPRODUCT(('Müşteriler'!$B$2:$B$101&lt;&gt;"")*ISNUMBER(SEARCH('Müşteriler'!$B$2:$B$101,B1150)))=1,IFERROR(INDEX('Müşteriler'!$A$2:$A$101,SUMPRODUCT(('Müşteriler'!$B$2:$B$101&lt;&gt;"")*ISNUMBER(SEARCH('Müşteriler'!$B$2:$B$101,B1150)),ROW('Müşteriler'!$B$2:$B$101)-ROW('Müşteriler'!$B$2)+1)),""),""))</ns0:f>
        <ns0:v/>
      </ns0:c>
      <ns0:c r="G1150" s="28" t="str">
        <ns0:f>IF(F1150="","",IFERROR(INDEX('Müşteriler'!$C$2:$C$101,MATCH(F1150,'Müşteriler'!$A$2:$A$101,0)),""))</ns0:f>
        <ns0:v/>
      </ns0:c>
      <ns0:c r="H1150" s="28" t="str">
        <ns0:f>IF(A1150="","",IF(C1150&lt;=0,"Satış dışı",IF(OR(F1150="",G1150=""),"Eşleşmedi","Eşleşti")))</ns0:f>
        <ns0:v/>
      </ns0:c>
      <ns0:c r="I1150" s="28">
        <ns0:f>I1149+IF(AND(H1150="Eşleşmedi",E1150='Panel'!$B$4),1,0)</ns0:f>
        <ns0:v>3.0</ns0:v>
      </ns0:c>
    </ns0:row>
    <ns0:row r="1151" ht="21" customHeight="1">
      <ns0:c r="A1151" s="25" t="n"/>
      <ns0:c r="B1151" s="26" t="n"/>
      <ns0:c r="C1151" s="27" t="n"/>
      <ns0:c r="D1151" s="27" t="n"/>
      <ns0:c r="E1151" s="28" t="str">
        <ns0:f>IF(A1151="","",YEAR(A1151)&amp;"-"&amp;RIGHT("0"&amp;MONTH(A1151),2))</ns0:f>
        <ns0:v/>
      </ns0:c>
      <ns0:c r="F1151" s="28" t="str">
        <ns0:f>IF(OR(A1151="",B1151="",C1151&lt;=0),"",IF(SUMPRODUCT(('Müşteriler'!$B$2:$B$101&lt;&gt;"")*ISNUMBER(SEARCH('Müşteriler'!$B$2:$B$101,B1151)))=1,IFERROR(INDEX('Müşteriler'!$A$2:$A$101,SUMPRODUCT(('Müşteriler'!$B$2:$B$101&lt;&gt;"")*ISNUMBER(SEARCH('Müşteriler'!$B$2:$B$101,B1151)),ROW('Müşteriler'!$B$2:$B$101)-ROW('Müşteriler'!$B$2)+1)),""),""))</ns0:f>
        <ns0:v/>
      </ns0:c>
      <ns0:c r="G1151" s="28" t="str">
        <ns0:f>IF(F1151="","",IFERROR(INDEX('Müşteriler'!$C$2:$C$101,MATCH(F1151,'Müşteriler'!$A$2:$A$101,0)),""))</ns0:f>
        <ns0:v/>
      </ns0:c>
      <ns0:c r="H1151" s="28" t="str">
        <ns0:f>IF(A1151="","",IF(C1151&lt;=0,"Satış dışı",IF(OR(F1151="",G1151=""),"Eşleşmedi","Eşleşti")))</ns0:f>
        <ns0:v/>
      </ns0:c>
      <ns0:c r="I1151" s="28">
        <ns0:f>I1150+IF(AND(H1151="Eşleşmedi",E1151='Panel'!$B$4),1,0)</ns0:f>
        <ns0:v>3.0</ns0:v>
      </ns0:c>
    </ns0:row>
    <ns0:row r="1152" ht="21" customHeight="1">
      <ns0:c r="A1152" s="25" t="n"/>
      <ns0:c r="B1152" s="26" t="n"/>
      <ns0:c r="C1152" s="27" t="n"/>
      <ns0:c r="D1152" s="27" t="n"/>
      <ns0:c r="E1152" s="28" t="str">
        <ns0:f>IF(A1152="","",YEAR(A1152)&amp;"-"&amp;RIGHT("0"&amp;MONTH(A1152),2))</ns0:f>
        <ns0:v/>
      </ns0:c>
      <ns0:c r="F1152" s="28" t="str">
        <ns0:f>IF(OR(A1152="",B1152="",C1152&lt;=0),"",IF(SUMPRODUCT(('Müşteriler'!$B$2:$B$101&lt;&gt;"")*ISNUMBER(SEARCH('Müşteriler'!$B$2:$B$101,B1152)))=1,IFERROR(INDEX('Müşteriler'!$A$2:$A$101,SUMPRODUCT(('Müşteriler'!$B$2:$B$101&lt;&gt;"")*ISNUMBER(SEARCH('Müşteriler'!$B$2:$B$101,B1152)),ROW('Müşteriler'!$B$2:$B$101)-ROW('Müşteriler'!$B$2)+1)),""),""))</ns0:f>
        <ns0:v/>
      </ns0:c>
      <ns0:c r="G1152" s="28" t="str">
        <ns0:f>IF(F1152="","",IFERROR(INDEX('Müşteriler'!$C$2:$C$101,MATCH(F1152,'Müşteriler'!$A$2:$A$101,0)),""))</ns0:f>
        <ns0:v/>
      </ns0:c>
      <ns0:c r="H1152" s="28" t="str">
        <ns0:f>IF(A1152="","",IF(C1152&lt;=0,"Satış dışı",IF(OR(F1152="",G1152=""),"Eşleşmedi","Eşleşti")))</ns0:f>
        <ns0:v/>
      </ns0:c>
      <ns0:c r="I1152" s="28">
        <ns0:f>I1151+IF(AND(H1152="Eşleşmedi",E1152='Panel'!$B$4),1,0)</ns0:f>
        <ns0:v>3.0</ns0:v>
      </ns0:c>
    </ns0:row>
    <ns0:row r="1153" ht="21" customHeight="1">
      <ns0:c r="A1153" s="25" t="n"/>
      <ns0:c r="B1153" s="26" t="n"/>
      <ns0:c r="C1153" s="27" t="n"/>
      <ns0:c r="D1153" s="27" t="n"/>
      <ns0:c r="E1153" s="28" t="str">
        <ns0:f>IF(A1153="","",YEAR(A1153)&amp;"-"&amp;RIGHT("0"&amp;MONTH(A1153),2))</ns0:f>
        <ns0:v/>
      </ns0:c>
      <ns0:c r="F1153" s="28" t="str">
        <ns0:f>IF(OR(A1153="",B1153="",C1153&lt;=0),"",IF(SUMPRODUCT(('Müşteriler'!$B$2:$B$101&lt;&gt;"")*ISNUMBER(SEARCH('Müşteriler'!$B$2:$B$101,B1153)))=1,IFERROR(INDEX('Müşteriler'!$A$2:$A$101,SUMPRODUCT(('Müşteriler'!$B$2:$B$101&lt;&gt;"")*ISNUMBER(SEARCH('Müşteriler'!$B$2:$B$101,B1153)),ROW('Müşteriler'!$B$2:$B$101)-ROW('Müşteriler'!$B$2)+1)),""),""))</ns0:f>
        <ns0:v/>
      </ns0:c>
      <ns0:c r="G1153" s="28" t="str">
        <ns0:f>IF(F1153="","",IFERROR(INDEX('Müşteriler'!$C$2:$C$101,MATCH(F1153,'Müşteriler'!$A$2:$A$101,0)),""))</ns0:f>
        <ns0:v/>
      </ns0:c>
      <ns0:c r="H1153" s="28" t="str">
        <ns0:f>IF(A1153="","",IF(C1153&lt;=0,"Satış dışı",IF(OR(F1153="",G1153=""),"Eşleşmedi","Eşleşti")))</ns0:f>
        <ns0:v/>
      </ns0:c>
      <ns0:c r="I1153" s="28">
        <ns0:f>I1152+IF(AND(H1153="Eşleşmedi",E1153='Panel'!$B$4),1,0)</ns0:f>
        <ns0:v>3.0</ns0:v>
      </ns0:c>
    </ns0:row>
    <ns0:row r="1154" ht="21" customHeight="1">
      <ns0:c r="A1154" s="25" t="n"/>
      <ns0:c r="B1154" s="26" t="n"/>
      <ns0:c r="C1154" s="27" t="n"/>
      <ns0:c r="D1154" s="27" t="n"/>
      <ns0:c r="E1154" s="28" t="str">
        <ns0:f>IF(A1154="","",YEAR(A1154)&amp;"-"&amp;RIGHT("0"&amp;MONTH(A1154),2))</ns0:f>
        <ns0:v/>
      </ns0:c>
      <ns0:c r="F1154" s="28" t="str">
        <ns0:f>IF(OR(A1154="",B1154="",C1154&lt;=0),"",IF(SUMPRODUCT(('Müşteriler'!$B$2:$B$101&lt;&gt;"")*ISNUMBER(SEARCH('Müşteriler'!$B$2:$B$101,B1154)))=1,IFERROR(INDEX('Müşteriler'!$A$2:$A$101,SUMPRODUCT(('Müşteriler'!$B$2:$B$101&lt;&gt;"")*ISNUMBER(SEARCH('Müşteriler'!$B$2:$B$101,B1154)),ROW('Müşteriler'!$B$2:$B$101)-ROW('Müşteriler'!$B$2)+1)),""),""))</ns0:f>
        <ns0:v/>
      </ns0:c>
      <ns0:c r="G1154" s="28" t="str">
        <ns0:f>IF(F1154="","",IFERROR(INDEX('Müşteriler'!$C$2:$C$101,MATCH(F1154,'Müşteriler'!$A$2:$A$101,0)),""))</ns0:f>
        <ns0:v/>
      </ns0:c>
      <ns0:c r="H1154" s="28" t="str">
        <ns0:f>IF(A1154="","",IF(C1154&lt;=0,"Satış dışı",IF(OR(F1154="",G1154=""),"Eşleşmedi","Eşleşti")))</ns0:f>
        <ns0:v/>
      </ns0:c>
      <ns0:c r="I1154" s="28">
        <ns0:f>I1153+IF(AND(H1154="Eşleşmedi",E1154='Panel'!$B$4),1,0)</ns0:f>
        <ns0:v>3.0</ns0:v>
      </ns0:c>
    </ns0:row>
    <ns0:row r="1155" ht="21" customHeight="1">
      <ns0:c r="A1155" s="25" t="n"/>
      <ns0:c r="B1155" s="26" t="n"/>
      <ns0:c r="C1155" s="27" t="n"/>
      <ns0:c r="D1155" s="27" t="n"/>
      <ns0:c r="E1155" s="28" t="str">
        <ns0:f>IF(A1155="","",YEAR(A1155)&amp;"-"&amp;RIGHT("0"&amp;MONTH(A1155),2))</ns0:f>
        <ns0:v/>
      </ns0:c>
      <ns0:c r="F1155" s="28" t="str">
        <ns0:f>IF(OR(A1155="",B1155="",C1155&lt;=0),"",IF(SUMPRODUCT(('Müşteriler'!$B$2:$B$101&lt;&gt;"")*ISNUMBER(SEARCH('Müşteriler'!$B$2:$B$101,B1155)))=1,IFERROR(INDEX('Müşteriler'!$A$2:$A$101,SUMPRODUCT(('Müşteriler'!$B$2:$B$101&lt;&gt;"")*ISNUMBER(SEARCH('Müşteriler'!$B$2:$B$101,B1155)),ROW('Müşteriler'!$B$2:$B$101)-ROW('Müşteriler'!$B$2)+1)),""),""))</ns0:f>
        <ns0:v/>
      </ns0:c>
      <ns0:c r="G1155" s="28" t="str">
        <ns0:f>IF(F1155="","",IFERROR(INDEX('Müşteriler'!$C$2:$C$101,MATCH(F1155,'Müşteriler'!$A$2:$A$101,0)),""))</ns0:f>
        <ns0:v/>
      </ns0:c>
      <ns0:c r="H1155" s="28" t="str">
        <ns0:f>IF(A1155="","",IF(C1155&lt;=0,"Satış dışı",IF(OR(F1155="",G1155=""),"Eşleşmedi","Eşleşti")))</ns0:f>
        <ns0:v/>
      </ns0:c>
      <ns0:c r="I1155" s="28">
        <ns0:f>I1154+IF(AND(H1155="Eşleşmedi",E1155='Panel'!$B$4),1,0)</ns0:f>
        <ns0:v>3.0</ns0:v>
      </ns0:c>
    </ns0:row>
    <ns0:row r="1156" ht="21" customHeight="1">
      <ns0:c r="A1156" s="25" t="n"/>
      <ns0:c r="B1156" s="26" t="n"/>
      <ns0:c r="C1156" s="27" t="n"/>
      <ns0:c r="D1156" s="27" t="n"/>
      <ns0:c r="E1156" s="28" t="str">
        <ns0:f>IF(A1156="","",YEAR(A1156)&amp;"-"&amp;RIGHT("0"&amp;MONTH(A1156),2))</ns0:f>
        <ns0:v/>
      </ns0:c>
      <ns0:c r="F1156" s="28" t="str">
        <ns0:f>IF(OR(A1156="",B1156="",C1156&lt;=0),"",IF(SUMPRODUCT(('Müşteriler'!$B$2:$B$101&lt;&gt;"")*ISNUMBER(SEARCH('Müşteriler'!$B$2:$B$101,B1156)))=1,IFERROR(INDEX('Müşteriler'!$A$2:$A$101,SUMPRODUCT(('Müşteriler'!$B$2:$B$101&lt;&gt;"")*ISNUMBER(SEARCH('Müşteriler'!$B$2:$B$101,B1156)),ROW('Müşteriler'!$B$2:$B$101)-ROW('Müşteriler'!$B$2)+1)),""),""))</ns0:f>
        <ns0:v/>
      </ns0:c>
      <ns0:c r="G1156" s="28" t="str">
        <ns0:f>IF(F1156="","",IFERROR(INDEX('Müşteriler'!$C$2:$C$101,MATCH(F1156,'Müşteriler'!$A$2:$A$101,0)),""))</ns0:f>
        <ns0:v/>
      </ns0:c>
      <ns0:c r="H1156" s="28" t="str">
        <ns0:f>IF(A1156="","",IF(C1156&lt;=0,"Satış dışı",IF(OR(F1156="",G1156=""),"Eşleşmedi","Eşleşti")))</ns0:f>
        <ns0:v/>
      </ns0:c>
      <ns0:c r="I1156" s="28">
        <ns0:f>I1155+IF(AND(H1156="Eşleşmedi",E1156='Panel'!$B$4),1,0)</ns0:f>
        <ns0:v>3.0</ns0:v>
      </ns0:c>
    </ns0:row>
    <ns0:row r="1157" ht="21" customHeight="1">
      <ns0:c r="A1157" s="25" t="n"/>
      <ns0:c r="B1157" s="26" t="n"/>
      <ns0:c r="C1157" s="27" t="n"/>
      <ns0:c r="D1157" s="27" t="n"/>
      <ns0:c r="E1157" s="28" t="str">
        <ns0:f>IF(A1157="","",YEAR(A1157)&amp;"-"&amp;RIGHT("0"&amp;MONTH(A1157),2))</ns0:f>
        <ns0:v/>
      </ns0:c>
      <ns0:c r="F1157" s="28" t="str">
        <ns0:f>IF(OR(A1157="",B1157="",C1157&lt;=0),"",IF(SUMPRODUCT(('Müşteriler'!$B$2:$B$101&lt;&gt;"")*ISNUMBER(SEARCH('Müşteriler'!$B$2:$B$101,B1157)))=1,IFERROR(INDEX('Müşteriler'!$A$2:$A$101,SUMPRODUCT(('Müşteriler'!$B$2:$B$101&lt;&gt;"")*ISNUMBER(SEARCH('Müşteriler'!$B$2:$B$101,B1157)),ROW('Müşteriler'!$B$2:$B$101)-ROW('Müşteriler'!$B$2)+1)),""),""))</ns0:f>
        <ns0:v/>
      </ns0:c>
      <ns0:c r="G1157" s="28" t="str">
        <ns0:f>IF(F1157="","",IFERROR(INDEX('Müşteriler'!$C$2:$C$101,MATCH(F1157,'Müşteriler'!$A$2:$A$101,0)),""))</ns0:f>
        <ns0:v/>
      </ns0:c>
      <ns0:c r="H1157" s="28" t="str">
        <ns0:f>IF(A1157="","",IF(C1157&lt;=0,"Satış dışı",IF(OR(F1157="",G1157=""),"Eşleşmedi","Eşleşti")))</ns0:f>
        <ns0:v/>
      </ns0:c>
      <ns0:c r="I1157" s="28">
        <ns0:f>I1156+IF(AND(H1157="Eşleşmedi",E1157='Panel'!$B$4),1,0)</ns0:f>
        <ns0:v>3.0</ns0:v>
      </ns0:c>
    </ns0:row>
    <ns0:row r="1158" ht="21" customHeight="1">
      <ns0:c r="A1158" s="25" t="n"/>
      <ns0:c r="B1158" s="26" t="n"/>
      <ns0:c r="C1158" s="27" t="n"/>
      <ns0:c r="D1158" s="27" t="n"/>
      <ns0:c r="E1158" s="28" t="str">
        <ns0:f>IF(A1158="","",YEAR(A1158)&amp;"-"&amp;RIGHT("0"&amp;MONTH(A1158),2))</ns0:f>
        <ns0:v/>
      </ns0:c>
      <ns0:c r="F1158" s="28" t="str">
        <ns0:f>IF(OR(A1158="",B1158="",C1158&lt;=0),"",IF(SUMPRODUCT(('Müşteriler'!$B$2:$B$101&lt;&gt;"")*ISNUMBER(SEARCH('Müşteriler'!$B$2:$B$101,B1158)))=1,IFERROR(INDEX('Müşteriler'!$A$2:$A$101,SUMPRODUCT(('Müşteriler'!$B$2:$B$101&lt;&gt;"")*ISNUMBER(SEARCH('Müşteriler'!$B$2:$B$101,B1158)),ROW('Müşteriler'!$B$2:$B$101)-ROW('Müşteriler'!$B$2)+1)),""),""))</ns0:f>
        <ns0:v/>
      </ns0:c>
      <ns0:c r="G1158" s="28" t="str">
        <ns0:f>IF(F1158="","",IFERROR(INDEX('Müşteriler'!$C$2:$C$101,MATCH(F1158,'Müşteriler'!$A$2:$A$101,0)),""))</ns0:f>
        <ns0:v/>
      </ns0:c>
      <ns0:c r="H1158" s="28" t="str">
        <ns0:f>IF(A1158="","",IF(C1158&lt;=0,"Satış dışı",IF(OR(F1158="",G1158=""),"Eşleşmedi","Eşleşti")))</ns0:f>
        <ns0:v/>
      </ns0:c>
      <ns0:c r="I1158" s="28">
        <ns0:f>I1157+IF(AND(H1158="Eşleşmedi",E1158='Panel'!$B$4),1,0)</ns0:f>
        <ns0:v>3.0</ns0:v>
      </ns0:c>
    </ns0:row>
    <ns0:row r="1159" ht="21" customHeight="1">
      <ns0:c r="A1159" s="25" t="n"/>
      <ns0:c r="B1159" s="26" t="n"/>
      <ns0:c r="C1159" s="27" t="n"/>
      <ns0:c r="D1159" s="27" t="n"/>
      <ns0:c r="E1159" s="28" t="str">
        <ns0:f>IF(A1159="","",YEAR(A1159)&amp;"-"&amp;RIGHT("0"&amp;MONTH(A1159),2))</ns0:f>
        <ns0:v/>
      </ns0:c>
      <ns0:c r="F1159" s="28" t="str">
        <ns0:f>IF(OR(A1159="",B1159="",C1159&lt;=0),"",IF(SUMPRODUCT(('Müşteriler'!$B$2:$B$101&lt;&gt;"")*ISNUMBER(SEARCH('Müşteriler'!$B$2:$B$101,B1159)))=1,IFERROR(INDEX('Müşteriler'!$A$2:$A$101,SUMPRODUCT(('Müşteriler'!$B$2:$B$101&lt;&gt;"")*ISNUMBER(SEARCH('Müşteriler'!$B$2:$B$101,B1159)),ROW('Müşteriler'!$B$2:$B$101)-ROW('Müşteriler'!$B$2)+1)),""),""))</ns0:f>
        <ns0:v/>
      </ns0:c>
      <ns0:c r="G1159" s="28" t="str">
        <ns0:f>IF(F1159="","",IFERROR(INDEX('Müşteriler'!$C$2:$C$101,MATCH(F1159,'Müşteriler'!$A$2:$A$101,0)),""))</ns0:f>
        <ns0:v/>
      </ns0:c>
      <ns0:c r="H1159" s="28" t="str">
        <ns0:f>IF(A1159="","",IF(C1159&lt;=0,"Satış dışı",IF(OR(F1159="",G1159=""),"Eşleşmedi","Eşleşti")))</ns0:f>
        <ns0:v/>
      </ns0:c>
      <ns0:c r="I1159" s="28">
        <ns0:f>I1158+IF(AND(H1159="Eşleşmedi",E1159='Panel'!$B$4),1,0)</ns0:f>
        <ns0:v>3.0</ns0:v>
      </ns0:c>
    </ns0:row>
    <ns0:row r="1160" ht="21" customHeight="1">
      <ns0:c r="A1160" s="25" t="n"/>
      <ns0:c r="B1160" s="26" t="n"/>
      <ns0:c r="C1160" s="27" t="n"/>
      <ns0:c r="D1160" s="27" t="n"/>
      <ns0:c r="E1160" s="28" t="str">
        <ns0:f>IF(A1160="","",YEAR(A1160)&amp;"-"&amp;RIGHT("0"&amp;MONTH(A1160),2))</ns0:f>
        <ns0:v/>
      </ns0:c>
      <ns0:c r="F1160" s="28" t="str">
        <ns0:f>IF(OR(A1160="",B1160="",C1160&lt;=0),"",IF(SUMPRODUCT(('Müşteriler'!$B$2:$B$101&lt;&gt;"")*ISNUMBER(SEARCH('Müşteriler'!$B$2:$B$101,B1160)))=1,IFERROR(INDEX('Müşteriler'!$A$2:$A$101,SUMPRODUCT(('Müşteriler'!$B$2:$B$101&lt;&gt;"")*ISNUMBER(SEARCH('Müşteriler'!$B$2:$B$101,B1160)),ROW('Müşteriler'!$B$2:$B$101)-ROW('Müşteriler'!$B$2)+1)),""),""))</ns0:f>
        <ns0:v/>
      </ns0:c>
      <ns0:c r="G1160" s="28" t="str">
        <ns0:f>IF(F1160="","",IFERROR(INDEX('Müşteriler'!$C$2:$C$101,MATCH(F1160,'Müşteriler'!$A$2:$A$101,0)),""))</ns0:f>
        <ns0:v/>
      </ns0:c>
      <ns0:c r="H1160" s="28" t="str">
        <ns0:f>IF(A1160="","",IF(C1160&lt;=0,"Satış dışı",IF(OR(F1160="",G1160=""),"Eşleşmedi","Eşleşti")))</ns0:f>
        <ns0:v/>
      </ns0:c>
      <ns0:c r="I1160" s="28">
        <ns0:f>I1159+IF(AND(H1160="Eşleşmedi",E1160='Panel'!$B$4),1,0)</ns0:f>
        <ns0:v>3.0</ns0:v>
      </ns0:c>
    </ns0:row>
    <ns0:row r="1161" ht="21" customHeight="1">
      <ns0:c r="A1161" s="25" t="n"/>
      <ns0:c r="B1161" s="26" t="n"/>
      <ns0:c r="C1161" s="27" t="n"/>
      <ns0:c r="D1161" s="27" t="n"/>
      <ns0:c r="E1161" s="28" t="str">
        <ns0:f>IF(A1161="","",YEAR(A1161)&amp;"-"&amp;RIGHT("0"&amp;MONTH(A1161),2))</ns0:f>
        <ns0:v/>
      </ns0:c>
      <ns0:c r="F1161" s="28" t="str">
        <ns0:f>IF(OR(A1161="",B1161="",C1161&lt;=0),"",IF(SUMPRODUCT(('Müşteriler'!$B$2:$B$101&lt;&gt;"")*ISNUMBER(SEARCH('Müşteriler'!$B$2:$B$101,B1161)))=1,IFERROR(INDEX('Müşteriler'!$A$2:$A$101,SUMPRODUCT(('Müşteriler'!$B$2:$B$101&lt;&gt;"")*ISNUMBER(SEARCH('Müşteriler'!$B$2:$B$101,B1161)),ROW('Müşteriler'!$B$2:$B$101)-ROW('Müşteriler'!$B$2)+1)),""),""))</ns0:f>
        <ns0:v/>
      </ns0:c>
      <ns0:c r="G1161" s="28" t="str">
        <ns0:f>IF(F1161="","",IFERROR(INDEX('Müşteriler'!$C$2:$C$101,MATCH(F1161,'Müşteriler'!$A$2:$A$101,0)),""))</ns0:f>
        <ns0:v/>
      </ns0:c>
      <ns0:c r="H1161" s="28" t="str">
        <ns0:f>IF(A1161="","",IF(C1161&lt;=0,"Satış dışı",IF(OR(F1161="",G1161=""),"Eşleşmedi","Eşleşti")))</ns0:f>
        <ns0:v/>
      </ns0:c>
      <ns0:c r="I1161" s="28">
        <ns0:f>I1160+IF(AND(H1161="Eşleşmedi",E1161='Panel'!$B$4),1,0)</ns0:f>
        <ns0:v>3.0</ns0:v>
      </ns0:c>
    </ns0:row>
    <ns0:row r="1162" ht="21" customHeight="1">
      <ns0:c r="A1162" s="25" t="n"/>
      <ns0:c r="B1162" s="26" t="n"/>
      <ns0:c r="C1162" s="27" t="n"/>
      <ns0:c r="D1162" s="27" t="n"/>
      <ns0:c r="E1162" s="28" t="str">
        <ns0:f>IF(A1162="","",YEAR(A1162)&amp;"-"&amp;RIGHT("0"&amp;MONTH(A1162),2))</ns0:f>
        <ns0:v/>
      </ns0:c>
      <ns0:c r="F1162" s="28" t="str">
        <ns0:f>IF(OR(A1162="",B1162="",C1162&lt;=0),"",IF(SUMPRODUCT(('Müşteriler'!$B$2:$B$101&lt;&gt;"")*ISNUMBER(SEARCH('Müşteriler'!$B$2:$B$101,B1162)))=1,IFERROR(INDEX('Müşteriler'!$A$2:$A$101,SUMPRODUCT(('Müşteriler'!$B$2:$B$101&lt;&gt;"")*ISNUMBER(SEARCH('Müşteriler'!$B$2:$B$101,B1162)),ROW('Müşteriler'!$B$2:$B$101)-ROW('Müşteriler'!$B$2)+1)),""),""))</ns0:f>
        <ns0:v/>
      </ns0:c>
      <ns0:c r="G1162" s="28" t="str">
        <ns0:f>IF(F1162="","",IFERROR(INDEX('Müşteriler'!$C$2:$C$101,MATCH(F1162,'Müşteriler'!$A$2:$A$101,0)),""))</ns0:f>
        <ns0:v/>
      </ns0:c>
      <ns0:c r="H1162" s="28" t="str">
        <ns0:f>IF(A1162="","",IF(C1162&lt;=0,"Satış dışı",IF(OR(F1162="",G1162=""),"Eşleşmedi","Eşleşti")))</ns0:f>
        <ns0:v/>
      </ns0:c>
      <ns0:c r="I1162" s="28">
        <ns0:f>I1161+IF(AND(H1162="Eşleşmedi",E1162='Panel'!$B$4),1,0)</ns0:f>
        <ns0:v>3.0</ns0:v>
      </ns0:c>
    </ns0:row>
    <ns0:row r="1163" ht="21" customHeight="1">
      <ns0:c r="A1163" s="25" t="n"/>
      <ns0:c r="B1163" s="26" t="n"/>
      <ns0:c r="C1163" s="27" t="n"/>
      <ns0:c r="D1163" s="27" t="n"/>
      <ns0:c r="E1163" s="28" t="str">
        <ns0:f>IF(A1163="","",YEAR(A1163)&amp;"-"&amp;RIGHT("0"&amp;MONTH(A1163),2))</ns0:f>
        <ns0:v/>
      </ns0:c>
      <ns0:c r="F1163" s="28" t="str">
        <ns0:f>IF(OR(A1163="",B1163="",C1163&lt;=0),"",IF(SUMPRODUCT(('Müşteriler'!$B$2:$B$101&lt;&gt;"")*ISNUMBER(SEARCH('Müşteriler'!$B$2:$B$101,B1163)))=1,IFERROR(INDEX('Müşteriler'!$A$2:$A$101,SUMPRODUCT(('Müşteriler'!$B$2:$B$101&lt;&gt;"")*ISNUMBER(SEARCH('Müşteriler'!$B$2:$B$101,B1163)),ROW('Müşteriler'!$B$2:$B$101)-ROW('Müşteriler'!$B$2)+1)),""),""))</ns0:f>
        <ns0:v/>
      </ns0:c>
      <ns0:c r="G1163" s="28" t="str">
        <ns0:f>IF(F1163="","",IFERROR(INDEX('Müşteriler'!$C$2:$C$101,MATCH(F1163,'Müşteriler'!$A$2:$A$101,0)),""))</ns0:f>
        <ns0:v/>
      </ns0:c>
      <ns0:c r="H1163" s="28" t="str">
        <ns0:f>IF(A1163="","",IF(C1163&lt;=0,"Satış dışı",IF(OR(F1163="",G1163=""),"Eşleşmedi","Eşleşti")))</ns0:f>
        <ns0:v/>
      </ns0:c>
      <ns0:c r="I1163" s="28">
        <ns0:f>I1162+IF(AND(H1163="Eşleşmedi",E1163='Panel'!$B$4),1,0)</ns0:f>
        <ns0:v>3.0</ns0:v>
      </ns0:c>
    </ns0:row>
    <ns0:row r="1164" ht="21" customHeight="1">
      <ns0:c r="A1164" s="25" t="n"/>
      <ns0:c r="B1164" s="26" t="n"/>
      <ns0:c r="C1164" s="27" t="n"/>
      <ns0:c r="D1164" s="27" t="n"/>
      <ns0:c r="E1164" s="28" t="str">
        <ns0:f>IF(A1164="","",YEAR(A1164)&amp;"-"&amp;RIGHT("0"&amp;MONTH(A1164),2))</ns0:f>
        <ns0:v/>
      </ns0:c>
      <ns0:c r="F1164" s="28" t="str">
        <ns0:f>IF(OR(A1164="",B1164="",C1164&lt;=0),"",IF(SUMPRODUCT(('Müşteriler'!$B$2:$B$101&lt;&gt;"")*ISNUMBER(SEARCH('Müşteriler'!$B$2:$B$101,B1164)))=1,IFERROR(INDEX('Müşteriler'!$A$2:$A$101,SUMPRODUCT(('Müşteriler'!$B$2:$B$101&lt;&gt;"")*ISNUMBER(SEARCH('Müşteriler'!$B$2:$B$101,B1164)),ROW('Müşteriler'!$B$2:$B$101)-ROW('Müşteriler'!$B$2)+1)),""),""))</ns0:f>
        <ns0:v/>
      </ns0:c>
      <ns0:c r="G1164" s="28" t="str">
        <ns0:f>IF(F1164="","",IFERROR(INDEX('Müşteriler'!$C$2:$C$101,MATCH(F1164,'Müşteriler'!$A$2:$A$101,0)),""))</ns0:f>
        <ns0:v/>
      </ns0:c>
      <ns0:c r="H1164" s="28" t="str">
        <ns0:f>IF(A1164="","",IF(C1164&lt;=0,"Satış dışı",IF(OR(F1164="",G1164=""),"Eşleşmedi","Eşleşti")))</ns0:f>
        <ns0:v/>
      </ns0:c>
      <ns0:c r="I1164" s="28">
        <ns0:f>I1163+IF(AND(H1164="Eşleşmedi",E1164='Panel'!$B$4),1,0)</ns0:f>
        <ns0:v>3.0</ns0:v>
      </ns0:c>
    </ns0:row>
    <ns0:row r="1165" ht="21" customHeight="1">
      <ns0:c r="A1165" s="25" t="n"/>
      <ns0:c r="B1165" s="26" t="n"/>
      <ns0:c r="C1165" s="27" t="n"/>
      <ns0:c r="D1165" s="27" t="n"/>
      <ns0:c r="E1165" s="28" t="str">
        <ns0:f>IF(A1165="","",YEAR(A1165)&amp;"-"&amp;RIGHT("0"&amp;MONTH(A1165),2))</ns0:f>
        <ns0:v/>
      </ns0:c>
      <ns0:c r="F1165" s="28" t="str">
        <ns0:f>IF(OR(A1165="",B1165="",C1165&lt;=0),"",IF(SUMPRODUCT(('Müşteriler'!$B$2:$B$101&lt;&gt;"")*ISNUMBER(SEARCH('Müşteriler'!$B$2:$B$101,B1165)))=1,IFERROR(INDEX('Müşteriler'!$A$2:$A$101,SUMPRODUCT(('Müşteriler'!$B$2:$B$101&lt;&gt;"")*ISNUMBER(SEARCH('Müşteriler'!$B$2:$B$101,B1165)),ROW('Müşteriler'!$B$2:$B$101)-ROW('Müşteriler'!$B$2)+1)),""),""))</ns0:f>
        <ns0:v/>
      </ns0:c>
      <ns0:c r="G1165" s="28" t="str">
        <ns0:f>IF(F1165="","",IFERROR(INDEX('Müşteriler'!$C$2:$C$101,MATCH(F1165,'Müşteriler'!$A$2:$A$101,0)),""))</ns0:f>
        <ns0:v/>
      </ns0:c>
      <ns0:c r="H1165" s="28" t="str">
        <ns0:f>IF(A1165="","",IF(C1165&lt;=0,"Satış dışı",IF(OR(F1165="",G1165=""),"Eşleşmedi","Eşleşti")))</ns0:f>
        <ns0:v/>
      </ns0:c>
      <ns0:c r="I1165" s="28">
        <ns0:f>I1164+IF(AND(H1165="Eşleşmedi",E1165='Panel'!$B$4),1,0)</ns0:f>
        <ns0:v>3.0</ns0:v>
      </ns0:c>
    </ns0:row>
    <ns0:row r="1166" ht="21" customHeight="1">
      <ns0:c r="A1166" s="25" t="n"/>
      <ns0:c r="B1166" s="26" t="n"/>
      <ns0:c r="C1166" s="27" t="n"/>
      <ns0:c r="D1166" s="27" t="n"/>
      <ns0:c r="E1166" s="28" t="str">
        <ns0:f>IF(A1166="","",YEAR(A1166)&amp;"-"&amp;RIGHT("0"&amp;MONTH(A1166),2))</ns0:f>
        <ns0:v/>
      </ns0:c>
      <ns0:c r="F1166" s="28" t="str">
        <ns0:f>IF(OR(A1166="",B1166="",C1166&lt;=0),"",IF(SUMPRODUCT(('Müşteriler'!$B$2:$B$101&lt;&gt;"")*ISNUMBER(SEARCH('Müşteriler'!$B$2:$B$101,B1166)))=1,IFERROR(INDEX('Müşteriler'!$A$2:$A$101,SUMPRODUCT(('Müşteriler'!$B$2:$B$101&lt;&gt;"")*ISNUMBER(SEARCH('Müşteriler'!$B$2:$B$101,B1166)),ROW('Müşteriler'!$B$2:$B$101)-ROW('Müşteriler'!$B$2)+1)),""),""))</ns0:f>
        <ns0:v/>
      </ns0:c>
      <ns0:c r="G1166" s="28" t="str">
        <ns0:f>IF(F1166="","",IFERROR(INDEX('Müşteriler'!$C$2:$C$101,MATCH(F1166,'Müşteriler'!$A$2:$A$101,0)),""))</ns0:f>
        <ns0:v/>
      </ns0:c>
      <ns0:c r="H1166" s="28" t="str">
        <ns0:f>IF(A1166="","",IF(C1166&lt;=0,"Satış dışı",IF(OR(F1166="",G1166=""),"Eşleşmedi","Eşleşti")))</ns0:f>
        <ns0:v/>
      </ns0:c>
      <ns0:c r="I1166" s="28">
        <ns0:f>I1165+IF(AND(H1166="Eşleşmedi",E1166='Panel'!$B$4),1,0)</ns0:f>
        <ns0:v>3.0</ns0:v>
      </ns0:c>
    </ns0:row>
    <ns0:row r="1167" ht="21" customHeight="1">
      <ns0:c r="A1167" s="25" t="n"/>
      <ns0:c r="B1167" s="26" t="n"/>
      <ns0:c r="C1167" s="27" t="n"/>
      <ns0:c r="D1167" s="27" t="n"/>
      <ns0:c r="E1167" s="28" t="str">
        <ns0:f>IF(A1167="","",YEAR(A1167)&amp;"-"&amp;RIGHT("0"&amp;MONTH(A1167),2))</ns0:f>
        <ns0:v/>
      </ns0:c>
      <ns0:c r="F1167" s="28" t="str">
        <ns0:f>IF(OR(A1167="",B1167="",C1167&lt;=0),"",IF(SUMPRODUCT(('Müşteriler'!$B$2:$B$101&lt;&gt;"")*ISNUMBER(SEARCH('Müşteriler'!$B$2:$B$101,B1167)))=1,IFERROR(INDEX('Müşteriler'!$A$2:$A$101,SUMPRODUCT(('Müşteriler'!$B$2:$B$101&lt;&gt;"")*ISNUMBER(SEARCH('Müşteriler'!$B$2:$B$101,B1167)),ROW('Müşteriler'!$B$2:$B$101)-ROW('Müşteriler'!$B$2)+1)),""),""))</ns0:f>
        <ns0:v/>
      </ns0:c>
      <ns0:c r="G1167" s="28" t="str">
        <ns0:f>IF(F1167="","",IFERROR(INDEX('Müşteriler'!$C$2:$C$101,MATCH(F1167,'Müşteriler'!$A$2:$A$101,0)),""))</ns0:f>
        <ns0:v/>
      </ns0:c>
      <ns0:c r="H1167" s="28" t="str">
        <ns0:f>IF(A1167="","",IF(C1167&lt;=0,"Satış dışı",IF(OR(F1167="",G1167=""),"Eşleşmedi","Eşleşti")))</ns0:f>
        <ns0:v/>
      </ns0:c>
      <ns0:c r="I1167" s="28">
        <ns0:f>I1166+IF(AND(H1167="Eşleşmedi",E1167='Panel'!$B$4),1,0)</ns0:f>
        <ns0:v>3.0</ns0:v>
      </ns0:c>
    </ns0:row>
    <ns0:row r="1168" ht="21" customHeight="1">
      <ns0:c r="A1168" s="25" t="n"/>
      <ns0:c r="B1168" s="26" t="n"/>
      <ns0:c r="C1168" s="27" t="n"/>
      <ns0:c r="D1168" s="27" t="n"/>
      <ns0:c r="E1168" s="28" t="str">
        <ns0:f>IF(A1168="","",YEAR(A1168)&amp;"-"&amp;RIGHT("0"&amp;MONTH(A1168),2))</ns0:f>
        <ns0:v/>
      </ns0:c>
      <ns0:c r="F1168" s="28" t="str">
        <ns0:f>IF(OR(A1168="",B1168="",C1168&lt;=0),"",IF(SUMPRODUCT(('Müşteriler'!$B$2:$B$101&lt;&gt;"")*ISNUMBER(SEARCH('Müşteriler'!$B$2:$B$101,B1168)))=1,IFERROR(INDEX('Müşteriler'!$A$2:$A$101,SUMPRODUCT(('Müşteriler'!$B$2:$B$101&lt;&gt;"")*ISNUMBER(SEARCH('Müşteriler'!$B$2:$B$101,B1168)),ROW('Müşteriler'!$B$2:$B$101)-ROW('Müşteriler'!$B$2)+1)),""),""))</ns0:f>
        <ns0:v/>
      </ns0:c>
      <ns0:c r="G1168" s="28" t="str">
        <ns0:f>IF(F1168="","",IFERROR(INDEX('Müşteriler'!$C$2:$C$101,MATCH(F1168,'Müşteriler'!$A$2:$A$101,0)),""))</ns0:f>
        <ns0:v/>
      </ns0:c>
      <ns0:c r="H1168" s="28" t="str">
        <ns0:f>IF(A1168="","",IF(C1168&lt;=0,"Satış dışı",IF(OR(F1168="",G1168=""),"Eşleşmedi","Eşleşti")))</ns0:f>
        <ns0:v/>
      </ns0:c>
      <ns0:c r="I1168" s="28">
        <ns0:f>I1167+IF(AND(H1168="Eşleşmedi",E1168='Panel'!$B$4),1,0)</ns0:f>
        <ns0:v>3.0</ns0:v>
      </ns0:c>
    </ns0:row>
    <ns0:row r="1169" ht="21" customHeight="1">
      <ns0:c r="A1169" s="25" t="n"/>
      <ns0:c r="B1169" s="26" t="n"/>
      <ns0:c r="C1169" s="27" t="n"/>
      <ns0:c r="D1169" s="27" t="n"/>
      <ns0:c r="E1169" s="28" t="str">
        <ns0:f>IF(A1169="","",YEAR(A1169)&amp;"-"&amp;RIGHT("0"&amp;MONTH(A1169),2))</ns0:f>
        <ns0:v/>
      </ns0:c>
      <ns0:c r="F1169" s="28" t="str">
        <ns0:f>IF(OR(A1169="",B1169="",C1169&lt;=0),"",IF(SUMPRODUCT(('Müşteriler'!$B$2:$B$101&lt;&gt;"")*ISNUMBER(SEARCH('Müşteriler'!$B$2:$B$101,B1169)))=1,IFERROR(INDEX('Müşteriler'!$A$2:$A$101,SUMPRODUCT(('Müşteriler'!$B$2:$B$101&lt;&gt;"")*ISNUMBER(SEARCH('Müşteriler'!$B$2:$B$101,B1169)),ROW('Müşteriler'!$B$2:$B$101)-ROW('Müşteriler'!$B$2)+1)),""),""))</ns0:f>
        <ns0:v/>
      </ns0:c>
      <ns0:c r="G1169" s="28" t="str">
        <ns0:f>IF(F1169="","",IFERROR(INDEX('Müşteriler'!$C$2:$C$101,MATCH(F1169,'Müşteriler'!$A$2:$A$101,0)),""))</ns0:f>
        <ns0:v/>
      </ns0:c>
      <ns0:c r="H1169" s="28" t="str">
        <ns0:f>IF(A1169="","",IF(C1169&lt;=0,"Satış dışı",IF(OR(F1169="",G1169=""),"Eşleşmedi","Eşleşti")))</ns0:f>
        <ns0:v/>
      </ns0:c>
      <ns0:c r="I1169" s="28">
        <ns0:f>I1168+IF(AND(H1169="Eşleşmedi",E1169='Panel'!$B$4),1,0)</ns0:f>
        <ns0:v>3.0</ns0:v>
      </ns0:c>
    </ns0:row>
    <ns0:row r="1170" ht="21" customHeight="1">
      <ns0:c r="A1170" s="25" t="n"/>
      <ns0:c r="B1170" s="26" t="n"/>
      <ns0:c r="C1170" s="27" t="n"/>
      <ns0:c r="D1170" s="27" t="n"/>
      <ns0:c r="E1170" s="28" t="str">
        <ns0:f>IF(A1170="","",YEAR(A1170)&amp;"-"&amp;RIGHT("0"&amp;MONTH(A1170),2))</ns0:f>
        <ns0:v/>
      </ns0:c>
      <ns0:c r="F1170" s="28" t="str">
        <ns0:f>IF(OR(A1170="",B1170="",C1170&lt;=0),"",IF(SUMPRODUCT(('Müşteriler'!$B$2:$B$101&lt;&gt;"")*ISNUMBER(SEARCH('Müşteriler'!$B$2:$B$101,B1170)))=1,IFERROR(INDEX('Müşteriler'!$A$2:$A$101,SUMPRODUCT(('Müşteriler'!$B$2:$B$101&lt;&gt;"")*ISNUMBER(SEARCH('Müşteriler'!$B$2:$B$101,B1170)),ROW('Müşteriler'!$B$2:$B$101)-ROW('Müşteriler'!$B$2)+1)),""),""))</ns0:f>
        <ns0:v/>
      </ns0:c>
      <ns0:c r="G1170" s="28" t="str">
        <ns0:f>IF(F1170="","",IFERROR(INDEX('Müşteriler'!$C$2:$C$101,MATCH(F1170,'Müşteriler'!$A$2:$A$101,0)),""))</ns0:f>
        <ns0:v/>
      </ns0:c>
      <ns0:c r="H1170" s="28" t="str">
        <ns0:f>IF(A1170="","",IF(C1170&lt;=0,"Satış dışı",IF(OR(F1170="",G1170=""),"Eşleşmedi","Eşleşti")))</ns0:f>
        <ns0:v/>
      </ns0:c>
      <ns0:c r="I1170" s="28">
        <ns0:f>I1169+IF(AND(H1170="Eşleşmedi",E1170='Panel'!$B$4),1,0)</ns0:f>
        <ns0:v>3.0</ns0:v>
      </ns0:c>
    </ns0:row>
    <ns0:row r="1171" ht="21" customHeight="1">
      <ns0:c r="A1171" s="25" t="n"/>
      <ns0:c r="B1171" s="26" t="n"/>
      <ns0:c r="C1171" s="27" t="n"/>
      <ns0:c r="D1171" s="27" t="n"/>
      <ns0:c r="E1171" s="28" t="str">
        <ns0:f>IF(A1171="","",YEAR(A1171)&amp;"-"&amp;RIGHT("0"&amp;MONTH(A1171),2))</ns0:f>
        <ns0:v/>
      </ns0:c>
      <ns0:c r="F1171" s="28" t="str">
        <ns0:f>IF(OR(A1171="",B1171="",C1171&lt;=0),"",IF(SUMPRODUCT(('Müşteriler'!$B$2:$B$101&lt;&gt;"")*ISNUMBER(SEARCH('Müşteriler'!$B$2:$B$101,B1171)))=1,IFERROR(INDEX('Müşteriler'!$A$2:$A$101,SUMPRODUCT(('Müşteriler'!$B$2:$B$101&lt;&gt;"")*ISNUMBER(SEARCH('Müşteriler'!$B$2:$B$101,B1171)),ROW('Müşteriler'!$B$2:$B$101)-ROW('Müşteriler'!$B$2)+1)),""),""))</ns0:f>
        <ns0:v/>
      </ns0:c>
      <ns0:c r="G1171" s="28" t="str">
        <ns0:f>IF(F1171="","",IFERROR(INDEX('Müşteriler'!$C$2:$C$101,MATCH(F1171,'Müşteriler'!$A$2:$A$101,0)),""))</ns0:f>
        <ns0:v/>
      </ns0:c>
      <ns0:c r="H1171" s="28" t="str">
        <ns0:f>IF(A1171="","",IF(C1171&lt;=0,"Satış dışı",IF(OR(F1171="",G1171=""),"Eşleşmedi","Eşleşti")))</ns0:f>
        <ns0:v/>
      </ns0:c>
      <ns0:c r="I1171" s="28">
        <ns0:f>I1170+IF(AND(H1171="Eşleşmedi",E1171='Panel'!$B$4),1,0)</ns0:f>
        <ns0:v>3.0</ns0:v>
      </ns0:c>
    </ns0:row>
    <ns0:row r="1172" ht="21" customHeight="1">
      <ns0:c r="A1172" s="25" t="n"/>
      <ns0:c r="B1172" s="26" t="n"/>
      <ns0:c r="C1172" s="27" t="n"/>
      <ns0:c r="D1172" s="27" t="n"/>
      <ns0:c r="E1172" s="28" t="str">
        <ns0:f>IF(A1172="","",YEAR(A1172)&amp;"-"&amp;RIGHT("0"&amp;MONTH(A1172),2))</ns0:f>
        <ns0:v/>
      </ns0:c>
      <ns0:c r="F1172" s="28" t="str">
        <ns0:f>IF(OR(A1172="",B1172="",C1172&lt;=0),"",IF(SUMPRODUCT(('Müşteriler'!$B$2:$B$101&lt;&gt;"")*ISNUMBER(SEARCH('Müşteriler'!$B$2:$B$101,B1172)))=1,IFERROR(INDEX('Müşteriler'!$A$2:$A$101,SUMPRODUCT(('Müşteriler'!$B$2:$B$101&lt;&gt;"")*ISNUMBER(SEARCH('Müşteriler'!$B$2:$B$101,B1172)),ROW('Müşteriler'!$B$2:$B$101)-ROW('Müşteriler'!$B$2)+1)),""),""))</ns0:f>
        <ns0:v/>
      </ns0:c>
      <ns0:c r="G1172" s="28" t="str">
        <ns0:f>IF(F1172="","",IFERROR(INDEX('Müşteriler'!$C$2:$C$101,MATCH(F1172,'Müşteriler'!$A$2:$A$101,0)),""))</ns0:f>
        <ns0:v/>
      </ns0:c>
      <ns0:c r="H1172" s="28" t="str">
        <ns0:f>IF(A1172="","",IF(C1172&lt;=0,"Satış dışı",IF(OR(F1172="",G1172=""),"Eşleşmedi","Eşleşti")))</ns0:f>
        <ns0:v/>
      </ns0:c>
      <ns0:c r="I1172" s="28">
        <ns0:f>I1171+IF(AND(H1172="Eşleşmedi",E1172='Panel'!$B$4),1,0)</ns0:f>
        <ns0:v>3.0</ns0:v>
      </ns0:c>
    </ns0:row>
    <ns0:row r="1173" ht="21" customHeight="1">
      <ns0:c r="A1173" s="25" t="n"/>
      <ns0:c r="B1173" s="26" t="n"/>
      <ns0:c r="C1173" s="27" t="n"/>
      <ns0:c r="D1173" s="27" t="n"/>
      <ns0:c r="E1173" s="28" t="str">
        <ns0:f>IF(A1173="","",YEAR(A1173)&amp;"-"&amp;RIGHT("0"&amp;MONTH(A1173),2))</ns0:f>
        <ns0:v/>
      </ns0:c>
      <ns0:c r="F1173" s="28" t="str">
        <ns0:f>IF(OR(A1173="",B1173="",C1173&lt;=0),"",IF(SUMPRODUCT(('Müşteriler'!$B$2:$B$101&lt;&gt;"")*ISNUMBER(SEARCH('Müşteriler'!$B$2:$B$101,B1173)))=1,IFERROR(INDEX('Müşteriler'!$A$2:$A$101,SUMPRODUCT(('Müşteriler'!$B$2:$B$101&lt;&gt;"")*ISNUMBER(SEARCH('Müşteriler'!$B$2:$B$101,B1173)),ROW('Müşteriler'!$B$2:$B$101)-ROW('Müşteriler'!$B$2)+1)),""),""))</ns0:f>
        <ns0:v/>
      </ns0:c>
      <ns0:c r="G1173" s="28" t="str">
        <ns0:f>IF(F1173="","",IFERROR(INDEX('Müşteriler'!$C$2:$C$101,MATCH(F1173,'Müşteriler'!$A$2:$A$101,0)),""))</ns0:f>
        <ns0:v/>
      </ns0:c>
      <ns0:c r="H1173" s="28" t="str">
        <ns0:f>IF(A1173="","",IF(C1173&lt;=0,"Satış dışı",IF(OR(F1173="",G1173=""),"Eşleşmedi","Eşleşti")))</ns0:f>
        <ns0:v/>
      </ns0:c>
      <ns0:c r="I1173" s="28">
        <ns0:f>I1172+IF(AND(H1173="Eşleşmedi",E1173='Panel'!$B$4),1,0)</ns0:f>
        <ns0:v>3.0</ns0:v>
      </ns0:c>
    </ns0:row>
    <ns0:row r="1174" ht="21" customHeight="1">
      <ns0:c r="A1174" s="25" t="n"/>
      <ns0:c r="B1174" s="26" t="n"/>
      <ns0:c r="C1174" s="27" t="n"/>
      <ns0:c r="D1174" s="27" t="n"/>
      <ns0:c r="E1174" s="28" t="str">
        <ns0:f>IF(A1174="","",YEAR(A1174)&amp;"-"&amp;RIGHT("0"&amp;MONTH(A1174),2))</ns0:f>
        <ns0:v/>
      </ns0:c>
      <ns0:c r="F1174" s="28" t="str">
        <ns0:f>IF(OR(A1174="",B1174="",C1174&lt;=0),"",IF(SUMPRODUCT(('Müşteriler'!$B$2:$B$101&lt;&gt;"")*ISNUMBER(SEARCH('Müşteriler'!$B$2:$B$101,B1174)))=1,IFERROR(INDEX('Müşteriler'!$A$2:$A$101,SUMPRODUCT(('Müşteriler'!$B$2:$B$101&lt;&gt;"")*ISNUMBER(SEARCH('Müşteriler'!$B$2:$B$101,B1174)),ROW('Müşteriler'!$B$2:$B$101)-ROW('Müşteriler'!$B$2)+1)),""),""))</ns0:f>
        <ns0:v/>
      </ns0:c>
      <ns0:c r="G1174" s="28" t="str">
        <ns0:f>IF(F1174="","",IFERROR(INDEX('Müşteriler'!$C$2:$C$101,MATCH(F1174,'Müşteriler'!$A$2:$A$101,0)),""))</ns0:f>
        <ns0:v/>
      </ns0:c>
      <ns0:c r="H1174" s="28" t="str">
        <ns0:f>IF(A1174="","",IF(C1174&lt;=0,"Satış dışı",IF(OR(F1174="",G1174=""),"Eşleşmedi","Eşleşti")))</ns0:f>
        <ns0:v/>
      </ns0:c>
      <ns0:c r="I1174" s="28">
        <ns0:f>I1173+IF(AND(H1174="Eşleşmedi",E1174='Panel'!$B$4),1,0)</ns0:f>
        <ns0:v>3.0</ns0:v>
      </ns0:c>
    </ns0:row>
    <ns0:row r="1175" ht="21" customHeight="1">
      <ns0:c r="A1175" s="25" t="n"/>
      <ns0:c r="B1175" s="26" t="n"/>
      <ns0:c r="C1175" s="27" t="n"/>
      <ns0:c r="D1175" s="27" t="n"/>
      <ns0:c r="E1175" s="28" t="str">
        <ns0:f>IF(A1175="","",YEAR(A1175)&amp;"-"&amp;RIGHT("0"&amp;MONTH(A1175),2))</ns0:f>
        <ns0:v/>
      </ns0:c>
      <ns0:c r="F1175" s="28" t="str">
        <ns0:f>IF(OR(A1175="",B1175="",C1175&lt;=0),"",IF(SUMPRODUCT(('Müşteriler'!$B$2:$B$101&lt;&gt;"")*ISNUMBER(SEARCH('Müşteriler'!$B$2:$B$101,B1175)))=1,IFERROR(INDEX('Müşteriler'!$A$2:$A$101,SUMPRODUCT(('Müşteriler'!$B$2:$B$101&lt;&gt;"")*ISNUMBER(SEARCH('Müşteriler'!$B$2:$B$101,B1175)),ROW('Müşteriler'!$B$2:$B$101)-ROW('Müşteriler'!$B$2)+1)),""),""))</ns0:f>
        <ns0:v/>
      </ns0:c>
      <ns0:c r="G1175" s="28" t="str">
        <ns0:f>IF(F1175="","",IFERROR(INDEX('Müşteriler'!$C$2:$C$101,MATCH(F1175,'Müşteriler'!$A$2:$A$101,0)),""))</ns0:f>
        <ns0:v/>
      </ns0:c>
      <ns0:c r="H1175" s="28" t="str">
        <ns0:f>IF(A1175="","",IF(C1175&lt;=0,"Satış dışı",IF(OR(F1175="",G1175=""),"Eşleşmedi","Eşleşti")))</ns0:f>
        <ns0:v/>
      </ns0:c>
      <ns0:c r="I1175" s="28">
        <ns0:f>I1174+IF(AND(H1175="Eşleşmedi",E1175='Panel'!$B$4),1,0)</ns0:f>
        <ns0:v>3.0</ns0:v>
      </ns0:c>
    </ns0:row>
    <ns0:row r="1176" ht="21" customHeight="1">
      <ns0:c r="A1176" s="25" t="n"/>
      <ns0:c r="B1176" s="26" t="n"/>
      <ns0:c r="C1176" s="27" t="n"/>
      <ns0:c r="D1176" s="27" t="n"/>
      <ns0:c r="E1176" s="28" t="str">
        <ns0:f>IF(A1176="","",YEAR(A1176)&amp;"-"&amp;RIGHT("0"&amp;MONTH(A1176),2))</ns0:f>
        <ns0:v/>
      </ns0:c>
      <ns0:c r="F1176" s="28" t="str">
        <ns0:f>IF(OR(A1176="",B1176="",C1176&lt;=0),"",IF(SUMPRODUCT(('Müşteriler'!$B$2:$B$101&lt;&gt;"")*ISNUMBER(SEARCH('Müşteriler'!$B$2:$B$101,B1176)))=1,IFERROR(INDEX('Müşteriler'!$A$2:$A$101,SUMPRODUCT(('Müşteriler'!$B$2:$B$101&lt;&gt;"")*ISNUMBER(SEARCH('Müşteriler'!$B$2:$B$101,B1176)),ROW('Müşteriler'!$B$2:$B$101)-ROW('Müşteriler'!$B$2)+1)),""),""))</ns0:f>
        <ns0:v/>
      </ns0:c>
      <ns0:c r="G1176" s="28" t="str">
        <ns0:f>IF(F1176="","",IFERROR(INDEX('Müşteriler'!$C$2:$C$101,MATCH(F1176,'Müşteriler'!$A$2:$A$101,0)),""))</ns0:f>
        <ns0:v/>
      </ns0:c>
      <ns0:c r="H1176" s="28" t="str">
        <ns0:f>IF(A1176="","",IF(C1176&lt;=0,"Satış dışı",IF(OR(F1176="",G1176=""),"Eşleşmedi","Eşleşti")))</ns0:f>
        <ns0:v/>
      </ns0:c>
      <ns0:c r="I1176" s="28">
        <ns0:f>I1175+IF(AND(H1176="Eşleşmedi",E1176='Panel'!$B$4),1,0)</ns0:f>
        <ns0:v>3.0</ns0:v>
      </ns0:c>
    </ns0:row>
    <ns0:row r="1177" ht="21" customHeight="1">
      <ns0:c r="A1177" s="25" t="n"/>
      <ns0:c r="B1177" s="26" t="n"/>
      <ns0:c r="C1177" s="27" t="n"/>
      <ns0:c r="D1177" s="27" t="n"/>
      <ns0:c r="E1177" s="28" t="str">
        <ns0:f>IF(A1177="","",YEAR(A1177)&amp;"-"&amp;RIGHT("0"&amp;MONTH(A1177),2))</ns0:f>
        <ns0:v/>
      </ns0:c>
      <ns0:c r="F1177" s="28" t="str">
        <ns0:f>IF(OR(A1177="",B1177="",C1177&lt;=0),"",IF(SUMPRODUCT(('Müşteriler'!$B$2:$B$101&lt;&gt;"")*ISNUMBER(SEARCH('Müşteriler'!$B$2:$B$101,B1177)))=1,IFERROR(INDEX('Müşteriler'!$A$2:$A$101,SUMPRODUCT(('Müşteriler'!$B$2:$B$101&lt;&gt;"")*ISNUMBER(SEARCH('Müşteriler'!$B$2:$B$101,B1177)),ROW('Müşteriler'!$B$2:$B$101)-ROW('Müşteriler'!$B$2)+1)),""),""))</ns0:f>
        <ns0:v/>
      </ns0:c>
      <ns0:c r="G1177" s="28" t="str">
        <ns0:f>IF(F1177="","",IFERROR(INDEX('Müşteriler'!$C$2:$C$101,MATCH(F1177,'Müşteriler'!$A$2:$A$101,0)),""))</ns0:f>
        <ns0:v/>
      </ns0:c>
      <ns0:c r="H1177" s="28" t="str">
        <ns0:f>IF(A1177="","",IF(C1177&lt;=0,"Satış dışı",IF(OR(F1177="",G1177=""),"Eşleşmedi","Eşleşti")))</ns0:f>
        <ns0:v/>
      </ns0:c>
      <ns0:c r="I1177" s="28">
        <ns0:f>I1176+IF(AND(H1177="Eşleşmedi",E1177='Panel'!$B$4),1,0)</ns0:f>
        <ns0:v>3.0</ns0:v>
      </ns0:c>
    </ns0:row>
    <ns0:row r="1178" ht="21" customHeight="1">
      <ns0:c r="A1178" s="25" t="n"/>
      <ns0:c r="B1178" s="26" t="n"/>
      <ns0:c r="C1178" s="27" t="n"/>
      <ns0:c r="D1178" s="27" t="n"/>
      <ns0:c r="E1178" s="28" t="str">
        <ns0:f>IF(A1178="","",YEAR(A1178)&amp;"-"&amp;RIGHT("0"&amp;MONTH(A1178),2))</ns0:f>
        <ns0:v/>
      </ns0:c>
      <ns0:c r="F1178" s="28" t="str">
        <ns0:f>IF(OR(A1178="",B1178="",C1178&lt;=0),"",IF(SUMPRODUCT(('Müşteriler'!$B$2:$B$101&lt;&gt;"")*ISNUMBER(SEARCH('Müşteriler'!$B$2:$B$101,B1178)))=1,IFERROR(INDEX('Müşteriler'!$A$2:$A$101,SUMPRODUCT(('Müşteriler'!$B$2:$B$101&lt;&gt;"")*ISNUMBER(SEARCH('Müşteriler'!$B$2:$B$101,B1178)),ROW('Müşteriler'!$B$2:$B$101)-ROW('Müşteriler'!$B$2)+1)),""),""))</ns0:f>
        <ns0:v/>
      </ns0:c>
      <ns0:c r="G1178" s="28" t="str">
        <ns0:f>IF(F1178="","",IFERROR(INDEX('Müşteriler'!$C$2:$C$101,MATCH(F1178,'Müşteriler'!$A$2:$A$101,0)),""))</ns0:f>
        <ns0:v/>
      </ns0:c>
      <ns0:c r="H1178" s="28" t="str">
        <ns0:f>IF(A1178="","",IF(C1178&lt;=0,"Satış dışı",IF(OR(F1178="",G1178=""),"Eşleşmedi","Eşleşti")))</ns0:f>
        <ns0:v/>
      </ns0:c>
      <ns0:c r="I1178" s="28">
        <ns0:f>I1177+IF(AND(H1178="Eşleşmedi",E1178='Panel'!$B$4),1,0)</ns0:f>
        <ns0:v>3.0</ns0:v>
      </ns0:c>
    </ns0:row>
    <ns0:row r="1179" ht="21" customHeight="1">
      <ns0:c r="A1179" s="25" t="n"/>
      <ns0:c r="B1179" s="26" t="n"/>
      <ns0:c r="C1179" s="27" t="n"/>
      <ns0:c r="D1179" s="27" t="n"/>
      <ns0:c r="E1179" s="28" t="str">
        <ns0:f>IF(A1179="","",YEAR(A1179)&amp;"-"&amp;RIGHT("0"&amp;MONTH(A1179),2))</ns0:f>
        <ns0:v/>
      </ns0:c>
      <ns0:c r="F1179" s="28" t="str">
        <ns0:f>IF(OR(A1179="",B1179="",C1179&lt;=0),"",IF(SUMPRODUCT(('Müşteriler'!$B$2:$B$101&lt;&gt;"")*ISNUMBER(SEARCH('Müşteriler'!$B$2:$B$101,B1179)))=1,IFERROR(INDEX('Müşteriler'!$A$2:$A$101,SUMPRODUCT(('Müşteriler'!$B$2:$B$101&lt;&gt;"")*ISNUMBER(SEARCH('Müşteriler'!$B$2:$B$101,B1179)),ROW('Müşteriler'!$B$2:$B$101)-ROW('Müşteriler'!$B$2)+1)),""),""))</ns0:f>
        <ns0:v/>
      </ns0:c>
      <ns0:c r="G1179" s="28" t="str">
        <ns0:f>IF(F1179="","",IFERROR(INDEX('Müşteriler'!$C$2:$C$101,MATCH(F1179,'Müşteriler'!$A$2:$A$101,0)),""))</ns0:f>
        <ns0:v/>
      </ns0:c>
      <ns0:c r="H1179" s="28" t="str">
        <ns0:f>IF(A1179="","",IF(C1179&lt;=0,"Satış dışı",IF(OR(F1179="",G1179=""),"Eşleşmedi","Eşleşti")))</ns0:f>
        <ns0:v/>
      </ns0:c>
      <ns0:c r="I1179" s="28">
        <ns0:f>I1178+IF(AND(H1179="Eşleşmedi",E1179='Panel'!$B$4),1,0)</ns0:f>
        <ns0:v>3.0</ns0:v>
      </ns0:c>
    </ns0:row>
    <ns0:row r="1180" ht="21" customHeight="1">
      <ns0:c r="A1180" s="25" t="n"/>
      <ns0:c r="B1180" s="26" t="n"/>
      <ns0:c r="C1180" s="27" t="n"/>
      <ns0:c r="D1180" s="27" t="n"/>
      <ns0:c r="E1180" s="28" t="str">
        <ns0:f>IF(A1180="","",YEAR(A1180)&amp;"-"&amp;RIGHT("0"&amp;MONTH(A1180),2))</ns0:f>
        <ns0:v/>
      </ns0:c>
      <ns0:c r="F1180" s="28" t="str">
        <ns0:f>IF(OR(A1180="",B1180="",C1180&lt;=0),"",IF(SUMPRODUCT(('Müşteriler'!$B$2:$B$101&lt;&gt;"")*ISNUMBER(SEARCH('Müşteriler'!$B$2:$B$101,B1180)))=1,IFERROR(INDEX('Müşteriler'!$A$2:$A$101,SUMPRODUCT(('Müşteriler'!$B$2:$B$101&lt;&gt;"")*ISNUMBER(SEARCH('Müşteriler'!$B$2:$B$101,B1180)),ROW('Müşteriler'!$B$2:$B$101)-ROW('Müşteriler'!$B$2)+1)),""),""))</ns0:f>
        <ns0:v/>
      </ns0:c>
      <ns0:c r="G1180" s="28" t="str">
        <ns0:f>IF(F1180="","",IFERROR(INDEX('Müşteriler'!$C$2:$C$101,MATCH(F1180,'Müşteriler'!$A$2:$A$101,0)),""))</ns0:f>
        <ns0:v/>
      </ns0:c>
      <ns0:c r="H1180" s="28" t="str">
        <ns0:f>IF(A1180="","",IF(C1180&lt;=0,"Satış dışı",IF(OR(F1180="",G1180=""),"Eşleşmedi","Eşleşti")))</ns0:f>
        <ns0:v/>
      </ns0:c>
      <ns0:c r="I1180" s="28">
        <ns0:f>I1179+IF(AND(H1180="Eşleşmedi",E1180='Panel'!$B$4),1,0)</ns0:f>
        <ns0:v>3.0</ns0:v>
      </ns0:c>
    </ns0:row>
    <ns0:row r="1181" ht="21" customHeight="1">
      <ns0:c r="A1181" s="25" t="n"/>
      <ns0:c r="B1181" s="26" t="n"/>
      <ns0:c r="C1181" s="27" t="n"/>
      <ns0:c r="D1181" s="27" t="n"/>
      <ns0:c r="E1181" s="28" t="str">
        <ns0:f>IF(A1181="","",YEAR(A1181)&amp;"-"&amp;RIGHT("0"&amp;MONTH(A1181),2))</ns0:f>
        <ns0:v/>
      </ns0:c>
      <ns0:c r="F1181" s="28" t="str">
        <ns0:f>IF(OR(A1181="",B1181="",C1181&lt;=0),"",IF(SUMPRODUCT(('Müşteriler'!$B$2:$B$101&lt;&gt;"")*ISNUMBER(SEARCH('Müşteriler'!$B$2:$B$101,B1181)))=1,IFERROR(INDEX('Müşteriler'!$A$2:$A$101,SUMPRODUCT(('Müşteriler'!$B$2:$B$101&lt;&gt;"")*ISNUMBER(SEARCH('Müşteriler'!$B$2:$B$101,B1181)),ROW('Müşteriler'!$B$2:$B$101)-ROW('Müşteriler'!$B$2)+1)),""),""))</ns0:f>
        <ns0:v/>
      </ns0:c>
      <ns0:c r="G1181" s="28" t="str">
        <ns0:f>IF(F1181="","",IFERROR(INDEX('Müşteriler'!$C$2:$C$101,MATCH(F1181,'Müşteriler'!$A$2:$A$101,0)),""))</ns0:f>
        <ns0:v/>
      </ns0:c>
      <ns0:c r="H1181" s="28" t="str">
        <ns0:f>IF(A1181="","",IF(C1181&lt;=0,"Satış dışı",IF(OR(F1181="",G1181=""),"Eşleşmedi","Eşleşti")))</ns0:f>
        <ns0:v/>
      </ns0:c>
      <ns0:c r="I1181" s="28">
        <ns0:f>I1180+IF(AND(H1181="Eşleşmedi",E1181='Panel'!$B$4),1,0)</ns0:f>
        <ns0:v>3.0</ns0:v>
      </ns0:c>
    </ns0:row>
    <ns0:row r="1182" ht="21" customHeight="1">
      <ns0:c r="A1182" s="25" t="n"/>
      <ns0:c r="B1182" s="26" t="n"/>
      <ns0:c r="C1182" s="27" t="n"/>
      <ns0:c r="D1182" s="27" t="n"/>
      <ns0:c r="E1182" s="28" t="str">
        <ns0:f>IF(A1182="","",YEAR(A1182)&amp;"-"&amp;RIGHT("0"&amp;MONTH(A1182),2))</ns0:f>
        <ns0:v/>
      </ns0:c>
      <ns0:c r="F1182" s="28" t="str">
        <ns0:f>IF(OR(A1182="",B1182="",C1182&lt;=0),"",IF(SUMPRODUCT(('Müşteriler'!$B$2:$B$101&lt;&gt;"")*ISNUMBER(SEARCH('Müşteriler'!$B$2:$B$101,B1182)))=1,IFERROR(INDEX('Müşteriler'!$A$2:$A$101,SUMPRODUCT(('Müşteriler'!$B$2:$B$101&lt;&gt;"")*ISNUMBER(SEARCH('Müşteriler'!$B$2:$B$101,B1182)),ROW('Müşteriler'!$B$2:$B$101)-ROW('Müşteriler'!$B$2)+1)),""),""))</ns0:f>
        <ns0:v/>
      </ns0:c>
      <ns0:c r="G1182" s="28" t="str">
        <ns0:f>IF(F1182="","",IFERROR(INDEX('Müşteriler'!$C$2:$C$101,MATCH(F1182,'Müşteriler'!$A$2:$A$101,0)),""))</ns0:f>
        <ns0:v/>
      </ns0:c>
      <ns0:c r="H1182" s="28" t="str">
        <ns0:f>IF(A1182="","",IF(C1182&lt;=0,"Satış dışı",IF(OR(F1182="",G1182=""),"Eşleşmedi","Eşleşti")))</ns0:f>
        <ns0:v/>
      </ns0:c>
      <ns0:c r="I1182" s="28">
        <ns0:f>I1181+IF(AND(H1182="Eşleşmedi",E1182='Panel'!$B$4),1,0)</ns0:f>
        <ns0:v>3.0</ns0:v>
      </ns0:c>
    </ns0:row>
    <ns0:row r="1183" ht="21" customHeight="1">
      <ns0:c r="A1183" s="25" t="n"/>
      <ns0:c r="B1183" s="26" t="n"/>
      <ns0:c r="C1183" s="27" t="n"/>
      <ns0:c r="D1183" s="27" t="n"/>
      <ns0:c r="E1183" s="28" t="str">
        <ns0:f>IF(A1183="","",YEAR(A1183)&amp;"-"&amp;RIGHT("0"&amp;MONTH(A1183),2))</ns0:f>
        <ns0:v/>
      </ns0:c>
      <ns0:c r="F1183" s="28" t="str">
        <ns0:f>IF(OR(A1183="",B1183="",C1183&lt;=0),"",IF(SUMPRODUCT(('Müşteriler'!$B$2:$B$101&lt;&gt;"")*ISNUMBER(SEARCH('Müşteriler'!$B$2:$B$101,B1183)))=1,IFERROR(INDEX('Müşteriler'!$A$2:$A$101,SUMPRODUCT(('Müşteriler'!$B$2:$B$101&lt;&gt;"")*ISNUMBER(SEARCH('Müşteriler'!$B$2:$B$101,B1183)),ROW('Müşteriler'!$B$2:$B$101)-ROW('Müşteriler'!$B$2)+1)),""),""))</ns0:f>
        <ns0:v/>
      </ns0:c>
      <ns0:c r="G1183" s="28" t="str">
        <ns0:f>IF(F1183="","",IFERROR(INDEX('Müşteriler'!$C$2:$C$101,MATCH(F1183,'Müşteriler'!$A$2:$A$101,0)),""))</ns0:f>
        <ns0:v/>
      </ns0:c>
      <ns0:c r="H1183" s="28" t="str">
        <ns0:f>IF(A1183="","",IF(C1183&lt;=0,"Satış dışı",IF(OR(F1183="",G1183=""),"Eşleşmedi","Eşleşti")))</ns0:f>
        <ns0:v/>
      </ns0:c>
      <ns0:c r="I1183" s="28">
        <ns0:f>I1182+IF(AND(H1183="Eşleşmedi",E1183='Panel'!$B$4),1,0)</ns0:f>
        <ns0:v>3.0</ns0:v>
      </ns0:c>
    </ns0:row>
    <ns0:row r="1184" ht="21" customHeight="1">
      <ns0:c r="A1184" s="25" t="n"/>
      <ns0:c r="B1184" s="26" t="n"/>
      <ns0:c r="C1184" s="27" t="n"/>
      <ns0:c r="D1184" s="27" t="n"/>
      <ns0:c r="E1184" s="28" t="str">
        <ns0:f>IF(A1184="","",YEAR(A1184)&amp;"-"&amp;RIGHT("0"&amp;MONTH(A1184),2))</ns0:f>
        <ns0:v/>
      </ns0:c>
      <ns0:c r="F1184" s="28" t="str">
        <ns0:f>IF(OR(A1184="",B1184="",C1184&lt;=0),"",IF(SUMPRODUCT(('Müşteriler'!$B$2:$B$101&lt;&gt;"")*ISNUMBER(SEARCH('Müşteriler'!$B$2:$B$101,B1184)))=1,IFERROR(INDEX('Müşteriler'!$A$2:$A$101,SUMPRODUCT(('Müşteriler'!$B$2:$B$101&lt;&gt;"")*ISNUMBER(SEARCH('Müşteriler'!$B$2:$B$101,B1184)),ROW('Müşteriler'!$B$2:$B$101)-ROW('Müşteriler'!$B$2)+1)),""),""))</ns0:f>
        <ns0:v/>
      </ns0:c>
      <ns0:c r="G1184" s="28" t="str">
        <ns0:f>IF(F1184="","",IFERROR(INDEX('Müşteriler'!$C$2:$C$101,MATCH(F1184,'Müşteriler'!$A$2:$A$101,0)),""))</ns0:f>
        <ns0:v/>
      </ns0:c>
      <ns0:c r="H1184" s="28" t="str">
        <ns0:f>IF(A1184="","",IF(C1184&lt;=0,"Satış dışı",IF(OR(F1184="",G1184=""),"Eşleşmedi","Eşleşti")))</ns0:f>
        <ns0:v/>
      </ns0:c>
      <ns0:c r="I1184" s="28">
        <ns0:f>I1183+IF(AND(H1184="Eşleşmedi",E1184='Panel'!$B$4),1,0)</ns0:f>
        <ns0:v>3.0</ns0:v>
      </ns0:c>
    </ns0:row>
    <ns0:row r="1185" ht="21" customHeight="1">
      <ns0:c r="A1185" s="25" t="n"/>
      <ns0:c r="B1185" s="26" t="n"/>
      <ns0:c r="C1185" s="27" t="n"/>
      <ns0:c r="D1185" s="27" t="n"/>
      <ns0:c r="E1185" s="28" t="str">
        <ns0:f>IF(A1185="","",YEAR(A1185)&amp;"-"&amp;RIGHT("0"&amp;MONTH(A1185),2))</ns0:f>
        <ns0:v/>
      </ns0:c>
      <ns0:c r="F1185" s="28" t="str">
        <ns0:f>IF(OR(A1185="",B1185="",C1185&lt;=0),"",IF(SUMPRODUCT(('Müşteriler'!$B$2:$B$101&lt;&gt;"")*ISNUMBER(SEARCH('Müşteriler'!$B$2:$B$101,B1185)))=1,IFERROR(INDEX('Müşteriler'!$A$2:$A$101,SUMPRODUCT(('Müşteriler'!$B$2:$B$101&lt;&gt;"")*ISNUMBER(SEARCH('Müşteriler'!$B$2:$B$101,B1185)),ROW('Müşteriler'!$B$2:$B$101)-ROW('Müşteriler'!$B$2)+1)),""),""))</ns0:f>
        <ns0:v/>
      </ns0:c>
      <ns0:c r="G1185" s="28" t="str">
        <ns0:f>IF(F1185="","",IFERROR(INDEX('Müşteriler'!$C$2:$C$101,MATCH(F1185,'Müşteriler'!$A$2:$A$101,0)),""))</ns0:f>
        <ns0:v/>
      </ns0:c>
      <ns0:c r="H1185" s="28" t="str">
        <ns0:f>IF(A1185="","",IF(C1185&lt;=0,"Satış dışı",IF(OR(F1185="",G1185=""),"Eşleşmedi","Eşleşti")))</ns0:f>
        <ns0:v/>
      </ns0:c>
      <ns0:c r="I1185" s="28">
        <ns0:f>I1184+IF(AND(H1185="Eşleşmedi",E1185='Panel'!$B$4),1,0)</ns0:f>
        <ns0:v>3.0</ns0:v>
      </ns0:c>
    </ns0:row>
    <ns0:row r="1186" ht="21" customHeight="1">
      <ns0:c r="A1186" s="25" t="n"/>
      <ns0:c r="B1186" s="26" t="n"/>
      <ns0:c r="C1186" s="27" t="n"/>
      <ns0:c r="D1186" s="27" t="n"/>
      <ns0:c r="E1186" s="28" t="str">
        <ns0:f>IF(A1186="","",YEAR(A1186)&amp;"-"&amp;RIGHT("0"&amp;MONTH(A1186),2))</ns0:f>
        <ns0:v/>
      </ns0:c>
      <ns0:c r="F1186" s="28" t="str">
        <ns0:f>IF(OR(A1186="",B1186="",C1186&lt;=0),"",IF(SUMPRODUCT(('Müşteriler'!$B$2:$B$101&lt;&gt;"")*ISNUMBER(SEARCH('Müşteriler'!$B$2:$B$101,B1186)))=1,IFERROR(INDEX('Müşteriler'!$A$2:$A$101,SUMPRODUCT(('Müşteriler'!$B$2:$B$101&lt;&gt;"")*ISNUMBER(SEARCH('Müşteriler'!$B$2:$B$101,B1186)),ROW('Müşteriler'!$B$2:$B$101)-ROW('Müşteriler'!$B$2)+1)),""),""))</ns0:f>
        <ns0:v/>
      </ns0:c>
      <ns0:c r="G1186" s="28" t="str">
        <ns0:f>IF(F1186="","",IFERROR(INDEX('Müşteriler'!$C$2:$C$101,MATCH(F1186,'Müşteriler'!$A$2:$A$101,0)),""))</ns0:f>
        <ns0:v/>
      </ns0:c>
      <ns0:c r="H1186" s="28" t="str">
        <ns0:f>IF(A1186="","",IF(C1186&lt;=0,"Satış dışı",IF(OR(F1186="",G1186=""),"Eşleşmedi","Eşleşti")))</ns0:f>
        <ns0:v/>
      </ns0:c>
      <ns0:c r="I1186" s="28">
        <ns0:f>I1185+IF(AND(H1186="Eşleşmedi",E1186='Panel'!$B$4),1,0)</ns0:f>
        <ns0:v>3.0</ns0:v>
      </ns0:c>
    </ns0:row>
    <ns0:row r="1187" ht="21" customHeight="1">
      <ns0:c r="A1187" s="25" t="n"/>
      <ns0:c r="B1187" s="26" t="n"/>
      <ns0:c r="C1187" s="27" t="n"/>
      <ns0:c r="D1187" s="27" t="n"/>
      <ns0:c r="E1187" s="28" t="str">
        <ns0:f>IF(A1187="","",YEAR(A1187)&amp;"-"&amp;RIGHT("0"&amp;MONTH(A1187),2))</ns0:f>
        <ns0:v/>
      </ns0:c>
      <ns0:c r="F1187" s="28" t="str">
        <ns0:f>IF(OR(A1187="",B1187="",C1187&lt;=0),"",IF(SUMPRODUCT(('Müşteriler'!$B$2:$B$101&lt;&gt;"")*ISNUMBER(SEARCH('Müşteriler'!$B$2:$B$101,B1187)))=1,IFERROR(INDEX('Müşteriler'!$A$2:$A$101,SUMPRODUCT(('Müşteriler'!$B$2:$B$101&lt;&gt;"")*ISNUMBER(SEARCH('Müşteriler'!$B$2:$B$101,B1187)),ROW('Müşteriler'!$B$2:$B$101)-ROW('Müşteriler'!$B$2)+1)),""),""))</ns0:f>
        <ns0:v/>
      </ns0:c>
      <ns0:c r="G1187" s="28" t="str">
        <ns0:f>IF(F1187="","",IFERROR(INDEX('Müşteriler'!$C$2:$C$101,MATCH(F1187,'Müşteriler'!$A$2:$A$101,0)),""))</ns0:f>
        <ns0:v/>
      </ns0:c>
      <ns0:c r="H1187" s="28" t="str">
        <ns0:f>IF(A1187="","",IF(C1187&lt;=0,"Satış dışı",IF(OR(F1187="",G1187=""),"Eşleşmedi","Eşleşti")))</ns0:f>
        <ns0:v/>
      </ns0:c>
      <ns0:c r="I1187" s="28">
        <ns0:f>I1186+IF(AND(H1187="Eşleşmedi",E1187='Panel'!$B$4),1,0)</ns0:f>
        <ns0:v>3.0</ns0:v>
      </ns0:c>
    </ns0:row>
    <ns0:row r="1188" ht="21" customHeight="1">
      <ns0:c r="A1188" s="25" t="n"/>
      <ns0:c r="B1188" s="26" t="n"/>
      <ns0:c r="C1188" s="27" t="n"/>
      <ns0:c r="D1188" s="27" t="n"/>
      <ns0:c r="E1188" s="28" t="str">
        <ns0:f>IF(A1188="","",YEAR(A1188)&amp;"-"&amp;RIGHT("0"&amp;MONTH(A1188),2))</ns0:f>
        <ns0:v/>
      </ns0:c>
      <ns0:c r="F1188" s="28" t="str">
        <ns0:f>IF(OR(A1188="",B1188="",C1188&lt;=0),"",IF(SUMPRODUCT(('Müşteriler'!$B$2:$B$101&lt;&gt;"")*ISNUMBER(SEARCH('Müşteriler'!$B$2:$B$101,B1188)))=1,IFERROR(INDEX('Müşteriler'!$A$2:$A$101,SUMPRODUCT(('Müşteriler'!$B$2:$B$101&lt;&gt;"")*ISNUMBER(SEARCH('Müşteriler'!$B$2:$B$101,B1188)),ROW('Müşteriler'!$B$2:$B$101)-ROW('Müşteriler'!$B$2)+1)),""),""))</ns0:f>
        <ns0:v/>
      </ns0:c>
      <ns0:c r="G1188" s="28" t="str">
        <ns0:f>IF(F1188="","",IFERROR(INDEX('Müşteriler'!$C$2:$C$101,MATCH(F1188,'Müşteriler'!$A$2:$A$101,0)),""))</ns0:f>
        <ns0:v/>
      </ns0:c>
      <ns0:c r="H1188" s="28" t="str">
        <ns0:f>IF(A1188="","",IF(C1188&lt;=0,"Satış dışı",IF(OR(F1188="",G1188=""),"Eşleşmedi","Eşleşti")))</ns0:f>
        <ns0:v/>
      </ns0:c>
      <ns0:c r="I1188" s="28">
        <ns0:f>I1187+IF(AND(H1188="Eşleşmedi",E1188='Panel'!$B$4),1,0)</ns0:f>
        <ns0:v>3.0</ns0:v>
      </ns0:c>
    </ns0:row>
    <ns0:row r="1189" ht="21" customHeight="1">
      <ns0:c r="A1189" s="25" t="n"/>
      <ns0:c r="B1189" s="26" t="n"/>
      <ns0:c r="C1189" s="27" t="n"/>
      <ns0:c r="D1189" s="27" t="n"/>
      <ns0:c r="E1189" s="28" t="str">
        <ns0:f>IF(A1189="","",YEAR(A1189)&amp;"-"&amp;RIGHT("0"&amp;MONTH(A1189),2))</ns0:f>
        <ns0:v/>
      </ns0:c>
      <ns0:c r="F1189" s="28" t="str">
        <ns0:f>IF(OR(A1189="",B1189="",C1189&lt;=0),"",IF(SUMPRODUCT(('Müşteriler'!$B$2:$B$101&lt;&gt;"")*ISNUMBER(SEARCH('Müşteriler'!$B$2:$B$101,B1189)))=1,IFERROR(INDEX('Müşteriler'!$A$2:$A$101,SUMPRODUCT(('Müşteriler'!$B$2:$B$101&lt;&gt;"")*ISNUMBER(SEARCH('Müşteriler'!$B$2:$B$101,B1189)),ROW('Müşteriler'!$B$2:$B$101)-ROW('Müşteriler'!$B$2)+1)),""),""))</ns0:f>
        <ns0:v/>
      </ns0:c>
      <ns0:c r="G1189" s="28" t="str">
        <ns0:f>IF(F1189="","",IFERROR(INDEX('Müşteriler'!$C$2:$C$101,MATCH(F1189,'Müşteriler'!$A$2:$A$101,0)),""))</ns0:f>
        <ns0:v/>
      </ns0:c>
      <ns0:c r="H1189" s="28" t="str">
        <ns0:f>IF(A1189="","",IF(C1189&lt;=0,"Satış dışı",IF(OR(F1189="",G1189=""),"Eşleşmedi","Eşleşti")))</ns0:f>
        <ns0:v/>
      </ns0:c>
      <ns0:c r="I1189" s="28">
        <ns0:f>I1188+IF(AND(H1189="Eşleşmedi",E1189='Panel'!$B$4),1,0)</ns0:f>
        <ns0:v>3.0</ns0:v>
      </ns0:c>
    </ns0:row>
    <ns0:row r="1190" ht="21" customHeight="1">
      <ns0:c r="A1190" s="25" t="n"/>
      <ns0:c r="B1190" s="26" t="n"/>
      <ns0:c r="C1190" s="27" t="n"/>
      <ns0:c r="D1190" s="27" t="n"/>
      <ns0:c r="E1190" s="28" t="str">
        <ns0:f>IF(A1190="","",YEAR(A1190)&amp;"-"&amp;RIGHT("0"&amp;MONTH(A1190),2))</ns0:f>
        <ns0:v/>
      </ns0:c>
      <ns0:c r="F1190" s="28" t="str">
        <ns0:f>IF(OR(A1190="",B1190="",C1190&lt;=0),"",IF(SUMPRODUCT(('Müşteriler'!$B$2:$B$101&lt;&gt;"")*ISNUMBER(SEARCH('Müşteriler'!$B$2:$B$101,B1190)))=1,IFERROR(INDEX('Müşteriler'!$A$2:$A$101,SUMPRODUCT(('Müşteriler'!$B$2:$B$101&lt;&gt;"")*ISNUMBER(SEARCH('Müşteriler'!$B$2:$B$101,B1190)),ROW('Müşteriler'!$B$2:$B$101)-ROW('Müşteriler'!$B$2)+1)),""),""))</ns0:f>
        <ns0:v/>
      </ns0:c>
      <ns0:c r="G1190" s="28" t="str">
        <ns0:f>IF(F1190="","",IFERROR(INDEX('Müşteriler'!$C$2:$C$101,MATCH(F1190,'Müşteriler'!$A$2:$A$101,0)),""))</ns0:f>
        <ns0:v/>
      </ns0:c>
      <ns0:c r="H1190" s="28" t="str">
        <ns0:f>IF(A1190="","",IF(C1190&lt;=0,"Satış dışı",IF(OR(F1190="",G1190=""),"Eşleşmedi","Eşleşti")))</ns0:f>
        <ns0:v/>
      </ns0:c>
      <ns0:c r="I1190" s="28">
        <ns0:f>I1189+IF(AND(H1190="Eşleşmedi",E1190='Panel'!$B$4),1,0)</ns0:f>
        <ns0:v>3.0</ns0:v>
      </ns0:c>
    </ns0:row>
    <ns0:row r="1191" ht="21" customHeight="1">
      <ns0:c r="A1191" s="25" t="n"/>
      <ns0:c r="B1191" s="26" t="n"/>
      <ns0:c r="C1191" s="27" t="n"/>
      <ns0:c r="D1191" s="27" t="n"/>
      <ns0:c r="E1191" s="28" t="str">
        <ns0:f>IF(A1191="","",YEAR(A1191)&amp;"-"&amp;RIGHT("0"&amp;MONTH(A1191),2))</ns0:f>
        <ns0:v/>
      </ns0:c>
      <ns0:c r="F1191" s="28" t="str">
        <ns0:f>IF(OR(A1191="",B1191="",C1191&lt;=0),"",IF(SUMPRODUCT(('Müşteriler'!$B$2:$B$101&lt;&gt;"")*ISNUMBER(SEARCH('Müşteriler'!$B$2:$B$101,B1191)))=1,IFERROR(INDEX('Müşteriler'!$A$2:$A$101,SUMPRODUCT(('Müşteriler'!$B$2:$B$101&lt;&gt;"")*ISNUMBER(SEARCH('Müşteriler'!$B$2:$B$101,B1191)),ROW('Müşteriler'!$B$2:$B$101)-ROW('Müşteriler'!$B$2)+1)),""),""))</ns0:f>
        <ns0:v/>
      </ns0:c>
      <ns0:c r="G1191" s="28" t="str">
        <ns0:f>IF(F1191="","",IFERROR(INDEX('Müşteriler'!$C$2:$C$101,MATCH(F1191,'Müşteriler'!$A$2:$A$101,0)),""))</ns0:f>
        <ns0:v/>
      </ns0:c>
      <ns0:c r="H1191" s="28" t="str">
        <ns0:f>IF(A1191="","",IF(C1191&lt;=0,"Satış dışı",IF(OR(F1191="",G1191=""),"Eşleşmedi","Eşleşti")))</ns0:f>
        <ns0:v/>
      </ns0:c>
      <ns0:c r="I1191" s="28">
        <ns0:f>I1190+IF(AND(H1191="Eşleşmedi",E1191='Panel'!$B$4),1,0)</ns0:f>
        <ns0:v>3.0</ns0:v>
      </ns0:c>
    </ns0:row>
    <ns0:row r="1192" ht="21" customHeight="1">
      <ns0:c r="A1192" s="25" t="n"/>
      <ns0:c r="B1192" s="26" t="n"/>
      <ns0:c r="C1192" s="27" t="n"/>
      <ns0:c r="D1192" s="27" t="n"/>
      <ns0:c r="E1192" s="28" t="str">
        <ns0:f>IF(A1192="","",YEAR(A1192)&amp;"-"&amp;RIGHT("0"&amp;MONTH(A1192),2))</ns0:f>
        <ns0:v/>
      </ns0:c>
      <ns0:c r="F1192" s="28" t="str">
        <ns0:f>IF(OR(A1192="",B1192="",C1192&lt;=0),"",IF(SUMPRODUCT(('Müşteriler'!$B$2:$B$101&lt;&gt;"")*ISNUMBER(SEARCH('Müşteriler'!$B$2:$B$101,B1192)))=1,IFERROR(INDEX('Müşteriler'!$A$2:$A$101,SUMPRODUCT(('Müşteriler'!$B$2:$B$101&lt;&gt;"")*ISNUMBER(SEARCH('Müşteriler'!$B$2:$B$101,B1192)),ROW('Müşteriler'!$B$2:$B$101)-ROW('Müşteriler'!$B$2)+1)),""),""))</ns0:f>
        <ns0:v/>
      </ns0:c>
      <ns0:c r="G1192" s="28" t="str">
        <ns0:f>IF(F1192="","",IFERROR(INDEX('Müşteriler'!$C$2:$C$101,MATCH(F1192,'Müşteriler'!$A$2:$A$101,0)),""))</ns0:f>
        <ns0:v/>
      </ns0:c>
      <ns0:c r="H1192" s="28" t="str">
        <ns0:f>IF(A1192="","",IF(C1192&lt;=0,"Satış dışı",IF(OR(F1192="",G1192=""),"Eşleşmedi","Eşleşti")))</ns0:f>
        <ns0:v/>
      </ns0:c>
      <ns0:c r="I1192" s="28">
        <ns0:f>I1191+IF(AND(H1192="Eşleşmedi",E1192='Panel'!$B$4),1,0)</ns0:f>
        <ns0:v>3.0</ns0:v>
      </ns0:c>
    </ns0:row>
    <ns0:row r="1193" ht="21" customHeight="1">
      <ns0:c r="A1193" s="25" t="n"/>
      <ns0:c r="B1193" s="26" t="n"/>
      <ns0:c r="C1193" s="27" t="n"/>
      <ns0:c r="D1193" s="27" t="n"/>
      <ns0:c r="E1193" s="28" t="str">
        <ns0:f>IF(A1193="","",YEAR(A1193)&amp;"-"&amp;RIGHT("0"&amp;MONTH(A1193),2))</ns0:f>
        <ns0:v/>
      </ns0:c>
      <ns0:c r="F1193" s="28" t="str">
        <ns0:f>IF(OR(A1193="",B1193="",C1193&lt;=0),"",IF(SUMPRODUCT(('Müşteriler'!$B$2:$B$101&lt;&gt;"")*ISNUMBER(SEARCH('Müşteriler'!$B$2:$B$101,B1193)))=1,IFERROR(INDEX('Müşteriler'!$A$2:$A$101,SUMPRODUCT(('Müşteriler'!$B$2:$B$101&lt;&gt;"")*ISNUMBER(SEARCH('Müşteriler'!$B$2:$B$101,B1193)),ROW('Müşteriler'!$B$2:$B$101)-ROW('Müşteriler'!$B$2)+1)),""),""))</ns0:f>
        <ns0:v/>
      </ns0:c>
      <ns0:c r="G1193" s="28" t="str">
        <ns0:f>IF(F1193="","",IFERROR(INDEX('Müşteriler'!$C$2:$C$101,MATCH(F1193,'Müşteriler'!$A$2:$A$101,0)),""))</ns0:f>
        <ns0:v/>
      </ns0:c>
      <ns0:c r="H1193" s="28" t="str">
        <ns0:f>IF(A1193="","",IF(C1193&lt;=0,"Satış dışı",IF(OR(F1193="",G1193=""),"Eşleşmedi","Eşleşti")))</ns0:f>
        <ns0:v/>
      </ns0:c>
      <ns0:c r="I1193" s="28">
        <ns0:f>I1192+IF(AND(H1193="Eşleşmedi",E1193='Panel'!$B$4),1,0)</ns0:f>
        <ns0:v>3.0</ns0:v>
      </ns0:c>
    </ns0:row>
    <ns0:row r="1194" ht="21" customHeight="1">
      <ns0:c r="A1194" s="25" t="n"/>
      <ns0:c r="B1194" s="26" t="n"/>
      <ns0:c r="C1194" s="27" t="n"/>
      <ns0:c r="D1194" s="27" t="n"/>
      <ns0:c r="E1194" s="28" t="str">
        <ns0:f>IF(A1194="","",YEAR(A1194)&amp;"-"&amp;RIGHT("0"&amp;MONTH(A1194),2))</ns0:f>
        <ns0:v/>
      </ns0:c>
      <ns0:c r="F1194" s="28" t="str">
        <ns0:f>IF(OR(A1194="",B1194="",C1194&lt;=0),"",IF(SUMPRODUCT(('Müşteriler'!$B$2:$B$101&lt;&gt;"")*ISNUMBER(SEARCH('Müşteriler'!$B$2:$B$101,B1194)))=1,IFERROR(INDEX('Müşteriler'!$A$2:$A$101,SUMPRODUCT(('Müşteriler'!$B$2:$B$101&lt;&gt;"")*ISNUMBER(SEARCH('Müşteriler'!$B$2:$B$101,B1194)),ROW('Müşteriler'!$B$2:$B$101)-ROW('Müşteriler'!$B$2)+1)),""),""))</ns0:f>
        <ns0:v/>
      </ns0:c>
      <ns0:c r="G1194" s="28" t="str">
        <ns0:f>IF(F1194="","",IFERROR(INDEX('Müşteriler'!$C$2:$C$101,MATCH(F1194,'Müşteriler'!$A$2:$A$101,0)),""))</ns0:f>
        <ns0:v/>
      </ns0:c>
      <ns0:c r="H1194" s="28" t="str">
        <ns0:f>IF(A1194="","",IF(C1194&lt;=0,"Satış dışı",IF(OR(F1194="",G1194=""),"Eşleşmedi","Eşleşti")))</ns0:f>
        <ns0:v/>
      </ns0:c>
      <ns0:c r="I1194" s="28">
        <ns0:f>I1193+IF(AND(H1194="Eşleşmedi",E1194='Panel'!$B$4),1,0)</ns0:f>
        <ns0:v>3.0</ns0:v>
      </ns0:c>
    </ns0:row>
    <ns0:row r="1195" ht="21" customHeight="1">
      <ns0:c r="A1195" s="25" t="n"/>
      <ns0:c r="B1195" s="26" t="n"/>
      <ns0:c r="C1195" s="27" t="n"/>
      <ns0:c r="D1195" s="27" t="n"/>
      <ns0:c r="E1195" s="28" t="str">
        <ns0:f>IF(A1195="","",YEAR(A1195)&amp;"-"&amp;RIGHT("0"&amp;MONTH(A1195),2))</ns0:f>
        <ns0:v/>
      </ns0:c>
      <ns0:c r="F1195" s="28" t="str">
        <ns0:f>IF(OR(A1195="",B1195="",C1195&lt;=0),"",IF(SUMPRODUCT(('Müşteriler'!$B$2:$B$101&lt;&gt;"")*ISNUMBER(SEARCH('Müşteriler'!$B$2:$B$101,B1195)))=1,IFERROR(INDEX('Müşteriler'!$A$2:$A$101,SUMPRODUCT(('Müşteriler'!$B$2:$B$101&lt;&gt;"")*ISNUMBER(SEARCH('Müşteriler'!$B$2:$B$101,B1195)),ROW('Müşteriler'!$B$2:$B$101)-ROW('Müşteriler'!$B$2)+1)),""),""))</ns0:f>
        <ns0:v/>
      </ns0:c>
      <ns0:c r="G1195" s="28" t="str">
        <ns0:f>IF(F1195="","",IFERROR(INDEX('Müşteriler'!$C$2:$C$101,MATCH(F1195,'Müşteriler'!$A$2:$A$101,0)),""))</ns0:f>
        <ns0:v/>
      </ns0:c>
      <ns0:c r="H1195" s="28" t="str">
        <ns0:f>IF(A1195="","",IF(C1195&lt;=0,"Satış dışı",IF(OR(F1195="",G1195=""),"Eşleşmedi","Eşleşti")))</ns0:f>
        <ns0:v/>
      </ns0:c>
      <ns0:c r="I1195" s="28">
        <ns0:f>I1194+IF(AND(H1195="Eşleşmedi",E1195='Panel'!$B$4),1,0)</ns0:f>
        <ns0:v>3.0</ns0:v>
      </ns0:c>
    </ns0:row>
    <ns0:row r="1196" ht="21" customHeight="1">
      <ns0:c r="A1196" s="25" t="n"/>
      <ns0:c r="B1196" s="26" t="n"/>
      <ns0:c r="C1196" s="27" t="n"/>
      <ns0:c r="D1196" s="27" t="n"/>
      <ns0:c r="E1196" s="28" t="str">
        <ns0:f>IF(A1196="","",YEAR(A1196)&amp;"-"&amp;RIGHT("0"&amp;MONTH(A1196),2))</ns0:f>
        <ns0:v/>
      </ns0:c>
      <ns0:c r="F1196" s="28" t="str">
        <ns0:f>IF(OR(A1196="",B1196="",C1196&lt;=0),"",IF(SUMPRODUCT(('Müşteriler'!$B$2:$B$101&lt;&gt;"")*ISNUMBER(SEARCH('Müşteriler'!$B$2:$B$101,B1196)))=1,IFERROR(INDEX('Müşteriler'!$A$2:$A$101,SUMPRODUCT(('Müşteriler'!$B$2:$B$101&lt;&gt;"")*ISNUMBER(SEARCH('Müşteriler'!$B$2:$B$101,B1196)),ROW('Müşteriler'!$B$2:$B$101)-ROW('Müşteriler'!$B$2)+1)),""),""))</ns0:f>
        <ns0:v/>
      </ns0:c>
      <ns0:c r="G1196" s="28" t="str">
        <ns0:f>IF(F1196="","",IFERROR(INDEX('Müşteriler'!$C$2:$C$101,MATCH(F1196,'Müşteriler'!$A$2:$A$101,0)),""))</ns0:f>
        <ns0:v/>
      </ns0:c>
      <ns0:c r="H1196" s="28" t="str">
        <ns0:f>IF(A1196="","",IF(C1196&lt;=0,"Satış dışı",IF(OR(F1196="",G1196=""),"Eşleşmedi","Eşleşti")))</ns0:f>
        <ns0:v/>
      </ns0:c>
      <ns0:c r="I1196" s="28">
        <ns0:f>I1195+IF(AND(H1196="Eşleşmedi",E1196='Panel'!$B$4),1,0)</ns0:f>
        <ns0:v>3.0</ns0:v>
      </ns0:c>
    </ns0:row>
    <ns0:row r="1197" ht="21" customHeight="1">
      <ns0:c r="A1197" s="25" t="n"/>
      <ns0:c r="B1197" s="26" t="n"/>
      <ns0:c r="C1197" s="27" t="n"/>
      <ns0:c r="D1197" s="27" t="n"/>
      <ns0:c r="E1197" s="28" t="str">
        <ns0:f>IF(A1197="","",YEAR(A1197)&amp;"-"&amp;RIGHT("0"&amp;MONTH(A1197),2))</ns0:f>
        <ns0:v/>
      </ns0:c>
      <ns0:c r="F1197" s="28" t="str">
        <ns0:f>IF(OR(A1197="",B1197="",C1197&lt;=0),"",IF(SUMPRODUCT(('Müşteriler'!$B$2:$B$101&lt;&gt;"")*ISNUMBER(SEARCH('Müşteriler'!$B$2:$B$101,B1197)))=1,IFERROR(INDEX('Müşteriler'!$A$2:$A$101,SUMPRODUCT(('Müşteriler'!$B$2:$B$101&lt;&gt;"")*ISNUMBER(SEARCH('Müşteriler'!$B$2:$B$101,B1197)),ROW('Müşteriler'!$B$2:$B$101)-ROW('Müşteriler'!$B$2)+1)),""),""))</ns0:f>
        <ns0:v/>
      </ns0:c>
      <ns0:c r="G1197" s="28" t="str">
        <ns0:f>IF(F1197="","",IFERROR(INDEX('Müşteriler'!$C$2:$C$101,MATCH(F1197,'Müşteriler'!$A$2:$A$101,0)),""))</ns0:f>
        <ns0:v/>
      </ns0:c>
      <ns0:c r="H1197" s="28" t="str">
        <ns0:f>IF(A1197="","",IF(C1197&lt;=0,"Satış dışı",IF(OR(F1197="",G1197=""),"Eşleşmedi","Eşleşti")))</ns0:f>
        <ns0:v/>
      </ns0:c>
      <ns0:c r="I1197" s="28">
        <ns0:f>I1196+IF(AND(H1197="Eşleşmedi",E1197='Panel'!$B$4),1,0)</ns0:f>
        <ns0:v>3.0</ns0:v>
      </ns0:c>
    </ns0:row>
    <ns0:row r="1198" ht="21" customHeight="1">
      <ns0:c r="A1198" s="25" t="n"/>
      <ns0:c r="B1198" s="26" t="n"/>
      <ns0:c r="C1198" s="27" t="n"/>
      <ns0:c r="D1198" s="27" t="n"/>
      <ns0:c r="E1198" s="28" t="str">
        <ns0:f>IF(A1198="","",YEAR(A1198)&amp;"-"&amp;RIGHT("0"&amp;MONTH(A1198),2))</ns0:f>
        <ns0:v/>
      </ns0:c>
      <ns0:c r="F1198" s="28" t="str">
        <ns0:f>IF(OR(A1198="",B1198="",C1198&lt;=0),"",IF(SUMPRODUCT(('Müşteriler'!$B$2:$B$101&lt;&gt;"")*ISNUMBER(SEARCH('Müşteriler'!$B$2:$B$101,B1198)))=1,IFERROR(INDEX('Müşteriler'!$A$2:$A$101,SUMPRODUCT(('Müşteriler'!$B$2:$B$101&lt;&gt;"")*ISNUMBER(SEARCH('Müşteriler'!$B$2:$B$101,B1198)),ROW('Müşteriler'!$B$2:$B$101)-ROW('Müşteriler'!$B$2)+1)),""),""))</ns0:f>
        <ns0:v/>
      </ns0:c>
      <ns0:c r="G1198" s="28" t="str">
        <ns0:f>IF(F1198="","",IFERROR(INDEX('Müşteriler'!$C$2:$C$101,MATCH(F1198,'Müşteriler'!$A$2:$A$101,0)),""))</ns0:f>
        <ns0:v/>
      </ns0:c>
      <ns0:c r="H1198" s="28" t="str">
        <ns0:f>IF(A1198="","",IF(C1198&lt;=0,"Satış dışı",IF(OR(F1198="",G1198=""),"Eşleşmedi","Eşleşti")))</ns0:f>
        <ns0:v/>
      </ns0:c>
      <ns0:c r="I1198" s="28">
        <ns0:f>I1197+IF(AND(H1198="Eşleşmedi",E1198='Panel'!$B$4),1,0)</ns0:f>
        <ns0:v>3.0</ns0:v>
      </ns0:c>
    </ns0:row>
    <ns0:row r="1199" ht="21" customHeight="1">
      <ns0:c r="A1199" s="25" t="n"/>
      <ns0:c r="B1199" s="26" t="n"/>
      <ns0:c r="C1199" s="27" t="n"/>
      <ns0:c r="D1199" s="27" t="n"/>
      <ns0:c r="E1199" s="28" t="str">
        <ns0:f>IF(A1199="","",YEAR(A1199)&amp;"-"&amp;RIGHT("0"&amp;MONTH(A1199),2))</ns0:f>
        <ns0:v/>
      </ns0:c>
      <ns0:c r="F1199" s="28" t="str">
        <ns0:f>IF(OR(A1199="",B1199="",C1199&lt;=0),"",IF(SUMPRODUCT(('Müşteriler'!$B$2:$B$101&lt;&gt;"")*ISNUMBER(SEARCH('Müşteriler'!$B$2:$B$101,B1199)))=1,IFERROR(INDEX('Müşteriler'!$A$2:$A$101,SUMPRODUCT(('Müşteriler'!$B$2:$B$101&lt;&gt;"")*ISNUMBER(SEARCH('Müşteriler'!$B$2:$B$101,B1199)),ROW('Müşteriler'!$B$2:$B$101)-ROW('Müşteriler'!$B$2)+1)),""),""))</ns0:f>
        <ns0:v/>
      </ns0:c>
      <ns0:c r="G1199" s="28" t="str">
        <ns0:f>IF(F1199="","",IFERROR(INDEX('Müşteriler'!$C$2:$C$101,MATCH(F1199,'Müşteriler'!$A$2:$A$101,0)),""))</ns0:f>
        <ns0:v/>
      </ns0:c>
      <ns0:c r="H1199" s="28" t="str">
        <ns0:f>IF(A1199="","",IF(C1199&lt;=0,"Satış dışı",IF(OR(F1199="",G1199=""),"Eşleşmedi","Eşleşti")))</ns0:f>
        <ns0:v/>
      </ns0:c>
      <ns0:c r="I1199" s="28">
        <ns0:f>I1198+IF(AND(H1199="Eşleşmedi",E1199='Panel'!$B$4),1,0)</ns0:f>
        <ns0:v>3.0</ns0:v>
      </ns0:c>
    </ns0:row>
    <ns0:row r="1200" ht="21" customHeight="1">
      <ns0:c r="A1200" s="25" t="n"/>
      <ns0:c r="B1200" s="26" t="n"/>
      <ns0:c r="C1200" s="27" t="n"/>
      <ns0:c r="D1200" s="27" t="n"/>
      <ns0:c r="E1200" s="28" t="str">
        <ns0:f>IF(A1200="","",YEAR(A1200)&amp;"-"&amp;RIGHT("0"&amp;MONTH(A1200),2))</ns0:f>
        <ns0:v/>
      </ns0:c>
      <ns0:c r="F1200" s="28" t="str">
        <ns0:f>IF(OR(A1200="",B1200="",C1200&lt;=0),"",IF(SUMPRODUCT(('Müşteriler'!$B$2:$B$101&lt;&gt;"")*ISNUMBER(SEARCH('Müşteriler'!$B$2:$B$101,B1200)))=1,IFERROR(INDEX('Müşteriler'!$A$2:$A$101,SUMPRODUCT(('Müşteriler'!$B$2:$B$101&lt;&gt;"")*ISNUMBER(SEARCH('Müşteriler'!$B$2:$B$101,B1200)),ROW('Müşteriler'!$B$2:$B$101)-ROW('Müşteriler'!$B$2)+1)),""),""))</ns0:f>
        <ns0:v/>
      </ns0:c>
      <ns0:c r="G1200" s="28" t="str">
        <ns0:f>IF(F1200="","",IFERROR(INDEX('Müşteriler'!$C$2:$C$101,MATCH(F1200,'Müşteriler'!$A$2:$A$101,0)),""))</ns0:f>
        <ns0:v/>
      </ns0:c>
      <ns0:c r="H1200" s="28" t="str">
        <ns0:f>IF(A1200="","",IF(C1200&lt;=0,"Satış dışı",IF(OR(F1200="",G1200=""),"Eşleşmedi","Eşleşti")))</ns0:f>
        <ns0:v/>
      </ns0:c>
      <ns0:c r="I1200" s="28">
        <ns0:f>I1199+IF(AND(H1200="Eşleşmedi",E1200='Panel'!$B$4),1,0)</ns0:f>
        <ns0:v>3.0</ns0:v>
      </ns0:c>
    </ns0:row>
    <ns0:row r="1201" ht="21" customHeight="1">
      <ns0:c r="A1201" s="25" t="n"/>
      <ns0:c r="B1201" s="26" t="n"/>
      <ns0:c r="C1201" s="27" t="n"/>
      <ns0:c r="D1201" s="27" t="n"/>
      <ns0:c r="E1201" s="28" t="str">
        <ns0:f>IF(A1201="","",YEAR(A1201)&amp;"-"&amp;RIGHT("0"&amp;MONTH(A1201),2))</ns0:f>
        <ns0:v/>
      </ns0:c>
      <ns0:c r="F1201" s="28" t="str">
        <ns0:f>IF(OR(A1201="",B1201="",C1201&lt;=0),"",IF(SUMPRODUCT(('Müşteriler'!$B$2:$B$101&lt;&gt;"")*ISNUMBER(SEARCH('Müşteriler'!$B$2:$B$101,B1201)))=1,IFERROR(INDEX('Müşteriler'!$A$2:$A$101,SUMPRODUCT(('Müşteriler'!$B$2:$B$101&lt;&gt;"")*ISNUMBER(SEARCH('Müşteriler'!$B$2:$B$101,B1201)),ROW('Müşteriler'!$B$2:$B$101)-ROW('Müşteriler'!$B$2)+1)),""),""))</ns0:f>
        <ns0:v/>
      </ns0:c>
      <ns0:c r="G1201" s="28" t="str">
        <ns0:f>IF(F1201="","",IFERROR(INDEX('Müşteriler'!$C$2:$C$101,MATCH(F1201,'Müşteriler'!$A$2:$A$101,0)),""))</ns0:f>
        <ns0:v/>
      </ns0:c>
      <ns0:c r="H1201" s="28" t="str">
        <ns0:f>IF(A1201="","",IF(C1201&lt;=0,"Satış dışı",IF(OR(F1201="",G1201=""),"Eşleşmedi","Eşleşti")))</ns0:f>
        <ns0:v/>
      </ns0:c>
      <ns0:c r="I1201" s="28">
        <ns0:f>I1200+IF(AND(H1201="Eşleşmedi",E1201='Panel'!$B$4),1,0)</ns0:f>
        <ns0:v>3.0</ns0:v>
      </ns0:c>
    </ns0:row>
    <ns0:row r="1202" ht="21" customHeight="1">
      <ns0:c r="A1202" s="25" t="n"/>
      <ns0:c r="B1202" s="26" t="n"/>
      <ns0:c r="C1202" s="27" t="n"/>
      <ns0:c r="D1202" s="27" t="n"/>
      <ns0:c r="E1202" s="28" t="str">
        <ns0:f>IF(A1202="","",YEAR(A1202)&amp;"-"&amp;RIGHT("0"&amp;MONTH(A1202),2))</ns0:f>
        <ns0:v/>
      </ns0:c>
      <ns0:c r="F1202" s="28" t="str">
        <ns0:f>IF(OR(A1202="",B1202="",C1202&lt;=0),"",IF(SUMPRODUCT(('Müşteriler'!$B$2:$B$101&lt;&gt;"")*ISNUMBER(SEARCH('Müşteriler'!$B$2:$B$101,B1202)))=1,IFERROR(INDEX('Müşteriler'!$A$2:$A$101,SUMPRODUCT(('Müşteriler'!$B$2:$B$101&lt;&gt;"")*ISNUMBER(SEARCH('Müşteriler'!$B$2:$B$101,B1202)),ROW('Müşteriler'!$B$2:$B$101)-ROW('Müşteriler'!$B$2)+1)),""),""))</ns0:f>
        <ns0:v/>
      </ns0:c>
      <ns0:c r="G1202" s="28" t="str">
        <ns0:f>IF(F1202="","",IFERROR(INDEX('Müşteriler'!$C$2:$C$101,MATCH(F1202,'Müşteriler'!$A$2:$A$101,0)),""))</ns0:f>
        <ns0:v/>
      </ns0:c>
      <ns0:c r="H1202" s="28" t="str">
        <ns0:f>IF(A1202="","",IF(C1202&lt;=0,"Satış dışı",IF(OR(F1202="",G1202=""),"Eşleşmedi","Eşleşti")))</ns0:f>
        <ns0:v/>
      </ns0:c>
      <ns0:c r="I1202" s="28">
        <ns0:f>I1201+IF(AND(H1202="Eşleşmedi",E1202='Panel'!$B$4),1,0)</ns0:f>
        <ns0:v>3.0</ns0:v>
      </ns0:c>
    </ns0:row>
    <ns0:row r="1203" ht="21" customHeight="1">
      <ns0:c r="A1203" s="25" t="n"/>
      <ns0:c r="B1203" s="26" t="n"/>
      <ns0:c r="C1203" s="27" t="n"/>
      <ns0:c r="D1203" s="27" t="n"/>
      <ns0:c r="E1203" s="28" t="str">
        <ns0:f>IF(A1203="","",YEAR(A1203)&amp;"-"&amp;RIGHT("0"&amp;MONTH(A1203),2))</ns0:f>
        <ns0:v/>
      </ns0:c>
      <ns0:c r="F1203" s="28" t="str">
        <ns0:f>IF(OR(A1203="",B1203="",C1203&lt;=0),"",IF(SUMPRODUCT(('Müşteriler'!$B$2:$B$101&lt;&gt;"")*ISNUMBER(SEARCH('Müşteriler'!$B$2:$B$101,B1203)))=1,IFERROR(INDEX('Müşteriler'!$A$2:$A$101,SUMPRODUCT(('Müşteriler'!$B$2:$B$101&lt;&gt;"")*ISNUMBER(SEARCH('Müşteriler'!$B$2:$B$101,B1203)),ROW('Müşteriler'!$B$2:$B$101)-ROW('Müşteriler'!$B$2)+1)),""),""))</ns0:f>
        <ns0:v/>
      </ns0:c>
      <ns0:c r="G1203" s="28" t="str">
        <ns0:f>IF(F1203="","",IFERROR(INDEX('Müşteriler'!$C$2:$C$101,MATCH(F1203,'Müşteriler'!$A$2:$A$101,0)),""))</ns0:f>
        <ns0:v/>
      </ns0:c>
      <ns0:c r="H1203" s="28" t="str">
        <ns0:f>IF(A1203="","",IF(C1203&lt;=0,"Satış dışı",IF(OR(F1203="",G1203=""),"Eşleşmedi","Eşleşti")))</ns0:f>
        <ns0:v/>
      </ns0:c>
      <ns0:c r="I1203" s="28">
        <ns0:f>I1202+IF(AND(H1203="Eşleşmedi",E1203='Panel'!$B$4),1,0)</ns0:f>
        <ns0:v>3.0</ns0:v>
      </ns0:c>
    </ns0:row>
    <ns0:row r="1204" ht="21" customHeight="1">
      <ns0:c r="A1204" s="25" t="n"/>
      <ns0:c r="B1204" s="26" t="n"/>
      <ns0:c r="C1204" s="27" t="n"/>
      <ns0:c r="D1204" s="27" t="n"/>
      <ns0:c r="E1204" s="28" t="str">
        <ns0:f>IF(A1204="","",YEAR(A1204)&amp;"-"&amp;RIGHT("0"&amp;MONTH(A1204),2))</ns0:f>
        <ns0:v/>
      </ns0:c>
      <ns0:c r="F1204" s="28" t="str">
        <ns0:f>IF(OR(A1204="",B1204="",C1204&lt;=0),"",IF(SUMPRODUCT(('Müşteriler'!$B$2:$B$101&lt;&gt;"")*ISNUMBER(SEARCH('Müşteriler'!$B$2:$B$101,B1204)))=1,IFERROR(INDEX('Müşteriler'!$A$2:$A$101,SUMPRODUCT(('Müşteriler'!$B$2:$B$101&lt;&gt;"")*ISNUMBER(SEARCH('Müşteriler'!$B$2:$B$101,B1204)),ROW('Müşteriler'!$B$2:$B$101)-ROW('Müşteriler'!$B$2)+1)),""),""))</ns0:f>
        <ns0:v/>
      </ns0:c>
      <ns0:c r="G1204" s="28" t="str">
        <ns0:f>IF(F1204="","",IFERROR(INDEX('Müşteriler'!$C$2:$C$101,MATCH(F1204,'Müşteriler'!$A$2:$A$101,0)),""))</ns0:f>
        <ns0:v/>
      </ns0:c>
      <ns0:c r="H1204" s="28" t="str">
        <ns0:f>IF(A1204="","",IF(C1204&lt;=0,"Satış dışı",IF(OR(F1204="",G1204=""),"Eşleşmedi","Eşleşti")))</ns0:f>
        <ns0:v/>
      </ns0:c>
      <ns0:c r="I1204" s="28">
        <ns0:f>I1203+IF(AND(H1204="Eşleşmedi",E1204='Panel'!$B$4),1,0)</ns0:f>
        <ns0:v>3.0</ns0:v>
      </ns0:c>
    </ns0:row>
    <ns0:row r="1205" ht="21" customHeight="1">
      <ns0:c r="A1205" s="25" t="n"/>
      <ns0:c r="B1205" s="26" t="n"/>
      <ns0:c r="C1205" s="27" t="n"/>
      <ns0:c r="D1205" s="27" t="n"/>
      <ns0:c r="E1205" s="28" t="str">
        <ns0:f>IF(A1205="","",YEAR(A1205)&amp;"-"&amp;RIGHT("0"&amp;MONTH(A1205),2))</ns0:f>
        <ns0:v/>
      </ns0:c>
      <ns0:c r="F1205" s="28" t="str">
        <ns0:f>IF(OR(A1205="",B1205="",C1205&lt;=0),"",IF(SUMPRODUCT(('Müşteriler'!$B$2:$B$101&lt;&gt;"")*ISNUMBER(SEARCH('Müşteriler'!$B$2:$B$101,B1205)))=1,IFERROR(INDEX('Müşteriler'!$A$2:$A$101,SUMPRODUCT(('Müşteriler'!$B$2:$B$101&lt;&gt;"")*ISNUMBER(SEARCH('Müşteriler'!$B$2:$B$101,B1205)),ROW('Müşteriler'!$B$2:$B$101)-ROW('Müşteriler'!$B$2)+1)),""),""))</ns0:f>
        <ns0:v/>
      </ns0:c>
      <ns0:c r="G1205" s="28" t="str">
        <ns0:f>IF(F1205="","",IFERROR(INDEX('Müşteriler'!$C$2:$C$101,MATCH(F1205,'Müşteriler'!$A$2:$A$101,0)),""))</ns0:f>
        <ns0:v/>
      </ns0:c>
      <ns0:c r="H1205" s="28" t="str">
        <ns0:f>IF(A1205="","",IF(C1205&lt;=0,"Satış dışı",IF(OR(F1205="",G1205=""),"Eşleşmedi","Eşleşti")))</ns0:f>
        <ns0:v/>
      </ns0:c>
      <ns0:c r="I1205" s="28">
        <ns0:f>I1204+IF(AND(H1205="Eşleşmedi",E1205='Panel'!$B$4),1,0)</ns0:f>
        <ns0:v>3.0</ns0:v>
      </ns0:c>
    </ns0:row>
    <ns0:row r="1206" ht="21" customHeight="1">
      <ns0:c r="A1206" s="25" t="n"/>
      <ns0:c r="B1206" s="26" t="n"/>
      <ns0:c r="C1206" s="27" t="n"/>
      <ns0:c r="D1206" s="27" t="n"/>
      <ns0:c r="E1206" s="28" t="str">
        <ns0:f>IF(A1206="","",YEAR(A1206)&amp;"-"&amp;RIGHT("0"&amp;MONTH(A1206),2))</ns0:f>
        <ns0:v/>
      </ns0:c>
      <ns0:c r="F1206" s="28" t="str">
        <ns0:f>IF(OR(A1206="",B1206="",C1206&lt;=0),"",IF(SUMPRODUCT(('Müşteriler'!$B$2:$B$101&lt;&gt;"")*ISNUMBER(SEARCH('Müşteriler'!$B$2:$B$101,B1206)))=1,IFERROR(INDEX('Müşteriler'!$A$2:$A$101,SUMPRODUCT(('Müşteriler'!$B$2:$B$101&lt;&gt;"")*ISNUMBER(SEARCH('Müşteriler'!$B$2:$B$101,B1206)),ROW('Müşteriler'!$B$2:$B$101)-ROW('Müşteriler'!$B$2)+1)),""),""))</ns0:f>
        <ns0:v/>
      </ns0:c>
      <ns0:c r="G1206" s="28" t="str">
        <ns0:f>IF(F1206="","",IFERROR(INDEX('Müşteriler'!$C$2:$C$101,MATCH(F1206,'Müşteriler'!$A$2:$A$101,0)),""))</ns0:f>
        <ns0:v/>
      </ns0:c>
      <ns0:c r="H1206" s="28" t="str">
        <ns0:f>IF(A1206="","",IF(C1206&lt;=0,"Satış dışı",IF(OR(F1206="",G1206=""),"Eşleşmedi","Eşleşti")))</ns0:f>
        <ns0:v/>
      </ns0:c>
      <ns0:c r="I1206" s="28">
        <ns0:f>I1205+IF(AND(H1206="Eşleşmedi",E1206='Panel'!$B$4),1,0)</ns0:f>
        <ns0:v>3.0</ns0:v>
      </ns0:c>
    </ns0:row>
    <ns0:row r="1207" ht="21" customHeight="1">
      <ns0:c r="A1207" s="25" t="n"/>
      <ns0:c r="B1207" s="26" t="n"/>
      <ns0:c r="C1207" s="27" t="n"/>
      <ns0:c r="D1207" s="27" t="n"/>
      <ns0:c r="E1207" s="28" t="str">
        <ns0:f>IF(A1207="","",YEAR(A1207)&amp;"-"&amp;RIGHT("0"&amp;MONTH(A1207),2))</ns0:f>
        <ns0:v/>
      </ns0:c>
      <ns0:c r="F1207" s="28" t="str">
        <ns0:f>IF(OR(A1207="",B1207="",C1207&lt;=0),"",IF(SUMPRODUCT(('Müşteriler'!$B$2:$B$101&lt;&gt;"")*ISNUMBER(SEARCH('Müşteriler'!$B$2:$B$101,B1207)))=1,IFERROR(INDEX('Müşteriler'!$A$2:$A$101,SUMPRODUCT(('Müşteriler'!$B$2:$B$101&lt;&gt;"")*ISNUMBER(SEARCH('Müşteriler'!$B$2:$B$101,B1207)),ROW('Müşteriler'!$B$2:$B$101)-ROW('Müşteriler'!$B$2)+1)),""),""))</ns0:f>
        <ns0:v/>
      </ns0:c>
      <ns0:c r="G1207" s="28" t="str">
        <ns0:f>IF(F1207="","",IFERROR(INDEX('Müşteriler'!$C$2:$C$101,MATCH(F1207,'Müşteriler'!$A$2:$A$101,0)),""))</ns0:f>
        <ns0:v/>
      </ns0:c>
      <ns0:c r="H1207" s="28" t="str">
        <ns0:f>IF(A1207="","",IF(C1207&lt;=0,"Satış dışı",IF(OR(F1207="",G1207=""),"Eşleşmedi","Eşleşti")))</ns0:f>
        <ns0:v/>
      </ns0:c>
      <ns0:c r="I1207" s="28">
        <ns0:f>I1206+IF(AND(H1207="Eşleşmedi",E1207='Panel'!$B$4),1,0)</ns0:f>
        <ns0:v>3.0</ns0:v>
      </ns0:c>
    </ns0:row>
    <ns0:row r="1208" ht="21" customHeight="1">
      <ns0:c r="A1208" s="25" t="n"/>
      <ns0:c r="B1208" s="26" t="n"/>
      <ns0:c r="C1208" s="27" t="n"/>
      <ns0:c r="D1208" s="27" t="n"/>
      <ns0:c r="E1208" s="28" t="str">
        <ns0:f>IF(A1208="","",YEAR(A1208)&amp;"-"&amp;RIGHT("0"&amp;MONTH(A1208),2))</ns0:f>
        <ns0:v/>
      </ns0:c>
      <ns0:c r="F1208" s="28" t="str">
        <ns0:f>IF(OR(A1208="",B1208="",C1208&lt;=0),"",IF(SUMPRODUCT(('Müşteriler'!$B$2:$B$101&lt;&gt;"")*ISNUMBER(SEARCH('Müşteriler'!$B$2:$B$101,B1208)))=1,IFERROR(INDEX('Müşteriler'!$A$2:$A$101,SUMPRODUCT(('Müşteriler'!$B$2:$B$101&lt;&gt;"")*ISNUMBER(SEARCH('Müşteriler'!$B$2:$B$101,B1208)),ROW('Müşteriler'!$B$2:$B$101)-ROW('Müşteriler'!$B$2)+1)),""),""))</ns0:f>
        <ns0:v/>
      </ns0:c>
      <ns0:c r="G1208" s="28" t="str">
        <ns0:f>IF(F1208="","",IFERROR(INDEX('Müşteriler'!$C$2:$C$101,MATCH(F1208,'Müşteriler'!$A$2:$A$101,0)),""))</ns0:f>
        <ns0:v/>
      </ns0:c>
      <ns0:c r="H1208" s="28" t="str">
        <ns0:f>IF(A1208="","",IF(C1208&lt;=0,"Satış dışı",IF(OR(F1208="",G1208=""),"Eşleşmedi","Eşleşti")))</ns0:f>
        <ns0:v/>
      </ns0:c>
      <ns0:c r="I1208" s="28">
        <ns0:f>I1207+IF(AND(H1208="Eşleşmedi",E1208='Panel'!$B$4),1,0)</ns0:f>
        <ns0:v>3.0</ns0:v>
      </ns0:c>
    </ns0:row>
    <ns0:row r="1209" ht="21" customHeight="1">
      <ns0:c r="A1209" s="25" t="n"/>
      <ns0:c r="B1209" s="26" t="n"/>
      <ns0:c r="C1209" s="27" t="n"/>
      <ns0:c r="D1209" s="27" t="n"/>
      <ns0:c r="E1209" s="28" t="str">
        <ns0:f>IF(A1209="","",YEAR(A1209)&amp;"-"&amp;RIGHT("0"&amp;MONTH(A1209),2))</ns0:f>
        <ns0:v/>
      </ns0:c>
      <ns0:c r="F1209" s="28" t="str">
        <ns0:f>IF(OR(A1209="",B1209="",C1209&lt;=0),"",IF(SUMPRODUCT(('Müşteriler'!$B$2:$B$101&lt;&gt;"")*ISNUMBER(SEARCH('Müşteriler'!$B$2:$B$101,B1209)))=1,IFERROR(INDEX('Müşteriler'!$A$2:$A$101,SUMPRODUCT(('Müşteriler'!$B$2:$B$101&lt;&gt;"")*ISNUMBER(SEARCH('Müşteriler'!$B$2:$B$101,B1209)),ROW('Müşteriler'!$B$2:$B$101)-ROW('Müşteriler'!$B$2)+1)),""),""))</ns0:f>
        <ns0:v/>
      </ns0:c>
      <ns0:c r="G1209" s="28" t="str">
        <ns0:f>IF(F1209="","",IFERROR(INDEX('Müşteriler'!$C$2:$C$101,MATCH(F1209,'Müşteriler'!$A$2:$A$101,0)),""))</ns0:f>
        <ns0:v/>
      </ns0:c>
      <ns0:c r="H1209" s="28" t="str">
        <ns0:f>IF(A1209="","",IF(C1209&lt;=0,"Satış dışı",IF(OR(F1209="",G1209=""),"Eşleşmedi","Eşleşti")))</ns0:f>
        <ns0:v/>
      </ns0:c>
      <ns0:c r="I1209" s="28">
        <ns0:f>I1208+IF(AND(H1209="Eşleşmedi",E1209='Panel'!$B$4),1,0)</ns0:f>
        <ns0:v>3.0</ns0:v>
      </ns0:c>
    </ns0:row>
    <ns0:row r="1210" ht="21" customHeight="1">
      <ns0:c r="A1210" s="25" t="n"/>
      <ns0:c r="B1210" s="26" t="n"/>
      <ns0:c r="C1210" s="27" t="n"/>
      <ns0:c r="D1210" s="27" t="n"/>
      <ns0:c r="E1210" s="28" t="str">
        <ns0:f>IF(A1210="","",YEAR(A1210)&amp;"-"&amp;RIGHT("0"&amp;MONTH(A1210),2))</ns0:f>
        <ns0:v/>
      </ns0:c>
      <ns0:c r="F1210" s="28" t="str">
        <ns0:f>IF(OR(A1210="",B1210="",C1210&lt;=0),"",IF(SUMPRODUCT(('Müşteriler'!$B$2:$B$101&lt;&gt;"")*ISNUMBER(SEARCH('Müşteriler'!$B$2:$B$101,B1210)))=1,IFERROR(INDEX('Müşteriler'!$A$2:$A$101,SUMPRODUCT(('Müşteriler'!$B$2:$B$101&lt;&gt;"")*ISNUMBER(SEARCH('Müşteriler'!$B$2:$B$101,B1210)),ROW('Müşteriler'!$B$2:$B$101)-ROW('Müşteriler'!$B$2)+1)),""),""))</ns0:f>
        <ns0:v/>
      </ns0:c>
      <ns0:c r="G1210" s="28" t="str">
        <ns0:f>IF(F1210="","",IFERROR(INDEX('Müşteriler'!$C$2:$C$101,MATCH(F1210,'Müşteriler'!$A$2:$A$101,0)),""))</ns0:f>
        <ns0:v/>
      </ns0:c>
      <ns0:c r="H1210" s="28" t="str">
        <ns0:f>IF(A1210="","",IF(C1210&lt;=0,"Satış dışı",IF(OR(F1210="",G1210=""),"Eşleşmedi","Eşleşti")))</ns0:f>
        <ns0:v/>
      </ns0:c>
      <ns0:c r="I1210" s="28">
        <ns0:f>I1209+IF(AND(H1210="Eşleşmedi",E1210='Panel'!$B$4),1,0)</ns0:f>
        <ns0:v>3.0</ns0:v>
      </ns0:c>
    </ns0:row>
    <ns0:row r="1211" ht="21" customHeight="1">
      <ns0:c r="A1211" s="25" t="n"/>
      <ns0:c r="B1211" s="26" t="n"/>
      <ns0:c r="C1211" s="27" t="n"/>
      <ns0:c r="D1211" s="27" t="n"/>
      <ns0:c r="E1211" s="28" t="str">
        <ns0:f>IF(A1211="","",YEAR(A1211)&amp;"-"&amp;RIGHT("0"&amp;MONTH(A1211),2))</ns0:f>
        <ns0:v/>
      </ns0:c>
      <ns0:c r="F1211" s="28" t="str">
        <ns0:f>IF(OR(A1211="",B1211="",C1211&lt;=0),"",IF(SUMPRODUCT(('Müşteriler'!$B$2:$B$101&lt;&gt;"")*ISNUMBER(SEARCH('Müşteriler'!$B$2:$B$101,B1211)))=1,IFERROR(INDEX('Müşteriler'!$A$2:$A$101,SUMPRODUCT(('Müşteriler'!$B$2:$B$101&lt;&gt;"")*ISNUMBER(SEARCH('Müşteriler'!$B$2:$B$101,B1211)),ROW('Müşteriler'!$B$2:$B$101)-ROW('Müşteriler'!$B$2)+1)),""),""))</ns0:f>
        <ns0:v/>
      </ns0:c>
      <ns0:c r="G1211" s="28" t="str">
        <ns0:f>IF(F1211="","",IFERROR(INDEX('Müşteriler'!$C$2:$C$101,MATCH(F1211,'Müşteriler'!$A$2:$A$101,0)),""))</ns0:f>
        <ns0:v/>
      </ns0:c>
      <ns0:c r="H1211" s="28" t="str">
        <ns0:f>IF(A1211="","",IF(C1211&lt;=0,"Satış dışı",IF(OR(F1211="",G1211=""),"Eşleşmedi","Eşleşti")))</ns0:f>
        <ns0:v/>
      </ns0:c>
      <ns0:c r="I1211" s="28">
        <ns0:f>I1210+IF(AND(H1211="Eşleşmedi",E1211='Panel'!$B$4),1,0)</ns0:f>
        <ns0:v>3.0</ns0:v>
      </ns0:c>
    </ns0:row>
    <ns0:row r="1212" ht="21" customHeight="1">
      <ns0:c r="A1212" s="25" t="n"/>
      <ns0:c r="B1212" s="26" t="n"/>
      <ns0:c r="C1212" s="27" t="n"/>
      <ns0:c r="D1212" s="27" t="n"/>
      <ns0:c r="E1212" s="28" t="str">
        <ns0:f>IF(A1212="","",YEAR(A1212)&amp;"-"&amp;RIGHT("0"&amp;MONTH(A1212),2))</ns0:f>
        <ns0:v/>
      </ns0:c>
      <ns0:c r="F1212" s="28" t="str">
        <ns0:f>IF(OR(A1212="",B1212="",C1212&lt;=0),"",IF(SUMPRODUCT(('Müşteriler'!$B$2:$B$101&lt;&gt;"")*ISNUMBER(SEARCH('Müşteriler'!$B$2:$B$101,B1212)))=1,IFERROR(INDEX('Müşteriler'!$A$2:$A$101,SUMPRODUCT(('Müşteriler'!$B$2:$B$101&lt;&gt;"")*ISNUMBER(SEARCH('Müşteriler'!$B$2:$B$101,B1212)),ROW('Müşteriler'!$B$2:$B$101)-ROW('Müşteriler'!$B$2)+1)),""),""))</ns0:f>
        <ns0:v/>
      </ns0:c>
      <ns0:c r="G1212" s="28" t="str">
        <ns0:f>IF(F1212="","",IFERROR(INDEX('Müşteriler'!$C$2:$C$101,MATCH(F1212,'Müşteriler'!$A$2:$A$101,0)),""))</ns0:f>
        <ns0:v/>
      </ns0:c>
      <ns0:c r="H1212" s="28" t="str">
        <ns0:f>IF(A1212="","",IF(C1212&lt;=0,"Satış dışı",IF(OR(F1212="",G1212=""),"Eşleşmedi","Eşleşti")))</ns0:f>
        <ns0:v/>
      </ns0:c>
      <ns0:c r="I1212" s="28">
        <ns0:f>I1211+IF(AND(H1212="Eşleşmedi",E1212='Panel'!$B$4),1,0)</ns0:f>
        <ns0:v>3.0</ns0:v>
      </ns0:c>
    </ns0:row>
    <ns0:row r="1213" ht="21" customHeight="1">
      <ns0:c r="A1213" s="25" t="n"/>
      <ns0:c r="B1213" s="26" t="n"/>
      <ns0:c r="C1213" s="27" t="n"/>
      <ns0:c r="D1213" s="27" t="n"/>
      <ns0:c r="E1213" s="28" t="str">
        <ns0:f>IF(A1213="","",YEAR(A1213)&amp;"-"&amp;RIGHT("0"&amp;MONTH(A1213),2))</ns0:f>
        <ns0:v/>
      </ns0:c>
      <ns0:c r="F1213" s="28" t="str">
        <ns0:f>IF(OR(A1213="",B1213="",C1213&lt;=0),"",IF(SUMPRODUCT(('Müşteriler'!$B$2:$B$101&lt;&gt;"")*ISNUMBER(SEARCH('Müşteriler'!$B$2:$B$101,B1213)))=1,IFERROR(INDEX('Müşteriler'!$A$2:$A$101,SUMPRODUCT(('Müşteriler'!$B$2:$B$101&lt;&gt;"")*ISNUMBER(SEARCH('Müşteriler'!$B$2:$B$101,B1213)),ROW('Müşteriler'!$B$2:$B$101)-ROW('Müşteriler'!$B$2)+1)),""),""))</ns0:f>
        <ns0:v/>
      </ns0:c>
      <ns0:c r="G1213" s="28" t="str">
        <ns0:f>IF(F1213="","",IFERROR(INDEX('Müşteriler'!$C$2:$C$101,MATCH(F1213,'Müşteriler'!$A$2:$A$101,0)),""))</ns0:f>
        <ns0:v/>
      </ns0:c>
      <ns0:c r="H1213" s="28" t="str">
        <ns0:f>IF(A1213="","",IF(C1213&lt;=0,"Satış dışı",IF(OR(F1213="",G1213=""),"Eşleşmedi","Eşleşti")))</ns0:f>
        <ns0:v/>
      </ns0:c>
      <ns0:c r="I1213" s="28">
        <ns0:f>I1212+IF(AND(H1213="Eşleşmedi",E1213='Panel'!$B$4),1,0)</ns0:f>
        <ns0:v>3.0</ns0:v>
      </ns0:c>
    </ns0:row>
    <ns0:row r="1214" ht="21" customHeight="1">
      <ns0:c r="A1214" s="25" t="n"/>
      <ns0:c r="B1214" s="26" t="n"/>
      <ns0:c r="C1214" s="27" t="n"/>
      <ns0:c r="D1214" s="27" t="n"/>
      <ns0:c r="E1214" s="28" t="str">
        <ns0:f>IF(A1214="","",YEAR(A1214)&amp;"-"&amp;RIGHT("0"&amp;MONTH(A1214),2))</ns0:f>
        <ns0:v/>
      </ns0:c>
      <ns0:c r="F1214" s="28" t="str">
        <ns0:f>IF(OR(A1214="",B1214="",C1214&lt;=0),"",IF(SUMPRODUCT(('Müşteriler'!$B$2:$B$101&lt;&gt;"")*ISNUMBER(SEARCH('Müşteriler'!$B$2:$B$101,B1214)))=1,IFERROR(INDEX('Müşteriler'!$A$2:$A$101,SUMPRODUCT(('Müşteriler'!$B$2:$B$101&lt;&gt;"")*ISNUMBER(SEARCH('Müşteriler'!$B$2:$B$101,B1214)),ROW('Müşteriler'!$B$2:$B$101)-ROW('Müşteriler'!$B$2)+1)),""),""))</ns0:f>
        <ns0:v/>
      </ns0:c>
      <ns0:c r="G1214" s="28" t="str">
        <ns0:f>IF(F1214="","",IFERROR(INDEX('Müşteriler'!$C$2:$C$101,MATCH(F1214,'Müşteriler'!$A$2:$A$101,0)),""))</ns0:f>
        <ns0:v/>
      </ns0:c>
      <ns0:c r="H1214" s="28" t="str">
        <ns0:f>IF(A1214="","",IF(C1214&lt;=0,"Satış dışı",IF(OR(F1214="",G1214=""),"Eşleşmedi","Eşleşti")))</ns0:f>
        <ns0:v/>
      </ns0:c>
      <ns0:c r="I1214" s="28">
        <ns0:f>I1213+IF(AND(H1214="Eşleşmedi",E1214='Panel'!$B$4),1,0)</ns0:f>
        <ns0:v>3.0</ns0:v>
      </ns0:c>
    </ns0:row>
    <ns0:row r="1215" ht="21" customHeight="1">
      <ns0:c r="A1215" s="25" t="n"/>
      <ns0:c r="B1215" s="26" t="n"/>
      <ns0:c r="C1215" s="27" t="n"/>
      <ns0:c r="D1215" s="27" t="n"/>
      <ns0:c r="E1215" s="28" t="str">
        <ns0:f>IF(A1215="","",YEAR(A1215)&amp;"-"&amp;RIGHT("0"&amp;MONTH(A1215),2))</ns0:f>
        <ns0:v/>
      </ns0:c>
      <ns0:c r="F1215" s="28" t="str">
        <ns0:f>IF(OR(A1215="",B1215="",C1215&lt;=0),"",IF(SUMPRODUCT(('Müşteriler'!$B$2:$B$101&lt;&gt;"")*ISNUMBER(SEARCH('Müşteriler'!$B$2:$B$101,B1215)))=1,IFERROR(INDEX('Müşteriler'!$A$2:$A$101,SUMPRODUCT(('Müşteriler'!$B$2:$B$101&lt;&gt;"")*ISNUMBER(SEARCH('Müşteriler'!$B$2:$B$101,B1215)),ROW('Müşteriler'!$B$2:$B$101)-ROW('Müşteriler'!$B$2)+1)),""),""))</ns0:f>
        <ns0:v/>
      </ns0:c>
      <ns0:c r="G1215" s="28" t="str">
        <ns0:f>IF(F1215="","",IFERROR(INDEX('Müşteriler'!$C$2:$C$101,MATCH(F1215,'Müşteriler'!$A$2:$A$101,0)),""))</ns0:f>
        <ns0:v/>
      </ns0:c>
      <ns0:c r="H1215" s="28" t="str">
        <ns0:f>IF(A1215="","",IF(C1215&lt;=0,"Satış dışı",IF(OR(F1215="",G1215=""),"Eşleşmedi","Eşleşti")))</ns0:f>
        <ns0:v/>
      </ns0:c>
      <ns0:c r="I1215" s="28">
        <ns0:f>I1214+IF(AND(H1215="Eşleşmedi",E1215='Panel'!$B$4),1,0)</ns0:f>
        <ns0:v>3.0</ns0:v>
      </ns0:c>
    </ns0:row>
    <ns0:row r="1216" ht="21" customHeight="1">
      <ns0:c r="A1216" s="25" t="n"/>
      <ns0:c r="B1216" s="26" t="n"/>
      <ns0:c r="C1216" s="27" t="n"/>
      <ns0:c r="D1216" s="27" t="n"/>
      <ns0:c r="E1216" s="28" t="str">
        <ns0:f>IF(A1216="","",YEAR(A1216)&amp;"-"&amp;RIGHT("0"&amp;MONTH(A1216),2))</ns0:f>
        <ns0:v/>
      </ns0:c>
      <ns0:c r="F1216" s="28" t="str">
        <ns0:f>IF(OR(A1216="",B1216="",C1216&lt;=0),"",IF(SUMPRODUCT(('Müşteriler'!$B$2:$B$101&lt;&gt;"")*ISNUMBER(SEARCH('Müşteriler'!$B$2:$B$101,B1216)))=1,IFERROR(INDEX('Müşteriler'!$A$2:$A$101,SUMPRODUCT(('Müşteriler'!$B$2:$B$101&lt;&gt;"")*ISNUMBER(SEARCH('Müşteriler'!$B$2:$B$101,B1216)),ROW('Müşteriler'!$B$2:$B$101)-ROW('Müşteriler'!$B$2)+1)),""),""))</ns0:f>
        <ns0:v/>
      </ns0:c>
      <ns0:c r="G1216" s="28" t="str">
        <ns0:f>IF(F1216="","",IFERROR(INDEX('Müşteriler'!$C$2:$C$101,MATCH(F1216,'Müşteriler'!$A$2:$A$101,0)),""))</ns0:f>
        <ns0:v/>
      </ns0:c>
      <ns0:c r="H1216" s="28" t="str">
        <ns0:f>IF(A1216="","",IF(C1216&lt;=0,"Satış dışı",IF(OR(F1216="",G1216=""),"Eşleşmedi","Eşleşti")))</ns0:f>
        <ns0:v/>
      </ns0:c>
      <ns0:c r="I1216" s="28">
        <ns0:f>I1215+IF(AND(H1216="Eşleşmedi",E1216='Panel'!$B$4),1,0)</ns0:f>
        <ns0:v>3.0</ns0:v>
      </ns0:c>
    </ns0:row>
    <ns0:row r="1217" ht="21" customHeight="1">
      <ns0:c r="A1217" s="25" t="n"/>
      <ns0:c r="B1217" s="26" t="n"/>
      <ns0:c r="C1217" s="27" t="n"/>
      <ns0:c r="D1217" s="27" t="n"/>
      <ns0:c r="E1217" s="28" t="str">
        <ns0:f>IF(A1217="","",YEAR(A1217)&amp;"-"&amp;RIGHT("0"&amp;MONTH(A1217),2))</ns0:f>
        <ns0:v/>
      </ns0:c>
      <ns0:c r="F1217" s="28" t="str">
        <ns0:f>IF(OR(A1217="",B1217="",C1217&lt;=0),"",IF(SUMPRODUCT(('Müşteriler'!$B$2:$B$101&lt;&gt;"")*ISNUMBER(SEARCH('Müşteriler'!$B$2:$B$101,B1217)))=1,IFERROR(INDEX('Müşteriler'!$A$2:$A$101,SUMPRODUCT(('Müşteriler'!$B$2:$B$101&lt;&gt;"")*ISNUMBER(SEARCH('Müşteriler'!$B$2:$B$101,B1217)),ROW('Müşteriler'!$B$2:$B$101)-ROW('Müşteriler'!$B$2)+1)),""),""))</ns0:f>
        <ns0:v/>
      </ns0:c>
      <ns0:c r="G1217" s="28" t="str">
        <ns0:f>IF(F1217="","",IFERROR(INDEX('Müşteriler'!$C$2:$C$101,MATCH(F1217,'Müşteriler'!$A$2:$A$101,0)),""))</ns0:f>
        <ns0:v/>
      </ns0:c>
      <ns0:c r="H1217" s="28" t="str">
        <ns0:f>IF(A1217="","",IF(C1217&lt;=0,"Satış dışı",IF(OR(F1217="",G1217=""),"Eşleşmedi","Eşleşti")))</ns0:f>
        <ns0:v/>
      </ns0:c>
      <ns0:c r="I1217" s="28">
        <ns0:f>I1216+IF(AND(H1217="Eşleşmedi",E1217='Panel'!$B$4),1,0)</ns0:f>
        <ns0:v>3.0</ns0:v>
      </ns0:c>
    </ns0:row>
    <ns0:row r="1218" ht="21" customHeight="1">
      <ns0:c r="A1218" s="25" t="n"/>
      <ns0:c r="B1218" s="26" t="n"/>
      <ns0:c r="C1218" s="27" t="n"/>
      <ns0:c r="D1218" s="27" t="n"/>
      <ns0:c r="E1218" s="28" t="str">
        <ns0:f>IF(A1218="","",YEAR(A1218)&amp;"-"&amp;RIGHT("0"&amp;MONTH(A1218),2))</ns0:f>
        <ns0:v/>
      </ns0:c>
      <ns0:c r="F1218" s="28" t="str">
        <ns0:f>IF(OR(A1218="",B1218="",C1218&lt;=0),"",IF(SUMPRODUCT(('Müşteriler'!$B$2:$B$101&lt;&gt;"")*ISNUMBER(SEARCH('Müşteriler'!$B$2:$B$101,B1218)))=1,IFERROR(INDEX('Müşteriler'!$A$2:$A$101,SUMPRODUCT(('Müşteriler'!$B$2:$B$101&lt;&gt;"")*ISNUMBER(SEARCH('Müşteriler'!$B$2:$B$101,B1218)),ROW('Müşteriler'!$B$2:$B$101)-ROW('Müşteriler'!$B$2)+1)),""),""))</ns0:f>
        <ns0:v/>
      </ns0:c>
      <ns0:c r="G1218" s="28" t="str">
        <ns0:f>IF(F1218="","",IFERROR(INDEX('Müşteriler'!$C$2:$C$101,MATCH(F1218,'Müşteriler'!$A$2:$A$101,0)),""))</ns0:f>
        <ns0:v/>
      </ns0:c>
      <ns0:c r="H1218" s="28" t="str">
        <ns0:f>IF(A1218="","",IF(C1218&lt;=0,"Satış dışı",IF(OR(F1218="",G1218=""),"Eşleşmedi","Eşleşti")))</ns0:f>
        <ns0:v/>
      </ns0:c>
      <ns0:c r="I1218" s="28">
        <ns0:f>I1217+IF(AND(H1218="Eşleşmedi",E1218='Panel'!$B$4),1,0)</ns0:f>
        <ns0:v>3.0</ns0:v>
      </ns0:c>
    </ns0:row>
    <ns0:row r="1219" ht="21" customHeight="1">
      <ns0:c r="A1219" s="25" t="n"/>
      <ns0:c r="B1219" s="26" t="n"/>
      <ns0:c r="C1219" s="27" t="n"/>
      <ns0:c r="D1219" s="27" t="n"/>
      <ns0:c r="E1219" s="28" t="str">
        <ns0:f>IF(A1219="","",YEAR(A1219)&amp;"-"&amp;RIGHT("0"&amp;MONTH(A1219),2))</ns0:f>
        <ns0:v/>
      </ns0:c>
      <ns0:c r="F1219" s="28" t="str">
        <ns0:f>IF(OR(A1219="",B1219="",C1219&lt;=0),"",IF(SUMPRODUCT(('Müşteriler'!$B$2:$B$101&lt;&gt;"")*ISNUMBER(SEARCH('Müşteriler'!$B$2:$B$101,B1219)))=1,IFERROR(INDEX('Müşteriler'!$A$2:$A$101,SUMPRODUCT(('Müşteriler'!$B$2:$B$101&lt;&gt;"")*ISNUMBER(SEARCH('Müşteriler'!$B$2:$B$101,B1219)),ROW('Müşteriler'!$B$2:$B$101)-ROW('Müşteriler'!$B$2)+1)),""),""))</ns0:f>
        <ns0:v/>
      </ns0:c>
      <ns0:c r="G1219" s="28" t="str">
        <ns0:f>IF(F1219="","",IFERROR(INDEX('Müşteriler'!$C$2:$C$101,MATCH(F1219,'Müşteriler'!$A$2:$A$101,0)),""))</ns0:f>
        <ns0:v/>
      </ns0:c>
      <ns0:c r="H1219" s="28" t="str">
        <ns0:f>IF(A1219="","",IF(C1219&lt;=0,"Satış dışı",IF(OR(F1219="",G1219=""),"Eşleşmedi","Eşleşti")))</ns0:f>
        <ns0:v/>
      </ns0:c>
      <ns0:c r="I1219" s="28">
        <ns0:f>I1218+IF(AND(H1219="Eşleşmedi",E1219='Panel'!$B$4),1,0)</ns0:f>
        <ns0:v>3.0</ns0:v>
      </ns0:c>
    </ns0:row>
    <ns0:row r="1220" ht="21" customHeight="1">
      <ns0:c r="A1220" s="25" t="n"/>
      <ns0:c r="B1220" s="26" t="n"/>
      <ns0:c r="C1220" s="27" t="n"/>
      <ns0:c r="D1220" s="27" t="n"/>
      <ns0:c r="E1220" s="28" t="str">
        <ns0:f>IF(A1220="","",YEAR(A1220)&amp;"-"&amp;RIGHT("0"&amp;MONTH(A1220),2))</ns0:f>
        <ns0:v/>
      </ns0:c>
      <ns0:c r="F1220" s="28" t="str">
        <ns0:f>IF(OR(A1220="",B1220="",C1220&lt;=0),"",IF(SUMPRODUCT(('Müşteriler'!$B$2:$B$101&lt;&gt;"")*ISNUMBER(SEARCH('Müşteriler'!$B$2:$B$101,B1220)))=1,IFERROR(INDEX('Müşteriler'!$A$2:$A$101,SUMPRODUCT(('Müşteriler'!$B$2:$B$101&lt;&gt;"")*ISNUMBER(SEARCH('Müşteriler'!$B$2:$B$101,B1220)),ROW('Müşteriler'!$B$2:$B$101)-ROW('Müşteriler'!$B$2)+1)),""),""))</ns0:f>
        <ns0:v/>
      </ns0:c>
      <ns0:c r="G1220" s="28" t="str">
        <ns0:f>IF(F1220="","",IFERROR(INDEX('Müşteriler'!$C$2:$C$101,MATCH(F1220,'Müşteriler'!$A$2:$A$101,0)),""))</ns0:f>
        <ns0:v/>
      </ns0:c>
      <ns0:c r="H1220" s="28" t="str">
        <ns0:f>IF(A1220="","",IF(C1220&lt;=0,"Satış dışı",IF(OR(F1220="",G1220=""),"Eşleşmedi","Eşleşti")))</ns0:f>
        <ns0:v/>
      </ns0:c>
      <ns0:c r="I1220" s="28">
        <ns0:f>I1219+IF(AND(H1220="Eşleşmedi",E1220='Panel'!$B$4),1,0)</ns0:f>
        <ns0:v>3.0</ns0:v>
      </ns0:c>
    </ns0:row>
    <ns0:row r="1221" ht="21" customHeight="1">
      <ns0:c r="A1221" s="25" t="n"/>
      <ns0:c r="B1221" s="26" t="n"/>
      <ns0:c r="C1221" s="27" t="n"/>
      <ns0:c r="D1221" s="27" t="n"/>
      <ns0:c r="E1221" s="28" t="str">
        <ns0:f>IF(A1221="","",YEAR(A1221)&amp;"-"&amp;RIGHT("0"&amp;MONTH(A1221),2))</ns0:f>
        <ns0:v/>
      </ns0:c>
      <ns0:c r="F1221" s="28" t="str">
        <ns0:f>IF(OR(A1221="",B1221="",C1221&lt;=0),"",IF(SUMPRODUCT(('Müşteriler'!$B$2:$B$101&lt;&gt;"")*ISNUMBER(SEARCH('Müşteriler'!$B$2:$B$101,B1221)))=1,IFERROR(INDEX('Müşteriler'!$A$2:$A$101,SUMPRODUCT(('Müşteriler'!$B$2:$B$101&lt;&gt;"")*ISNUMBER(SEARCH('Müşteriler'!$B$2:$B$101,B1221)),ROW('Müşteriler'!$B$2:$B$101)-ROW('Müşteriler'!$B$2)+1)),""),""))</ns0:f>
        <ns0:v/>
      </ns0:c>
      <ns0:c r="G1221" s="28" t="str">
        <ns0:f>IF(F1221="","",IFERROR(INDEX('Müşteriler'!$C$2:$C$101,MATCH(F1221,'Müşteriler'!$A$2:$A$101,0)),""))</ns0:f>
        <ns0:v/>
      </ns0:c>
      <ns0:c r="H1221" s="28" t="str">
        <ns0:f>IF(A1221="","",IF(C1221&lt;=0,"Satış dışı",IF(OR(F1221="",G1221=""),"Eşleşmedi","Eşleşti")))</ns0:f>
        <ns0:v/>
      </ns0:c>
      <ns0:c r="I1221" s="28">
        <ns0:f>I1220+IF(AND(H1221="Eşleşmedi",E1221='Panel'!$B$4),1,0)</ns0:f>
        <ns0:v>3.0</ns0:v>
      </ns0:c>
    </ns0:row>
    <ns0:row r="1222" ht="21" customHeight="1">
      <ns0:c r="A1222" s="25" t="n"/>
      <ns0:c r="B1222" s="26" t="n"/>
      <ns0:c r="C1222" s="27" t="n"/>
      <ns0:c r="D1222" s="27" t="n"/>
      <ns0:c r="E1222" s="28" t="str">
        <ns0:f>IF(A1222="","",YEAR(A1222)&amp;"-"&amp;RIGHT("0"&amp;MONTH(A1222),2))</ns0:f>
        <ns0:v/>
      </ns0:c>
      <ns0:c r="F1222" s="28" t="str">
        <ns0:f>IF(OR(A1222="",B1222="",C1222&lt;=0),"",IF(SUMPRODUCT(('Müşteriler'!$B$2:$B$101&lt;&gt;"")*ISNUMBER(SEARCH('Müşteriler'!$B$2:$B$101,B1222)))=1,IFERROR(INDEX('Müşteriler'!$A$2:$A$101,SUMPRODUCT(('Müşteriler'!$B$2:$B$101&lt;&gt;"")*ISNUMBER(SEARCH('Müşteriler'!$B$2:$B$101,B1222)),ROW('Müşteriler'!$B$2:$B$101)-ROW('Müşteriler'!$B$2)+1)),""),""))</ns0:f>
        <ns0:v/>
      </ns0:c>
      <ns0:c r="G1222" s="28" t="str">
        <ns0:f>IF(F1222="","",IFERROR(INDEX('Müşteriler'!$C$2:$C$101,MATCH(F1222,'Müşteriler'!$A$2:$A$101,0)),""))</ns0:f>
        <ns0:v/>
      </ns0:c>
      <ns0:c r="H1222" s="28" t="str">
        <ns0:f>IF(A1222="","",IF(C1222&lt;=0,"Satış dışı",IF(OR(F1222="",G1222=""),"Eşleşmedi","Eşleşti")))</ns0:f>
        <ns0:v/>
      </ns0:c>
      <ns0:c r="I1222" s="28">
        <ns0:f>I1221+IF(AND(H1222="Eşleşmedi",E1222='Panel'!$B$4),1,0)</ns0:f>
        <ns0:v>3.0</ns0:v>
      </ns0:c>
    </ns0:row>
    <ns0:row r="1223" ht="21" customHeight="1">
      <ns0:c r="A1223" s="25" t="n"/>
      <ns0:c r="B1223" s="26" t="n"/>
      <ns0:c r="C1223" s="27" t="n"/>
      <ns0:c r="D1223" s="27" t="n"/>
      <ns0:c r="E1223" s="28" t="str">
        <ns0:f>IF(A1223="","",YEAR(A1223)&amp;"-"&amp;RIGHT("0"&amp;MONTH(A1223),2))</ns0:f>
        <ns0:v/>
      </ns0:c>
      <ns0:c r="F1223" s="28" t="str">
        <ns0:f>IF(OR(A1223="",B1223="",C1223&lt;=0),"",IF(SUMPRODUCT(('Müşteriler'!$B$2:$B$101&lt;&gt;"")*ISNUMBER(SEARCH('Müşteriler'!$B$2:$B$101,B1223)))=1,IFERROR(INDEX('Müşteriler'!$A$2:$A$101,SUMPRODUCT(('Müşteriler'!$B$2:$B$101&lt;&gt;"")*ISNUMBER(SEARCH('Müşteriler'!$B$2:$B$101,B1223)),ROW('Müşteriler'!$B$2:$B$101)-ROW('Müşteriler'!$B$2)+1)),""),""))</ns0:f>
        <ns0:v/>
      </ns0:c>
      <ns0:c r="G1223" s="28" t="str">
        <ns0:f>IF(F1223="","",IFERROR(INDEX('Müşteriler'!$C$2:$C$101,MATCH(F1223,'Müşteriler'!$A$2:$A$101,0)),""))</ns0:f>
        <ns0:v/>
      </ns0:c>
      <ns0:c r="H1223" s="28" t="str">
        <ns0:f>IF(A1223="","",IF(C1223&lt;=0,"Satış dışı",IF(OR(F1223="",G1223=""),"Eşleşmedi","Eşleşti")))</ns0:f>
        <ns0:v/>
      </ns0:c>
      <ns0:c r="I1223" s="28">
        <ns0:f>I1222+IF(AND(H1223="Eşleşmedi",E1223='Panel'!$B$4),1,0)</ns0:f>
        <ns0:v>3.0</ns0:v>
      </ns0:c>
    </ns0:row>
    <ns0:row r="1224" ht="21" customHeight="1">
      <ns0:c r="A1224" s="25" t="n"/>
      <ns0:c r="B1224" s="26" t="n"/>
      <ns0:c r="C1224" s="27" t="n"/>
      <ns0:c r="D1224" s="27" t="n"/>
      <ns0:c r="E1224" s="28" t="str">
        <ns0:f>IF(A1224="","",YEAR(A1224)&amp;"-"&amp;RIGHT("0"&amp;MONTH(A1224),2))</ns0:f>
        <ns0:v/>
      </ns0:c>
      <ns0:c r="F1224" s="28" t="str">
        <ns0:f>IF(OR(A1224="",B1224="",C1224&lt;=0),"",IF(SUMPRODUCT(('Müşteriler'!$B$2:$B$101&lt;&gt;"")*ISNUMBER(SEARCH('Müşteriler'!$B$2:$B$101,B1224)))=1,IFERROR(INDEX('Müşteriler'!$A$2:$A$101,SUMPRODUCT(('Müşteriler'!$B$2:$B$101&lt;&gt;"")*ISNUMBER(SEARCH('Müşteriler'!$B$2:$B$101,B1224)),ROW('Müşteriler'!$B$2:$B$101)-ROW('Müşteriler'!$B$2)+1)),""),""))</ns0:f>
        <ns0:v/>
      </ns0:c>
      <ns0:c r="G1224" s="28" t="str">
        <ns0:f>IF(F1224="","",IFERROR(INDEX('Müşteriler'!$C$2:$C$101,MATCH(F1224,'Müşteriler'!$A$2:$A$101,0)),""))</ns0:f>
        <ns0:v/>
      </ns0:c>
      <ns0:c r="H1224" s="28" t="str">
        <ns0:f>IF(A1224="","",IF(C1224&lt;=0,"Satış dışı",IF(OR(F1224="",G1224=""),"Eşleşmedi","Eşleşti")))</ns0:f>
        <ns0:v/>
      </ns0:c>
      <ns0:c r="I1224" s="28">
        <ns0:f>I1223+IF(AND(H1224="Eşleşmedi",E1224='Panel'!$B$4),1,0)</ns0:f>
        <ns0:v>3.0</ns0:v>
      </ns0:c>
    </ns0:row>
    <ns0:row r="1225" ht="21" customHeight="1">
      <ns0:c r="A1225" s="25" t="n"/>
      <ns0:c r="B1225" s="26" t="n"/>
      <ns0:c r="C1225" s="27" t="n"/>
      <ns0:c r="D1225" s="27" t="n"/>
      <ns0:c r="E1225" s="28" t="str">
        <ns0:f>IF(A1225="","",YEAR(A1225)&amp;"-"&amp;RIGHT("0"&amp;MONTH(A1225),2))</ns0:f>
        <ns0:v/>
      </ns0:c>
      <ns0:c r="F1225" s="28" t="str">
        <ns0:f>IF(OR(A1225="",B1225="",C1225&lt;=0),"",IF(SUMPRODUCT(('Müşteriler'!$B$2:$B$101&lt;&gt;"")*ISNUMBER(SEARCH('Müşteriler'!$B$2:$B$101,B1225)))=1,IFERROR(INDEX('Müşteriler'!$A$2:$A$101,SUMPRODUCT(('Müşteriler'!$B$2:$B$101&lt;&gt;"")*ISNUMBER(SEARCH('Müşteriler'!$B$2:$B$101,B1225)),ROW('Müşteriler'!$B$2:$B$101)-ROW('Müşteriler'!$B$2)+1)),""),""))</ns0:f>
        <ns0:v/>
      </ns0:c>
      <ns0:c r="G1225" s="28" t="str">
        <ns0:f>IF(F1225="","",IFERROR(INDEX('Müşteriler'!$C$2:$C$101,MATCH(F1225,'Müşteriler'!$A$2:$A$101,0)),""))</ns0:f>
        <ns0:v/>
      </ns0:c>
      <ns0:c r="H1225" s="28" t="str">
        <ns0:f>IF(A1225="","",IF(C1225&lt;=0,"Satış dışı",IF(OR(F1225="",G1225=""),"Eşleşmedi","Eşleşti")))</ns0:f>
        <ns0:v/>
      </ns0:c>
      <ns0:c r="I1225" s="28">
        <ns0:f>I1224+IF(AND(H1225="Eşleşmedi",E1225='Panel'!$B$4),1,0)</ns0:f>
        <ns0:v>3.0</ns0:v>
      </ns0:c>
    </ns0:row>
    <ns0:row r="1226" ht="21" customHeight="1">
      <ns0:c r="A1226" s="25" t="n"/>
      <ns0:c r="B1226" s="26" t="n"/>
      <ns0:c r="C1226" s="27" t="n"/>
      <ns0:c r="D1226" s="27" t="n"/>
      <ns0:c r="E1226" s="28" t="str">
        <ns0:f>IF(A1226="","",YEAR(A1226)&amp;"-"&amp;RIGHT("0"&amp;MONTH(A1226),2))</ns0:f>
        <ns0:v/>
      </ns0:c>
      <ns0:c r="F1226" s="28" t="str">
        <ns0:f>IF(OR(A1226="",B1226="",C1226&lt;=0),"",IF(SUMPRODUCT(('Müşteriler'!$B$2:$B$101&lt;&gt;"")*ISNUMBER(SEARCH('Müşteriler'!$B$2:$B$101,B1226)))=1,IFERROR(INDEX('Müşteriler'!$A$2:$A$101,SUMPRODUCT(('Müşteriler'!$B$2:$B$101&lt;&gt;"")*ISNUMBER(SEARCH('Müşteriler'!$B$2:$B$101,B1226)),ROW('Müşteriler'!$B$2:$B$101)-ROW('Müşteriler'!$B$2)+1)),""),""))</ns0:f>
        <ns0:v/>
      </ns0:c>
      <ns0:c r="G1226" s="28" t="str">
        <ns0:f>IF(F1226="","",IFERROR(INDEX('Müşteriler'!$C$2:$C$101,MATCH(F1226,'Müşteriler'!$A$2:$A$101,0)),""))</ns0:f>
        <ns0:v/>
      </ns0:c>
      <ns0:c r="H1226" s="28" t="str">
        <ns0:f>IF(A1226="","",IF(C1226&lt;=0,"Satış dışı",IF(OR(F1226="",G1226=""),"Eşleşmedi","Eşleşti")))</ns0:f>
        <ns0:v/>
      </ns0:c>
      <ns0:c r="I1226" s="28">
        <ns0:f>I1225+IF(AND(H1226="Eşleşmedi",E1226='Panel'!$B$4),1,0)</ns0:f>
        <ns0:v>3.0</ns0:v>
      </ns0:c>
    </ns0:row>
    <ns0:row r="1227" ht="21" customHeight="1">
      <ns0:c r="A1227" s="25" t="n"/>
      <ns0:c r="B1227" s="26" t="n"/>
      <ns0:c r="C1227" s="27" t="n"/>
      <ns0:c r="D1227" s="27" t="n"/>
      <ns0:c r="E1227" s="28" t="str">
        <ns0:f>IF(A1227="","",YEAR(A1227)&amp;"-"&amp;RIGHT("0"&amp;MONTH(A1227),2))</ns0:f>
        <ns0:v/>
      </ns0:c>
      <ns0:c r="F1227" s="28" t="str">
        <ns0:f>IF(OR(A1227="",B1227="",C1227&lt;=0),"",IF(SUMPRODUCT(('Müşteriler'!$B$2:$B$101&lt;&gt;"")*ISNUMBER(SEARCH('Müşteriler'!$B$2:$B$101,B1227)))=1,IFERROR(INDEX('Müşteriler'!$A$2:$A$101,SUMPRODUCT(('Müşteriler'!$B$2:$B$101&lt;&gt;"")*ISNUMBER(SEARCH('Müşteriler'!$B$2:$B$101,B1227)),ROW('Müşteriler'!$B$2:$B$101)-ROW('Müşteriler'!$B$2)+1)),""),""))</ns0:f>
        <ns0:v/>
      </ns0:c>
      <ns0:c r="G1227" s="28" t="str">
        <ns0:f>IF(F1227="","",IFERROR(INDEX('Müşteriler'!$C$2:$C$101,MATCH(F1227,'Müşteriler'!$A$2:$A$101,0)),""))</ns0:f>
        <ns0:v/>
      </ns0:c>
      <ns0:c r="H1227" s="28" t="str">
        <ns0:f>IF(A1227="","",IF(C1227&lt;=0,"Satış dışı",IF(OR(F1227="",G1227=""),"Eşleşmedi","Eşleşti")))</ns0:f>
        <ns0:v/>
      </ns0:c>
      <ns0:c r="I1227" s="28">
        <ns0:f>I1226+IF(AND(H1227="Eşleşmedi",E1227='Panel'!$B$4),1,0)</ns0:f>
        <ns0:v>3.0</ns0:v>
      </ns0:c>
    </ns0:row>
    <ns0:row r="1228" ht="21" customHeight="1">
      <ns0:c r="A1228" s="25" t="n"/>
      <ns0:c r="B1228" s="26" t="n"/>
      <ns0:c r="C1228" s="27" t="n"/>
      <ns0:c r="D1228" s="27" t="n"/>
      <ns0:c r="E1228" s="28" t="str">
        <ns0:f>IF(A1228="","",YEAR(A1228)&amp;"-"&amp;RIGHT("0"&amp;MONTH(A1228),2))</ns0:f>
        <ns0:v/>
      </ns0:c>
      <ns0:c r="F1228" s="28" t="str">
        <ns0:f>IF(OR(A1228="",B1228="",C1228&lt;=0),"",IF(SUMPRODUCT(('Müşteriler'!$B$2:$B$101&lt;&gt;"")*ISNUMBER(SEARCH('Müşteriler'!$B$2:$B$101,B1228)))=1,IFERROR(INDEX('Müşteriler'!$A$2:$A$101,SUMPRODUCT(('Müşteriler'!$B$2:$B$101&lt;&gt;"")*ISNUMBER(SEARCH('Müşteriler'!$B$2:$B$101,B1228)),ROW('Müşteriler'!$B$2:$B$101)-ROW('Müşteriler'!$B$2)+1)),""),""))</ns0:f>
        <ns0:v/>
      </ns0:c>
      <ns0:c r="G1228" s="28" t="str">
        <ns0:f>IF(F1228="","",IFERROR(INDEX('Müşteriler'!$C$2:$C$101,MATCH(F1228,'Müşteriler'!$A$2:$A$101,0)),""))</ns0:f>
        <ns0:v/>
      </ns0:c>
      <ns0:c r="H1228" s="28" t="str">
        <ns0:f>IF(A1228="","",IF(C1228&lt;=0,"Satış dışı",IF(OR(F1228="",G1228=""),"Eşleşmedi","Eşleşti")))</ns0:f>
        <ns0:v/>
      </ns0:c>
      <ns0:c r="I1228" s="28">
        <ns0:f>I1227+IF(AND(H1228="Eşleşmedi",E1228='Panel'!$B$4),1,0)</ns0:f>
        <ns0:v>3.0</ns0:v>
      </ns0:c>
    </ns0:row>
    <ns0:row r="1229" ht="21" customHeight="1">
      <ns0:c r="A1229" s="25" t="n"/>
      <ns0:c r="B1229" s="26" t="n"/>
      <ns0:c r="C1229" s="27" t="n"/>
      <ns0:c r="D1229" s="27" t="n"/>
      <ns0:c r="E1229" s="28" t="str">
        <ns0:f>IF(A1229="","",YEAR(A1229)&amp;"-"&amp;RIGHT("0"&amp;MONTH(A1229),2))</ns0:f>
        <ns0:v/>
      </ns0:c>
      <ns0:c r="F1229" s="28" t="str">
        <ns0:f>IF(OR(A1229="",B1229="",C1229&lt;=0),"",IF(SUMPRODUCT(('Müşteriler'!$B$2:$B$101&lt;&gt;"")*ISNUMBER(SEARCH('Müşteriler'!$B$2:$B$101,B1229)))=1,IFERROR(INDEX('Müşteriler'!$A$2:$A$101,SUMPRODUCT(('Müşteriler'!$B$2:$B$101&lt;&gt;"")*ISNUMBER(SEARCH('Müşteriler'!$B$2:$B$101,B1229)),ROW('Müşteriler'!$B$2:$B$101)-ROW('Müşteriler'!$B$2)+1)),""),""))</ns0:f>
        <ns0:v/>
      </ns0:c>
      <ns0:c r="G1229" s="28" t="str">
        <ns0:f>IF(F1229="","",IFERROR(INDEX('Müşteriler'!$C$2:$C$101,MATCH(F1229,'Müşteriler'!$A$2:$A$101,0)),""))</ns0:f>
        <ns0:v/>
      </ns0:c>
      <ns0:c r="H1229" s="28" t="str">
        <ns0:f>IF(A1229="","",IF(C1229&lt;=0,"Satış dışı",IF(OR(F1229="",G1229=""),"Eşleşmedi","Eşleşti")))</ns0:f>
        <ns0:v/>
      </ns0:c>
      <ns0:c r="I1229" s="28">
        <ns0:f>I1228+IF(AND(H1229="Eşleşmedi",E1229='Panel'!$B$4),1,0)</ns0:f>
        <ns0:v>3.0</ns0:v>
      </ns0:c>
    </ns0:row>
    <ns0:row r="1230" ht="21" customHeight="1">
      <ns0:c r="A1230" s="25" t="n"/>
      <ns0:c r="B1230" s="26" t="n"/>
      <ns0:c r="C1230" s="27" t="n"/>
      <ns0:c r="D1230" s="27" t="n"/>
      <ns0:c r="E1230" s="28" t="str">
        <ns0:f>IF(A1230="","",YEAR(A1230)&amp;"-"&amp;RIGHT("0"&amp;MONTH(A1230),2))</ns0:f>
        <ns0:v/>
      </ns0:c>
      <ns0:c r="F1230" s="28" t="str">
        <ns0:f>IF(OR(A1230="",B1230="",C1230&lt;=0),"",IF(SUMPRODUCT(('Müşteriler'!$B$2:$B$101&lt;&gt;"")*ISNUMBER(SEARCH('Müşteriler'!$B$2:$B$101,B1230)))=1,IFERROR(INDEX('Müşteriler'!$A$2:$A$101,SUMPRODUCT(('Müşteriler'!$B$2:$B$101&lt;&gt;"")*ISNUMBER(SEARCH('Müşteriler'!$B$2:$B$101,B1230)),ROW('Müşteriler'!$B$2:$B$101)-ROW('Müşteriler'!$B$2)+1)),""),""))</ns0:f>
        <ns0:v/>
      </ns0:c>
      <ns0:c r="G1230" s="28" t="str">
        <ns0:f>IF(F1230="","",IFERROR(INDEX('Müşteriler'!$C$2:$C$101,MATCH(F1230,'Müşteriler'!$A$2:$A$101,0)),""))</ns0:f>
        <ns0:v/>
      </ns0:c>
      <ns0:c r="H1230" s="28" t="str">
        <ns0:f>IF(A1230="","",IF(C1230&lt;=0,"Satış dışı",IF(OR(F1230="",G1230=""),"Eşleşmedi","Eşleşti")))</ns0:f>
        <ns0:v/>
      </ns0:c>
      <ns0:c r="I1230" s="28">
        <ns0:f>I1229+IF(AND(H1230="Eşleşmedi",E1230='Panel'!$B$4),1,0)</ns0:f>
        <ns0:v>3.0</ns0:v>
      </ns0:c>
    </ns0:row>
    <ns0:row r="1231" ht="21" customHeight="1">
      <ns0:c r="A1231" s="25" t="n"/>
      <ns0:c r="B1231" s="26" t="n"/>
      <ns0:c r="C1231" s="27" t="n"/>
      <ns0:c r="D1231" s="27" t="n"/>
      <ns0:c r="E1231" s="28" t="str">
        <ns0:f>IF(A1231="","",YEAR(A1231)&amp;"-"&amp;RIGHT("0"&amp;MONTH(A1231),2))</ns0:f>
        <ns0:v/>
      </ns0:c>
      <ns0:c r="F1231" s="28" t="str">
        <ns0:f>IF(OR(A1231="",B1231="",C1231&lt;=0),"",IF(SUMPRODUCT(('Müşteriler'!$B$2:$B$101&lt;&gt;"")*ISNUMBER(SEARCH('Müşteriler'!$B$2:$B$101,B1231)))=1,IFERROR(INDEX('Müşteriler'!$A$2:$A$101,SUMPRODUCT(('Müşteriler'!$B$2:$B$101&lt;&gt;"")*ISNUMBER(SEARCH('Müşteriler'!$B$2:$B$101,B1231)),ROW('Müşteriler'!$B$2:$B$101)-ROW('Müşteriler'!$B$2)+1)),""),""))</ns0:f>
        <ns0:v/>
      </ns0:c>
      <ns0:c r="G1231" s="28" t="str">
        <ns0:f>IF(F1231="","",IFERROR(INDEX('Müşteriler'!$C$2:$C$101,MATCH(F1231,'Müşteriler'!$A$2:$A$101,0)),""))</ns0:f>
        <ns0:v/>
      </ns0:c>
      <ns0:c r="H1231" s="28" t="str">
        <ns0:f>IF(A1231="","",IF(C1231&lt;=0,"Satış dışı",IF(OR(F1231="",G1231=""),"Eşleşmedi","Eşleşti")))</ns0:f>
        <ns0:v/>
      </ns0:c>
      <ns0:c r="I1231" s="28">
        <ns0:f>I1230+IF(AND(H1231="Eşleşmedi",E1231='Panel'!$B$4),1,0)</ns0:f>
        <ns0:v>3.0</ns0:v>
      </ns0:c>
    </ns0:row>
    <ns0:row r="1232" ht="21" customHeight="1">
      <ns0:c r="A1232" s="25" t="n"/>
      <ns0:c r="B1232" s="26" t="n"/>
      <ns0:c r="C1232" s="27" t="n"/>
      <ns0:c r="D1232" s="27" t="n"/>
      <ns0:c r="E1232" s="28" t="str">
        <ns0:f>IF(A1232="","",YEAR(A1232)&amp;"-"&amp;RIGHT("0"&amp;MONTH(A1232),2))</ns0:f>
        <ns0:v/>
      </ns0:c>
      <ns0:c r="F1232" s="28" t="str">
        <ns0:f>IF(OR(A1232="",B1232="",C1232&lt;=0),"",IF(SUMPRODUCT(('Müşteriler'!$B$2:$B$101&lt;&gt;"")*ISNUMBER(SEARCH('Müşteriler'!$B$2:$B$101,B1232)))=1,IFERROR(INDEX('Müşteriler'!$A$2:$A$101,SUMPRODUCT(('Müşteriler'!$B$2:$B$101&lt;&gt;"")*ISNUMBER(SEARCH('Müşteriler'!$B$2:$B$101,B1232)),ROW('Müşteriler'!$B$2:$B$101)-ROW('Müşteriler'!$B$2)+1)),""),""))</ns0:f>
        <ns0:v/>
      </ns0:c>
      <ns0:c r="G1232" s="28" t="str">
        <ns0:f>IF(F1232="","",IFERROR(INDEX('Müşteriler'!$C$2:$C$101,MATCH(F1232,'Müşteriler'!$A$2:$A$101,0)),""))</ns0:f>
        <ns0:v/>
      </ns0:c>
      <ns0:c r="H1232" s="28" t="str">
        <ns0:f>IF(A1232="","",IF(C1232&lt;=0,"Satış dışı",IF(OR(F1232="",G1232=""),"Eşleşmedi","Eşleşti")))</ns0:f>
        <ns0:v/>
      </ns0:c>
      <ns0:c r="I1232" s="28">
        <ns0:f>I1231+IF(AND(H1232="Eşleşmedi",E1232='Panel'!$B$4),1,0)</ns0:f>
        <ns0:v>3.0</ns0:v>
      </ns0:c>
    </ns0:row>
    <ns0:row r="1233" ht="21" customHeight="1">
      <ns0:c r="A1233" s="25" t="n"/>
      <ns0:c r="B1233" s="26" t="n"/>
      <ns0:c r="C1233" s="27" t="n"/>
      <ns0:c r="D1233" s="27" t="n"/>
      <ns0:c r="E1233" s="28" t="str">
        <ns0:f>IF(A1233="","",YEAR(A1233)&amp;"-"&amp;RIGHT("0"&amp;MONTH(A1233),2))</ns0:f>
        <ns0:v/>
      </ns0:c>
      <ns0:c r="F1233" s="28" t="str">
        <ns0:f>IF(OR(A1233="",B1233="",C1233&lt;=0),"",IF(SUMPRODUCT(('Müşteriler'!$B$2:$B$101&lt;&gt;"")*ISNUMBER(SEARCH('Müşteriler'!$B$2:$B$101,B1233)))=1,IFERROR(INDEX('Müşteriler'!$A$2:$A$101,SUMPRODUCT(('Müşteriler'!$B$2:$B$101&lt;&gt;"")*ISNUMBER(SEARCH('Müşteriler'!$B$2:$B$101,B1233)),ROW('Müşteriler'!$B$2:$B$101)-ROW('Müşteriler'!$B$2)+1)),""),""))</ns0:f>
        <ns0:v/>
      </ns0:c>
      <ns0:c r="G1233" s="28" t="str">
        <ns0:f>IF(F1233="","",IFERROR(INDEX('Müşteriler'!$C$2:$C$101,MATCH(F1233,'Müşteriler'!$A$2:$A$101,0)),""))</ns0:f>
        <ns0:v/>
      </ns0:c>
      <ns0:c r="H1233" s="28" t="str">
        <ns0:f>IF(A1233="","",IF(C1233&lt;=0,"Satış dışı",IF(OR(F1233="",G1233=""),"Eşleşmedi","Eşleşti")))</ns0:f>
        <ns0:v/>
      </ns0:c>
      <ns0:c r="I1233" s="28">
        <ns0:f>I1232+IF(AND(H1233="Eşleşmedi",E1233='Panel'!$B$4),1,0)</ns0:f>
        <ns0:v>3.0</ns0:v>
      </ns0:c>
    </ns0:row>
    <ns0:row r="1234" ht="21" customHeight="1">
      <ns0:c r="A1234" s="25" t="n"/>
      <ns0:c r="B1234" s="26" t="n"/>
      <ns0:c r="C1234" s="27" t="n"/>
      <ns0:c r="D1234" s="27" t="n"/>
      <ns0:c r="E1234" s="28" t="str">
        <ns0:f>IF(A1234="","",YEAR(A1234)&amp;"-"&amp;RIGHT("0"&amp;MONTH(A1234),2))</ns0:f>
        <ns0:v/>
      </ns0:c>
      <ns0:c r="F1234" s="28" t="str">
        <ns0:f>IF(OR(A1234="",B1234="",C1234&lt;=0),"",IF(SUMPRODUCT(('Müşteriler'!$B$2:$B$101&lt;&gt;"")*ISNUMBER(SEARCH('Müşteriler'!$B$2:$B$101,B1234)))=1,IFERROR(INDEX('Müşteriler'!$A$2:$A$101,SUMPRODUCT(('Müşteriler'!$B$2:$B$101&lt;&gt;"")*ISNUMBER(SEARCH('Müşteriler'!$B$2:$B$101,B1234)),ROW('Müşteriler'!$B$2:$B$101)-ROW('Müşteriler'!$B$2)+1)),""),""))</ns0:f>
        <ns0:v/>
      </ns0:c>
      <ns0:c r="G1234" s="28" t="str">
        <ns0:f>IF(F1234="","",IFERROR(INDEX('Müşteriler'!$C$2:$C$101,MATCH(F1234,'Müşteriler'!$A$2:$A$101,0)),""))</ns0:f>
        <ns0:v/>
      </ns0:c>
      <ns0:c r="H1234" s="28" t="str">
        <ns0:f>IF(A1234="","",IF(C1234&lt;=0,"Satış dışı",IF(OR(F1234="",G1234=""),"Eşleşmedi","Eşleşti")))</ns0:f>
        <ns0:v/>
      </ns0:c>
      <ns0:c r="I1234" s="28">
        <ns0:f>I1233+IF(AND(H1234="Eşleşmedi",E1234='Panel'!$B$4),1,0)</ns0:f>
        <ns0:v>3.0</ns0:v>
      </ns0:c>
    </ns0:row>
    <ns0:row r="1235" ht="21" customHeight="1">
      <ns0:c r="A1235" s="25" t="n"/>
      <ns0:c r="B1235" s="26" t="n"/>
      <ns0:c r="C1235" s="27" t="n"/>
      <ns0:c r="D1235" s="27" t="n"/>
      <ns0:c r="E1235" s="28" t="str">
        <ns0:f>IF(A1235="","",YEAR(A1235)&amp;"-"&amp;RIGHT("0"&amp;MONTH(A1235),2))</ns0:f>
        <ns0:v/>
      </ns0:c>
      <ns0:c r="F1235" s="28" t="str">
        <ns0:f>IF(OR(A1235="",B1235="",C1235&lt;=0),"",IF(SUMPRODUCT(('Müşteriler'!$B$2:$B$101&lt;&gt;"")*ISNUMBER(SEARCH('Müşteriler'!$B$2:$B$101,B1235)))=1,IFERROR(INDEX('Müşteriler'!$A$2:$A$101,SUMPRODUCT(('Müşteriler'!$B$2:$B$101&lt;&gt;"")*ISNUMBER(SEARCH('Müşteriler'!$B$2:$B$101,B1235)),ROW('Müşteriler'!$B$2:$B$101)-ROW('Müşteriler'!$B$2)+1)),""),""))</ns0:f>
        <ns0:v/>
      </ns0:c>
      <ns0:c r="G1235" s="28" t="str">
        <ns0:f>IF(F1235="","",IFERROR(INDEX('Müşteriler'!$C$2:$C$101,MATCH(F1235,'Müşteriler'!$A$2:$A$101,0)),""))</ns0:f>
        <ns0:v/>
      </ns0:c>
      <ns0:c r="H1235" s="28" t="str">
        <ns0:f>IF(A1235="","",IF(C1235&lt;=0,"Satış dışı",IF(OR(F1235="",G1235=""),"Eşleşmedi","Eşleşti")))</ns0:f>
        <ns0:v/>
      </ns0:c>
      <ns0:c r="I1235" s="28">
        <ns0:f>I1234+IF(AND(H1235="Eşleşmedi",E1235='Panel'!$B$4),1,0)</ns0:f>
        <ns0:v>3.0</ns0:v>
      </ns0:c>
    </ns0:row>
    <ns0:row r="1236" ht="21" customHeight="1">
      <ns0:c r="A1236" s="25" t="n"/>
      <ns0:c r="B1236" s="26" t="n"/>
      <ns0:c r="C1236" s="27" t="n"/>
      <ns0:c r="D1236" s="27" t="n"/>
      <ns0:c r="E1236" s="28" t="str">
        <ns0:f>IF(A1236="","",YEAR(A1236)&amp;"-"&amp;RIGHT("0"&amp;MONTH(A1236),2))</ns0:f>
        <ns0:v/>
      </ns0:c>
      <ns0:c r="F1236" s="28" t="str">
        <ns0:f>IF(OR(A1236="",B1236="",C1236&lt;=0),"",IF(SUMPRODUCT(('Müşteriler'!$B$2:$B$101&lt;&gt;"")*ISNUMBER(SEARCH('Müşteriler'!$B$2:$B$101,B1236)))=1,IFERROR(INDEX('Müşteriler'!$A$2:$A$101,SUMPRODUCT(('Müşteriler'!$B$2:$B$101&lt;&gt;"")*ISNUMBER(SEARCH('Müşteriler'!$B$2:$B$101,B1236)),ROW('Müşteriler'!$B$2:$B$101)-ROW('Müşteriler'!$B$2)+1)),""),""))</ns0:f>
        <ns0:v/>
      </ns0:c>
      <ns0:c r="G1236" s="28" t="str">
        <ns0:f>IF(F1236="","",IFERROR(INDEX('Müşteriler'!$C$2:$C$101,MATCH(F1236,'Müşteriler'!$A$2:$A$101,0)),""))</ns0:f>
        <ns0:v/>
      </ns0:c>
      <ns0:c r="H1236" s="28" t="str">
        <ns0:f>IF(A1236="","",IF(C1236&lt;=0,"Satış dışı",IF(OR(F1236="",G1236=""),"Eşleşmedi","Eşleşti")))</ns0:f>
        <ns0:v/>
      </ns0:c>
      <ns0:c r="I1236" s="28">
        <ns0:f>I1235+IF(AND(H1236="Eşleşmedi",E1236='Panel'!$B$4),1,0)</ns0:f>
        <ns0:v>3.0</ns0:v>
      </ns0:c>
    </ns0:row>
    <ns0:row r="1237" ht="21" customHeight="1">
      <ns0:c r="A1237" s="25" t="n"/>
      <ns0:c r="B1237" s="26" t="n"/>
      <ns0:c r="C1237" s="27" t="n"/>
      <ns0:c r="D1237" s="27" t="n"/>
      <ns0:c r="E1237" s="28" t="str">
        <ns0:f>IF(A1237="","",YEAR(A1237)&amp;"-"&amp;RIGHT("0"&amp;MONTH(A1237),2))</ns0:f>
        <ns0:v/>
      </ns0:c>
      <ns0:c r="F1237" s="28" t="str">
        <ns0:f>IF(OR(A1237="",B1237="",C1237&lt;=0),"",IF(SUMPRODUCT(('Müşteriler'!$B$2:$B$101&lt;&gt;"")*ISNUMBER(SEARCH('Müşteriler'!$B$2:$B$101,B1237)))=1,IFERROR(INDEX('Müşteriler'!$A$2:$A$101,SUMPRODUCT(('Müşteriler'!$B$2:$B$101&lt;&gt;"")*ISNUMBER(SEARCH('Müşteriler'!$B$2:$B$101,B1237)),ROW('Müşteriler'!$B$2:$B$101)-ROW('Müşteriler'!$B$2)+1)),""),""))</ns0:f>
        <ns0:v/>
      </ns0:c>
      <ns0:c r="G1237" s="28" t="str">
        <ns0:f>IF(F1237="","",IFERROR(INDEX('Müşteriler'!$C$2:$C$101,MATCH(F1237,'Müşteriler'!$A$2:$A$101,0)),""))</ns0:f>
        <ns0:v/>
      </ns0:c>
      <ns0:c r="H1237" s="28" t="str">
        <ns0:f>IF(A1237="","",IF(C1237&lt;=0,"Satış dışı",IF(OR(F1237="",G1237=""),"Eşleşmedi","Eşleşti")))</ns0:f>
        <ns0:v/>
      </ns0:c>
      <ns0:c r="I1237" s="28">
        <ns0:f>I1236+IF(AND(H1237="Eşleşmedi",E1237='Panel'!$B$4),1,0)</ns0:f>
        <ns0:v>3.0</ns0:v>
      </ns0:c>
    </ns0:row>
    <ns0:row r="1238" ht="21" customHeight="1">
      <ns0:c r="A1238" s="25" t="n"/>
      <ns0:c r="B1238" s="26" t="n"/>
      <ns0:c r="C1238" s="27" t="n"/>
      <ns0:c r="D1238" s="27" t="n"/>
      <ns0:c r="E1238" s="28" t="str">
        <ns0:f>IF(A1238="","",YEAR(A1238)&amp;"-"&amp;RIGHT("0"&amp;MONTH(A1238),2))</ns0:f>
        <ns0:v/>
      </ns0:c>
      <ns0:c r="F1238" s="28" t="str">
        <ns0:f>IF(OR(A1238="",B1238="",C1238&lt;=0),"",IF(SUMPRODUCT(('Müşteriler'!$B$2:$B$101&lt;&gt;"")*ISNUMBER(SEARCH('Müşteriler'!$B$2:$B$101,B1238)))=1,IFERROR(INDEX('Müşteriler'!$A$2:$A$101,SUMPRODUCT(('Müşteriler'!$B$2:$B$101&lt;&gt;"")*ISNUMBER(SEARCH('Müşteriler'!$B$2:$B$101,B1238)),ROW('Müşteriler'!$B$2:$B$101)-ROW('Müşteriler'!$B$2)+1)),""),""))</ns0:f>
        <ns0:v/>
      </ns0:c>
      <ns0:c r="G1238" s="28" t="str">
        <ns0:f>IF(F1238="","",IFERROR(INDEX('Müşteriler'!$C$2:$C$101,MATCH(F1238,'Müşteriler'!$A$2:$A$101,0)),""))</ns0:f>
        <ns0:v/>
      </ns0:c>
      <ns0:c r="H1238" s="28" t="str">
        <ns0:f>IF(A1238="","",IF(C1238&lt;=0,"Satış dışı",IF(OR(F1238="",G1238=""),"Eşleşmedi","Eşleşti")))</ns0:f>
        <ns0:v/>
      </ns0:c>
      <ns0:c r="I1238" s="28">
        <ns0:f>I1237+IF(AND(H1238="Eşleşmedi",E1238='Panel'!$B$4),1,0)</ns0:f>
        <ns0:v>3.0</ns0:v>
      </ns0:c>
    </ns0:row>
    <ns0:row r="1239" ht="21" customHeight="1">
      <ns0:c r="A1239" s="25" t="n"/>
      <ns0:c r="B1239" s="26" t="n"/>
      <ns0:c r="C1239" s="27" t="n"/>
      <ns0:c r="D1239" s="27" t="n"/>
      <ns0:c r="E1239" s="28" t="str">
        <ns0:f>IF(A1239="","",YEAR(A1239)&amp;"-"&amp;RIGHT("0"&amp;MONTH(A1239),2))</ns0:f>
        <ns0:v/>
      </ns0:c>
      <ns0:c r="F1239" s="28" t="str">
        <ns0:f>IF(OR(A1239="",B1239="",C1239&lt;=0),"",IF(SUMPRODUCT(('Müşteriler'!$B$2:$B$101&lt;&gt;"")*ISNUMBER(SEARCH('Müşteriler'!$B$2:$B$101,B1239)))=1,IFERROR(INDEX('Müşteriler'!$A$2:$A$101,SUMPRODUCT(('Müşteriler'!$B$2:$B$101&lt;&gt;"")*ISNUMBER(SEARCH('Müşteriler'!$B$2:$B$101,B1239)),ROW('Müşteriler'!$B$2:$B$101)-ROW('Müşteriler'!$B$2)+1)),""),""))</ns0:f>
        <ns0:v/>
      </ns0:c>
      <ns0:c r="G1239" s="28" t="str">
        <ns0:f>IF(F1239="","",IFERROR(INDEX('Müşteriler'!$C$2:$C$101,MATCH(F1239,'Müşteriler'!$A$2:$A$101,0)),""))</ns0:f>
        <ns0:v/>
      </ns0:c>
      <ns0:c r="H1239" s="28" t="str">
        <ns0:f>IF(A1239="","",IF(C1239&lt;=0,"Satış dışı",IF(OR(F1239="",G1239=""),"Eşleşmedi","Eşleşti")))</ns0:f>
        <ns0:v/>
      </ns0:c>
      <ns0:c r="I1239" s="28">
        <ns0:f>I1238+IF(AND(H1239="Eşleşmedi",E1239='Panel'!$B$4),1,0)</ns0:f>
        <ns0:v>3.0</ns0:v>
      </ns0:c>
    </ns0:row>
    <ns0:row r="1240" ht="21" customHeight="1">
      <ns0:c r="A1240" s="25" t="n"/>
      <ns0:c r="B1240" s="26" t="n"/>
      <ns0:c r="C1240" s="27" t="n"/>
      <ns0:c r="D1240" s="27" t="n"/>
      <ns0:c r="E1240" s="28" t="str">
        <ns0:f>IF(A1240="","",YEAR(A1240)&amp;"-"&amp;RIGHT("0"&amp;MONTH(A1240),2))</ns0:f>
        <ns0:v/>
      </ns0:c>
      <ns0:c r="F1240" s="28" t="str">
        <ns0:f>IF(OR(A1240="",B1240="",C1240&lt;=0),"",IF(SUMPRODUCT(('Müşteriler'!$B$2:$B$101&lt;&gt;"")*ISNUMBER(SEARCH('Müşteriler'!$B$2:$B$101,B1240)))=1,IFERROR(INDEX('Müşteriler'!$A$2:$A$101,SUMPRODUCT(('Müşteriler'!$B$2:$B$101&lt;&gt;"")*ISNUMBER(SEARCH('Müşteriler'!$B$2:$B$101,B1240)),ROW('Müşteriler'!$B$2:$B$101)-ROW('Müşteriler'!$B$2)+1)),""),""))</ns0:f>
        <ns0:v/>
      </ns0:c>
      <ns0:c r="G1240" s="28" t="str">
        <ns0:f>IF(F1240="","",IFERROR(INDEX('Müşteriler'!$C$2:$C$101,MATCH(F1240,'Müşteriler'!$A$2:$A$101,0)),""))</ns0:f>
        <ns0:v/>
      </ns0:c>
      <ns0:c r="H1240" s="28" t="str">
        <ns0:f>IF(A1240="","",IF(C1240&lt;=0,"Satış dışı",IF(OR(F1240="",G1240=""),"Eşleşmedi","Eşleşti")))</ns0:f>
        <ns0:v/>
      </ns0:c>
      <ns0:c r="I1240" s="28">
        <ns0:f>I1239+IF(AND(H1240="Eşleşmedi",E1240='Panel'!$B$4),1,0)</ns0:f>
        <ns0:v>3.0</ns0:v>
      </ns0:c>
    </ns0:row>
    <ns0:row r="1241" ht="21" customHeight="1">
      <ns0:c r="A1241" s="25" t="n"/>
      <ns0:c r="B1241" s="26" t="n"/>
      <ns0:c r="C1241" s="27" t="n"/>
      <ns0:c r="D1241" s="27" t="n"/>
      <ns0:c r="E1241" s="28" t="str">
        <ns0:f>IF(A1241="","",YEAR(A1241)&amp;"-"&amp;RIGHT("0"&amp;MONTH(A1241),2))</ns0:f>
        <ns0:v/>
      </ns0:c>
      <ns0:c r="F1241" s="28" t="str">
        <ns0:f>IF(OR(A1241="",B1241="",C1241&lt;=0),"",IF(SUMPRODUCT(('Müşteriler'!$B$2:$B$101&lt;&gt;"")*ISNUMBER(SEARCH('Müşteriler'!$B$2:$B$101,B1241)))=1,IFERROR(INDEX('Müşteriler'!$A$2:$A$101,SUMPRODUCT(('Müşteriler'!$B$2:$B$101&lt;&gt;"")*ISNUMBER(SEARCH('Müşteriler'!$B$2:$B$101,B1241)),ROW('Müşteriler'!$B$2:$B$101)-ROW('Müşteriler'!$B$2)+1)),""),""))</ns0:f>
        <ns0:v/>
      </ns0:c>
      <ns0:c r="G1241" s="28" t="str">
        <ns0:f>IF(F1241="","",IFERROR(INDEX('Müşteriler'!$C$2:$C$101,MATCH(F1241,'Müşteriler'!$A$2:$A$101,0)),""))</ns0:f>
        <ns0:v/>
      </ns0:c>
      <ns0:c r="H1241" s="28" t="str">
        <ns0:f>IF(A1241="","",IF(C1241&lt;=0,"Satış dışı",IF(OR(F1241="",G1241=""),"Eşleşmedi","Eşleşti")))</ns0:f>
        <ns0:v/>
      </ns0:c>
      <ns0:c r="I1241" s="28">
        <ns0:f>I1240+IF(AND(H1241="Eşleşmedi",E1241='Panel'!$B$4),1,0)</ns0:f>
        <ns0:v>3.0</ns0:v>
      </ns0:c>
    </ns0:row>
    <ns0:row r="1242" ht="21" customHeight="1">
      <ns0:c r="A1242" s="25" t="n"/>
      <ns0:c r="B1242" s="26" t="n"/>
      <ns0:c r="C1242" s="27" t="n"/>
      <ns0:c r="D1242" s="27" t="n"/>
      <ns0:c r="E1242" s="28" t="str">
        <ns0:f>IF(A1242="","",YEAR(A1242)&amp;"-"&amp;RIGHT("0"&amp;MONTH(A1242),2))</ns0:f>
        <ns0:v/>
      </ns0:c>
      <ns0:c r="F1242" s="28" t="str">
        <ns0:f>IF(OR(A1242="",B1242="",C1242&lt;=0),"",IF(SUMPRODUCT(('Müşteriler'!$B$2:$B$101&lt;&gt;"")*ISNUMBER(SEARCH('Müşteriler'!$B$2:$B$101,B1242)))=1,IFERROR(INDEX('Müşteriler'!$A$2:$A$101,SUMPRODUCT(('Müşteriler'!$B$2:$B$101&lt;&gt;"")*ISNUMBER(SEARCH('Müşteriler'!$B$2:$B$101,B1242)),ROW('Müşteriler'!$B$2:$B$101)-ROW('Müşteriler'!$B$2)+1)),""),""))</ns0:f>
        <ns0:v/>
      </ns0:c>
      <ns0:c r="G1242" s="28" t="str">
        <ns0:f>IF(F1242="","",IFERROR(INDEX('Müşteriler'!$C$2:$C$101,MATCH(F1242,'Müşteriler'!$A$2:$A$101,0)),""))</ns0:f>
        <ns0:v/>
      </ns0:c>
      <ns0:c r="H1242" s="28" t="str">
        <ns0:f>IF(A1242="","",IF(C1242&lt;=0,"Satış dışı",IF(OR(F1242="",G1242=""),"Eşleşmedi","Eşleşti")))</ns0:f>
        <ns0:v/>
      </ns0:c>
      <ns0:c r="I1242" s="28">
        <ns0:f>I1241+IF(AND(H1242="Eşleşmedi",E1242='Panel'!$B$4),1,0)</ns0:f>
        <ns0:v>3.0</ns0:v>
      </ns0:c>
    </ns0:row>
    <ns0:row r="1243" ht="21" customHeight="1">
      <ns0:c r="A1243" s="25" t="n"/>
      <ns0:c r="B1243" s="26" t="n"/>
      <ns0:c r="C1243" s="27" t="n"/>
      <ns0:c r="D1243" s="27" t="n"/>
      <ns0:c r="E1243" s="28" t="str">
        <ns0:f>IF(A1243="","",YEAR(A1243)&amp;"-"&amp;RIGHT("0"&amp;MONTH(A1243),2))</ns0:f>
        <ns0:v/>
      </ns0:c>
      <ns0:c r="F1243" s="28" t="str">
        <ns0:f>IF(OR(A1243="",B1243="",C1243&lt;=0),"",IF(SUMPRODUCT(('Müşteriler'!$B$2:$B$101&lt;&gt;"")*ISNUMBER(SEARCH('Müşteriler'!$B$2:$B$101,B1243)))=1,IFERROR(INDEX('Müşteriler'!$A$2:$A$101,SUMPRODUCT(('Müşteriler'!$B$2:$B$101&lt;&gt;"")*ISNUMBER(SEARCH('Müşteriler'!$B$2:$B$101,B1243)),ROW('Müşteriler'!$B$2:$B$101)-ROW('Müşteriler'!$B$2)+1)),""),""))</ns0:f>
        <ns0:v/>
      </ns0:c>
      <ns0:c r="G1243" s="28" t="str">
        <ns0:f>IF(F1243="","",IFERROR(INDEX('Müşteriler'!$C$2:$C$101,MATCH(F1243,'Müşteriler'!$A$2:$A$101,0)),""))</ns0:f>
        <ns0:v/>
      </ns0:c>
      <ns0:c r="H1243" s="28" t="str">
        <ns0:f>IF(A1243="","",IF(C1243&lt;=0,"Satış dışı",IF(OR(F1243="",G1243=""),"Eşleşmedi","Eşleşti")))</ns0:f>
        <ns0:v/>
      </ns0:c>
      <ns0:c r="I1243" s="28">
        <ns0:f>I1242+IF(AND(H1243="Eşleşmedi",E1243='Panel'!$B$4),1,0)</ns0:f>
        <ns0:v>3.0</ns0:v>
      </ns0:c>
    </ns0:row>
    <ns0:row r="1244" ht="21" customHeight="1">
      <ns0:c r="A1244" s="25" t="n"/>
      <ns0:c r="B1244" s="26" t="n"/>
      <ns0:c r="C1244" s="27" t="n"/>
      <ns0:c r="D1244" s="27" t="n"/>
      <ns0:c r="E1244" s="28" t="str">
        <ns0:f>IF(A1244="","",YEAR(A1244)&amp;"-"&amp;RIGHT("0"&amp;MONTH(A1244),2))</ns0:f>
        <ns0:v/>
      </ns0:c>
      <ns0:c r="F1244" s="28" t="str">
        <ns0:f>IF(OR(A1244="",B1244="",C1244&lt;=0),"",IF(SUMPRODUCT(('Müşteriler'!$B$2:$B$101&lt;&gt;"")*ISNUMBER(SEARCH('Müşteriler'!$B$2:$B$101,B1244)))=1,IFERROR(INDEX('Müşteriler'!$A$2:$A$101,SUMPRODUCT(('Müşteriler'!$B$2:$B$101&lt;&gt;"")*ISNUMBER(SEARCH('Müşteriler'!$B$2:$B$101,B1244)),ROW('Müşteriler'!$B$2:$B$101)-ROW('Müşteriler'!$B$2)+1)),""),""))</ns0:f>
        <ns0:v/>
      </ns0:c>
      <ns0:c r="G1244" s="28" t="str">
        <ns0:f>IF(F1244="","",IFERROR(INDEX('Müşteriler'!$C$2:$C$101,MATCH(F1244,'Müşteriler'!$A$2:$A$101,0)),""))</ns0:f>
        <ns0:v/>
      </ns0:c>
      <ns0:c r="H1244" s="28" t="str">
        <ns0:f>IF(A1244="","",IF(C1244&lt;=0,"Satış dışı",IF(OR(F1244="",G1244=""),"Eşleşmedi","Eşleşti")))</ns0:f>
        <ns0:v/>
      </ns0:c>
      <ns0:c r="I1244" s="28">
        <ns0:f>I1243+IF(AND(H1244="Eşleşmedi",E1244='Panel'!$B$4),1,0)</ns0:f>
        <ns0:v>3.0</ns0:v>
      </ns0:c>
    </ns0:row>
    <ns0:row r="1245" ht="21" customHeight="1">
      <ns0:c r="A1245" s="25" t="n"/>
      <ns0:c r="B1245" s="26" t="n"/>
      <ns0:c r="C1245" s="27" t="n"/>
      <ns0:c r="D1245" s="27" t="n"/>
      <ns0:c r="E1245" s="28" t="str">
        <ns0:f>IF(A1245="","",YEAR(A1245)&amp;"-"&amp;RIGHT("0"&amp;MONTH(A1245),2))</ns0:f>
        <ns0:v/>
      </ns0:c>
      <ns0:c r="F1245" s="28" t="str">
        <ns0:f>IF(OR(A1245="",B1245="",C1245&lt;=0),"",IF(SUMPRODUCT(('Müşteriler'!$B$2:$B$101&lt;&gt;"")*ISNUMBER(SEARCH('Müşteriler'!$B$2:$B$101,B1245)))=1,IFERROR(INDEX('Müşteriler'!$A$2:$A$101,SUMPRODUCT(('Müşteriler'!$B$2:$B$101&lt;&gt;"")*ISNUMBER(SEARCH('Müşteriler'!$B$2:$B$101,B1245)),ROW('Müşteriler'!$B$2:$B$101)-ROW('Müşteriler'!$B$2)+1)),""),""))</ns0:f>
        <ns0:v/>
      </ns0:c>
      <ns0:c r="G1245" s="28" t="str">
        <ns0:f>IF(F1245="","",IFERROR(INDEX('Müşteriler'!$C$2:$C$101,MATCH(F1245,'Müşteriler'!$A$2:$A$101,0)),""))</ns0:f>
        <ns0:v/>
      </ns0:c>
      <ns0:c r="H1245" s="28" t="str">
        <ns0:f>IF(A1245="","",IF(C1245&lt;=0,"Satış dışı",IF(OR(F1245="",G1245=""),"Eşleşmedi","Eşleşti")))</ns0:f>
        <ns0:v/>
      </ns0:c>
      <ns0:c r="I1245" s="28">
        <ns0:f>I1244+IF(AND(H1245="Eşleşmedi",E1245='Panel'!$B$4),1,0)</ns0:f>
        <ns0:v>3.0</ns0:v>
      </ns0:c>
    </ns0:row>
    <ns0:row r="1246" ht="21" customHeight="1">
      <ns0:c r="A1246" s="25" t="n"/>
      <ns0:c r="B1246" s="26" t="n"/>
      <ns0:c r="C1246" s="27" t="n"/>
      <ns0:c r="D1246" s="27" t="n"/>
      <ns0:c r="E1246" s="28" t="str">
        <ns0:f>IF(A1246="","",YEAR(A1246)&amp;"-"&amp;RIGHT("0"&amp;MONTH(A1246),2))</ns0:f>
        <ns0:v/>
      </ns0:c>
      <ns0:c r="F1246" s="28" t="str">
        <ns0:f>IF(OR(A1246="",B1246="",C1246&lt;=0),"",IF(SUMPRODUCT(('Müşteriler'!$B$2:$B$101&lt;&gt;"")*ISNUMBER(SEARCH('Müşteriler'!$B$2:$B$101,B1246)))=1,IFERROR(INDEX('Müşteriler'!$A$2:$A$101,SUMPRODUCT(('Müşteriler'!$B$2:$B$101&lt;&gt;"")*ISNUMBER(SEARCH('Müşteriler'!$B$2:$B$101,B1246)),ROW('Müşteriler'!$B$2:$B$101)-ROW('Müşteriler'!$B$2)+1)),""),""))</ns0:f>
        <ns0:v/>
      </ns0:c>
      <ns0:c r="G1246" s="28" t="str">
        <ns0:f>IF(F1246="","",IFERROR(INDEX('Müşteriler'!$C$2:$C$101,MATCH(F1246,'Müşteriler'!$A$2:$A$101,0)),""))</ns0:f>
        <ns0:v/>
      </ns0:c>
      <ns0:c r="H1246" s="28" t="str">
        <ns0:f>IF(A1246="","",IF(C1246&lt;=0,"Satış dışı",IF(OR(F1246="",G1246=""),"Eşleşmedi","Eşleşti")))</ns0:f>
        <ns0:v/>
      </ns0:c>
      <ns0:c r="I1246" s="28">
        <ns0:f>I1245+IF(AND(H1246="Eşleşmedi",E1246='Panel'!$B$4),1,0)</ns0:f>
        <ns0:v>3.0</ns0:v>
      </ns0:c>
    </ns0:row>
    <ns0:row r="1247" ht="21" customHeight="1">
      <ns0:c r="A1247" s="25" t="n"/>
      <ns0:c r="B1247" s="26" t="n"/>
      <ns0:c r="C1247" s="27" t="n"/>
      <ns0:c r="D1247" s="27" t="n"/>
      <ns0:c r="E1247" s="28" t="str">
        <ns0:f>IF(A1247="","",YEAR(A1247)&amp;"-"&amp;RIGHT("0"&amp;MONTH(A1247),2))</ns0:f>
        <ns0:v/>
      </ns0:c>
      <ns0:c r="F1247" s="28" t="str">
        <ns0:f>IF(OR(A1247="",B1247="",C1247&lt;=0),"",IF(SUMPRODUCT(('Müşteriler'!$B$2:$B$101&lt;&gt;"")*ISNUMBER(SEARCH('Müşteriler'!$B$2:$B$101,B1247)))=1,IFERROR(INDEX('Müşteriler'!$A$2:$A$101,SUMPRODUCT(('Müşteriler'!$B$2:$B$101&lt;&gt;"")*ISNUMBER(SEARCH('Müşteriler'!$B$2:$B$101,B1247)),ROW('Müşteriler'!$B$2:$B$101)-ROW('Müşteriler'!$B$2)+1)),""),""))</ns0:f>
        <ns0:v/>
      </ns0:c>
      <ns0:c r="G1247" s="28" t="str">
        <ns0:f>IF(F1247="","",IFERROR(INDEX('Müşteriler'!$C$2:$C$101,MATCH(F1247,'Müşteriler'!$A$2:$A$101,0)),""))</ns0:f>
        <ns0:v/>
      </ns0:c>
      <ns0:c r="H1247" s="28" t="str">
        <ns0:f>IF(A1247="","",IF(C1247&lt;=0,"Satış dışı",IF(OR(F1247="",G1247=""),"Eşleşmedi","Eşleşti")))</ns0:f>
        <ns0:v/>
      </ns0:c>
      <ns0:c r="I1247" s="28">
        <ns0:f>I1246+IF(AND(H1247="Eşleşmedi",E1247='Panel'!$B$4),1,0)</ns0:f>
        <ns0:v>3.0</ns0:v>
      </ns0:c>
    </ns0:row>
    <ns0:row r="1248" ht="21" customHeight="1">
      <ns0:c r="A1248" s="25" t="n"/>
      <ns0:c r="B1248" s="26" t="n"/>
      <ns0:c r="C1248" s="27" t="n"/>
      <ns0:c r="D1248" s="27" t="n"/>
      <ns0:c r="E1248" s="28" t="str">
        <ns0:f>IF(A1248="","",YEAR(A1248)&amp;"-"&amp;RIGHT("0"&amp;MONTH(A1248),2))</ns0:f>
        <ns0:v/>
      </ns0:c>
      <ns0:c r="F1248" s="28" t="str">
        <ns0:f>IF(OR(A1248="",B1248="",C1248&lt;=0),"",IF(SUMPRODUCT(('Müşteriler'!$B$2:$B$101&lt;&gt;"")*ISNUMBER(SEARCH('Müşteriler'!$B$2:$B$101,B1248)))=1,IFERROR(INDEX('Müşteriler'!$A$2:$A$101,SUMPRODUCT(('Müşteriler'!$B$2:$B$101&lt;&gt;"")*ISNUMBER(SEARCH('Müşteriler'!$B$2:$B$101,B1248)),ROW('Müşteriler'!$B$2:$B$101)-ROW('Müşteriler'!$B$2)+1)),""),""))</ns0:f>
        <ns0:v/>
      </ns0:c>
      <ns0:c r="G1248" s="28" t="str">
        <ns0:f>IF(F1248="","",IFERROR(INDEX('Müşteriler'!$C$2:$C$101,MATCH(F1248,'Müşteriler'!$A$2:$A$101,0)),""))</ns0:f>
        <ns0:v/>
      </ns0:c>
      <ns0:c r="H1248" s="28" t="str">
        <ns0:f>IF(A1248="","",IF(C1248&lt;=0,"Satış dışı",IF(OR(F1248="",G1248=""),"Eşleşmedi","Eşleşti")))</ns0:f>
        <ns0:v/>
      </ns0:c>
      <ns0:c r="I1248" s="28">
        <ns0:f>I1247+IF(AND(H1248="Eşleşmedi",E1248='Panel'!$B$4),1,0)</ns0:f>
        <ns0:v>3.0</ns0:v>
      </ns0:c>
    </ns0:row>
    <ns0:row r="1249" ht="21" customHeight="1">
      <ns0:c r="A1249" s="25" t="n"/>
      <ns0:c r="B1249" s="26" t="n"/>
      <ns0:c r="C1249" s="27" t="n"/>
      <ns0:c r="D1249" s="27" t="n"/>
      <ns0:c r="E1249" s="28" t="str">
        <ns0:f>IF(A1249="","",YEAR(A1249)&amp;"-"&amp;RIGHT("0"&amp;MONTH(A1249),2))</ns0:f>
        <ns0:v/>
      </ns0:c>
      <ns0:c r="F1249" s="28" t="str">
        <ns0:f>IF(OR(A1249="",B1249="",C1249&lt;=0),"",IF(SUMPRODUCT(('Müşteriler'!$B$2:$B$101&lt;&gt;"")*ISNUMBER(SEARCH('Müşteriler'!$B$2:$B$101,B1249)))=1,IFERROR(INDEX('Müşteriler'!$A$2:$A$101,SUMPRODUCT(('Müşteriler'!$B$2:$B$101&lt;&gt;"")*ISNUMBER(SEARCH('Müşteriler'!$B$2:$B$101,B1249)),ROW('Müşteriler'!$B$2:$B$101)-ROW('Müşteriler'!$B$2)+1)),""),""))</ns0:f>
        <ns0:v/>
      </ns0:c>
      <ns0:c r="G1249" s="28" t="str">
        <ns0:f>IF(F1249="","",IFERROR(INDEX('Müşteriler'!$C$2:$C$101,MATCH(F1249,'Müşteriler'!$A$2:$A$101,0)),""))</ns0:f>
        <ns0:v/>
      </ns0:c>
      <ns0:c r="H1249" s="28" t="str">
        <ns0:f>IF(A1249="","",IF(C1249&lt;=0,"Satış dışı",IF(OR(F1249="",G1249=""),"Eşleşmedi","Eşleşti")))</ns0:f>
        <ns0:v/>
      </ns0:c>
      <ns0:c r="I1249" s="28">
        <ns0:f>I1248+IF(AND(H1249="Eşleşmedi",E1249='Panel'!$B$4),1,0)</ns0:f>
        <ns0:v>3.0</ns0:v>
      </ns0:c>
    </ns0:row>
    <ns0:row r="1250" ht="21" customHeight="1">
      <ns0:c r="A1250" s="25" t="n"/>
      <ns0:c r="B1250" s="26" t="n"/>
      <ns0:c r="C1250" s="27" t="n"/>
      <ns0:c r="D1250" s="27" t="n"/>
      <ns0:c r="E1250" s="28" t="str">
        <ns0:f>IF(A1250="","",YEAR(A1250)&amp;"-"&amp;RIGHT("0"&amp;MONTH(A1250),2))</ns0:f>
        <ns0:v/>
      </ns0:c>
      <ns0:c r="F1250" s="28" t="str">
        <ns0:f>IF(OR(A1250="",B1250="",C1250&lt;=0),"",IF(SUMPRODUCT(('Müşteriler'!$B$2:$B$101&lt;&gt;"")*ISNUMBER(SEARCH('Müşteriler'!$B$2:$B$101,B1250)))=1,IFERROR(INDEX('Müşteriler'!$A$2:$A$101,SUMPRODUCT(('Müşteriler'!$B$2:$B$101&lt;&gt;"")*ISNUMBER(SEARCH('Müşteriler'!$B$2:$B$101,B1250)),ROW('Müşteriler'!$B$2:$B$101)-ROW('Müşteriler'!$B$2)+1)),""),""))</ns0:f>
        <ns0:v/>
      </ns0:c>
      <ns0:c r="G1250" s="28" t="str">
        <ns0:f>IF(F1250="","",IFERROR(INDEX('Müşteriler'!$C$2:$C$101,MATCH(F1250,'Müşteriler'!$A$2:$A$101,0)),""))</ns0:f>
        <ns0:v/>
      </ns0:c>
      <ns0:c r="H1250" s="28" t="str">
        <ns0:f>IF(A1250="","",IF(C1250&lt;=0,"Satış dışı",IF(OR(F1250="",G1250=""),"Eşleşmedi","Eşleşti")))</ns0:f>
        <ns0:v/>
      </ns0:c>
      <ns0:c r="I1250" s="28">
        <ns0:f>I1249+IF(AND(H1250="Eşleşmedi",E1250='Panel'!$B$4),1,0)</ns0:f>
        <ns0:v>3.0</ns0:v>
      </ns0:c>
    </ns0:row>
    <ns0:row r="1251" ht="21" customHeight="1">
      <ns0:c r="A1251" s="25" t="n"/>
      <ns0:c r="B1251" s="26" t="n"/>
      <ns0:c r="C1251" s="27" t="n"/>
      <ns0:c r="D1251" s="27" t="n"/>
      <ns0:c r="E1251" s="28" t="str">
        <ns0:f>IF(A1251="","",YEAR(A1251)&amp;"-"&amp;RIGHT("0"&amp;MONTH(A1251),2))</ns0:f>
        <ns0:v/>
      </ns0:c>
      <ns0:c r="F1251" s="28" t="str">
        <ns0:f>IF(OR(A1251="",B1251="",C1251&lt;=0),"",IF(SUMPRODUCT(('Müşteriler'!$B$2:$B$101&lt;&gt;"")*ISNUMBER(SEARCH('Müşteriler'!$B$2:$B$101,B1251)))=1,IFERROR(INDEX('Müşteriler'!$A$2:$A$101,SUMPRODUCT(('Müşteriler'!$B$2:$B$101&lt;&gt;"")*ISNUMBER(SEARCH('Müşteriler'!$B$2:$B$101,B1251)),ROW('Müşteriler'!$B$2:$B$101)-ROW('Müşteriler'!$B$2)+1)),""),""))</ns0:f>
        <ns0:v/>
      </ns0:c>
      <ns0:c r="G1251" s="28" t="str">
        <ns0:f>IF(F1251="","",IFERROR(INDEX('Müşteriler'!$C$2:$C$101,MATCH(F1251,'Müşteriler'!$A$2:$A$101,0)),""))</ns0:f>
        <ns0:v/>
      </ns0:c>
      <ns0:c r="H1251" s="28" t="str">
        <ns0:f>IF(A1251="","",IF(C1251&lt;=0,"Satış dışı",IF(OR(F1251="",G1251=""),"Eşleşmedi","Eşleşti")))</ns0:f>
        <ns0:v/>
      </ns0:c>
      <ns0:c r="I1251" s="28">
        <ns0:f>I1250+IF(AND(H1251="Eşleşmedi",E1251='Panel'!$B$4),1,0)</ns0:f>
        <ns0:v>3.0</ns0:v>
      </ns0:c>
    </ns0:row>
    <ns0:row r="1252" ht="21" customHeight="1">
      <ns0:c r="A1252" s="25" t="n"/>
      <ns0:c r="B1252" s="26" t="n"/>
      <ns0:c r="C1252" s="27" t="n"/>
      <ns0:c r="D1252" s="27" t="n"/>
      <ns0:c r="E1252" s="28" t="str">
        <ns0:f>IF(A1252="","",YEAR(A1252)&amp;"-"&amp;RIGHT("0"&amp;MONTH(A1252),2))</ns0:f>
        <ns0:v/>
      </ns0:c>
      <ns0:c r="F1252" s="28" t="str">
        <ns0:f>IF(OR(A1252="",B1252="",C1252&lt;=0),"",IF(SUMPRODUCT(('Müşteriler'!$B$2:$B$101&lt;&gt;"")*ISNUMBER(SEARCH('Müşteriler'!$B$2:$B$101,B1252)))=1,IFERROR(INDEX('Müşteriler'!$A$2:$A$101,SUMPRODUCT(('Müşteriler'!$B$2:$B$101&lt;&gt;"")*ISNUMBER(SEARCH('Müşteriler'!$B$2:$B$101,B1252)),ROW('Müşteriler'!$B$2:$B$101)-ROW('Müşteriler'!$B$2)+1)),""),""))</ns0:f>
        <ns0:v/>
      </ns0:c>
      <ns0:c r="G1252" s="28" t="str">
        <ns0:f>IF(F1252="","",IFERROR(INDEX('Müşteriler'!$C$2:$C$101,MATCH(F1252,'Müşteriler'!$A$2:$A$101,0)),""))</ns0:f>
        <ns0:v/>
      </ns0:c>
      <ns0:c r="H1252" s="28" t="str">
        <ns0:f>IF(A1252="","",IF(C1252&lt;=0,"Satış dışı",IF(OR(F1252="",G1252=""),"Eşleşmedi","Eşleşti")))</ns0:f>
        <ns0:v/>
      </ns0:c>
      <ns0:c r="I1252" s="28">
        <ns0:f>I1251+IF(AND(H1252="Eşleşmedi",E1252='Panel'!$B$4),1,0)</ns0:f>
        <ns0:v>3.0</ns0:v>
      </ns0:c>
    </ns0:row>
    <ns0:row r="1253" ht="21" customHeight="1">
      <ns0:c r="A1253" s="25" t="n"/>
      <ns0:c r="B1253" s="26" t="n"/>
      <ns0:c r="C1253" s="27" t="n"/>
      <ns0:c r="D1253" s="27" t="n"/>
      <ns0:c r="E1253" s="28" t="str">
        <ns0:f>IF(A1253="","",YEAR(A1253)&amp;"-"&amp;RIGHT("0"&amp;MONTH(A1253),2))</ns0:f>
        <ns0:v/>
      </ns0:c>
      <ns0:c r="F1253" s="28" t="str">
        <ns0:f>IF(OR(A1253="",B1253="",C1253&lt;=0),"",IF(SUMPRODUCT(('Müşteriler'!$B$2:$B$101&lt;&gt;"")*ISNUMBER(SEARCH('Müşteriler'!$B$2:$B$101,B1253)))=1,IFERROR(INDEX('Müşteriler'!$A$2:$A$101,SUMPRODUCT(('Müşteriler'!$B$2:$B$101&lt;&gt;"")*ISNUMBER(SEARCH('Müşteriler'!$B$2:$B$101,B1253)),ROW('Müşteriler'!$B$2:$B$101)-ROW('Müşteriler'!$B$2)+1)),""),""))</ns0:f>
        <ns0:v/>
      </ns0:c>
      <ns0:c r="G1253" s="28" t="str">
        <ns0:f>IF(F1253="","",IFERROR(INDEX('Müşteriler'!$C$2:$C$101,MATCH(F1253,'Müşteriler'!$A$2:$A$101,0)),""))</ns0:f>
        <ns0:v/>
      </ns0:c>
      <ns0:c r="H1253" s="28" t="str">
        <ns0:f>IF(A1253="","",IF(C1253&lt;=0,"Satış dışı",IF(OR(F1253="",G1253=""),"Eşleşmedi","Eşleşti")))</ns0:f>
        <ns0:v/>
      </ns0:c>
      <ns0:c r="I1253" s="28">
        <ns0:f>I1252+IF(AND(H1253="Eşleşmedi",E1253='Panel'!$B$4),1,0)</ns0:f>
        <ns0:v>3.0</ns0:v>
      </ns0:c>
    </ns0:row>
    <ns0:row r="1254" ht="21" customHeight="1">
      <ns0:c r="A1254" s="25" t="n"/>
      <ns0:c r="B1254" s="26" t="n"/>
      <ns0:c r="C1254" s="27" t="n"/>
      <ns0:c r="D1254" s="27" t="n"/>
      <ns0:c r="E1254" s="28" t="str">
        <ns0:f>IF(A1254="","",YEAR(A1254)&amp;"-"&amp;RIGHT("0"&amp;MONTH(A1254),2))</ns0:f>
        <ns0:v/>
      </ns0:c>
      <ns0:c r="F1254" s="28" t="str">
        <ns0:f>IF(OR(A1254="",B1254="",C1254&lt;=0),"",IF(SUMPRODUCT(('Müşteriler'!$B$2:$B$101&lt;&gt;"")*ISNUMBER(SEARCH('Müşteriler'!$B$2:$B$101,B1254)))=1,IFERROR(INDEX('Müşteriler'!$A$2:$A$101,SUMPRODUCT(('Müşteriler'!$B$2:$B$101&lt;&gt;"")*ISNUMBER(SEARCH('Müşteriler'!$B$2:$B$101,B1254)),ROW('Müşteriler'!$B$2:$B$101)-ROW('Müşteriler'!$B$2)+1)),""),""))</ns0:f>
        <ns0:v/>
      </ns0:c>
      <ns0:c r="G1254" s="28" t="str">
        <ns0:f>IF(F1254="","",IFERROR(INDEX('Müşteriler'!$C$2:$C$101,MATCH(F1254,'Müşteriler'!$A$2:$A$101,0)),""))</ns0:f>
        <ns0:v/>
      </ns0:c>
      <ns0:c r="H1254" s="28" t="str">
        <ns0:f>IF(A1254="","",IF(C1254&lt;=0,"Satış dışı",IF(OR(F1254="",G1254=""),"Eşleşmedi","Eşleşti")))</ns0:f>
        <ns0:v/>
      </ns0:c>
      <ns0:c r="I1254" s="28">
        <ns0:f>I1253+IF(AND(H1254="Eşleşmedi",E1254='Panel'!$B$4),1,0)</ns0:f>
        <ns0:v>3.0</ns0:v>
      </ns0:c>
    </ns0:row>
    <ns0:row r="1255" ht="21" customHeight="1">
      <ns0:c r="A1255" s="25" t="n"/>
      <ns0:c r="B1255" s="26" t="n"/>
      <ns0:c r="C1255" s="27" t="n"/>
      <ns0:c r="D1255" s="27" t="n"/>
      <ns0:c r="E1255" s="28" t="str">
        <ns0:f>IF(A1255="","",YEAR(A1255)&amp;"-"&amp;RIGHT("0"&amp;MONTH(A1255),2))</ns0:f>
        <ns0:v/>
      </ns0:c>
      <ns0:c r="F1255" s="28" t="str">
        <ns0:f>IF(OR(A1255="",B1255="",C1255&lt;=0),"",IF(SUMPRODUCT(('Müşteriler'!$B$2:$B$101&lt;&gt;"")*ISNUMBER(SEARCH('Müşteriler'!$B$2:$B$101,B1255)))=1,IFERROR(INDEX('Müşteriler'!$A$2:$A$101,SUMPRODUCT(('Müşteriler'!$B$2:$B$101&lt;&gt;"")*ISNUMBER(SEARCH('Müşteriler'!$B$2:$B$101,B1255)),ROW('Müşteriler'!$B$2:$B$101)-ROW('Müşteriler'!$B$2)+1)),""),""))</ns0:f>
        <ns0:v/>
      </ns0:c>
      <ns0:c r="G1255" s="28" t="str">
        <ns0:f>IF(F1255="","",IFERROR(INDEX('Müşteriler'!$C$2:$C$101,MATCH(F1255,'Müşteriler'!$A$2:$A$101,0)),""))</ns0:f>
        <ns0:v/>
      </ns0:c>
      <ns0:c r="H1255" s="28" t="str">
        <ns0:f>IF(A1255="","",IF(C1255&lt;=0,"Satış dışı",IF(OR(F1255="",G1255=""),"Eşleşmedi","Eşleşti")))</ns0:f>
        <ns0:v/>
      </ns0:c>
      <ns0:c r="I1255" s="28">
        <ns0:f>I1254+IF(AND(H1255="Eşleşmedi",E1255='Panel'!$B$4),1,0)</ns0:f>
        <ns0:v>3.0</ns0:v>
      </ns0:c>
    </ns0:row>
    <ns0:row r="1256" ht="21" customHeight="1">
      <ns0:c r="A1256" s="25" t="n"/>
      <ns0:c r="B1256" s="26" t="n"/>
      <ns0:c r="C1256" s="27" t="n"/>
      <ns0:c r="D1256" s="27" t="n"/>
      <ns0:c r="E1256" s="28" t="str">
        <ns0:f>IF(A1256="","",YEAR(A1256)&amp;"-"&amp;RIGHT("0"&amp;MONTH(A1256),2))</ns0:f>
        <ns0:v/>
      </ns0:c>
      <ns0:c r="F1256" s="28" t="str">
        <ns0:f>IF(OR(A1256="",B1256="",C1256&lt;=0),"",IF(SUMPRODUCT(('Müşteriler'!$B$2:$B$101&lt;&gt;"")*ISNUMBER(SEARCH('Müşteriler'!$B$2:$B$101,B1256)))=1,IFERROR(INDEX('Müşteriler'!$A$2:$A$101,SUMPRODUCT(('Müşteriler'!$B$2:$B$101&lt;&gt;"")*ISNUMBER(SEARCH('Müşteriler'!$B$2:$B$101,B1256)),ROW('Müşteriler'!$B$2:$B$101)-ROW('Müşteriler'!$B$2)+1)),""),""))</ns0:f>
        <ns0:v/>
      </ns0:c>
      <ns0:c r="G1256" s="28" t="str">
        <ns0:f>IF(F1256="","",IFERROR(INDEX('Müşteriler'!$C$2:$C$101,MATCH(F1256,'Müşteriler'!$A$2:$A$101,0)),""))</ns0:f>
        <ns0:v/>
      </ns0:c>
      <ns0:c r="H1256" s="28" t="str">
        <ns0:f>IF(A1256="","",IF(C1256&lt;=0,"Satış dışı",IF(OR(F1256="",G1256=""),"Eşleşmedi","Eşleşti")))</ns0:f>
        <ns0:v/>
      </ns0:c>
      <ns0:c r="I1256" s="28">
        <ns0:f>I1255+IF(AND(H1256="Eşleşmedi",E1256='Panel'!$B$4),1,0)</ns0:f>
        <ns0:v>3.0</ns0:v>
      </ns0:c>
    </ns0:row>
    <ns0:row r="1257" ht="21" customHeight="1">
      <ns0:c r="A1257" s="25" t="n"/>
      <ns0:c r="B1257" s="26" t="n"/>
      <ns0:c r="C1257" s="27" t="n"/>
      <ns0:c r="D1257" s="27" t="n"/>
      <ns0:c r="E1257" s="28" t="str">
        <ns0:f>IF(A1257="","",YEAR(A1257)&amp;"-"&amp;RIGHT("0"&amp;MONTH(A1257),2))</ns0:f>
        <ns0:v/>
      </ns0:c>
      <ns0:c r="F1257" s="28" t="str">
        <ns0:f>IF(OR(A1257="",B1257="",C1257&lt;=0),"",IF(SUMPRODUCT(('Müşteriler'!$B$2:$B$101&lt;&gt;"")*ISNUMBER(SEARCH('Müşteriler'!$B$2:$B$101,B1257)))=1,IFERROR(INDEX('Müşteriler'!$A$2:$A$101,SUMPRODUCT(('Müşteriler'!$B$2:$B$101&lt;&gt;"")*ISNUMBER(SEARCH('Müşteriler'!$B$2:$B$101,B1257)),ROW('Müşteriler'!$B$2:$B$101)-ROW('Müşteriler'!$B$2)+1)),""),""))</ns0:f>
        <ns0:v/>
      </ns0:c>
      <ns0:c r="G1257" s="28" t="str">
        <ns0:f>IF(F1257="","",IFERROR(INDEX('Müşteriler'!$C$2:$C$101,MATCH(F1257,'Müşteriler'!$A$2:$A$101,0)),""))</ns0:f>
        <ns0:v/>
      </ns0:c>
      <ns0:c r="H1257" s="28" t="str">
        <ns0:f>IF(A1257="","",IF(C1257&lt;=0,"Satış dışı",IF(OR(F1257="",G1257=""),"Eşleşmedi","Eşleşti")))</ns0:f>
        <ns0:v/>
      </ns0:c>
      <ns0:c r="I1257" s="28">
        <ns0:f>I1256+IF(AND(H1257="Eşleşmedi",E1257='Panel'!$B$4),1,0)</ns0:f>
        <ns0:v>3.0</ns0:v>
      </ns0:c>
    </ns0:row>
    <ns0:row r="1258" ht="21" customHeight="1">
      <ns0:c r="A1258" s="25" t="n"/>
      <ns0:c r="B1258" s="26" t="n"/>
      <ns0:c r="C1258" s="27" t="n"/>
      <ns0:c r="D1258" s="27" t="n"/>
      <ns0:c r="E1258" s="28" t="str">
        <ns0:f>IF(A1258="","",YEAR(A1258)&amp;"-"&amp;RIGHT("0"&amp;MONTH(A1258),2))</ns0:f>
        <ns0:v/>
      </ns0:c>
      <ns0:c r="F1258" s="28" t="str">
        <ns0:f>IF(OR(A1258="",B1258="",C1258&lt;=0),"",IF(SUMPRODUCT(('Müşteriler'!$B$2:$B$101&lt;&gt;"")*ISNUMBER(SEARCH('Müşteriler'!$B$2:$B$101,B1258)))=1,IFERROR(INDEX('Müşteriler'!$A$2:$A$101,SUMPRODUCT(('Müşteriler'!$B$2:$B$101&lt;&gt;"")*ISNUMBER(SEARCH('Müşteriler'!$B$2:$B$101,B1258)),ROW('Müşteriler'!$B$2:$B$101)-ROW('Müşteriler'!$B$2)+1)),""),""))</ns0:f>
        <ns0:v/>
      </ns0:c>
      <ns0:c r="G1258" s="28" t="str">
        <ns0:f>IF(F1258="","",IFERROR(INDEX('Müşteriler'!$C$2:$C$101,MATCH(F1258,'Müşteriler'!$A$2:$A$101,0)),""))</ns0:f>
        <ns0:v/>
      </ns0:c>
      <ns0:c r="H1258" s="28" t="str">
        <ns0:f>IF(A1258="","",IF(C1258&lt;=0,"Satış dışı",IF(OR(F1258="",G1258=""),"Eşleşmedi","Eşleşti")))</ns0:f>
        <ns0:v/>
      </ns0:c>
      <ns0:c r="I1258" s="28">
        <ns0:f>I1257+IF(AND(H1258="Eşleşmedi",E1258='Panel'!$B$4),1,0)</ns0:f>
        <ns0:v>3.0</ns0:v>
      </ns0:c>
    </ns0:row>
    <ns0:row r="1259" ht="21" customHeight="1">
      <ns0:c r="A1259" s="25" t="n"/>
      <ns0:c r="B1259" s="26" t="n"/>
      <ns0:c r="C1259" s="27" t="n"/>
      <ns0:c r="D1259" s="27" t="n"/>
      <ns0:c r="E1259" s="28" t="str">
        <ns0:f>IF(A1259="","",YEAR(A1259)&amp;"-"&amp;RIGHT("0"&amp;MONTH(A1259),2))</ns0:f>
        <ns0:v/>
      </ns0:c>
      <ns0:c r="F1259" s="28" t="str">
        <ns0:f>IF(OR(A1259="",B1259="",C1259&lt;=0),"",IF(SUMPRODUCT(('Müşteriler'!$B$2:$B$101&lt;&gt;"")*ISNUMBER(SEARCH('Müşteriler'!$B$2:$B$101,B1259)))=1,IFERROR(INDEX('Müşteriler'!$A$2:$A$101,SUMPRODUCT(('Müşteriler'!$B$2:$B$101&lt;&gt;"")*ISNUMBER(SEARCH('Müşteriler'!$B$2:$B$101,B1259)),ROW('Müşteriler'!$B$2:$B$101)-ROW('Müşteriler'!$B$2)+1)),""),""))</ns0:f>
        <ns0:v/>
      </ns0:c>
      <ns0:c r="G1259" s="28" t="str">
        <ns0:f>IF(F1259="","",IFERROR(INDEX('Müşteriler'!$C$2:$C$101,MATCH(F1259,'Müşteriler'!$A$2:$A$101,0)),""))</ns0:f>
        <ns0:v/>
      </ns0:c>
      <ns0:c r="H1259" s="28" t="str">
        <ns0:f>IF(A1259="","",IF(C1259&lt;=0,"Satış dışı",IF(OR(F1259="",G1259=""),"Eşleşmedi","Eşleşti")))</ns0:f>
        <ns0:v/>
      </ns0:c>
      <ns0:c r="I1259" s="28">
        <ns0:f>I1258+IF(AND(H1259="Eşleşmedi",E1259='Panel'!$B$4),1,0)</ns0:f>
        <ns0:v>3.0</ns0:v>
      </ns0:c>
    </ns0:row>
    <ns0:row r="1260" ht="21" customHeight="1">
      <ns0:c r="A1260" s="25" t="n"/>
      <ns0:c r="B1260" s="26" t="n"/>
      <ns0:c r="C1260" s="27" t="n"/>
      <ns0:c r="D1260" s="27" t="n"/>
      <ns0:c r="E1260" s="28" t="str">
        <ns0:f>IF(A1260="","",YEAR(A1260)&amp;"-"&amp;RIGHT("0"&amp;MONTH(A1260),2))</ns0:f>
        <ns0:v/>
      </ns0:c>
      <ns0:c r="F1260" s="28" t="str">
        <ns0:f>IF(OR(A1260="",B1260="",C1260&lt;=0),"",IF(SUMPRODUCT(('Müşteriler'!$B$2:$B$101&lt;&gt;"")*ISNUMBER(SEARCH('Müşteriler'!$B$2:$B$101,B1260)))=1,IFERROR(INDEX('Müşteriler'!$A$2:$A$101,SUMPRODUCT(('Müşteriler'!$B$2:$B$101&lt;&gt;"")*ISNUMBER(SEARCH('Müşteriler'!$B$2:$B$101,B1260)),ROW('Müşteriler'!$B$2:$B$101)-ROW('Müşteriler'!$B$2)+1)),""),""))</ns0:f>
        <ns0:v/>
      </ns0:c>
      <ns0:c r="G1260" s="28" t="str">
        <ns0:f>IF(F1260="","",IFERROR(INDEX('Müşteriler'!$C$2:$C$101,MATCH(F1260,'Müşteriler'!$A$2:$A$101,0)),""))</ns0:f>
        <ns0:v/>
      </ns0:c>
      <ns0:c r="H1260" s="28" t="str">
        <ns0:f>IF(A1260="","",IF(C1260&lt;=0,"Satış dışı",IF(OR(F1260="",G1260=""),"Eşleşmedi","Eşleşti")))</ns0:f>
        <ns0:v/>
      </ns0:c>
      <ns0:c r="I1260" s="28">
        <ns0:f>I1259+IF(AND(H1260="Eşleşmedi",E1260='Panel'!$B$4),1,0)</ns0:f>
        <ns0:v>3.0</ns0:v>
      </ns0:c>
    </ns0:row>
    <ns0:row r="1261" ht="21" customHeight="1">
      <ns0:c r="A1261" s="25" t="n"/>
      <ns0:c r="B1261" s="26" t="n"/>
      <ns0:c r="C1261" s="27" t="n"/>
      <ns0:c r="D1261" s="27" t="n"/>
      <ns0:c r="E1261" s="28" t="str">
        <ns0:f>IF(A1261="","",YEAR(A1261)&amp;"-"&amp;RIGHT("0"&amp;MONTH(A1261),2))</ns0:f>
        <ns0:v/>
      </ns0:c>
      <ns0:c r="F1261" s="28" t="str">
        <ns0:f>IF(OR(A1261="",B1261="",C1261&lt;=0),"",IF(SUMPRODUCT(('Müşteriler'!$B$2:$B$101&lt;&gt;"")*ISNUMBER(SEARCH('Müşteriler'!$B$2:$B$101,B1261)))=1,IFERROR(INDEX('Müşteriler'!$A$2:$A$101,SUMPRODUCT(('Müşteriler'!$B$2:$B$101&lt;&gt;"")*ISNUMBER(SEARCH('Müşteriler'!$B$2:$B$101,B1261)),ROW('Müşteriler'!$B$2:$B$101)-ROW('Müşteriler'!$B$2)+1)),""),""))</ns0:f>
        <ns0:v/>
      </ns0:c>
      <ns0:c r="G1261" s="28" t="str">
        <ns0:f>IF(F1261="","",IFERROR(INDEX('Müşteriler'!$C$2:$C$101,MATCH(F1261,'Müşteriler'!$A$2:$A$101,0)),""))</ns0:f>
        <ns0:v/>
      </ns0:c>
      <ns0:c r="H1261" s="28" t="str">
        <ns0:f>IF(A1261="","",IF(C1261&lt;=0,"Satış dışı",IF(OR(F1261="",G1261=""),"Eşleşmedi","Eşleşti")))</ns0:f>
        <ns0:v/>
      </ns0:c>
      <ns0:c r="I1261" s="28">
        <ns0:f>I1260+IF(AND(H1261="Eşleşmedi",E1261='Panel'!$B$4),1,0)</ns0:f>
        <ns0:v>3.0</ns0:v>
      </ns0:c>
    </ns0:row>
    <ns0:row r="1262" ht="21" customHeight="1">
      <ns0:c r="A1262" s="25" t="n"/>
      <ns0:c r="B1262" s="26" t="n"/>
      <ns0:c r="C1262" s="27" t="n"/>
      <ns0:c r="D1262" s="27" t="n"/>
      <ns0:c r="E1262" s="28" t="str">
        <ns0:f>IF(A1262="","",YEAR(A1262)&amp;"-"&amp;RIGHT("0"&amp;MONTH(A1262),2))</ns0:f>
        <ns0:v/>
      </ns0:c>
      <ns0:c r="F1262" s="28" t="str">
        <ns0:f>IF(OR(A1262="",B1262="",C1262&lt;=0),"",IF(SUMPRODUCT(('Müşteriler'!$B$2:$B$101&lt;&gt;"")*ISNUMBER(SEARCH('Müşteriler'!$B$2:$B$101,B1262)))=1,IFERROR(INDEX('Müşteriler'!$A$2:$A$101,SUMPRODUCT(('Müşteriler'!$B$2:$B$101&lt;&gt;"")*ISNUMBER(SEARCH('Müşteriler'!$B$2:$B$101,B1262)),ROW('Müşteriler'!$B$2:$B$101)-ROW('Müşteriler'!$B$2)+1)),""),""))</ns0:f>
        <ns0:v/>
      </ns0:c>
      <ns0:c r="G1262" s="28" t="str">
        <ns0:f>IF(F1262="","",IFERROR(INDEX('Müşteriler'!$C$2:$C$101,MATCH(F1262,'Müşteriler'!$A$2:$A$101,0)),""))</ns0:f>
        <ns0:v/>
      </ns0:c>
      <ns0:c r="H1262" s="28" t="str">
        <ns0:f>IF(A1262="","",IF(C1262&lt;=0,"Satış dışı",IF(OR(F1262="",G1262=""),"Eşleşmedi","Eşleşti")))</ns0:f>
        <ns0:v/>
      </ns0:c>
      <ns0:c r="I1262" s="28">
        <ns0:f>I1261+IF(AND(H1262="Eşleşmedi",E1262='Panel'!$B$4),1,0)</ns0:f>
        <ns0:v>3.0</ns0:v>
      </ns0:c>
    </ns0:row>
    <ns0:row r="1263" ht="21" customHeight="1">
      <ns0:c r="A1263" s="25" t="n"/>
      <ns0:c r="B1263" s="26" t="n"/>
      <ns0:c r="C1263" s="27" t="n"/>
      <ns0:c r="D1263" s="27" t="n"/>
      <ns0:c r="E1263" s="28" t="str">
        <ns0:f>IF(A1263="","",YEAR(A1263)&amp;"-"&amp;RIGHT("0"&amp;MONTH(A1263),2))</ns0:f>
        <ns0:v/>
      </ns0:c>
      <ns0:c r="F1263" s="28" t="str">
        <ns0:f>IF(OR(A1263="",B1263="",C1263&lt;=0),"",IF(SUMPRODUCT(('Müşteriler'!$B$2:$B$101&lt;&gt;"")*ISNUMBER(SEARCH('Müşteriler'!$B$2:$B$101,B1263)))=1,IFERROR(INDEX('Müşteriler'!$A$2:$A$101,SUMPRODUCT(('Müşteriler'!$B$2:$B$101&lt;&gt;"")*ISNUMBER(SEARCH('Müşteriler'!$B$2:$B$101,B1263)),ROW('Müşteriler'!$B$2:$B$101)-ROW('Müşteriler'!$B$2)+1)),""),""))</ns0:f>
        <ns0:v/>
      </ns0:c>
      <ns0:c r="G1263" s="28" t="str">
        <ns0:f>IF(F1263="","",IFERROR(INDEX('Müşteriler'!$C$2:$C$101,MATCH(F1263,'Müşteriler'!$A$2:$A$101,0)),""))</ns0:f>
        <ns0:v/>
      </ns0:c>
      <ns0:c r="H1263" s="28" t="str">
        <ns0:f>IF(A1263="","",IF(C1263&lt;=0,"Satış dışı",IF(OR(F1263="",G1263=""),"Eşleşmedi","Eşleşti")))</ns0:f>
        <ns0:v/>
      </ns0:c>
      <ns0:c r="I1263" s="28">
        <ns0:f>I1262+IF(AND(H1263="Eşleşmedi",E1263='Panel'!$B$4),1,0)</ns0:f>
        <ns0:v>3.0</ns0:v>
      </ns0:c>
    </ns0:row>
    <ns0:row r="1264" ht="21" customHeight="1">
      <ns0:c r="A1264" s="25" t="n"/>
      <ns0:c r="B1264" s="26" t="n"/>
      <ns0:c r="C1264" s="27" t="n"/>
      <ns0:c r="D1264" s="27" t="n"/>
      <ns0:c r="E1264" s="28" t="str">
        <ns0:f>IF(A1264="","",YEAR(A1264)&amp;"-"&amp;RIGHT("0"&amp;MONTH(A1264),2))</ns0:f>
        <ns0:v/>
      </ns0:c>
      <ns0:c r="F1264" s="28" t="str">
        <ns0:f>IF(OR(A1264="",B1264="",C1264&lt;=0),"",IF(SUMPRODUCT(('Müşteriler'!$B$2:$B$101&lt;&gt;"")*ISNUMBER(SEARCH('Müşteriler'!$B$2:$B$101,B1264)))=1,IFERROR(INDEX('Müşteriler'!$A$2:$A$101,SUMPRODUCT(('Müşteriler'!$B$2:$B$101&lt;&gt;"")*ISNUMBER(SEARCH('Müşteriler'!$B$2:$B$101,B1264)),ROW('Müşteriler'!$B$2:$B$101)-ROW('Müşteriler'!$B$2)+1)),""),""))</ns0:f>
        <ns0:v/>
      </ns0:c>
      <ns0:c r="G1264" s="28" t="str">
        <ns0:f>IF(F1264="","",IFERROR(INDEX('Müşteriler'!$C$2:$C$101,MATCH(F1264,'Müşteriler'!$A$2:$A$101,0)),""))</ns0:f>
        <ns0:v/>
      </ns0:c>
      <ns0:c r="H1264" s="28" t="str">
        <ns0:f>IF(A1264="","",IF(C1264&lt;=0,"Satış dışı",IF(OR(F1264="",G1264=""),"Eşleşmedi","Eşleşti")))</ns0:f>
        <ns0:v/>
      </ns0:c>
      <ns0:c r="I1264" s="28">
        <ns0:f>I1263+IF(AND(H1264="Eşleşmedi",E1264='Panel'!$B$4),1,0)</ns0:f>
        <ns0:v>3.0</ns0:v>
      </ns0:c>
    </ns0:row>
    <ns0:row r="1265" ht="21" customHeight="1">
      <ns0:c r="A1265" s="25" t="n"/>
      <ns0:c r="B1265" s="26" t="n"/>
      <ns0:c r="C1265" s="27" t="n"/>
      <ns0:c r="D1265" s="27" t="n"/>
      <ns0:c r="E1265" s="28" t="str">
        <ns0:f>IF(A1265="","",YEAR(A1265)&amp;"-"&amp;RIGHT("0"&amp;MONTH(A1265),2))</ns0:f>
        <ns0:v/>
      </ns0:c>
      <ns0:c r="F1265" s="28" t="str">
        <ns0:f>IF(OR(A1265="",B1265="",C1265&lt;=0),"",IF(SUMPRODUCT(('Müşteriler'!$B$2:$B$101&lt;&gt;"")*ISNUMBER(SEARCH('Müşteriler'!$B$2:$B$101,B1265)))=1,IFERROR(INDEX('Müşteriler'!$A$2:$A$101,SUMPRODUCT(('Müşteriler'!$B$2:$B$101&lt;&gt;"")*ISNUMBER(SEARCH('Müşteriler'!$B$2:$B$101,B1265)),ROW('Müşteriler'!$B$2:$B$101)-ROW('Müşteriler'!$B$2)+1)),""),""))</ns0:f>
        <ns0:v/>
      </ns0:c>
      <ns0:c r="G1265" s="28" t="str">
        <ns0:f>IF(F1265="","",IFERROR(INDEX('Müşteriler'!$C$2:$C$101,MATCH(F1265,'Müşteriler'!$A$2:$A$101,0)),""))</ns0:f>
        <ns0:v/>
      </ns0:c>
      <ns0:c r="H1265" s="28" t="str">
        <ns0:f>IF(A1265="","",IF(C1265&lt;=0,"Satış dışı",IF(OR(F1265="",G1265=""),"Eşleşmedi","Eşleşti")))</ns0:f>
        <ns0:v/>
      </ns0:c>
      <ns0:c r="I1265" s="28">
        <ns0:f>I1264+IF(AND(H1265="Eşleşmedi",E1265='Panel'!$B$4),1,0)</ns0:f>
        <ns0:v>3.0</ns0:v>
      </ns0:c>
    </ns0:row>
    <ns0:row r="1266" ht="21" customHeight="1">
      <ns0:c r="A1266" s="25" t="n"/>
      <ns0:c r="B1266" s="26" t="n"/>
      <ns0:c r="C1266" s="27" t="n"/>
      <ns0:c r="D1266" s="27" t="n"/>
      <ns0:c r="E1266" s="28" t="str">
        <ns0:f>IF(A1266="","",YEAR(A1266)&amp;"-"&amp;RIGHT("0"&amp;MONTH(A1266),2))</ns0:f>
        <ns0:v/>
      </ns0:c>
      <ns0:c r="F1266" s="28" t="str">
        <ns0:f>IF(OR(A1266="",B1266="",C1266&lt;=0),"",IF(SUMPRODUCT(('Müşteriler'!$B$2:$B$101&lt;&gt;"")*ISNUMBER(SEARCH('Müşteriler'!$B$2:$B$101,B1266)))=1,IFERROR(INDEX('Müşteriler'!$A$2:$A$101,SUMPRODUCT(('Müşteriler'!$B$2:$B$101&lt;&gt;"")*ISNUMBER(SEARCH('Müşteriler'!$B$2:$B$101,B1266)),ROW('Müşteriler'!$B$2:$B$101)-ROW('Müşteriler'!$B$2)+1)),""),""))</ns0:f>
        <ns0:v/>
      </ns0:c>
      <ns0:c r="G1266" s="28" t="str">
        <ns0:f>IF(F1266="","",IFERROR(INDEX('Müşteriler'!$C$2:$C$101,MATCH(F1266,'Müşteriler'!$A$2:$A$101,0)),""))</ns0:f>
        <ns0:v/>
      </ns0:c>
      <ns0:c r="H1266" s="28" t="str">
        <ns0:f>IF(A1266="","",IF(C1266&lt;=0,"Satış dışı",IF(OR(F1266="",G1266=""),"Eşleşmedi","Eşleşti")))</ns0:f>
        <ns0:v/>
      </ns0:c>
      <ns0:c r="I1266" s="28">
        <ns0:f>I1265+IF(AND(H1266="Eşleşmedi",E1266='Panel'!$B$4),1,0)</ns0:f>
        <ns0:v>3.0</ns0:v>
      </ns0:c>
    </ns0:row>
    <ns0:row r="1267" ht="21" customHeight="1">
      <ns0:c r="A1267" s="25" t="n"/>
      <ns0:c r="B1267" s="26" t="n"/>
      <ns0:c r="C1267" s="27" t="n"/>
      <ns0:c r="D1267" s="27" t="n"/>
      <ns0:c r="E1267" s="28" t="str">
        <ns0:f>IF(A1267="","",YEAR(A1267)&amp;"-"&amp;RIGHT("0"&amp;MONTH(A1267),2))</ns0:f>
        <ns0:v/>
      </ns0:c>
      <ns0:c r="F1267" s="28" t="str">
        <ns0:f>IF(OR(A1267="",B1267="",C1267&lt;=0),"",IF(SUMPRODUCT(('Müşteriler'!$B$2:$B$101&lt;&gt;"")*ISNUMBER(SEARCH('Müşteriler'!$B$2:$B$101,B1267)))=1,IFERROR(INDEX('Müşteriler'!$A$2:$A$101,SUMPRODUCT(('Müşteriler'!$B$2:$B$101&lt;&gt;"")*ISNUMBER(SEARCH('Müşteriler'!$B$2:$B$101,B1267)),ROW('Müşteriler'!$B$2:$B$101)-ROW('Müşteriler'!$B$2)+1)),""),""))</ns0:f>
        <ns0:v/>
      </ns0:c>
      <ns0:c r="G1267" s="28" t="str">
        <ns0:f>IF(F1267="","",IFERROR(INDEX('Müşteriler'!$C$2:$C$101,MATCH(F1267,'Müşteriler'!$A$2:$A$101,0)),""))</ns0:f>
        <ns0:v/>
      </ns0:c>
      <ns0:c r="H1267" s="28" t="str">
        <ns0:f>IF(A1267="","",IF(C1267&lt;=0,"Satış dışı",IF(OR(F1267="",G1267=""),"Eşleşmedi","Eşleşti")))</ns0:f>
        <ns0:v/>
      </ns0:c>
      <ns0:c r="I1267" s="28">
        <ns0:f>I1266+IF(AND(H1267="Eşleşmedi",E1267='Panel'!$B$4),1,0)</ns0:f>
        <ns0:v>3.0</ns0:v>
      </ns0:c>
    </ns0:row>
    <ns0:row r="1268" ht="21" customHeight="1">
      <ns0:c r="A1268" s="25" t="n"/>
      <ns0:c r="B1268" s="26" t="n"/>
      <ns0:c r="C1268" s="27" t="n"/>
      <ns0:c r="D1268" s="27" t="n"/>
      <ns0:c r="E1268" s="28" t="str">
        <ns0:f>IF(A1268="","",YEAR(A1268)&amp;"-"&amp;RIGHT("0"&amp;MONTH(A1268),2))</ns0:f>
        <ns0:v/>
      </ns0:c>
      <ns0:c r="F1268" s="28" t="str">
        <ns0:f>IF(OR(A1268="",B1268="",C1268&lt;=0),"",IF(SUMPRODUCT(('Müşteriler'!$B$2:$B$101&lt;&gt;"")*ISNUMBER(SEARCH('Müşteriler'!$B$2:$B$101,B1268)))=1,IFERROR(INDEX('Müşteriler'!$A$2:$A$101,SUMPRODUCT(('Müşteriler'!$B$2:$B$101&lt;&gt;"")*ISNUMBER(SEARCH('Müşteriler'!$B$2:$B$101,B1268)),ROW('Müşteriler'!$B$2:$B$101)-ROW('Müşteriler'!$B$2)+1)),""),""))</ns0:f>
        <ns0:v/>
      </ns0:c>
      <ns0:c r="G1268" s="28" t="str">
        <ns0:f>IF(F1268="","",IFERROR(INDEX('Müşteriler'!$C$2:$C$101,MATCH(F1268,'Müşteriler'!$A$2:$A$101,0)),""))</ns0:f>
        <ns0:v/>
      </ns0:c>
      <ns0:c r="H1268" s="28" t="str">
        <ns0:f>IF(A1268="","",IF(C1268&lt;=0,"Satış dışı",IF(OR(F1268="",G1268=""),"Eşleşmedi","Eşleşti")))</ns0:f>
        <ns0:v/>
      </ns0:c>
      <ns0:c r="I1268" s="28">
        <ns0:f>I1267+IF(AND(H1268="Eşleşmedi",E1268='Panel'!$B$4),1,0)</ns0:f>
        <ns0:v>3.0</ns0:v>
      </ns0:c>
    </ns0:row>
    <ns0:row r="1269" ht="21" customHeight="1">
      <ns0:c r="A1269" s="25" t="n"/>
      <ns0:c r="B1269" s="26" t="n"/>
      <ns0:c r="C1269" s="27" t="n"/>
      <ns0:c r="D1269" s="27" t="n"/>
      <ns0:c r="E1269" s="28" t="str">
        <ns0:f>IF(A1269="","",YEAR(A1269)&amp;"-"&amp;RIGHT("0"&amp;MONTH(A1269),2))</ns0:f>
        <ns0:v/>
      </ns0:c>
      <ns0:c r="F1269" s="28" t="str">
        <ns0:f>IF(OR(A1269="",B1269="",C1269&lt;=0),"",IF(SUMPRODUCT(('Müşteriler'!$B$2:$B$101&lt;&gt;"")*ISNUMBER(SEARCH('Müşteriler'!$B$2:$B$101,B1269)))=1,IFERROR(INDEX('Müşteriler'!$A$2:$A$101,SUMPRODUCT(('Müşteriler'!$B$2:$B$101&lt;&gt;"")*ISNUMBER(SEARCH('Müşteriler'!$B$2:$B$101,B1269)),ROW('Müşteriler'!$B$2:$B$101)-ROW('Müşteriler'!$B$2)+1)),""),""))</ns0:f>
        <ns0:v/>
      </ns0:c>
      <ns0:c r="G1269" s="28" t="str">
        <ns0:f>IF(F1269="","",IFERROR(INDEX('Müşteriler'!$C$2:$C$101,MATCH(F1269,'Müşteriler'!$A$2:$A$101,0)),""))</ns0:f>
        <ns0:v/>
      </ns0:c>
      <ns0:c r="H1269" s="28" t="str">
        <ns0:f>IF(A1269="","",IF(C1269&lt;=0,"Satış dışı",IF(OR(F1269="",G1269=""),"Eşleşmedi","Eşleşti")))</ns0:f>
        <ns0:v/>
      </ns0:c>
      <ns0:c r="I1269" s="28">
        <ns0:f>I1268+IF(AND(H1269="Eşleşmedi",E1269='Panel'!$B$4),1,0)</ns0:f>
        <ns0:v>3.0</ns0:v>
      </ns0:c>
    </ns0:row>
    <ns0:row r="1270" ht="21" customHeight="1">
      <ns0:c r="A1270" s="25" t="n"/>
      <ns0:c r="B1270" s="26" t="n"/>
      <ns0:c r="C1270" s="27" t="n"/>
      <ns0:c r="D1270" s="27" t="n"/>
      <ns0:c r="E1270" s="28" t="str">
        <ns0:f>IF(A1270="","",YEAR(A1270)&amp;"-"&amp;RIGHT("0"&amp;MONTH(A1270),2))</ns0:f>
        <ns0:v/>
      </ns0:c>
      <ns0:c r="F1270" s="28" t="str">
        <ns0:f>IF(OR(A1270="",B1270="",C1270&lt;=0),"",IF(SUMPRODUCT(('Müşteriler'!$B$2:$B$101&lt;&gt;"")*ISNUMBER(SEARCH('Müşteriler'!$B$2:$B$101,B1270)))=1,IFERROR(INDEX('Müşteriler'!$A$2:$A$101,SUMPRODUCT(('Müşteriler'!$B$2:$B$101&lt;&gt;"")*ISNUMBER(SEARCH('Müşteriler'!$B$2:$B$101,B1270)),ROW('Müşteriler'!$B$2:$B$101)-ROW('Müşteriler'!$B$2)+1)),""),""))</ns0:f>
        <ns0:v/>
      </ns0:c>
      <ns0:c r="G1270" s="28" t="str">
        <ns0:f>IF(F1270="","",IFERROR(INDEX('Müşteriler'!$C$2:$C$101,MATCH(F1270,'Müşteriler'!$A$2:$A$101,0)),""))</ns0:f>
        <ns0:v/>
      </ns0:c>
      <ns0:c r="H1270" s="28" t="str">
        <ns0:f>IF(A1270="","",IF(C1270&lt;=0,"Satış dışı",IF(OR(F1270="",G1270=""),"Eşleşmedi","Eşleşti")))</ns0:f>
        <ns0:v/>
      </ns0:c>
      <ns0:c r="I1270" s="28">
        <ns0:f>I1269+IF(AND(H1270="Eşleşmedi",E1270='Panel'!$B$4),1,0)</ns0:f>
        <ns0:v>3.0</ns0:v>
      </ns0:c>
    </ns0:row>
    <ns0:row r="1271" ht="21" customHeight="1">
      <ns0:c r="A1271" s="25" t="n"/>
      <ns0:c r="B1271" s="26" t="n"/>
      <ns0:c r="C1271" s="27" t="n"/>
      <ns0:c r="D1271" s="27" t="n"/>
      <ns0:c r="E1271" s="28" t="str">
        <ns0:f>IF(A1271="","",YEAR(A1271)&amp;"-"&amp;RIGHT("0"&amp;MONTH(A1271),2))</ns0:f>
        <ns0:v/>
      </ns0:c>
      <ns0:c r="F1271" s="28" t="str">
        <ns0:f>IF(OR(A1271="",B1271="",C1271&lt;=0),"",IF(SUMPRODUCT(('Müşteriler'!$B$2:$B$101&lt;&gt;"")*ISNUMBER(SEARCH('Müşteriler'!$B$2:$B$101,B1271)))=1,IFERROR(INDEX('Müşteriler'!$A$2:$A$101,SUMPRODUCT(('Müşteriler'!$B$2:$B$101&lt;&gt;"")*ISNUMBER(SEARCH('Müşteriler'!$B$2:$B$101,B1271)),ROW('Müşteriler'!$B$2:$B$101)-ROW('Müşteriler'!$B$2)+1)),""),""))</ns0:f>
        <ns0:v/>
      </ns0:c>
      <ns0:c r="G1271" s="28" t="str">
        <ns0:f>IF(F1271="","",IFERROR(INDEX('Müşteriler'!$C$2:$C$101,MATCH(F1271,'Müşteriler'!$A$2:$A$101,0)),""))</ns0:f>
        <ns0:v/>
      </ns0:c>
      <ns0:c r="H1271" s="28" t="str">
        <ns0:f>IF(A1271="","",IF(C1271&lt;=0,"Satış dışı",IF(OR(F1271="",G1271=""),"Eşleşmedi","Eşleşti")))</ns0:f>
        <ns0:v/>
      </ns0:c>
      <ns0:c r="I1271" s="28">
        <ns0:f>I1270+IF(AND(H1271="Eşleşmedi",E1271='Panel'!$B$4),1,0)</ns0:f>
        <ns0:v>3.0</ns0:v>
      </ns0:c>
    </ns0:row>
    <ns0:row r="1272" ht="21" customHeight="1">
      <ns0:c r="A1272" s="25" t="n"/>
      <ns0:c r="B1272" s="26" t="n"/>
      <ns0:c r="C1272" s="27" t="n"/>
      <ns0:c r="D1272" s="27" t="n"/>
      <ns0:c r="E1272" s="28" t="str">
        <ns0:f>IF(A1272="","",YEAR(A1272)&amp;"-"&amp;RIGHT("0"&amp;MONTH(A1272),2))</ns0:f>
        <ns0:v/>
      </ns0:c>
      <ns0:c r="F1272" s="28" t="str">
        <ns0:f>IF(OR(A1272="",B1272="",C1272&lt;=0),"",IF(SUMPRODUCT(('Müşteriler'!$B$2:$B$101&lt;&gt;"")*ISNUMBER(SEARCH('Müşteriler'!$B$2:$B$101,B1272)))=1,IFERROR(INDEX('Müşteriler'!$A$2:$A$101,SUMPRODUCT(('Müşteriler'!$B$2:$B$101&lt;&gt;"")*ISNUMBER(SEARCH('Müşteriler'!$B$2:$B$101,B1272)),ROW('Müşteriler'!$B$2:$B$101)-ROW('Müşteriler'!$B$2)+1)),""),""))</ns0:f>
        <ns0:v/>
      </ns0:c>
      <ns0:c r="G1272" s="28" t="str">
        <ns0:f>IF(F1272="","",IFERROR(INDEX('Müşteriler'!$C$2:$C$101,MATCH(F1272,'Müşteriler'!$A$2:$A$101,0)),""))</ns0:f>
        <ns0:v/>
      </ns0:c>
      <ns0:c r="H1272" s="28" t="str">
        <ns0:f>IF(A1272="","",IF(C1272&lt;=0,"Satış dışı",IF(OR(F1272="",G1272=""),"Eşleşmedi","Eşleşti")))</ns0:f>
        <ns0:v/>
      </ns0:c>
      <ns0:c r="I1272" s="28">
        <ns0:f>I1271+IF(AND(H1272="Eşleşmedi",E1272='Panel'!$B$4),1,0)</ns0:f>
        <ns0:v>3.0</ns0:v>
      </ns0:c>
    </ns0:row>
    <ns0:row r="1273" ht="21" customHeight="1">
      <ns0:c r="A1273" s="25" t="n"/>
      <ns0:c r="B1273" s="26" t="n"/>
      <ns0:c r="C1273" s="27" t="n"/>
      <ns0:c r="D1273" s="27" t="n"/>
      <ns0:c r="E1273" s="28" t="str">
        <ns0:f>IF(A1273="","",YEAR(A1273)&amp;"-"&amp;RIGHT("0"&amp;MONTH(A1273),2))</ns0:f>
        <ns0:v/>
      </ns0:c>
      <ns0:c r="F1273" s="28" t="str">
        <ns0:f>IF(OR(A1273="",B1273="",C1273&lt;=0),"",IF(SUMPRODUCT(('Müşteriler'!$B$2:$B$101&lt;&gt;"")*ISNUMBER(SEARCH('Müşteriler'!$B$2:$B$101,B1273)))=1,IFERROR(INDEX('Müşteriler'!$A$2:$A$101,SUMPRODUCT(('Müşteriler'!$B$2:$B$101&lt;&gt;"")*ISNUMBER(SEARCH('Müşteriler'!$B$2:$B$101,B1273)),ROW('Müşteriler'!$B$2:$B$101)-ROW('Müşteriler'!$B$2)+1)),""),""))</ns0:f>
        <ns0:v/>
      </ns0:c>
      <ns0:c r="G1273" s="28" t="str">
        <ns0:f>IF(F1273="","",IFERROR(INDEX('Müşteriler'!$C$2:$C$101,MATCH(F1273,'Müşteriler'!$A$2:$A$101,0)),""))</ns0:f>
        <ns0:v/>
      </ns0:c>
      <ns0:c r="H1273" s="28" t="str">
        <ns0:f>IF(A1273="","",IF(C1273&lt;=0,"Satış dışı",IF(OR(F1273="",G1273=""),"Eşleşmedi","Eşleşti")))</ns0:f>
        <ns0:v/>
      </ns0:c>
      <ns0:c r="I1273" s="28">
        <ns0:f>I1272+IF(AND(H1273="Eşleşmedi",E1273='Panel'!$B$4),1,0)</ns0:f>
        <ns0:v>3.0</ns0:v>
      </ns0:c>
    </ns0:row>
    <ns0:row r="1274" ht="21" customHeight="1">
      <ns0:c r="A1274" s="25" t="n"/>
      <ns0:c r="B1274" s="26" t="n"/>
      <ns0:c r="C1274" s="27" t="n"/>
      <ns0:c r="D1274" s="27" t="n"/>
      <ns0:c r="E1274" s="28" t="str">
        <ns0:f>IF(A1274="","",YEAR(A1274)&amp;"-"&amp;RIGHT("0"&amp;MONTH(A1274),2))</ns0:f>
        <ns0:v/>
      </ns0:c>
      <ns0:c r="F1274" s="28" t="str">
        <ns0:f>IF(OR(A1274="",B1274="",C1274&lt;=0),"",IF(SUMPRODUCT(('Müşteriler'!$B$2:$B$101&lt;&gt;"")*ISNUMBER(SEARCH('Müşteriler'!$B$2:$B$101,B1274)))=1,IFERROR(INDEX('Müşteriler'!$A$2:$A$101,SUMPRODUCT(('Müşteriler'!$B$2:$B$101&lt;&gt;"")*ISNUMBER(SEARCH('Müşteriler'!$B$2:$B$101,B1274)),ROW('Müşteriler'!$B$2:$B$101)-ROW('Müşteriler'!$B$2)+1)),""),""))</ns0:f>
        <ns0:v/>
      </ns0:c>
      <ns0:c r="G1274" s="28" t="str">
        <ns0:f>IF(F1274="","",IFERROR(INDEX('Müşteriler'!$C$2:$C$101,MATCH(F1274,'Müşteriler'!$A$2:$A$101,0)),""))</ns0:f>
        <ns0:v/>
      </ns0:c>
      <ns0:c r="H1274" s="28" t="str">
        <ns0:f>IF(A1274="","",IF(C1274&lt;=0,"Satış dışı",IF(OR(F1274="",G1274=""),"Eşleşmedi","Eşleşti")))</ns0:f>
        <ns0:v/>
      </ns0:c>
      <ns0:c r="I1274" s="28">
        <ns0:f>I1273+IF(AND(H1274="Eşleşmedi",E1274='Panel'!$B$4),1,0)</ns0:f>
        <ns0:v>3.0</ns0:v>
      </ns0:c>
    </ns0:row>
    <ns0:row r="1275" ht="21" customHeight="1">
      <ns0:c r="A1275" s="25" t="n"/>
      <ns0:c r="B1275" s="26" t="n"/>
      <ns0:c r="C1275" s="27" t="n"/>
      <ns0:c r="D1275" s="27" t="n"/>
      <ns0:c r="E1275" s="28" t="str">
        <ns0:f>IF(A1275="","",YEAR(A1275)&amp;"-"&amp;RIGHT("0"&amp;MONTH(A1275),2))</ns0:f>
        <ns0:v/>
      </ns0:c>
      <ns0:c r="F1275" s="28" t="str">
        <ns0:f>IF(OR(A1275="",B1275="",C1275&lt;=0),"",IF(SUMPRODUCT(('Müşteriler'!$B$2:$B$101&lt;&gt;"")*ISNUMBER(SEARCH('Müşteriler'!$B$2:$B$101,B1275)))=1,IFERROR(INDEX('Müşteriler'!$A$2:$A$101,SUMPRODUCT(('Müşteriler'!$B$2:$B$101&lt;&gt;"")*ISNUMBER(SEARCH('Müşteriler'!$B$2:$B$101,B1275)),ROW('Müşteriler'!$B$2:$B$101)-ROW('Müşteriler'!$B$2)+1)),""),""))</ns0:f>
        <ns0:v/>
      </ns0:c>
      <ns0:c r="G1275" s="28" t="str">
        <ns0:f>IF(F1275="","",IFERROR(INDEX('Müşteriler'!$C$2:$C$101,MATCH(F1275,'Müşteriler'!$A$2:$A$101,0)),""))</ns0:f>
        <ns0:v/>
      </ns0:c>
      <ns0:c r="H1275" s="28" t="str">
        <ns0:f>IF(A1275="","",IF(C1275&lt;=0,"Satış dışı",IF(OR(F1275="",G1275=""),"Eşleşmedi","Eşleşti")))</ns0:f>
        <ns0:v/>
      </ns0:c>
      <ns0:c r="I1275" s="28">
        <ns0:f>I1274+IF(AND(H1275="Eşleşmedi",E1275='Panel'!$B$4),1,0)</ns0:f>
        <ns0:v>3.0</ns0:v>
      </ns0:c>
    </ns0:row>
    <ns0:row r="1276" ht="21" customHeight="1">
      <ns0:c r="A1276" s="25" t="n"/>
      <ns0:c r="B1276" s="26" t="n"/>
      <ns0:c r="C1276" s="27" t="n"/>
      <ns0:c r="D1276" s="27" t="n"/>
      <ns0:c r="E1276" s="28" t="str">
        <ns0:f>IF(A1276="","",YEAR(A1276)&amp;"-"&amp;RIGHT("0"&amp;MONTH(A1276),2))</ns0:f>
        <ns0:v/>
      </ns0:c>
      <ns0:c r="F1276" s="28" t="str">
        <ns0:f>IF(OR(A1276="",B1276="",C1276&lt;=0),"",IF(SUMPRODUCT(('Müşteriler'!$B$2:$B$101&lt;&gt;"")*ISNUMBER(SEARCH('Müşteriler'!$B$2:$B$101,B1276)))=1,IFERROR(INDEX('Müşteriler'!$A$2:$A$101,SUMPRODUCT(('Müşteriler'!$B$2:$B$101&lt;&gt;"")*ISNUMBER(SEARCH('Müşteriler'!$B$2:$B$101,B1276)),ROW('Müşteriler'!$B$2:$B$101)-ROW('Müşteriler'!$B$2)+1)),""),""))</ns0:f>
        <ns0:v/>
      </ns0:c>
      <ns0:c r="G1276" s="28" t="str">
        <ns0:f>IF(F1276="","",IFERROR(INDEX('Müşteriler'!$C$2:$C$101,MATCH(F1276,'Müşteriler'!$A$2:$A$101,0)),""))</ns0:f>
        <ns0:v/>
      </ns0:c>
      <ns0:c r="H1276" s="28" t="str">
        <ns0:f>IF(A1276="","",IF(C1276&lt;=0,"Satış dışı",IF(OR(F1276="",G1276=""),"Eşleşmedi","Eşleşti")))</ns0:f>
        <ns0:v/>
      </ns0:c>
      <ns0:c r="I1276" s="28">
        <ns0:f>I1275+IF(AND(H1276="Eşleşmedi",E1276='Panel'!$B$4),1,0)</ns0:f>
        <ns0:v>3.0</ns0:v>
      </ns0:c>
    </ns0:row>
    <ns0:row r="1277" ht="21" customHeight="1">
      <ns0:c r="A1277" s="25" t="n"/>
      <ns0:c r="B1277" s="26" t="n"/>
      <ns0:c r="C1277" s="27" t="n"/>
      <ns0:c r="D1277" s="27" t="n"/>
      <ns0:c r="E1277" s="28" t="str">
        <ns0:f>IF(A1277="","",YEAR(A1277)&amp;"-"&amp;RIGHT("0"&amp;MONTH(A1277),2))</ns0:f>
        <ns0:v/>
      </ns0:c>
      <ns0:c r="F1277" s="28" t="str">
        <ns0:f>IF(OR(A1277="",B1277="",C1277&lt;=0),"",IF(SUMPRODUCT(('Müşteriler'!$B$2:$B$101&lt;&gt;"")*ISNUMBER(SEARCH('Müşteriler'!$B$2:$B$101,B1277)))=1,IFERROR(INDEX('Müşteriler'!$A$2:$A$101,SUMPRODUCT(('Müşteriler'!$B$2:$B$101&lt;&gt;"")*ISNUMBER(SEARCH('Müşteriler'!$B$2:$B$101,B1277)),ROW('Müşteriler'!$B$2:$B$101)-ROW('Müşteriler'!$B$2)+1)),""),""))</ns0:f>
        <ns0:v/>
      </ns0:c>
      <ns0:c r="G1277" s="28" t="str">
        <ns0:f>IF(F1277="","",IFERROR(INDEX('Müşteriler'!$C$2:$C$101,MATCH(F1277,'Müşteriler'!$A$2:$A$101,0)),""))</ns0:f>
        <ns0:v/>
      </ns0:c>
      <ns0:c r="H1277" s="28" t="str">
        <ns0:f>IF(A1277="","",IF(C1277&lt;=0,"Satış dışı",IF(OR(F1277="",G1277=""),"Eşleşmedi","Eşleşti")))</ns0:f>
        <ns0:v/>
      </ns0:c>
      <ns0:c r="I1277" s="28">
        <ns0:f>I1276+IF(AND(H1277="Eşleşmedi",E1277='Panel'!$B$4),1,0)</ns0:f>
        <ns0:v>3.0</ns0:v>
      </ns0:c>
    </ns0:row>
    <ns0:row r="1278" ht="21" customHeight="1">
      <ns0:c r="A1278" s="25" t="n"/>
      <ns0:c r="B1278" s="26" t="n"/>
      <ns0:c r="C1278" s="27" t="n"/>
      <ns0:c r="D1278" s="27" t="n"/>
      <ns0:c r="E1278" s="28" t="str">
        <ns0:f>IF(A1278="","",YEAR(A1278)&amp;"-"&amp;RIGHT("0"&amp;MONTH(A1278),2))</ns0:f>
        <ns0:v/>
      </ns0:c>
      <ns0:c r="F1278" s="28" t="str">
        <ns0:f>IF(OR(A1278="",B1278="",C1278&lt;=0),"",IF(SUMPRODUCT(('Müşteriler'!$B$2:$B$101&lt;&gt;"")*ISNUMBER(SEARCH('Müşteriler'!$B$2:$B$101,B1278)))=1,IFERROR(INDEX('Müşteriler'!$A$2:$A$101,SUMPRODUCT(('Müşteriler'!$B$2:$B$101&lt;&gt;"")*ISNUMBER(SEARCH('Müşteriler'!$B$2:$B$101,B1278)),ROW('Müşteriler'!$B$2:$B$101)-ROW('Müşteriler'!$B$2)+1)),""),""))</ns0:f>
        <ns0:v/>
      </ns0:c>
      <ns0:c r="G1278" s="28" t="str">
        <ns0:f>IF(F1278="","",IFERROR(INDEX('Müşteriler'!$C$2:$C$101,MATCH(F1278,'Müşteriler'!$A$2:$A$101,0)),""))</ns0:f>
        <ns0:v/>
      </ns0:c>
      <ns0:c r="H1278" s="28" t="str">
        <ns0:f>IF(A1278="","",IF(C1278&lt;=0,"Satış dışı",IF(OR(F1278="",G1278=""),"Eşleşmedi","Eşleşti")))</ns0:f>
        <ns0:v/>
      </ns0:c>
      <ns0:c r="I1278" s="28">
        <ns0:f>I1277+IF(AND(H1278="Eşleşmedi",E1278='Panel'!$B$4),1,0)</ns0:f>
        <ns0:v>3.0</ns0:v>
      </ns0:c>
    </ns0:row>
    <ns0:row r="1279" ht="21" customHeight="1">
      <ns0:c r="A1279" s="25" t="n"/>
      <ns0:c r="B1279" s="26" t="n"/>
      <ns0:c r="C1279" s="27" t="n"/>
      <ns0:c r="D1279" s="27" t="n"/>
      <ns0:c r="E1279" s="28" t="str">
        <ns0:f>IF(A1279="","",YEAR(A1279)&amp;"-"&amp;RIGHT("0"&amp;MONTH(A1279),2))</ns0:f>
        <ns0:v/>
      </ns0:c>
      <ns0:c r="F1279" s="28" t="str">
        <ns0:f>IF(OR(A1279="",B1279="",C1279&lt;=0),"",IF(SUMPRODUCT(('Müşteriler'!$B$2:$B$101&lt;&gt;"")*ISNUMBER(SEARCH('Müşteriler'!$B$2:$B$101,B1279)))=1,IFERROR(INDEX('Müşteriler'!$A$2:$A$101,SUMPRODUCT(('Müşteriler'!$B$2:$B$101&lt;&gt;"")*ISNUMBER(SEARCH('Müşteriler'!$B$2:$B$101,B1279)),ROW('Müşteriler'!$B$2:$B$101)-ROW('Müşteriler'!$B$2)+1)),""),""))</ns0:f>
        <ns0:v/>
      </ns0:c>
      <ns0:c r="G1279" s="28" t="str">
        <ns0:f>IF(F1279="","",IFERROR(INDEX('Müşteriler'!$C$2:$C$101,MATCH(F1279,'Müşteriler'!$A$2:$A$101,0)),""))</ns0:f>
        <ns0:v/>
      </ns0:c>
      <ns0:c r="H1279" s="28" t="str">
        <ns0:f>IF(A1279="","",IF(C1279&lt;=0,"Satış dışı",IF(OR(F1279="",G1279=""),"Eşleşmedi","Eşleşti")))</ns0:f>
        <ns0:v/>
      </ns0:c>
      <ns0:c r="I1279" s="28">
        <ns0:f>I1278+IF(AND(H1279="Eşleşmedi",E1279='Panel'!$B$4),1,0)</ns0:f>
        <ns0:v>3.0</ns0:v>
      </ns0:c>
    </ns0:row>
    <ns0:row r="1280" ht="21" customHeight="1">
      <ns0:c r="A1280" s="25" t="n"/>
      <ns0:c r="B1280" s="26" t="n"/>
      <ns0:c r="C1280" s="27" t="n"/>
      <ns0:c r="D1280" s="27" t="n"/>
      <ns0:c r="E1280" s="28" t="str">
        <ns0:f>IF(A1280="","",YEAR(A1280)&amp;"-"&amp;RIGHT("0"&amp;MONTH(A1280),2))</ns0:f>
        <ns0:v/>
      </ns0:c>
      <ns0:c r="F1280" s="28" t="str">
        <ns0:f>IF(OR(A1280="",B1280="",C1280&lt;=0),"",IF(SUMPRODUCT(('Müşteriler'!$B$2:$B$101&lt;&gt;"")*ISNUMBER(SEARCH('Müşteriler'!$B$2:$B$101,B1280)))=1,IFERROR(INDEX('Müşteriler'!$A$2:$A$101,SUMPRODUCT(('Müşteriler'!$B$2:$B$101&lt;&gt;"")*ISNUMBER(SEARCH('Müşteriler'!$B$2:$B$101,B1280)),ROW('Müşteriler'!$B$2:$B$101)-ROW('Müşteriler'!$B$2)+1)),""),""))</ns0:f>
        <ns0:v/>
      </ns0:c>
      <ns0:c r="G1280" s="28" t="str">
        <ns0:f>IF(F1280="","",IFERROR(INDEX('Müşteriler'!$C$2:$C$101,MATCH(F1280,'Müşteriler'!$A$2:$A$101,0)),""))</ns0:f>
        <ns0:v/>
      </ns0:c>
      <ns0:c r="H1280" s="28" t="str">
        <ns0:f>IF(A1280="","",IF(C1280&lt;=0,"Satış dışı",IF(OR(F1280="",G1280=""),"Eşleşmedi","Eşleşti")))</ns0:f>
        <ns0:v/>
      </ns0:c>
      <ns0:c r="I1280" s="28">
        <ns0:f>I1279+IF(AND(H1280="Eşleşmedi",E1280='Panel'!$B$4),1,0)</ns0:f>
        <ns0:v>3.0</ns0:v>
      </ns0:c>
    </ns0:row>
    <ns0:row r="1281" ht="21" customHeight="1">
      <ns0:c r="A1281" s="25" t="n"/>
      <ns0:c r="B1281" s="26" t="n"/>
      <ns0:c r="C1281" s="27" t="n"/>
      <ns0:c r="D1281" s="27" t="n"/>
      <ns0:c r="E1281" s="28" t="str">
        <ns0:f>IF(A1281="","",YEAR(A1281)&amp;"-"&amp;RIGHT("0"&amp;MONTH(A1281),2))</ns0:f>
        <ns0:v/>
      </ns0:c>
      <ns0:c r="F1281" s="28" t="str">
        <ns0:f>IF(OR(A1281="",B1281="",C1281&lt;=0),"",IF(SUMPRODUCT(('Müşteriler'!$B$2:$B$101&lt;&gt;"")*ISNUMBER(SEARCH('Müşteriler'!$B$2:$B$101,B1281)))=1,IFERROR(INDEX('Müşteriler'!$A$2:$A$101,SUMPRODUCT(('Müşteriler'!$B$2:$B$101&lt;&gt;"")*ISNUMBER(SEARCH('Müşteriler'!$B$2:$B$101,B1281)),ROW('Müşteriler'!$B$2:$B$101)-ROW('Müşteriler'!$B$2)+1)),""),""))</ns0:f>
        <ns0:v/>
      </ns0:c>
      <ns0:c r="G1281" s="28" t="str">
        <ns0:f>IF(F1281="","",IFERROR(INDEX('Müşteriler'!$C$2:$C$101,MATCH(F1281,'Müşteriler'!$A$2:$A$101,0)),""))</ns0:f>
        <ns0:v/>
      </ns0:c>
      <ns0:c r="H1281" s="28" t="str">
        <ns0:f>IF(A1281="","",IF(C1281&lt;=0,"Satış dışı",IF(OR(F1281="",G1281=""),"Eşleşmedi","Eşleşti")))</ns0:f>
        <ns0:v/>
      </ns0:c>
      <ns0:c r="I1281" s="28">
        <ns0:f>I1280+IF(AND(H1281="Eşleşmedi",E1281='Panel'!$B$4),1,0)</ns0:f>
        <ns0:v>3.0</ns0:v>
      </ns0:c>
    </ns0:row>
    <ns0:row r="1282" ht="21" customHeight="1">
      <ns0:c r="A1282" s="25" t="n"/>
      <ns0:c r="B1282" s="26" t="n"/>
      <ns0:c r="C1282" s="27" t="n"/>
      <ns0:c r="D1282" s="27" t="n"/>
      <ns0:c r="E1282" s="28" t="str">
        <ns0:f>IF(A1282="","",YEAR(A1282)&amp;"-"&amp;RIGHT("0"&amp;MONTH(A1282),2))</ns0:f>
        <ns0:v/>
      </ns0:c>
      <ns0:c r="F1282" s="28" t="str">
        <ns0:f>IF(OR(A1282="",B1282="",C1282&lt;=0),"",IF(SUMPRODUCT(('Müşteriler'!$B$2:$B$101&lt;&gt;"")*ISNUMBER(SEARCH('Müşteriler'!$B$2:$B$101,B1282)))=1,IFERROR(INDEX('Müşteriler'!$A$2:$A$101,SUMPRODUCT(('Müşteriler'!$B$2:$B$101&lt;&gt;"")*ISNUMBER(SEARCH('Müşteriler'!$B$2:$B$101,B1282)),ROW('Müşteriler'!$B$2:$B$101)-ROW('Müşteriler'!$B$2)+1)),""),""))</ns0:f>
        <ns0:v/>
      </ns0:c>
      <ns0:c r="G1282" s="28" t="str">
        <ns0:f>IF(F1282="","",IFERROR(INDEX('Müşteriler'!$C$2:$C$101,MATCH(F1282,'Müşteriler'!$A$2:$A$101,0)),""))</ns0:f>
        <ns0:v/>
      </ns0:c>
      <ns0:c r="H1282" s="28" t="str">
        <ns0:f>IF(A1282="","",IF(C1282&lt;=0,"Satış dışı",IF(OR(F1282="",G1282=""),"Eşleşmedi","Eşleşti")))</ns0:f>
        <ns0:v/>
      </ns0:c>
      <ns0:c r="I1282" s="28">
        <ns0:f>I1281+IF(AND(H1282="Eşleşmedi",E1282='Panel'!$B$4),1,0)</ns0:f>
        <ns0:v>3.0</ns0:v>
      </ns0:c>
    </ns0:row>
    <ns0:row r="1283" ht="21" customHeight="1">
      <ns0:c r="A1283" s="25" t="n"/>
      <ns0:c r="B1283" s="26" t="n"/>
      <ns0:c r="C1283" s="27" t="n"/>
      <ns0:c r="D1283" s="27" t="n"/>
      <ns0:c r="E1283" s="28" t="str">
        <ns0:f>IF(A1283="","",YEAR(A1283)&amp;"-"&amp;RIGHT("0"&amp;MONTH(A1283),2))</ns0:f>
        <ns0:v/>
      </ns0:c>
      <ns0:c r="F1283" s="28" t="str">
        <ns0:f>IF(OR(A1283="",B1283="",C1283&lt;=0),"",IF(SUMPRODUCT(('Müşteriler'!$B$2:$B$101&lt;&gt;"")*ISNUMBER(SEARCH('Müşteriler'!$B$2:$B$101,B1283)))=1,IFERROR(INDEX('Müşteriler'!$A$2:$A$101,SUMPRODUCT(('Müşteriler'!$B$2:$B$101&lt;&gt;"")*ISNUMBER(SEARCH('Müşteriler'!$B$2:$B$101,B1283)),ROW('Müşteriler'!$B$2:$B$101)-ROW('Müşteriler'!$B$2)+1)),""),""))</ns0:f>
        <ns0:v/>
      </ns0:c>
      <ns0:c r="G1283" s="28" t="str">
        <ns0:f>IF(F1283="","",IFERROR(INDEX('Müşteriler'!$C$2:$C$101,MATCH(F1283,'Müşteriler'!$A$2:$A$101,0)),""))</ns0:f>
        <ns0:v/>
      </ns0:c>
      <ns0:c r="H1283" s="28" t="str">
        <ns0:f>IF(A1283="","",IF(C1283&lt;=0,"Satış dışı",IF(OR(F1283="",G1283=""),"Eşleşmedi","Eşleşti")))</ns0:f>
        <ns0:v/>
      </ns0:c>
      <ns0:c r="I1283" s="28">
        <ns0:f>I1282+IF(AND(H1283="Eşleşmedi",E1283='Panel'!$B$4),1,0)</ns0:f>
        <ns0:v>3.0</ns0:v>
      </ns0:c>
    </ns0:row>
    <ns0:row r="1284" ht="21" customHeight="1">
      <ns0:c r="A1284" s="25" t="n"/>
      <ns0:c r="B1284" s="26" t="n"/>
      <ns0:c r="C1284" s="27" t="n"/>
      <ns0:c r="D1284" s="27" t="n"/>
      <ns0:c r="E1284" s="28" t="str">
        <ns0:f>IF(A1284="","",YEAR(A1284)&amp;"-"&amp;RIGHT("0"&amp;MONTH(A1284),2))</ns0:f>
        <ns0:v/>
      </ns0:c>
      <ns0:c r="F1284" s="28" t="str">
        <ns0:f>IF(OR(A1284="",B1284="",C1284&lt;=0),"",IF(SUMPRODUCT(('Müşteriler'!$B$2:$B$101&lt;&gt;"")*ISNUMBER(SEARCH('Müşteriler'!$B$2:$B$101,B1284)))=1,IFERROR(INDEX('Müşteriler'!$A$2:$A$101,SUMPRODUCT(('Müşteriler'!$B$2:$B$101&lt;&gt;"")*ISNUMBER(SEARCH('Müşteriler'!$B$2:$B$101,B1284)),ROW('Müşteriler'!$B$2:$B$101)-ROW('Müşteriler'!$B$2)+1)),""),""))</ns0:f>
        <ns0:v/>
      </ns0:c>
      <ns0:c r="G1284" s="28" t="str">
        <ns0:f>IF(F1284="","",IFERROR(INDEX('Müşteriler'!$C$2:$C$101,MATCH(F1284,'Müşteriler'!$A$2:$A$101,0)),""))</ns0:f>
        <ns0:v/>
      </ns0:c>
      <ns0:c r="H1284" s="28" t="str">
        <ns0:f>IF(A1284="","",IF(C1284&lt;=0,"Satış dışı",IF(OR(F1284="",G1284=""),"Eşleşmedi","Eşleşti")))</ns0:f>
        <ns0:v/>
      </ns0:c>
      <ns0:c r="I1284" s="28">
        <ns0:f>I1283+IF(AND(H1284="Eşleşmedi",E1284='Panel'!$B$4),1,0)</ns0:f>
        <ns0:v>3.0</ns0:v>
      </ns0:c>
    </ns0:row>
    <ns0:row r="1285" ht="21" customHeight="1">
      <ns0:c r="A1285" s="25" t="n"/>
      <ns0:c r="B1285" s="26" t="n"/>
      <ns0:c r="C1285" s="27" t="n"/>
      <ns0:c r="D1285" s="27" t="n"/>
      <ns0:c r="E1285" s="28" t="str">
        <ns0:f>IF(A1285="","",YEAR(A1285)&amp;"-"&amp;RIGHT("0"&amp;MONTH(A1285),2))</ns0:f>
        <ns0:v/>
      </ns0:c>
      <ns0:c r="F1285" s="28" t="str">
        <ns0:f>IF(OR(A1285="",B1285="",C1285&lt;=0),"",IF(SUMPRODUCT(('Müşteriler'!$B$2:$B$101&lt;&gt;"")*ISNUMBER(SEARCH('Müşteriler'!$B$2:$B$101,B1285)))=1,IFERROR(INDEX('Müşteriler'!$A$2:$A$101,SUMPRODUCT(('Müşteriler'!$B$2:$B$101&lt;&gt;"")*ISNUMBER(SEARCH('Müşteriler'!$B$2:$B$101,B1285)),ROW('Müşteriler'!$B$2:$B$101)-ROW('Müşteriler'!$B$2)+1)),""),""))</ns0:f>
        <ns0:v/>
      </ns0:c>
      <ns0:c r="G1285" s="28" t="str">
        <ns0:f>IF(F1285="","",IFERROR(INDEX('Müşteriler'!$C$2:$C$101,MATCH(F1285,'Müşteriler'!$A$2:$A$101,0)),""))</ns0:f>
        <ns0:v/>
      </ns0:c>
      <ns0:c r="H1285" s="28" t="str">
        <ns0:f>IF(A1285="","",IF(C1285&lt;=0,"Satış dışı",IF(OR(F1285="",G1285=""),"Eşleşmedi","Eşleşti")))</ns0:f>
        <ns0:v/>
      </ns0:c>
      <ns0:c r="I1285" s="28">
        <ns0:f>I1284+IF(AND(H1285="Eşleşmedi",E1285='Panel'!$B$4),1,0)</ns0:f>
        <ns0:v>3.0</ns0:v>
      </ns0:c>
    </ns0:row>
    <ns0:row r="1286" ht="21" customHeight="1">
      <ns0:c r="A1286" s="25" t="n"/>
      <ns0:c r="B1286" s="26" t="n"/>
      <ns0:c r="C1286" s="27" t="n"/>
      <ns0:c r="D1286" s="27" t="n"/>
      <ns0:c r="E1286" s="28" t="str">
        <ns0:f>IF(A1286="","",YEAR(A1286)&amp;"-"&amp;RIGHT("0"&amp;MONTH(A1286),2))</ns0:f>
        <ns0:v/>
      </ns0:c>
      <ns0:c r="F1286" s="28" t="str">
        <ns0:f>IF(OR(A1286="",B1286="",C1286&lt;=0),"",IF(SUMPRODUCT(('Müşteriler'!$B$2:$B$101&lt;&gt;"")*ISNUMBER(SEARCH('Müşteriler'!$B$2:$B$101,B1286)))=1,IFERROR(INDEX('Müşteriler'!$A$2:$A$101,SUMPRODUCT(('Müşteriler'!$B$2:$B$101&lt;&gt;"")*ISNUMBER(SEARCH('Müşteriler'!$B$2:$B$101,B1286)),ROW('Müşteriler'!$B$2:$B$101)-ROW('Müşteriler'!$B$2)+1)),""),""))</ns0:f>
        <ns0:v/>
      </ns0:c>
      <ns0:c r="G1286" s="28" t="str">
        <ns0:f>IF(F1286="","",IFERROR(INDEX('Müşteriler'!$C$2:$C$101,MATCH(F1286,'Müşteriler'!$A$2:$A$101,0)),""))</ns0:f>
        <ns0:v/>
      </ns0:c>
      <ns0:c r="H1286" s="28" t="str">
        <ns0:f>IF(A1286="","",IF(C1286&lt;=0,"Satış dışı",IF(OR(F1286="",G1286=""),"Eşleşmedi","Eşleşti")))</ns0:f>
        <ns0:v/>
      </ns0:c>
      <ns0:c r="I1286" s="28">
        <ns0:f>I1285+IF(AND(H1286="Eşleşmedi",E1286='Panel'!$B$4),1,0)</ns0:f>
        <ns0:v>3.0</ns0:v>
      </ns0:c>
    </ns0:row>
    <ns0:row r="1287" ht="21" customHeight="1">
      <ns0:c r="A1287" s="25" t="n"/>
      <ns0:c r="B1287" s="26" t="n"/>
      <ns0:c r="C1287" s="27" t="n"/>
      <ns0:c r="D1287" s="27" t="n"/>
      <ns0:c r="E1287" s="28" t="str">
        <ns0:f>IF(A1287="","",YEAR(A1287)&amp;"-"&amp;RIGHT("0"&amp;MONTH(A1287),2))</ns0:f>
        <ns0:v/>
      </ns0:c>
      <ns0:c r="F1287" s="28" t="str">
        <ns0:f>IF(OR(A1287="",B1287="",C1287&lt;=0),"",IF(SUMPRODUCT(('Müşteriler'!$B$2:$B$101&lt;&gt;"")*ISNUMBER(SEARCH('Müşteriler'!$B$2:$B$101,B1287)))=1,IFERROR(INDEX('Müşteriler'!$A$2:$A$101,SUMPRODUCT(('Müşteriler'!$B$2:$B$101&lt;&gt;"")*ISNUMBER(SEARCH('Müşteriler'!$B$2:$B$101,B1287)),ROW('Müşteriler'!$B$2:$B$101)-ROW('Müşteriler'!$B$2)+1)),""),""))</ns0:f>
        <ns0:v/>
      </ns0:c>
      <ns0:c r="G1287" s="28" t="str">
        <ns0:f>IF(F1287="","",IFERROR(INDEX('Müşteriler'!$C$2:$C$101,MATCH(F1287,'Müşteriler'!$A$2:$A$101,0)),""))</ns0:f>
        <ns0:v/>
      </ns0:c>
      <ns0:c r="H1287" s="28" t="str">
        <ns0:f>IF(A1287="","",IF(C1287&lt;=0,"Satış dışı",IF(OR(F1287="",G1287=""),"Eşleşmedi","Eşleşti")))</ns0:f>
        <ns0:v/>
      </ns0:c>
      <ns0:c r="I1287" s="28">
        <ns0:f>I1286+IF(AND(H1287="Eşleşmedi",E1287='Panel'!$B$4),1,0)</ns0:f>
        <ns0:v>3.0</ns0:v>
      </ns0:c>
    </ns0:row>
    <ns0:row r="1288" ht="21" customHeight="1">
      <ns0:c r="A1288" s="25" t="n"/>
      <ns0:c r="B1288" s="26" t="n"/>
      <ns0:c r="C1288" s="27" t="n"/>
      <ns0:c r="D1288" s="27" t="n"/>
      <ns0:c r="E1288" s="28" t="str">
        <ns0:f>IF(A1288="","",YEAR(A1288)&amp;"-"&amp;RIGHT("0"&amp;MONTH(A1288),2))</ns0:f>
        <ns0:v/>
      </ns0:c>
      <ns0:c r="F1288" s="28" t="str">
        <ns0:f>IF(OR(A1288="",B1288="",C1288&lt;=0),"",IF(SUMPRODUCT(('Müşteriler'!$B$2:$B$101&lt;&gt;"")*ISNUMBER(SEARCH('Müşteriler'!$B$2:$B$101,B1288)))=1,IFERROR(INDEX('Müşteriler'!$A$2:$A$101,SUMPRODUCT(('Müşteriler'!$B$2:$B$101&lt;&gt;"")*ISNUMBER(SEARCH('Müşteriler'!$B$2:$B$101,B1288)),ROW('Müşteriler'!$B$2:$B$101)-ROW('Müşteriler'!$B$2)+1)),""),""))</ns0:f>
        <ns0:v/>
      </ns0:c>
      <ns0:c r="G1288" s="28" t="str">
        <ns0:f>IF(F1288="","",IFERROR(INDEX('Müşteriler'!$C$2:$C$101,MATCH(F1288,'Müşteriler'!$A$2:$A$101,0)),""))</ns0:f>
        <ns0:v/>
      </ns0:c>
      <ns0:c r="H1288" s="28" t="str">
        <ns0:f>IF(A1288="","",IF(C1288&lt;=0,"Satış dışı",IF(OR(F1288="",G1288=""),"Eşleşmedi","Eşleşti")))</ns0:f>
        <ns0:v/>
      </ns0:c>
      <ns0:c r="I1288" s="28">
        <ns0:f>I1287+IF(AND(H1288="Eşleşmedi",E1288='Panel'!$B$4),1,0)</ns0:f>
        <ns0:v>3.0</ns0:v>
      </ns0:c>
    </ns0:row>
    <ns0:row r="1289" ht="21" customHeight="1">
      <ns0:c r="A1289" s="25" t="n"/>
      <ns0:c r="B1289" s="26" t="n"/>
      <ns0:c r="C1289" s="27" t="n"/>
      <ns0:c r="D1289" s="27" t="n"/>
      <ns0:c r="E1289" s="28" t="str">
        <ns0:f>IF(A1289="","",YEAR(A1289)&amp;"-"&amp;RIGHT("0"&amp;MONTH(A1289),2))</ns0:f>
        <ns0:v/>
      </ns0:c>
      <ns0:c r="F1289" s="28" t="str">
        <ns0:f>IF(OR(A1289="",B1289="",C1289&lt;=0),"",IF(SUMPRODUCT(('Müşteriler'!$B$2:$B$101&lt;&gt;"")*ISNUMBER(SEARCH('Müşteriler'!$B$2:$B$101,B1289)))=1,IFERROR(INDEX('Müşteriler'!$A$2:$A$101,SUMPRODUCT(('Müşteriler'!$B$2:$B$101&lt;&gt;"")*ISNUMBER(SEARCH('Müşteriler'!$B$2:$B$101,B1289)),ROW('Müşteriler'!$B$2:$B$101)-ROW('Müşteriler'!$B$2)+1)),""),""))</ns0:f>
        <ns0:v/>
      </ns0:c>
      <ns0:c r="G1289" s="28" t="str">
        <ns0:f>IF(F1289="","",IFERROR(INDEX('Müşteriler'!$C$2:$C$101,MATCH(F1289,'Müşteriler'!$A$2:$A$101,0)),""))</ns0:f>
        <ns0:v/>
      </ns0:c>
      <ns0:c r="H1289" s="28" t="str">
        <ns0:f>IF(A1289="","",IF(C1289&lt;=0,"Satış dışı",IF(OR(F1289="",G1289=""),"Eşleşmedi","Eşleşti")))</ns0:f>
        <ns0:v/>
      </ns0:c>
      <ns0:c r="I1289" s="28">
        <ns0:f>I1288+IF(AND(H1289="Eşleşmedi",E1289='Panel'!$B$4),1,0)</ns0:f>
        <ns0:v>3.0</ns0:v>
      </ns0:c>
    </ns0:row>
    <ns0:row r="1290" ht="21" customHeight="1">
      <ns0:c r="A1290" s="25" t="n"/>
      <ns0:c r="B1290" s="26" t="n"/>
      <ns0:c r="C1290" s="27" t="n"/>
      <ns0:c r="D1290" s="27" t="n"/>
      <ns0:c r="E1290" s="28" t="str">
        <ns0:f>IF(A1290="","",YEAR(A1290)&amp;"-"&amp;RIGHT("0"&amp;MONTH(A1290),2))</ns0:f>
        <ns0:v/>
      </ns0:c>
      <ns0:c r="F1290" s="28" t="str">
        <ns0:f>IF(OR(A1290="",B1290="",C1290&lt;=0),"",IF(SUMPRODUCT(('Müşteriler'!$B$2:$B$101&lt;&gt;"")*ISNUMBER(SEARCH('Müşteriler'!$B$2:$B$101,B1290)))=1,IFERROR(INDEX('Müşteriler'!$A$2:$A$101,SUMPRODUCT(('Müşteriler'!$B$2:$B$101&lt;&gt;"")*ISNUMBER(SEARCH('Müşteriler'!$B$2:$B$101,B1290)),ROW('Müşteriler'!$B$2:$B$101)-ROW('Müşteriler'!$B$2)+1)),""),""))</ns0:f>
        <ns0:v/>
      </ns0:c>
      <ns0:c r="G1290" s="28" t="str">
        <ns0:f>IF(F1290="","",IFERROR(INDEX('Müşteriler'!$C$2:$C$101,MATCH(F1290,'Müşteriler'!$A$2:$A$101,0)),""))</ns0:f>
        <ns0:v/>
      </ns0:c>
      <ns0:c r="H1290" s="28" t="str">
        <ns0:f>IF(A1290="","",IF(C1290&lt;=0,"Satış dışı",IF(OR(F1290="",G1290=""),"Eşleşmedi","Eşleşti")))</ns0:f>
        <ns0:v/>
      </ns0:c>
      <ns0:c r="I1290" s="28">
        <ns0:f>I1289+IF(AND(H1290="Eşleşmedi",E1290='Panel'!$B$4),1,0)</ns0:f>
        <ns0:v>3.0</ns0:v>
      </ns0:c>
    </ns0:row>
    <ns0:row r="1291" ht="21" customHeight="1">
      <ns0:c r="A1291" s="25" t="n"/>
      <ns0:c r="B1291" s="26" t="n"/>
      <ns0:c r="C1291" s="27" t="n"/>
      <ns0:c r="D1291" s="27" t="n"/>
      <ns0:c r="E1291" s="28" t="str">
        <ns0:f>IF(A1291="","",YEAR(A1291)&amp;"-"&amp;RIGHT("0"&amp;MONTH(A1291),2))</ns0:f>
        <ns0:v/>
      </ns0:c>
      <ns0:c r="F1291" s="28" t="str">
        <ns0:f>IF(OR(A1291="",B1291="",C1291&lt;=0),"",IF(SUMPRODUCT(('Müşteriler'!$B$2:$B$101&lt;&gt;"")*ISNUMBER(SEARCH('Müşteriler'!$B$2:$B$101,B1291)))=1,IFERROR(INDEX('Müşteriler'!$A$2:$A$101,SUMPRODUCT(('Müşteriler'!$B$2:$B$101&lt;&gt;"")*ISNUMBER(SEARCH('Müşteriler'!$B$2:$B$101,B1291)),ROW('Müşteriler'!$B$2:$B$101)-ROW('Müşteriler'!$B$2)+1)),""),""))</ns0:f>
        <ns0:v/>
      </ns0:c>
      <ns0:c r="G1291" s="28" t="str">
        <ns0:f>IF(F1291="","",IFERROR(INDEX('Müşteriler'!$C$2:$C$101,MATCH(F1291,'Müşteriler'!$A$2:$A$101,0)),""))</ns0:f>
        <ns0:v/>
      </ns0:c>
      <ns0:c r="H1291" s="28" t="str">
        <ns0:f>IF(A1291="","",IF(C1291&lt;=0,"Satış dışı",IF(OR(F1291="",G1291=""),"Eşleşmedi","Eşleşti")))</ns0:f>
        <ns0:v/>
      </ns0:c>
      <ns0:c r="I1291" s="28">
        <ns0:f>I1290+IF(AND(H1291="Eşleşmedi",E1291='Panel'!$B$4),1,0)</ns0:f>
        <ns0:v>3.0</ns0:v>
      </ns0:c>
    </ns0:row>
    <ns0:row r="1292" ht="21" customHeight="1">
      <ns0:c r="A1292" s="25" t="n"/>
      <ns0:c r="B1292" s="26" t="n"/>
      <ns0:c r="C1292" s="27" t="n"/>
      <ns0:c r="D1292" s="27" t="n"/>
      <ns0:c r="E1292" s="28" t="str">
        <ns0:f>IF(A1292="","",YEAR(A1292)&amp;"-"&amp;RIGHT("0"&amp;MONTH(A1292),2))</ns0:f>
        <ns0:v/>
      </ns0:c>
      <ns0:c r="F1292" s="28" t="str">
        <ns0:f>IF(OR(A1292="",B1292="",C1292&lt;=0),"",IF(SUMPRODUCT(('Müşteriler'!$B$2:$B$101&lt;&gt;"")*ISNUMBER(SEARCH('Müşteriler'!$B$2:$B$101,B1292)))=1,IFERROR(INDEX('Müşteriler'!$A$2:$A$101,SUMPRODUCT(('Müşteriler'!$B$2:$B$101&lt;&gt;"")*ISNUMBER(SEARCH('Müşteriler'!$B$2:$B$101,B1292)),ROW('Müşteriler'!$B$2:$B$101)-ROW('Müşteriler'!$B$2)+1)),""),""))</ns0:f>
        <ns0:v/>
      </ns0:c>
      <ns0:c r="G1292" s="28" t="str">
        <ns0:f>IF(F1292="","",IFERROR(INDEX('Müşteriler'!$C$2:$C$101,MATCH(F1292,'Müşteriler'!$A$2:$A$101,0)),""))</ns0:f>
        <ns0:v/>
      </ns0:c>
      <ns0:c r="H1292" s="28" t="str">
        <ns0:f>IF(A1292="","",IF(C1292&lt;=0,"Satış dışı",IF(OR(F1292="",G1292=""),"Eşleşmedi","Eşleşti")))</ns0:f>
        <ns0:v/>
      </ns0:c>
      <ns0:c r="I1292" s="28">
        <ns0:f>I1291+IF(AND(H1292="Eşleşmedi",E1292='Panel'!$B$4),1,0)</ns0:f>
        <ns0:v>3.0</ns0:v>
      </ns0:c>
    </ns0:row>
    <ns0:row r="1293" ht="21" customHeight="1">
      <ns0:c r="A1293" s="25" t="n"/>
      <ns0:c r="B1293" s="26" t="n"/>
      <ns0:c r="C1293" s="27" t="n"/>
      <ns0:c r="D1293" s="27" t="n"/>
      <ns0:c r="E1293" s="28" t="str">
        <ns0:f>IF(A1293="","",YEAR(A1293)&amp;"-"&amp;RIGHT("0"&amp;MONTH(A1293),2))</ns0:f>
        <ns0:v/>
      </ns0:c>
      <ns0:c r="F1293" s="28" t="str">
        <ns0:f>IF(OR(A1293="",B1293="",C1293&lt;=0),"",IF(SUMPRODUCT(('Müşteriler'!$B$2:$B$101&lt;&gt;"")*ISNUMBER(SEARCH('Müşteriler'!$B$2:$B$101,B1293)))=1,IFERROR(INDEX('Müşteriler'!$A$2:$A$101,SUMPRODUCT(('Müşteriler'!$B$2:$B$101&lt;&gt;"")*ISNUMBER(SEARCH('Müşteriler'!$B$2:$B$101,B1293)),ROW('Müşteriler'!$B$2:$B$101)-ROW('Müşteriler'!$B$2)+1)),""),""))</ns0:f>
        <ns0:v/>
      </ns0:c>
      <ns0:c r="G1293" s="28" t="str">
        <ns0:f>IF(F1293="","",IFERROR(INDEX('Müşteriler'!$C$2:$C$101,MATCH(F1293,'Müşteriler'!$A$2:$A$101,0)),""))</ns0:f>
        <ns0:v/>
      </ns0:c>
      <ns0:c r="H1293" s="28" t="str">
        <ns0:f>IF(A1293="","",IF(C1293&lt;=0,"Satış dışı",IF(OR(F1293="",G1293=""),"Eşleşmedi","Eşleşti")))</ns0:f>
        <ns0:v/>
      </ns0:c>
      <ns0:c r="I1293" s="28">
        <ns0:f>I1292+IF(AND(H1293="Eşleşmedi",E1293='Panel'!$B$4),1,0)</ns0:f>
        <ns0:v>3.0</ns0:v>
      </ns0:c>
    </ns0:row>
    <ns0:row r="1294" ht="21" customHeight="1">
      <ns0:c r="A1294" s="25" t="n"/>
      <ns0:c r="B1294" s="26" t="n"/>
      <ns0:c r="C1294" s="27" t="n"/>
      <ns0:c r="D1294" s="27" t="n"/>
      <ns0:c r="E1294" s="28" t="str">
        <ns0:f>IF(A1294="","",YEAR(A1294)&amp;"-"&amp;RIGHT("0"&amp;MONTH(A1294),2))</ns0:f>
        <ns0:v/>
      </ns0:c>
      <ns0:c r="F1294" s="28" t="str">
        <ns0:f>IF(OR(A1294="",B1294="",C1294&lt;=0),"",IF(SUMPRODUCT(('Müşteriler'!$B$2:$B$101&lt;&gt;"")*ISNUMBER(SEARCH('Müşteriler'!$B$2:$B$101,B1294)))=1,IFERROR(INDEX('Müşteriler'!$A$2:$A$101,SUMPRODUCT(('Müşteriler'!$B$2:$B$101&lt;&gt;"")*ISNUMBER(SEARCH('Müşteriler'!$B$2:$B$101,B1294)),ROW('Müşteriler'!$B$2:$B$101)-ROW('Müşteriler'!$B$2)+1)),""),""))</ns0:f>
        <ns0:v/>
      </ns0:c>
      <ns0:c r="G1294" s="28" t="str">
        <ns0:f>IF(F1294="","",IFERROR(INDEX('Müşteriler'!$C$2:$C$101,MATCH(F1294,'Müşteriler'!$A$2:$A$101,0)),""))</ns0:f>
        <ns0:v/>
      </ns0:c>
      <ns0:c r="H1294" s="28" t="str">
        <ns0:f>IF(A1294="","",IF(C1294&lt;=0,"Satış dışı",IF(OR(F1294="",G1294=""),"Eşleşmedi","Eşleşti")))</ns0:f>
        <ns0:v/>
      </ns0:c>
      <ns0:c r="I1294" s="28">
        <ns0:f>I1293+IF(AND(H1294="Eşleşmedi",E1294='Panel'!$B$4),1,0)</ns0:f>
        <ns0:v>3.0</ns0:v>
      </ns0:c>
    </ns0:row>
    <ns0:row r="1295" ht="21" customHeight="1">
      <ns0:c r="A1295" s="25" t="n"/>
      <ns0:c r="B1295" s="26" t="n"/>
      <ns0:c r="C1295" s="27" t="n"/>
      <ns0:c r="D1295" s="27" t="n"/>
      <ns0:c r="E1295" s="28" t="str">
        <ns0:f>IF(A1295="","",YEAR(A1295)&amp;"-"&amp;RIGHT("0"&amp;MONTH(A1295),2))</ns0:f>
        <ns0:v/>
      </ns0:c>
      <ns0:c r="F1295" s="28" t="str">
        <ns0:f>IF(OR(A1295="",B1295="",C1295&lt;=0),"",IF(SUMPRODUCT(('Müşteriler'!$B$2:$B$101&lt;&gt;"")*ISNUMBER(SEARCH('Müşteriler'!$B$2:$B$101,B1295)))=1,IFERROR(INDEX('Müşteriler'!$A$2:$A$101,SUMPRODUCT(('Müşteriler'!$B$2:$B$101&lt;&gt;"")*ISNUMBER(SEARCH('Müşteriler'!$B$2:$B$101,B1295)),ROW('Müşteriler'!$B$2:$B$101)-ROW('Müşteriler'!$B$2)+1)),""),""))</ns0:f>
        <ns0:v/>
      </ns0:c>
      <ns0:c r="G1295" s="28" t="str">
        <ns0:f>IF(F1295="","",IFERROR(INDEX('Müşteriler'!$C$2:$C$101,MATCH(F1295,'Müşteriler'!$A$2:$A$101,0)),""))</ns0:f>
        <ns0:v/>
      </ns0:c>
      <ns0:c r="H1295" s="28" t="str">
        <ns0:f>IF(A1295="","",IF(C1295&lt;=0,"Satış dışı",IF(OR(F1295="",G1295=""),"Eşleşmedi","Eşleşti")))</ns0:f>
        <ns0:v/>
      </ns0:c>
      <ns0:c r="I1295" s="28">
        <ns0:f>I1294+IF(AND(H1295="Eşleşmedi",E1295='Panel'!$B$4),1,0)</ns0:f>
        <ns0:v>3.0</ns0:v>
      </ns0:c>
    </ns0:row>
    <ns0:row r="1296" ht="21" customHeight="1">
      <ns0:c r="A1296" s="25" t="n"/>
      <ns0:c r="B1296" s="26" t="n"/>
      <ns0:c r="C1296" s="27" t="n"/>
      <ns0:c r="D1296" s="27" t="n"/>
      <ns0:c r="E1296" s="28" t="str">
        <ns0:f>IF(A1296="","",YEAR(A1296)&amp;"-"&amp;RIGHT("0"&amp;MONTH(A1296),2))</ns0:f>
        <ns0:v/>
      </ns0:c>
      <ns0:c r="F1296" s="28" t="str">
        <ns0:f>IF(OR(A1296="",B1296="",C1296&lt;=0),"",IF(SUMPRODUCT(('Müşteriler'!$B$2:$B$101&lt;&gt;"")*ISNUMBER(SEARCH('Müşteriler'!$B$2:$B$101,B1296)))=1,IFERROR(INDEX('Müşteriler'!$A$2:$A$101,SUMPRODUCT(('Müşteriler'!$B$2:$B$101&lt;&gt;"")*ISNUMBER(SEARCH('Müşteriler'!$B$2:$B$101,B1296)),ROW('Müşteriler'!$B$2:$B$101)-ROW('Müşteriler'!$B$2)+1)),""),""))</ns0:f>
        <ns0:v/>
      </ns0:c>
      <ns0:c r="G1296" s="28" t="str">
        <ns0:f>IF(F1296="","",IFERROR(INDEX('Müşteriler'!$C$2:$C$101,MATCH(F1296,'Müşteriler'!$A$2:$A$101,0)),""))</ns0:f>
        <ns0:v/>
      </ns0:c>
      <ns0:c r="H1296" s="28" t="str">
        <ns0:f>IF(A1296="","",IF(C1296&lt;=0,"Satış dışı",IF(OR(F1296="",G1296=""),"Eşleşmedi","Eşleşti")))</ns0:f>
        <ns0:v/>
      </ns0:c>
      <ns0:c r="I1296" s="28">
        <ns0:f>I1295+IF(AND(H1296="Eşleşmedi",E1296='Panel'!$B$4),1,0)</ns0:f>
        <ns0:v>3.0</ns0:v>
      </ns0:c>
    </ns0:row>
    <ns0:row r="1297" ht="21" customHeight="1">
      <ns0:c r="A1297" s="25" t="n"/>
      <ns0:c r="B1297" s="26" t="n"/>
      <ns0:c r="C1297" s="27" t="n"/>
      <ns0:c r="D1297" s="27" t="n"/>
      <ns0:c r="E1297" s="28" t="str">
        <ns0:f>IF(A1297="","",YEAR(A1297)&amp;"-"&amp;RIGHT("0"&amp;MONTH(A1297),2))</ns0:f>
        <ns0:v/>
      </ns0:c>
      <ns0:c r="F1297" s="28" t="str">
        <ns0:f>IF(OR(A1297="",B1297="",C1297&lt;=0),"",IF(SUMPRODUCT(('Müşteriler'!$B$2:$B$101&lt;&gt;"")*ISNUMBER(SEARCH('Müşteriler'!$B$2:$B$101,B1297)))=1,IFERROR(INDEX('Müşteriler'!$A$2:$A$101,SUMPRODUCT(('Müşteriler'!$B$2:$B$101&lt;&gt;"")*ISNUMBER(SEARCH('Müşteriler'!$B$2:$B$101,B1297)),ROW('Müşteriler'!$B$2:$B$101)-ROW('Müşteriler'!$B$2)+1)),""),""))</ns0:f>
        <ns0:v/>
      </ns0:c>
      <ns0:c r="G1297" s="28" t="str">
        <ns0:f>IF(F1297="","",IFERROR(INDEX('Müşteriler'!$C$2:$C$101,MATCH(F1297,'Müşteriler'!$A$2:$A$101,0)),""))</ns0:f>
        <ns0:v/>
      </ns0:c>
      <ns0:c r="H1297" s="28" t="str">
        <ns0:f>IF(A1297="","",IF(C1297&lt;=0,"Satış dışı",IF(OR(F1297="",G1297=""),"Eşleşmedi","Eşleşti")))</ns0:f>
        <ns0:v/>
      </ns0:c>
      <ns0:c r="I1297" s="28">
        <ns0:f>I1296+IF(AND(H1297="Eşleşmedi",E1297='Panel'!$B$4),1,0)</ns0:f>
        <ns0:v>3.0</ns0:v>
      </ns0:c>
    </ns0:row>
    <ns0:row r="1298" ht="21" customHeight="1">
      <ns0:c r="A1298" s="25" t="n"/>
      <ns0:c r="B1298" s="26" t="n"/>
      <ns0:c r="C1298" s="27" t="n"/>
      <ns0:c r="D1298" s="27" t="n"/>
      <ns0:c r="E1298" s="28" t="str">
        <ns0:f>IF(A1298="","",YEAR(A1298)&amp;"-"&amp;RIGHT("0"&amp;MONTH(A1298),2))</ns0:f>
        <ns0:v/>
      </ns0:c>
      <ns0:c r="F1298" s="28" t="str">
        <ns0:f>IF(OR(A1298="",B1298="",C1298&lt;=0),"",IF(SUMPRODUCT(('Müşteriler'!$B$2:$B$101&lt;&gt;"")*ISNUMBER(SEARCH('Müşteriler'!$B$2:$B$101,B1298)))=1,IFERROR(INDEX('Müşteriler'!$A$2:$A$101,SUMPRODUCT(('Müşteriler'!$B$2:$B$101&lt;&gt;"")*ISNUMBER(SEARCH('Müşteriler'!$B$2:$B$101,B1298)),ROW('Müşteriler'!$B$2:$B$101)-ROW('Müşteriler'!$B$2)+1)),""),""))</ns0:f>
        <ns0:v/>
      </ns0:c>
      <ns0:c r="G1298" s="28" t="str">
        <ns0:f>IF(F1298="","",IFERROR(INDEX('Müşteriler'!$C$2:$C$101,MATCH(F1298,'Müşteriler'!$A$2:$A$101,0)),""))</ns0:f>
        <ns0:v/>
      </ns0:c>
      <ns0:c r="H1298" s="28" t="str">
        <ns0:f>IF(A1298="","",IF(C1298&lt;=0,"Satış dışı",IF(OR(F1298="",G1298=""),"Eşleşmedi","Eşleşti")))</ns0:f>
        <ns0:v/>
      </ns0:c>
      <ns0:c r="I1298" s="28">
        <ns0:f>I1297+IF(AND(H1298="Eşleşmedi",E1298='Panel'!$B$4),1,0)</ns0:f>
        <ns0:v>3.0</ns0:v>
      </ns0:c>
    </ns0:row>
    <ns0:row r="1299" ht="21" customHeight="1">
      <ns0:c r="A1299" s="25" t="n"/>
      <ns0:c r="B1299" s="26" t="n"/>
      <ns0:c r="C1299" s="27" t="n"/>
      <ns0:c r="D1299" s="27" t="n"/>
      <ns0:c r="E1299" s="28" t="str">
        <ns0:f>IF(A1299="","",YEAR(A1299)&amp;"-"&amp;RIGHT("0"&amp;MONTH(A1299),2))</ns0:f>
        <ns0:v/>
      </ns0:c>
      <ns0:c r="F1299" s="28" t="str">
        <ns0:f>IF(OR(A1299="",B1299="",C1299&lt;=0),"",IF(SUMPRODUCT(('Müşteriler'!$B$2:$B$101&lt;&gt;"")*ISNUMBER(SEARCH('Müşteriler'!$B$2:$B$101,B1299)))=1,IFERROR(INDEX('Müşteriler'!$A$2:$A$101,SUMPRODUCT(('Müşteriler'!$B$2:$B$101&lt;&gt;"")*ISNUMBER(SEARCH('Müşteriler'!$B$2:$B$101,B1299)),ROW('Müşteriler'!$B$2:$B$101)-ROW('Müşteriler'!$B$2)+1)),""),""))</ns0:f>
        <ns0:v/>
      </ns0:c>
      <ns0:c r="G1299" s="28" t="str">
        <ns0:f>IF(F1299="","",IFERROR(INDEX('Müşteriler'!$C$2:$C$101,MATCH(F1299,'Müşteriler'!$A$2:$A$101,0)),""))</ns0:f>
        <ns0:v/>
      </ns0:c>
      <ns0:c r="H1299" s="28" t="str">
        <ns0:f>IF(A1299="","",IF(C1299&lt;=0,"Satış dışı",IF(OR(F1299="",G1299=""),"Eşleşmedi","Eşleşti")))</ns0:f>
        <ns0:v/>
      </ns0:c>
      <ns0:c r="I1299" s="28">
        <ns0:f>I1298+IF(AND(H1299="Eşleşmedi",E1299='Panel'!$B$4),1,0)</ns0:f>
        <ns0:v>3.0</ns0:v>
      </ns0:c>
    </ns0:row>
    <ns0:row r="1300" ht="21" customHeight="1">
      <ns0:c r="A1300" s="25" t="n"/>
      <ns0:c r="B1300" s="26" t="n"/>
      <ns0:c r="C1300" s="27" t="n"/>
      <ns0:c r="D1300" s="27" t="n"/>
      <ns0:c r="E1300" s="28" t="str">
        <ns0:f>IF(A1300="","",YEAR(A1300)&amp;"-"&amp;RIGHT("0"&amp;MONTH(A1300),2))</ns0:f>
        <ns0:v/>
      </ns0:c>
      <ns0:c r="F1300" s="28" t="str">
        <ns0:f>IF(OR(A1300="",B1300="",C1300&lt;=0),"",IF(SUMPRODUCT(('Müşteriler'!$B$2:$B$101&lt;&gt;"")*ISNUMBER(SEARCH('Müşteriler'!$B$2:$B$101,B1300)))=1,IFERROR(INDEX('Müşteriler'!$A$2:$A$101,SUMPRODUCT(('Müşteriler'!$B$2:$B$101&lt;&gt;"")*ISNUMBER(SEARCH('Müşteriler'!$B$2:$B$101,B1300)),ROW('Müşteriler'!$B$2:$B$101)-ROW('Müşteriler'!$B$2)+1)),""),""))</ns0:f>
        <ns0:v/>
      </ns0:c>
      <ns0:c r="G1300" s="28" t="str">
        <ns0:f>IF(F1300="","",IFERROR(INDEX('Müşteriler'!$C$2:$C$101,MATCH(F1300,'Müşteriler'!$A$2:$A$101,0)),""))</ns0:f>
        <ns0:v/>
      </ns0:c>
      <ns0:c r="H1300" s="28" t="str">
        <ns0:f>IF(A1300="","",IF(C1300&lt;=0,"Satış dışı",IF(OR(F1300="",G1300=""),"Eşleşmedi","Eşleşti")))</ns0:f>
        <ns0:v/>
      </ns0:c>
      <ns0:c r="I1300" s="28">
        <ns0:f>I1299+IF(AND(H1300="Eşleşmedi",E1300='Panel'!$B$4),1,0)</ns0:f>
        <ns0:v>3.0</ns0:v>
      </ns0:c>
    </ns0:row>
    <ns0:row r="1301" ht="21" customHeight="1">
      <ns0:c r="A1301" s="25" t="n"/>
      <ns0:c r="B1301" s="26" t="n"/>
      <ns0:c r="C1301" s="27" t="n"/>
      <ns0:c r="D1301" s="27" t="n"/>
      <ns0:c r="E1301" s="28" t="str">
        <ns0:f>IF(A1301="","",YEAR(A1301)&amp;"-"&amp;RIGHT("0"&amp;MONTH(A1301),2))</ns0:f>
        <ns0:v/>
      </ns0:c>
      <ns0:c r="F1301" s="28" t="str">
        <ns0:f>IF(OR(A1301="",B1301="",C1301&lt;=0),"",IF(SUMPRODUCT(('Müşteriler'!$B$2:$B$101&lt;&gt;"")*ISNUMBER(SEARCH('Müşteriler'!$B$2:$B$101,B1301)))=1,IFERROR(INDEX('Müşteriler'!$A$2:$A$101,SUMPRODUCT(('Müşteriler'!$B$2:$B$101&lt;&gt;"")*ISNUMBER(SEARCH('Müşteriler'!$B$2:$B$101,B1301)),ROW('Müşteriler'!$B$2:$B$101)-ROW('Müşteriler'!$B$2)+1)),""),""))</ns0:f>
        <ns0:v/>
      </ns0:c>
      <ns0:c r="G1301" s="28" t="str">
        <ns0:f>IF(F1301="","",IFERROR(INDEX('Müşteriler'!$C$2:$C$101,MATCH(F1301,'Müşteriler'!$A$2:$A$101,0)),""))</ns0:f>
        <ns0:v/>
      </ns0:c>
      <ns0:c r="H1301" s="28" t="str">
        <ns0:f>IF(A1301="","",IF(C1301&lt;=0,"Satış dışı",IF(OR(F1301="",G1301=""),"Eşleşmedi","Eşleşti")))</ns0:f>
        <ns0:v/>
      </ns0:c>
      <ns0:c r="I1301" s="28">
        <ns0:f>I1300+IF(AND(H1301="Eşleşmedi",E1301='Panel'!$B$4),1,0)</ns0:f>
        <ns0:v>3.0</ns0:v>
      </ns0:c>
    </ns0:row>
    <ns0:row r="1302" ht="21" customHeight="1">
      <ns0:c r="A1302" s="25" t="n"/>
      <ns0:c r="B1302" s="26" t="n"/>
      <ns0:c r="C1302" s="27" t="n"/>
      <ns0:c r="D1302" s="27" t="n"/>
      <ns0:c r="E1302" s="28" t="str">
        <ns0:f>IF(A1302="","",YEAR(A1302)&amp;"-"&amp;RIGHT("0"&amp;MONTH(A1302),2))</ns0:f>
        <ns0:v/>
      </ns0:c>
      <ns0:c r="F1302" s="28" t="str">
        <ns0:f>IF(OR(A1302="",B1302="",C1302&lt;=0),"",IF(SUMPRODUCT(('Müşteriler'!$B$2:$B$101&lt;&gt;"")*ISNUMBER(SEARCH('Müşteriler'!$B$2:$B$101,B1302)))=1,IFERROR(INDEX('Müşteriler'!$A$2:$A$101,SUMPRODUCT(('Müşteriler'!$B$2:$B$101&lt;&gt;"")*ISNUMBER(SEARCH('Müşteriler'!$B$2:$B$101,B1302)),ROW('Müşteriler'!$B$2:$B$101)-ROW('Müşteriler'!$B$2)+1)),""),""))</ns0:f>
        <ns0:v/>
      </ns0:c>
      <ns0:c r="G1302" s="28" t="str">
        <ns0:f>IF(F1302="","",IFERROR(INDEX('Müşteriler'!$C$2:$C$101,MATCH(F1302,'Müşteriler'!$A$2:$A$101,0)),""))</ns0:f>
        <ns0:v/>
      </ns0:c>
      <ns0:c r="H1302" s="28" t="str">
        <ns0:f>IF(A1302="","",IF(C1302&lt;=0,"Satış dışı",IF(OR(F1302="",G1302=""),"Eşleşmedi","Eşleşti")))</ns0:f>
        <ns0:v/>
      </ns0:c>
      <ns0:c r="I1302" s="28">
        <ns0:f>I1301+IF(AND(H1302="Eşleşmedi",E1302='Panel'!$B$4),1,0)</ns0:f>
        <ns0:v>3.0</ns0:v>
      </ns0:c>
    </ns0:row>
    <ns0:row r="1303" ht="21" customHeight="1">
      <ns0:c r="A1303" s="25" t="n"/>
      <ns0:c r="B1303" s="26" t="n"/>
      <ns0:c r="C1303" s="27" t="n"/>
      <ns0:c r="D1303" s="27" t="n"/>
      <ns0:c r="E1303" s="28" t="str">
        <ns0:f>IF(A1303="","",YEAR(A1303)&amp;"-"&amp;RIGHT("0"&amp;MONTH(A1303),2))</ns0:f>
        <ns0:v/>
      </ns0:c>
      <ns0:c r="F1303" s="28" t="str">
        <ns0:f>IF(OR(A1303="",B1303="",C1303&lt;=0),"",IF(SUMPRODUCT(('Müşteriler'!$B$2:$B$101&lt;&gt;"")*ISNUMBER(SEARCH('Müşteriler'!$B$2:$B$101,B1303)))=1,IFERROR(INDEX('Müşteriler'!$A$2:$A$101,SUMPRODUCT(('Müşteriler'!$B$2:$B$101&lt;&gt;"")*ISNUMBER(SEARCH('Müşteriler'!$B$2:$B$101,B1303)),ROW('Müşteriler'!$B$2:$B$101)-ROW('Müşteriler'!$B$2)+1)),""),""))</ns0:f>
        <ns0:v/>
      </ns0:c>
      <ns0:c r="G1303" s="28" t="str">
        <ns0:f>IF(F1303="","",IFERROR(INDEX('Müşteriler'!$C$2:$C$101,MATCH(F1303,'Müşteriler'!$A$2:$A$101,0)),""))</ns0:f>
        <ns0:v/>
      </ns0:c>
      <ns0:c r="H1303" s="28" t="str">
        <ns0:f>IF(A1303="","",IF(C1303&lt;=0,"Satış dışı",IF(OR(F1303="",G1303=""),"Eşleşmedi","Eşleşti")))</ns0:f>
        <ns0:v/>
      </ns0:c>
      <ns0:c r="I1303" s="28">
        <ns0:f>I1302+IF(AND(H1303="Eşleşmedi",E1303='Panel'!$B$4),1,0)</ns0:f>
        <ns0:v>3.0</ns0:v>
      </ns0:c>
    </ns0:row>
    <ns0:row r="1304" ht="21" customHeight="1">
      <ns0:c r="A1304" s="25" t="n"/>
      <ns0:c r="B1304" s="26" t="n"/>
      <ns0:c r="C1304" s="27" t="n"/>
      <ns0:c r="D1304" s="27" t="n"/>
      <ns0:c r="E1304" s="28" t="str">
        <ns0:f>IF(A1304="","",YEAR(A1304)&amp;"-"&amp;RIGHT("0"&amp;MONTH(A1304),2))</ns0:f>
        <ns0:v/>
      </ns0:c>
      <ns0:c r="F1304" s="28" t="str">
        <ns0:f>IF(OR(A1304="",B1304="",C1304&lt;=0),"",IF(SUMPRODUCT(('Müşteriler'!$B$2:$B$101&lt;&gt;"")*ISNUMBER(SEARCH('Müşteriler'!$B$2:$B$101,B1304)))=1,IFERROR(INDEX('Müşteriler'!$A$2:$A$101,SUMPRODUCT(('Müşteriler'!$B$2:$B$101&lt;&gt;"")*ISNUMBER(SEARCH('Müşteriler'!$B$2:$B$101,B1304)),ROW('Müşteriler'!$B$2:$B$101)-ROW('Müşteriler'!$B$2)+1)),""),""))</ns0:f>
        <ns0:v/>
      </ns0:c>
      <ns0:c r="G1304" s="28" t="str">
        <ns0:f>IF(F1304="","",IFERROR(INDEX('Müşteriler'!$C$2:$C$101,MATCH(F1304,'Müşteriler'!$A$2:$A$101,0)),""))</ns0:f>
        <ns0:v/>
      </ns0:c>
      <ns0:c r="H1304" s="28" t="str">
        <ns0:f>IF(A1304="","",IF(C1304&lt;=0,"Satış dışı",IF(OR(F1304="",G1304=""),"Eşleşmedi","Eşleşti")))</ns0:f>
        <ns0:v/>
      </ns0:c>
      <ns0:c r="I1304" s="28">
        <ns0:f>I1303+IF(AND(H1304="Eşleşmedi",E1304='Panel'!$B$4),1,0)</ns0:f>
        <ns0:v>3.0</ns0:v>
      </ns0:c>
    </ns0:row>
    <ns0:row r="1305" ht="21" customHeight="1">
      <ns0:c r="A1305" s="25" t="n"/>
      <ns0:c r="B1305" s="26" t="n"/>
      <ns0:c r="C1305" s="27" t="n"/>
      <ns0:c r="D1305" s="27" t="n"/>
      <ns0:c r="E1305" s="28" t="str">
        <ns0:f>IF(A1305="","",YEAR(A1305)&amp;"-"&amp;RIGHT("0"&amp;MONTH(A1305),2))</ns0:f>
        <ns0:v/>
      </ns0:c>
      <ns0:c r="F1305" s="28" t="str">
        <ns0:f>IF(OR(A1305="",B1305="",C1305&lt;=0),"",IF(SUMPRODUCT(('Müşteriler'!$B$2:$B$101&lt;&gt;"")*ISNUMBER(SEARCH('Müşteriler'!$B$2:$B$101,B1305)))=1,IFERROR(INDEX('Müşteriler'!$A$2:$A$101,SUMPRODUCT(('Müşteriler'!$B$2:$B$101&lt;&gt;"")*ISNUMBER(SEARCH('Müşteriler'!$B$2:$B$101,B1305)),ROW('Müşteriler'!$B$2:$B$101)-ROW('Müşteriler'!$B$2)+1)),""),""))</ns0:f>
        <ns0:v/>
      </ns0:c>
      <ns0:c r="G1305" s="28" t="str">
        <ns0:f>IF(F1305="","",IFERROR(INDEX('Müşteriler'!$C$2:$C$101,MATCH(F1305,'Müşteriler'!$A$2:$A$101,0)),""))</ns0:f>
        <ns0:v/>
      </ns0:c>
      <ns0:c r="H1305" s="28" t="str">
        <ns0:f>IF(A1305="","",IF(C1305&lt;=0,"Satış dışı",IF(OR(F1305="",G1305=""),"Eşleşmedi","Eşleşti")))</ns0:f>
        <ns0:v/>
      </ns0:c>
      <ns0:c r="I1305" s="28">
        <ns0:f>I1304+IF(AND(H1305="Eşleşmedi",E1305='Panel'!$B$4),1,0)</ns0:f>
        <ns0:v>3.0</ns0:v>
      </ns0:c>
    </ns0:row>
    <ns0:row r="1306" ht="21" customHeight="1">
      <ns0:c r="A1306" s="25" t="n"/>
      <ns0:c r="B1306" s="26" t="n"/>
      <ns0:c r="C1306" s="27" t="n"/>
      <ns0:c r="D1306" s="27" t="n"/>
      <ns0:c r="E1306" s="28" t="str">
        <ns0:f>IF(A1306="","",YEAR(A1306)&amp;"-"&amp;RIGHT("0"&amp;MONTH(A1306),2))</ns0:f>
        <ns0:v/>
      </ns0:c>
      <ns0:c r="F1306" s="28" t="str">
        <ns0:f>IF(OR(A1306="",B1306="",C1306&lt;=0),"",IF(SUMPRODUCT(('Müşteriler'!$B$2:$B$101&lt;&gt;"")*ISNUMBER(SEARCH('Müşteriler'!$B$2:$B$101,B1306)))=1,IFERROR(INDEX('Müşteriler'!$A$2:$A$101,SUMPRODUCT(('Müşteriler'!$B$2:$B$101&lt;&gt;"")*ISNUMBER(SEARCH('Müşteriler'!$B$2:$B$101,B1306)),ROW('Müşteriler'!$B$2:$B$101)-ROW('Müşteriler'!$B$2)+1)),""),""))</ns0:f>
        <ns0:v/>
      </ns0:c>
      <ns0:c r="G1306" s="28" t="str">
        <ns0:f>IF(F1306="","",IFERROR(INDEX('Müşteriler'!$C$2:$C$101,MATCH(F1306,'Müşteriler'!$A$2:$A$101,0)),""))</ns0:f>
        <ns0:v/>
      </ns0:c>
      <ns0:c r="H1306" s="28" t="str">
        <ns0:f>IF(A1306="","",IF(C1306&lt;=0,"Satış dışı",IF(OR(F1306="",G1306=""),"Eşleşmedi","Eşleşti")))</ns0:f>
        <ns0:v/>
      </ns0:c>
      <ns0:c r="I1306" s="28">
        <ns0:f>I1305+IF(AND(H1306="Eşleşmedi",E1306='Panel'!$B$4),1,0)</ns0:f>
        <ns0:v>3.0</ns0:v>
      </ns0:c>
    </ns0:row>
    <ns0:row r="1307" ht="21" customHeight="1">
      <ns0:c r="A1307" s="25" t="n"/>
      <ns0:c r="B1307" s="26" t="n"/>
      <ns0:c r="C1307" s="27" t="n"/>
      <ns0:c r="D1307" s="27" t="n"/>
      <ns0:c r="E1307" s="28" t="str">
        <ns0:f>IF(A1307="","",YEAR(A1307)&amp;"-"&amp;RIGHT("0"&amp;MONTH(A1307),2))</ns0:f>
        <ns0:v/>
      </ns0:c>
      <ns0:c r="F1307" s="28" t="str">
        <ns0:f>IF(OR(A1307="",B1307="",C1307&lt;=0),"",IF(SUMPRODUCT(('Müşteriler'!$B$2:$B$101&lt;&gt;"")*ISNUMBER(SEARCH('Müşteriler'!$B$2:$B$101,B1307)))=1,IFERROR(INDEX('Müşteriler'!$A$2:$A$101,SUMPRODUCT(('Müşteriler'!$B$2:$B$101&lt;&gt;"")*ISNUMBER(SEARCH('Müşteriler'!$B$2:$B$101,B1307)),ROW('Müşteriler'!$B$2:$B$101)-ROW('Müşteriler'!$B$2)+1)),""),""))</ns0:f>
        <ns0:v/>
      </ns0:c>
      <ns0:c r="G1307" s="28" t="str">
        <ns0:f>IF(F1307="","",IFERROR(INDEX('Müşteriler'!$C$2:$C$101,MATCH(F1307,'Müşteriler'!$A$2:$A$101,0)),""))</ns0:f>
        <ns0:v/>
      </ns0:c>
      <ns0:c r="H1307" s="28" t="str">
        <ns0:f>IF(A1307="","",IF(C1307&lt;=0,"Satış dışı",IF(OR(F1307="",G1307=""),"Eşleşmedi","Eşleşti")))</ns0:f>
        <ns0:v/>
      </ns0:c>
      <ns0:c r="I1307" s="28">
        <ns0:f>I1306+IF(AND(H1307="Eşleşmedi",E1307='Panel'!$B$4),1,0)</ns0:f>
        <ns0:v>3.0</ns0:v>
      </ns0:c>
    </ns0:row>
    <ns0:row r="1308" ht="21" customHeight="1">
      <ns0:c r="A1308" s="25" t="n"/>
      <ns0:c r="B1308" s="26" t="n"/>
      <ns0:c r="C1308" s="27" t="n"/>
      <ns0:c r="D1308" s="27" t="n"/>
      <ns0:c r="E1308" s="28" t="str">
        <ns0:f>IF(A1308="","",YEAR(A1308)&amp;"-"&amp;RIGHT("0"&amp;MONTH(A1308),2))</ns0:f>
        <ns0:v/>
      </ns0:c>
      <ns0:c r="F1308" s="28" t="str">
        <ns0:f>IF(OR(A1308="",B1308="",C1308&lt;=0),"",IF(SUMPRODUCT(('Müşteriler'!$B$2:$B$101&lt;&gt;"")*ISNUMBER(SEARCH('Müşteriler'!$B$2:$B$101,B1308)))=1,IFERROR(INDEX('Müşteriler'!$A$2:$A$101,SUMPRODUCT(('Müşteriler'!$B$2:$B$101&lt;&gt;"")*ISNUMBER(SEARCH('Müşteriler'!$B$2:$B$101,B1308)),ROW('Müşteriler'!$B$2:$B$101)-ROW('Müşteriler'!$B$2)+1)),""),""))</ns0:f>
        <ns0:v/>
      </ns0:c>
      <ns0:c r="G1308" s="28" t="str">
        <ns0:f>IF(F1308="","",IFERROR(INDEX('Müşteriler'!$C$2:$C$101,MATCH(F1308,'Müşteriler'!$A$2:$A$101,0)),""))</ns0:f>
        <ns0:v/>
      </ns0:c>
      <ns0:c r="H1308" s="28" t="str">
        <ns0:f>IF(A1308="","",IF(C1308&lt;=0,"Satış dışı",IF(OR(F1308="",G1308=""),"Eşleşmedi","Eşleşti")))</ns0:f>
        <ns0:v/>
      </ns0:c>
      <ns0:c r="I1308" s="28">
        <ns0:f>I1307+IF(AND(H1308="Eşleşmedi",E1308='Panel'!$B$4),1,0)</ns0:f>
        <ns0:v>3.0</ns0:v>
      </ns0:c>
    </ns0:row>
    <ns0:row r="1309" ht="21" customHeight="1">
      <ns0:c r="A1309" s="25" t="n"/>
      <ns0:c r="B1309" s="26" t="n"/>
      <ns0:c r="C1309" s="27" t="n"/>
      <ns0:c r="D1309" s="27" t="n"/>
      <ns0:c r="E1309" s="28" t="str">
        <ns0:f>IF(A1309="","",YEAR(A1309)&amp;"-"&amp;RIGHT("0"&amp;MONTH(A1309),2))</ns0:f>
        <ns0:v/>
      </ns0:c>
      <ns0:c r="F1309" s="28" t="str">
        <ns0:f>IF(OR(A1309="",B1309="",C1309&lt;=0),"",IF(SUMPRODUCT(('Müşteriler'!$B$2:$B$101&lt;&gt;"")*ISNUMBER(SEARCH('Müşteriler'!$B$2:$B$101,B1309)))=1,IFERROR(INDEX('Müşteriler'!$A$2:$A$101,SUMPRODUCT(('Müşteriler'!$B$2:$B$101&lt;&gt;"")*ISNUMBER(SEARCH('Müşteriler'!$B$2:$B$101,B1309)),ROW('Müşteriler'!$B$2:$B$101)-ROW('Müşteriler'!$B$2)+1)),""),""))</ns0:f>
        <ns0:v/>
      </ns0:c>
      <ns0:c r="G1309" s="28" t="str">
        <ns0:f>IF(F1309="","",IFERROR(INDEX('Müşteriler'!$C$2:$C$101,MATCH(F1309,'Müşteriler'!$A$2:$A$101,0)),""))</ns0:f>
        <ns0:v/>
      </ns0:c>
      <ns0:c r="H1309" s="28" t="str">
        <ns0:f>IF(A1309="","",IF(C1309&lt;=0,"Satış dışı",IF(OR(F1309="",G1309=""),"Eşleşmedi","Eşleşti")))</ns0:f>
        <ns0:v/>
      </ns0:c>
      <ns0:c r="I1309" s="28">
        <ns0:f>I1308+IF(AND(H1309="Eşleşmedi",E1309='Panel'!$B$4),1,0)</ns0:f>
        <ns0:v>3.0</ns0:v>
      </ns0:c>
    </ns0:row>
    <ns0:row r="1310" ht="21" customHeight="1">
      <ns0:c r="A1310" s="25" t="n"/>
      <ns0:c r="B1310" s="26" t="n"/>
      <ns0:c r="C1310" s="27" t="n"/>
      <ns0:c r="D1310" s="27" t="n"/>
      <ns0:c r="E1310" s="28" t="str">
        <ns0:f>IF(A1310="","",YEAR(A1310)&amp;"-"&amp;RIGHT("0"&amp;MONTH(A1310),2))</ns0:f>
        <ns0:v/>
      </ns0:c>
      <ns0:c r="F1310" s="28" t="str">
        <ns0:f>IF(OR(A1310="",B1310="",C1310&lt;=0),"",IF(SUMPRODUCT(('Müşteriler'!$B$2:$B$101&lt;&gt;"")*ISNUMBER(SEARCH('Müşteriler'!$B$2:$B$101,B1310)))=1,IFERROR(INDEX('Müşteriler'!$A$2:$A$101,SUMPRODUCT(('Müşteriler'!$B$2:$B$101&lt;&gt;"")*ISNUMBER(SEARCH('Müşteriler'!$B$2:$B$101,B1310)),ROW('Müşteriler'!$B$2:$B$101)-ROW('Müşteriler'!$B$2)+1)),""),""))</ns0:f>
        <ns0:v/>
      </ns0:c>
      <ns0:c r="G1310" s="28" t="str">
        <ns0:f>IF(F1310="","",IFERROR(INDEX('Müşteriler'!$C$2:$C$101,MATCH(F1310,'Müşteriler'!$A$2:$A$101,0)),""))</ns0:f>
        <ns0:v/>
      </ns0:c>
      <ns0:c r="H1310" s="28" t="str">
        <ns0:f>IF(A1310="","",IF(C1310&lt;=0,"Satış dışı",IF(OR(F1310="",G1310=""),"Eşleşmedi","Eşleşti")))</ns0:f>
        <ns0:v/>
      </ns0:c>
      <ns0:c r="I1310" s="28">
        <ns0:f>I1309+IF(AND(H1310="Eşleşmedi",E1310='Panel'!$B$4),1,0)</ns0:f>
        <ns0:v>3.0</ns0:v>
      </ns0:c>
    </ns0:row>
    <ns0:row r="1311" ht="21" customHeight="1">
      <ns0:c r="A1311" s="25" t="n"/>
      <ns0:c r="B1311" s="26" t="n"/>
      <ns0:c r="C1311" s="27" t="n"/>
      <ns0:c r="D1311" s="27" t="n"/>
      <ns0:c r="E1311" s="28" t="str">
        <ns0:f>IF(A1311="","",YEAR(A1311)&amp;"-"&amp;RIGHT("0"&amp;MONTH(A1311),2))</ns0:f>
        <ns0:v/>
      </ns0:c>
      <ns0:c r="F1311" s="28" t="str">
        <ns0:f>IF(OR(A1311="",B1311="",C1311&lt;=0),"",IF(SUMPRODUCT(('Müşteriler'!$B$2:$B$101&lt;&gt;"")*ISNUMBER(SEARCH('Müşteriler'!$B$2:$B$101,B1311)))=1,IFERROR(INDEX('Müşteriler'!$A$2:$A$101,SUMPRODUCT(('Müşteriler'!$B$2:$B$101&lt;&gt;"")*ISNUMBER(SEARCH('Müşteriler'!$B$2:$B$101,B1311)),ROW('Müşteriler'!$B$2:$B$101)-ROW('Müşteriler'!$B$2)+1)),""),""))</ns0:f>
        <ns0:v/>
      </ns0:c>
      <ns0:c r="G1311" s="28" t="str">
        <ns0:f>IF(F1311="","",IFERROR(INDEX('Müşteriler'!$C$2:$C$101,MATCH(F1311,'Müşteriler'!$A$2:$A$101,0)),""))</ns0:f>
        <ns0:v/>
      </ns0:c>
      <ns0:c r="H1311" s="28" t="str">
        <ns0:f>IF(A1311="","",IF(C1311&lt;=0,"Satış dışı",IF(OR(F1311="",G1311=""),"Eşleşmedi","Eşleşti")))</ns0:f>
        <ns0:v/>
      </ns0:c>
      <ns0:c r="I1311" s="28">
        <ns0:f>I1310+IF(AND(H1311="Eşleşmedi",E1311='Panel'!$B$4),1,0)</ns0:f>
        <ns0:v>3.0</ns0:v>
      </ns0:c>
    </ns0:row>
    <ns0:row r="1312" ht="21" customHeight="1">
      <ns0:c r="A1312" s="25" t="n"/>
      <ns0:c r="B1312" s="26" t="n"/>
      <ns0:c r="C1312" s="27" t="n"/>
      <ns0:c r="D1312" s="27" t="n"/>
      <ns0:c r="E1312" s="28" t="str">
        <ns0:f>IF(A1312="","",YEAR(A1312)&amp;"-"&amp;RIGHT("0"&amp;MONTH(A1312),2))</ns0:f>
        <ns0:v/>
      </ns0:c>
      <ns0:c r="F1312" s="28" t="str">
        <ns0:f>IF(OR(A1312="",B1312="",C1312&lt;=0),"",IF(SUMPRODUCT(('Müşteriler'!$B$2:$B$101&lt;&gt;"")*ISNUMBER(SEARCH('Müşteriler'!$B$2:$B$101,B1312)))=1,IFERROR(INDEX('Müşteriler'!$A$2:$A$101,SUMPRODUCT(('Müşteriler'!$B$2:$B$101&lt;&gt;"")*ISNUMBER(SEARCH('Müşteriler'!$B$2:$B$101,B1312)),ROW('Müşteriler'!$B$2:$B$101)-ROW('Müşteriler'!$B$2)+1)),""),""))</ns0:f>
        <ns0:v/>
      </ns0:c>
      <ns0:c r="G1312" s="28" t="str">
        <ns0:f>IF(F1312="","",IFERROR(INDEX('Müşteriler'!$C$2:$C$101,MATCH(F1312,'Müşteriler'!$A$2:$A$101,0)),""))</ns0:f>
        <ns0:v/>
      </ns0:c>
      <ns0:c r="H1312" s="28" t="str">
        <ns0:f>IF(A1312="","",IF(C1312&lt;=0,"Satış dışı",IF(OR(F1312="",G1312=""),"Eşleşmedi","Eşleşti")))</ns0:f>
        <ns0:v/>
      </ns0:c>
      <ns0:c r="I1312" s="28">
        <ns0:f>I1311+IF(AND(H1312="Eşleşmedi",E1312='Panel'!$B$4),1,0)</ns0:f>
        <ns0:v>3.0</ns0:v>
      </ns0:c>
    </ns0:row>
    <ns0:row r="1313" ht="21" customHeight="1">
      <ns0:c r="A1313" s="25" t="n"/>
      <ns0:c r="B1313" s="26" t="n"/>
      <ns0:c r="C1313" s="27" t="n"/>
      <ns0:c r="D1313" s="27" t="n"/>
      <ns0:c r="E1313" s="28" t="str">
        <ns0:f>IF(A1313="","",YEAR(A1313)&amp;"-"&amp;RIGHT("0"&amp;MONTH(A1313),2))</ns0:f>
        <ns0:v/>
      </ns0:c>
      <ns0:c r="F1313" s="28" t="str">
        <ns0:f>IF(OR(A1313="",B1313="",C1313&lt;=0),"",IF(SUMPRODUCT(('Müşteriler'!$B$2:$B$101&lt;&gt;"")*ISNUMBER(SEARCH('Müşteriler'!$B$2:$B$101,B1313)))=1,IFERROR(INDEX('Müşteriler'!$A$2:$A$101,SUMPRODUCT(('Müşteriler'!$B$2:$B$101&lt;&gt;"")*ISNUMBER(SEARCH('Müşteriler'!$B$2:$B$101,B1313)),ROW('Müşteriler'!$B$2:$B$101)-ROW('Müşteriler'!$B$2)+1)),""),""))</ns0:f>
        <ns0:v/>
      </ns0:c>
      <ns0:c r="G1313" s="28" t="str">
        <ns0:f>IF(F1313="","",IFERROR(INDEX('Müşteriler'!$C$2:$C$101,MATCH(F1313,'Müşteriler'!$A$2:$A$101,0)),""))</ns0:f>
        <ns0:v/>
      </ns0:c>
      <ns0:c r="H1313" s="28" t="str">
        <ns0:f>IF(A1313="","",IF(C1313&lt;=0,"Satış dışı",IF(OR(F1313="",G1313=""),"Eşleşmedi","Eşleşti")))</ns0:f>
        <ns0:v/>
      </ns0:c>
      <ns0:c r="I1313" s="28">
        <ns0:f>I1312+IF(AND(H1313="Eşleşmedi",E1313='Panel'!$B$4),1,0)</ns0:f>
        <ns0:v>3.0</ns0:v>
      </ns0:c>
    </ns0:row>
    <ns0:row r="1314" ht="21" customHeight="1">
      <ns0:c r="A1314" s="25" t="n"/>
      <ns0:c r="B1314" s="26" t="n"/>
      <ns0:c r="C1314" s="27" t="n"/>
      <ns0:c r="D1314" s="27" t="n"/>
      <ns0:c r="E1314" s="28" t="str">
        <ns0:f>IF(A1314="","",YEAR(A1314)&amp;"-"&amp;RIGHT("0"&amp;MONTH(A1314),2))</ns0:f>
        <ns0:v/>
      </ns0:c>
      <ns0:c r="F1314" s="28" t="str">
        <ns0:f>IF(OR(A1314="",B1314="",C1314&lt;=0),"",IF(SUMPRODUCT(('Müşteriler'!$B$2:$B$101&lt;&gt;"")*ISNUMBER(SEARCH('Müşteriler'!$B$2:$B$101,B1314)))=1,IFERROR(INDEX('Müşteriler'!$A$2:$A$101,SUMPRODUCT(('Müşteriler'!$B$2:$B$101&lt;&gt;"")*ISNUMBER(SEARCH('Müşteriler'!$B$2:$B$101,B1314)),ROW('Müşteriler'!$B$2:$B$101)-ROW('Müşteriler'!$B$2)+1)),""),""))</ns0:f>
        <ns0:v/>
      </ns0:c>
      <ns0:c r="G1314" s="28" t="str">
        <ns0:f>IF(F1314="","",IFERROR(INDEX('Müşteriler'!$C$2:$C$101,MATCH(F1314,'Müşteriler'!$A$2:$A$101,0)),""))</ns0:f>
        <ns0:v/>
      </ns0:c>
      <ns0:c r="H1314" s="28" t="str">
        <ns0:f>IF(A1314="","",IF(C1314&lt;=0,"Satış dışı",IF(OR(F1314="",G1314=""),"Eşleşmedi","Eşleşti")))</ns0:f>
        <ns0:v/>
      </ns0:c>
      <ns0:c r="I1314" s="28">
        <ns0:f>I1313+IF(AND(H1314="Eşleşmedi",E1314='Panel'!$B$4),1,0)</ns0:f>
        <ns0:v>3.0</ns0:v>
      </ns0:c>
    </ns0:row>
    <ns0:row r="1315" ht="21" customHeight="1">
      <ns0:c r="A1315" s="25" t="n"/>
      <ns0:c r="B1315" s="26" t="n"/>
      <ns0:c r="C1315" s="27" t="n"/>
      <ns0:c r="D1315" s="27" t="n"/>
      <ns0:c r="E1315" s="28" t="str">
        <ns0:f>IF(A1315="","",YEAR(A1315)&amp;"-"&amp;RIGHT("0"&amp;MONTH(A1315),2))</ns0:f>
        <ns0:v/>
      </ns0:c>
      <ns0:c r="F1315" s="28" t="str">
        <ns0:f>IF(OR(A1315="",B1315="",C1315&lt;=0),"",IF(SUMPRODUCT(('Müşteriler'!$B$2:$B$101&lt;&gt;"")*ISNUMBER(SEARCH('Müşteriler'!$B$2:$B$101,B1315)))=1,IFERROR(INDEX('Müşteriler'!$A$2:$A$101,SUMPRODUCT(('Müşteriler'!$B$2:$B$101&lt;&gt;"")*ISNUMBER(SEARCH('Müşteriler'!$B$2:$B$101,B1315)),ROW('Müşteriler'!$B$2:$B$101)-ROW('Müşteriler'!$B$2)+1)),""),""))</ns0:f>
        <ns0:v/>
      </ns0:c>
      <ns0:c r="G1315" s="28" t="str">
        <ns0:f>IF(F1315="","",IFERROR(INDEX('Müşteriler'!$C$2:$C$101,MATCH(F1315,'Müşteriler'!$A$2:$A$101,0)),""))</ns0:f>
        <ns0:v/>
      </ns0:c>
      <ns0:c r="H1315" s="28" t="str">
        <ns0:f>IF(A1315="","",IF(C1315&lt;=0,"Satış dışı",IF(OR(F1315="",G1315=""),"Eşleşmedi","Eşleşti")))</ns0:f>
        <ns0:v/>
      </ns0:c>
      <ns0:c r="I1315" s="28">
        <ns0:f>I1314+IF(AND(H1315="Eşleşmedi",E1315='Panel'!$B$4),1,0)</ns0:f>
        <ns0:v>3.0</ns0:v>
      </ns0:c>
    </ns0:row>
    <ns0:row r="1316" ht="21" customHeight="1">
      <ns0:c r="A1316" s="25" t="n"/>
      <ns0:c r="B1316" s="26" t="n"/>
      <ns0:c r="C1316" s="27" t="n"/>
      <ns0:c r="D1316" s="27" t="n"/>
      <ns0:c r="E1316" s="28" t="str">
        <ns0:f>IF(A1316="","",YEAR(A1316)&amp;"-"&amp;RIGHT("0"&amp;MONTH(A1316),2))</ns0:f>
        <ns0:v/>
      </ns0:c>
      <ns0:c r="F1316" s="28" t="str">
        <ns0:f>IF(OR(A1316="",B1316="",C1316&lt;=0),"",IF(SUMPRODUCT(('Müşteriler'!$B$2:$B$101&lt;&gt;"")*ISNUMBER(SEARCH('Müşteriler'!$B$2:$B$101,B1316)))=1,IFERROR(INDEX('Müşteriler'!$A$2:$A$101,SUMPRODUCT(('Müşteriler'!$B$2:$B$101&lt;&gt;"")*ISNUMBER(SEARCH('Müşteriler'!$B$2:$B$101,B1316)),ROW('Müşteriler'!$B$2:$B$101)-ROW('Müşteriler'!$B$2)+1)),""),""))</ns0:f>
        <ns0:v/>
      </ns0:c>
      <ns0:c r="G1316" s="28" t="str">
        <ns0:f>IF(F1316="","",IFERROR(INDEX('Müşteriler'!$C$2:$C$101,MATCH(F1316,'Müşteriler'!$A$2:$A$101,0)),""))</ns0:f>
        <ns0:v/>
      </ns0:c>
      <ns0:c r="H1316" s="28" t="str">
        <ns0:f>IF(A1316="","",IF(C1316&lt;=0,"Satış dışı",IF(OR(F1316="",G1316=""),"Eşleşmedi","Eşleşti")))</ns0:f>
        <ns0:v/>
      </ns0:c>
      <ns0:c r="I1316" s="28">
        <ns0:f>I1315+IF(AND(H1316="Eşleşmedi",E1316='Panel'!$B$4),1,0)</ns0:f>
        <ns0:v>3.0</ns0:v>
      </ns0:c>
    </ns0:row>
    <ns0:row r="1317" ht="21" customHeight="1">
      <ns0:c r="A1317" s="25" t="n"/>
      <ns0:c r="B1317" s="26" t="n"/>
      <ns0:c r="C1317" s="27" t="n"/>
      <ns0:c r="D1317" s="27" t="n"/>
      <ns0:c r="E1317" s="28" t="str">
        <ns0:f>IF(A1317="","",YEAR(A1317)&amp;"-"&amp;RIGHT("0"&amp;MONTH(A1317),2))</ns0:f>
        <ns0:v/>
      </ns0:c>
      <ns0:c r="F1317" s="28" t="str">
        <ns0:f>IF(OR(A1317="",B1317="",C1317&lt;=0),"",IF(SUMPRODUCT(('Müşteriler'!$B$2:$B$101&lt;&gt;"")*ISNUMBER(SEARCH('Müşteriler'!$B$2:$B$101,B1317)))=1,IFERROR(INDEX('Müşteriler'!$A$2:$A$101,SUMPRODUCT(('Müşteriler'!$B$2:$B$101&lt;&gt;"")*ISNUMBER(SEARCH('Müşteriler'!$B$2:$B$101,B1317)),ROW('Müşteriler'!$B$2:$B$101)-ROW('Müşteriler'!$B$2)+1)),""),""))</ns0:f>
        <ns0:v/>
      </ns0:c>
      <ns0:c r="G1317" s="28" t="str">
        <ns0:f>IF(F1317="","",IFERROR(INDEX('Müşteriler'!$C$2:$C$101,MATCH(F1317,'Müşteriler'!$A$2:$A$101,0)),""))</ns0:f>
        <ns0:v/>
      </ns0:c>
      <ns0:c r="H1317" s="28" t="str">
        <ns0:f>IF(A1317="","",IF(C1317&lt;=0,"Satış dışı",IF(OR(F1317="",G1317=""),"Eşleşmedi","Eşleşti")))</ns0:f>
        <ns0:v/>
      </ns0:c>
      <ns0:c r="I1317" s="28">
        <ns0:f>I1316+IF(AND(H1317="Eşleşmedi",E1317='Panel'!$B$4),1,0)</ns0:f>
        <ns0:v>3.0</ns0:v>
      </ns0:c>
    </ns0:row>
    <ns0:row r="1318" ht="21" customHeight="1">
      <ns0:c r="A1318" s="25" t="n"/>
      <ns0:c r="B1318" s="26" t="n"/>
      <ns0:c r="C1318" s="27" t="n"/>
      <ns0:c r="D1318" s="27" t="n"/>
      <ns0:c r="E1318" s="28" t="str">
        <ns0:f>IF(A1318="","",YEAR(A1318)&amp;"-"&amp;RIGHT("0"&amp;MONTH(A1318),2))</ns0:f>
        <ns0:v/>
      </ns0:c>
      <ns0:c r="F1318" s="28" t="str">
        <ns0:f>IF(OR(A1318="",B1318="",C1318&lt;=0),"",IF(SUMPRODUCT(('Müşteriler'!$B$2:$B$101&lt;&gt;"")*ISNUMBER(SEARCH('Müşteriler'!$B$2:$B$101,B1318)))=1,IFERROR(INDEX('Müşteriler'!$A$2:$A$101,SUMPRODUCT(('Müşteriler'!$B$2:$B$101&lt;&gt;"")*ISNUMBER(SEARCH('Müşteriler'!$B$2:$B$101,B1318)),ROW('Müşteriler'!$B$2:$B$101)-ROW('Müşteriler'!$B$2)+1)),""),""))</ns0:f>
        <ns0:v/>
      </ns0:c>
      <ns0:c r="G1318" s="28" t="str">
        <ns0:f>IF(F1318="","",IFERROR(INDEX('Müşteriler'!$C$2:$C$101,MATCH(F1318,'Müşteriler'!$A$2:$A$101,0)),""))</ns0:f>
        <ns0:v/>
      </ns0:c>
      <ns0:c r="H1318" s="28" t="str">
        <ns0:f>IF(A1318="","",IF(C1318&lt;=0,"Satış dışı",IF(OR(F1318="",G1318=""),"Eşleşmedi","Eşleşti")))</ns0:f>
        <ns0:v/>
      </ns0:c>
      <ns0:c r="I1318" s="28">
        <ns0:f>I1317+IF(AND(H1318="Eşleşmedi",E1318='Panel'!$B$4),1,0)</ns0:f>
        <ns0:v>3.0</ns0:v>
      </ns0:c>
    </ns0:row>
    <ns0:row r="1319" ht="21" customHeight="1">
      <ns0:c r="A1319" s="25" t="n"/>
      <ns0:c r="B1319" s="26" t="n"/>
      <ns0:c r="C1319" s="27" t="n"/>
      <ns0:c r="D1319" s="27" t="n"/>
      <ns0:c r="E1319" s="28" t="str">
        <ns0:f>IF(A1319="","",YEAR(A1319)&amp;"-"&amp;RIGHT("0"&amp;MONTH(A1319),2))</ns0:f>
        <ns0:v/>
      </ns0:c>
      <ns0:c r="F1319" s="28" t="str">
        <ns0:f>IF(OR(A1319="",B1319="",C1319&lt;=0),"",IF(SUMPRODUCT(('Müşteriler'!$B$2:$B$101&lt;&gt;"")*ISNUMBER(SEARCH('Müşteriler'!$B$2:$B$101,B1319)))=1,IFERROR(INDEX('Müşteriler'!$A$2:$A$101,SUMPRODUCT(('Müşteriler'!$B$2:$B$101&lt;&gt;"")*ISNUMBER(SEARCH('Müşteriler'!$B$2:$B$101,B1319)),ROW('Müşteriler'!$B$2:$B$101)-ROW('Müşteriler'!$B$2)+1)),""),""))</ns0:f>
        <ns0:v/>
      </ns0:c>
      <ns0:c r="G1319" s="28" t="str">
        <ns0:f>IF(F1319="","",IFERROR(INDEX('Müşteriler'!$C$2:$C$101,MATCH(F1319,'Müşteriler'!$A$2:$A$101,0)),""))</ns0:f>
        <ns0:v/>
      </ns0:c>
      <ns0:c r="H1319" s="28" t="str">
        <ns0:f>IF(A1319="","",IF(C1319&lt;=0,"Satış dışı",IF(OR(F1319="",G1319=""),"Eşleşmedi","Eşleşti")))</ns0:f>
        <ns0:v/>
      </ns0:c>
      <ns0:c r="I1319" s="28">
        <ns0:f>I1318+IF(AND(H1319="Eşleşmedi",E1319='Panel'!$B$4),1,0)</ns0:f>
        <ns0:v>3.0</ns0:v>
      </ns0:c>
    </ns0:row>
    <ns0:row r="1320" ht="21" customHeight="1">
      <ns0:c r="A1320" s="25" t="n"/>
      <ns0:c r="B1320" s="26" t="n"/>
      <ns0:c r="C1320" s="27" t="n"/>
      <ns0:c r="D1320" s="27" t="n"/>
      <ns0:c r="E1320" s="28" t="str">
        <ns0:f>IF(A1320="","",YEAR(A1320)&amp;"-"&amp;RIGHT("0"&amp;MONTH(A1320),2))</ns0:f>
        <ns0:v/>
      </ns0:c>
      <ns0:c r="F1320" s="28" t="str">
        <ns0:f>IF(OR(A1320="",B1320="",C1320&lt;=0),"",IF(SUMPRODUCT(('Müşteriler'!$B$2:$B$101&lt;&gt;"")*ISNUMBER(SEARCH('Müşteriler'!$B$2:$B$101,B1320)))=1,IFERROR(INDEX('Müşteriler'!$A$2:$A$101,SUMPRODUCT(('Müşteriler'!$B$2:$B$101&lt;&gt;"")*ISNUMBER(SEARCH('Müşteriler'!$B$2:$B$101,B1320)),ROW('Müşteriler'!$B$2:$B$101)-ROW('Müşteriler'!$B$2)+1)),""),""))</ns0:f>
        <ns0:v/>
      </ns0:c>
      <ns0:c r="G1320" s="28" t="str">
        <ns0:f>IF(F1320="","",IFERROR(INDEX('Müşteriler'!$C$2:$C$101,MATCH(F1320,'Müşteriler'!$A$2:$A$101,0)),""))</ns0:f>
        <ns0:v/>
      </ns0:c>
      <ns0:c r="H1320" s="28" t="str">
        <ns0:f>IF(A1320="","",IF(C1320&lt;=0,"Satış dışı",IF(OR(F1320="",G1320=""),"Eşleşmedi","Eşleşti")))</ns0:f>
        <ns0:v/>
      </ns0:c>
      <ns0:c r="I1320" s="28">
        <ns0:f>I1319+IF(AND(H1320="Eşleşmedi",E1320='Panel'!$B$4),1,0)</ns0:f>
        <ns0:v>3.0</ns0:v>
      </ns0:c>
    </ns0:row>
    <ns0:row r="1321" ht="21" customHeight="1">
      <ns0:c r="A1321" s="25" t="n"/>
      <ns0:c r="B1321" s="26" t="n"/>
      <ns0:c r="C1321" s="27" t="n"/>
      <ns0:c r="D1321" s="27" t="n"/>
      <ns0:c r="E1321" s="28" t="str">
        <ns0:f>IF(A1321="","",YEAR(A1321)&amp;"-"&amp;RIGHT("0"&amp;MONTH(A1321),2))</ns0:f>
        <ns0:v/>
      </ns0:c>
      <ns0:c r="F1321" s="28" t="str">
        <ns0:f>IF(OR(A1321="",B1321="",C1321&lt;=0),"",IF(SUMPRODUCT(('Müşteriler'!$B$2:$B$101&lt;&gt;"")*ISNUMBER(SEARCH('Müşteriler'!$B$2:$B$101,B1321)))=1,IFERROR(INDEX('Müşteriler'!$A$2:$A$101,SUMPRODUCT(('Müşteriler'!$B$2:$B$101&lt;&gt;"")*ISNUMBER(SEARCH('Müşteriler'!$B$2:$B$101,B1321)),ROW('Müşteriler'!$B$2:$B$101)-ROW('Müşteriler'!$B$2)+1)),""),""))</ns0:f>
        <ns0:v/>
      </ns0:c>
      <ns0:c r="G1321" s="28" t="str">
        <ns0:f>IF(F1321="","",IFERROR(INDEX('Müşteriler'!$C$2:$C$101,MATCH(F1321,'Müşteriler'!$A$2:$A$101,0)),""))</ns0:f>
        <ns0:v/>
      </ns0:c>
      <ns0:c r="H1321" s="28" t="str">
        <ns0:f>IF(A1321="","",IF(C1321&lt;=0,"Satış dışı",IF(OR(F1321="",G1321=""),"Eşleşmedi","Eşleşti")))</ns0:f>
        <ns0:v/>
      </ns0:c>
      <ns0:c r="I1321" s="28">
        <ns0:f>I1320+IF(AND(H1321="Eşleşmedi",E1321='Panel'!$B$4),1,0)</ns0:f>
        <ns0:v>3.0</ns0:v>
      </ns0:c>
    </ns0:row>
    <ns0:row r="1322" ht="21" customHeight="1">
      <ns0:c r="A1322" s="25" t="n"/>
      <ns0:c r="B1322" s="26" t="n"/>
      <ns0:c r="C1322" s="27" t="n"/>
      <ns0:c r="D1322" s="27" t="n"/>
      <ns0:c r="E1322" s="28" t="str">
        <ns0:f>IF(A1322="","",YEAR(A1322)&amp;"-"&amp;RIGHT("0"&amp;MONTH(A1322),2))</ns0:f>
        <ns0:v/>
      </ns0:c>
      <ns0:c r="F1322" s="28" t="str">
        <ns0:f>IF(OR(A1322="",B1322="",C1322&lt;=0),"",IF(SUMPRODUCT(('Müşteriler'!$B$2:$B$101&lt;&gt;"")*ISNUMBER(SEARCH('Müşteriler'!$B$2:$B$101,B1322)))=1,IFERROR(INDEX('Müşteriler'!$A$2:$A$101,SUMPRODUCT(('Müşteriler'!$B$2:$B$101&lt;&gt;"")*ISNUMBER(SEARCH('Müşteriler'!$B$2:$B$101,B1322)),ROW('Müşteriler'!$B$2:$B$101)-ROW('Müşteriler'!$B$2)+1)),""),""))</ns0:f>
        <ns0:v/>
      </ns0:c>
      <ns0:c r="G1322" s="28" t="str">
        <ns0:f>IF(F1322="","",IFERROR(INDEX('Müşteriler'!$C$2:$C$101,MATCH(F1322,'Müşteriler'!$A$2:$A$101,0)),""))</ns0:f>
        <ns0:v/>
      </ns0:c>
      <ns0:c r="H1322" s="28" t="str">
        <ns0:f>IF(A1322="","",IF(C1322&lt;=0,"Satış dışı",IF(OR(F1322="",G1322=""),"Eşleşmedi","Eşleşti")))</ns0:f>
        <ns0:v/>
      </ns0:c>
      <ns0:c r="I1322" s="28">
        <ns0:f>I1321+IF(AND(H1322="Eşleşmedi",E1322='Panel'!$B$4),1,0)</ns0:f>
        <ns0:v>3.0</ns0:v>
      </ns0:c>
    </ns0:row>
    <ns0:row r="1323" ht="21" customHeight="1">
      <ns0:c r="A1323" s="25" t="n"/>
      <ns0:c r="B1323" s="26" t="n"/>
      <ns0:c r="C1323" s="27" t="n"/>
      <ns0:c r="D1323" s="27" t="n"/>
      <ns0:c r="E1323" s="28" t="str">
        <ns0:f>IF(A1323="","",YEAR(A1323)&amp;"-"&amp;RIGHT("0"&amp;MONTH(A1323),2))</ns0:f>
        <ns0:v/>
      </ns0:c>
      <ns0:c r="F1323" s="28" t="str">
        <ns0:f>IF(OR(A1323="",B1323="",C1323&lt;=0),"",IF(SUMPRODUCT(('Müşteriler'!$B$2:$B$101&lt;&gt;"")*ISNUMBER(SEARCH('Müşteriler'!$B$2:$B$101,B1323)))=1,IFERROR(INDEX('Müşteriler'!$A$2:$A$101,SUMPRODUCT(('Müşteriler'!$B$2:$B$101&lt;&gt;"")*ISNUMBER(SEARCH('Müşteriler'!$B$2:$B$101,B1323)),ROW('Müşteriler'!$B$2:$B$101)-ROW('Müşteriler'!$B$2)+1)),""),""))</ns0:f>
        <ns0:v/>
      </ns0:c>
      <ns0:c r="G1323" s="28" t="str">
        <ns0:f>IF(F1323="","",IFERROR(INDEX('Müşteriler'!$C$2:$C$101,MATCH(F1323,'Müşteriler'!$A$2:$A$101,0)),""))</ns0:f>
        <ns0:v/>
      </ns0:c>
      <ns0:c r="H1323" s="28" t="str">
        <ns0:f>IF(A1323="","",IF(C1323&lt;=0,"Satış dışı",IF(OR(F1323="",G1323=""),"Eşleşmedi","Eşleşti")))</ns0:f>
        <ns0:v/>
      </ns0:c>
      <ns0:c r="I1323" s="28">
        <ns0:f>I1322+IF(AND(H1323="Eşleşmedi",E1323='Panel'!$B$4),1,0)</ns0:f>
        <ns0:v>3.0</ns0:v>
      </ns0:c>
    </ns0:row>
    <ns0:row r="1324" ht="21" customHeight="1">
      <ns0:c r="A1324" s="25" t="n"/>
      <ns0:c r="B1324" s="26" t="n"/>
      <ns0:c r="C1324" s="27" t="n"/>
      <ns0:c r="D1324" s="27" t="n"/>
      <ns0:c r="E1324" s="28" t="str">
        <ns0:f>IF(A1324="","",YEAR(A1324)&amp;"-"&amp;RIGHT("0"&amp;MONTH(A1324),2))</ns0:f>
        <ns0:v/>
      </ns0:c>
      <ns0:c r="F1324" s="28" t="str">
        <ns0:f>IF(OR(A1324="",B1324="",C1324&lt;=0),"",IF(SUMPRODUCT(('Müşteriler'!$B$2:$B$101&lt;&gt;"")*ISNUMBER(SEARCH('Müşteriler'!$B$2:$B$101,B1324)))=1,IFERROR(INDEX('Müşteriler'!$A$2:$A$101,SUMPRODUCT(('Müşteriler'!$B$2:$B$101&lt;&gt;"")*ISNUMBER(SEARCH('Müşteriler'!$B$2:$B$101,B1324)),ROW('Müşteriler'!$B$2:$B$101)-ROW('Müşteriler'!$B$2)+1)),""),""))</ns0:f>
        <ns0:v/>
      </ns0:c>
      <ns0:c r="G1324" s="28" t="str">
        <ns0:f>IF(F1324="","",IFERROR(INDEX('Müşteriler'!$C$2:$C$101,MATCH(F1324,'Müşteriler'!$A$2:$A$101,0)),""))</ns0:f>
        <ns0:v/>
      </ns0:c>
      <ns0:c r="H1324" s="28" t="str">
        <ns0:f>IF(A1324="","",IF(C1324&lt;=0,"Satış dışı",IF(OR(F1324="",G1324=""),"Eşleşmedi","Eşleşti")))</ns0:f>
        <ns0:v/>
      </ns0:c>
      <ns0:c r="I1324" s="28">
        <ns0:f>I1323+IF(AND(H1324="Eşleşmedi",E1324='Panel'!$B$4),1,0)</ns0:f>
        <ns0:v>3.0</ns0:v>
      </ns0:c>
    </ns0:row>
    <ns0:row r="1325" ht="21" customHeight="1">
      <ns0:c r="A1325" s="25" t="n"/>
      <ns0:c r="B1325" s="26" t="n"/>
      <ns0:c r="C1325" s="27" t="n"/>
      <ns0:c r="D1325" s="27" t="n"/>
      <ns0:c r="E1325" s="28" t="str">
        <ns0:f>IF(A1325="","",YEAR(A1325)&amp;"-"&amp;RIGHT("0"&amp;MONTH(A1325),2))</ns0:f>
        <ns0:v/>
      </ns0:c>
      <ns0:c r="F1325" s="28" t="str">
        <ns0:f>IF(OR(A1325="",B1325="",C1325&lt;=0),"",IF(SUMPRODUCT(('Müşteriler'!$B$2:$B$101&lt;&gt;"")*ISNUMBER(SEARCH('Müşteriler'!$B$2:$B$101,B1325)))=1,IFERROR(INDEX('Müşteriler'!$A$2:$A$101,SUMPRODUCT(('Müşteriler'!$B$2:$B$101&lt;&gt;"")*ISNUMBER(SEARCH('Müşteriler'!$B$2:$B$101,B1325)),ROW('Müşteriler'!$B$2:$B$101)-ROW('Müşteriler'!$B$2)+1)),""),""))</ns0:f>
        <ns0:v/>
      </ns0:c>
      <ns0:c r="G1325" s="28" t="str">
        <ns0:f>IF(F1325="","",IFERROR(INDEX('Müşteriler'!$C$2:$C$101,MATCH(F1325,'Müşteriler'!$A$2:$A$101,0)),""))</ns0:f>
        <ns0:v/>
      </ns0:c>
      <ns0:c r="H1325" s="28" t="str">
        <ns0:f>IF(A1325="","",IF(C1325&lt;=0,"Satış dışı",IF(OR(F1325="",G1325=""),"Eşleşmedi","Eşleşti")))</ns0:f>
        <ns0:v/>
      </ns0:c>
      <ns0:c r="I1325" s="28">
        <ns0:f>I1324+IF(AND(H1325="Eşleşmedi",E1325='Panel'!$B$4),1,0)</ns0:f>
        <ns0:v>3.0</ns0:v>
      </ns0:c>
    </ns0:row>
    <ns0:row r="1326" ht="21" customHeight="1">
      <ns0:c r="A1326" s="25" t="n"/>
      <ns0:c r="B1326" s="26" t="n"/>
      <ns0:c r="C1326" s="27" t="n"/>
      <ns0:c r="D1326" s="27" t="n"/>
      <ns0:c r="E1326" s="28" t="str">
        <ns0:f>IF(A1326="","",YEAR(A1326)&amp;"-"&amp;RIGHT("0"&amp;MONTH(A1326),2))</ns0:f>
        <ns0:v/>
      </ns0:c>
      <ns0:c r="F1326" s="28" t="str">
        <ns0:f>IF(OR(A1326="",B1326="",C1326&lt;=0),"",IF(SUMPRODUCT(('Müşteriler'!$B$2:$B$101&lt;&gt;"")*ISNUMBER(SEARCH('Müşteriler'!$B$2:$B$101,B1326)))=1,IFERROR(INDEX('Müşteriler'!$A$2:$A$101,SUMPRODUCT(('Müşteriler'!$B$2:$B$101&lt;&gt;"")*ISNUMBER(SEARCH('Müşteriler'!$B$2:$B$101,B1326)),ROW('Müşteriler'!$B$2:$B$101)-ROW('Müşteriler'!$B$2)+1)),""),""))</ns0:f>
        <ns0:v/>
      </ns0:c>
      <ns0:c r="G1326" s="28" t="str">
        <ns0:f>IF(F1326="","",IFERROR(INDEX('Müşteriler'!$C$2:$C$101,MATCH(F1326,'Müşteriler'!$A$2:$A$101,0)),""))</ns0:f>
        <ns0:v/>
      </ns0:c>
      <ns0:c r="H1326" s="28" t="str">
        <ns0:f>IF(A1326="","",IF(C1326&lt;=0,"Satış dışı",IF(OR(F1326="",G1326=""),"Eşleşmedi","Eşleşti")))</ns0:f>
        <ns0:v/>
      </ns0:c>
      <ns0:c r="I1326" s="28">
        <ns0:f>I1325+IF(AND(H1326="Eşleşmedi",E1326='Panel'!$B$4),1,0)</ns0:f>
        <ns0:v>3.0</ns0:v>
      </ns0:c>
    </ns0:row>
    <ns0:row r="1327" ht="21" customHeight="1">
      <ns0:c r="A1327" s="25" t="n"/>
      <ns0:c r="B1327" s="26" t="n"/>
      <ns0:c r="C1327" s="27" t="n"/>
      <ns0:c r="D1327" s="27" t="n"/>
      <ns0:c r="E1327" s="28" t="str">
        <ns0:f>IF(A1327="","",YEAR(A1327)&amp;"-"&amp;RIGHT("0"&amp;MONTH(A1327),2))</ns0:f>
        <ns0:v/>
      </ns0:c>
      <ns0:c r="F1327" s="28" t="str">
        <ns0:f>IF(OR(A1327="",B1327="",C1327&lt;=0),"",IF(SUMPRODUCT(('Müşteriler'!$B$2:$B$101&lt;&gt;"")*ISNUMBER(SEARCH('Müşteriler'!$B$2:$B$101,B1327)))=1,IFERROR(INDEX('Müşteriler'!$A$2:$A$101,SUMPRODUCT(('Müşteriler'!$B$2:$B$101&lt;&gt;"")*ISNUMBER(SEARCH('Müşteriler'!$B$2:$B$101,B1327)),ROW('Müşteriler'!$B$2:$B$101)-ROW('Müşteriler'!$B$2)+1)),""),""))</ns0:f>
        <ns0:v/>
      </ns0:c>
      <ns0:c r="G1327" s="28" t="str">
        <ns0:f>IF(F1327="","",IFERROR(INDEX('Müşteriler'!$C$2:$C$101,MATCH(F1327,'Müşteriler'!$A$2:$A$101,0)),""))</ns0:f>
        <ns0:v/>
      </ns0:c>
      <ns0:c r="H1327" s="28" t="str">
        <ns0:f>IF(A1327="","",IF(C1327&lt;=0,"Satış dışı",IF(OR(F1327="",G1327=""),"Eşleşmedi","Eşleşti")))</ns0:f>
        <ns0:v/>
      </ns0:c>
      <ns0:c r="I1327" s="28">
        <ns0:f>I1326+IF(AND(H1327="Eşleşmedi",E1327='Panel'!$B$4),1,0)</ns0:f>
        <ns0:v>3.0</ns0:v>
      </ns0:c>
    </ns0:row>
    <ns0:row r="1328" ht="21" customHeight="1">
      <ns0:c r="A1328" s="25" t="n"/>
      <ns0:c r="B1328" s="26" t="n"/>
      <ns0:c r="C1328" s="27" t="n"/>
      <ns0:c r="D1328" s="27" t="n"/>
      <ns0:c r="E1328" s="28" t="str">
        <ns0:f>IF(A1328="","",YEAR(A1328)&amp;"-"&amp;RIGHT("0"&amp;MONTH(A1328),2))</ns0:f>
        <ns0:v/>
      </ns0:c>
      <ns0:c r="F1328" s="28" t="str">
        <ns0:f>IF(OR(A1328="",B1328="",C1328&lt;=0),"",IF(SUMPRODUCT(('Müşteriler'!$B$2:$B$101&lt;&gt;"")*ISNUMBER(SEARCH('Müşteriler'!$B$2:$B$101,B1328)))=1,IFERROR(INDEX('Müşteriler'!$A$2:$A$101,SUMPRODUCT(('Müşteriler'!$B$2:$B$101&lt;&gt;"")*ISNUMBER(SEARCH('Müşteriler'!$B$2:$B$101,B1328)),ROW('Müşteriler'!$B$2:$B$101)-ROW('Müşteriler'!$B$2)+1)),""),""))</ns0:f>
        <ns0:v/>
      </ns0:c>
      <ns0:c r="G1328" s="28" t="str">
        <ns0:f>IF(F1328="","",IFERROR(INDEX('Müşteriler'!$C$2:$C$101,MATCH(F1328,'Müşteriler'!$A$2:$A$101,0)),""))</ns0:f>
        <ns0:v/>
      </ns0:c>
      <ns0:c r="H1328" s="28" t="str">
        <ns0:f>IF(A1328="","",IF(C1328&lt;=0,"Satış dışı",IF(OR(F1328="",G1328=""),"Eşleşmedi","Eşleşti")))</ns0:f>
        <ns0:v/>
      </ns0:c>
      <ns0:c r="I1328" s="28">
        <ns0:f>I1327+IF(AND(H1328="Eşleşmedi",E1328='Panel'!$B$4),1,0)</ns0:f>
        <ns0:v>3.0</ns0:v>
      </ns0:c>
    </ns0:row>
    <ns0:row r="1329" ht="21" customHeight="1">
      <ns0:c r="A1329" s="25" t="n"/>
      <ns0:c r="B1329" s="26" t="n"/>
      <ns0:c r="C1329" s="27" t="n"/>
      <ns0:c r="D1329" s="27" t="n"/>
      <ns0:c r="E1329" s="28" t="str">
        <ns0:f>IF(A1329="","",YEAR(A1329)&amp;"-"&amp;RIGHT("0"&amp;MONTH(A1329),2))</ns0:f>
        <ns0:v/>
      </ns0:c>
      <ns0:c r="F1329" s="28" t="str">
        <ns0:f>IF(OR(A1329="",B1329="",C1329&lt;=0),"",IF(SUMPRODUCT(('Müşteriler'!$B$2:$B$101&lt;&gt;"")*ISNUMBER(SEARCH('Müşteriler'!$B$2:$B$101,B1329)))=1,IFERROR(INDEX('Müşteriler'!$A$2:$A$101,SUMPRODUCT(('Müşteriler'!$B$2:$B$101&lt;&gt;"")*ISNUMBER(SEARCH('Müşteriler'!$B$2:$B$101,B1329)),ROW('Müşteriler'!$B$2:$B$101)-ROW('Müşteriler'!$B$2)+1)),""),""))</ns0:f>
        <ns0:v/>
      </ns0:c>
      <ns0:c r="G1329" s="28" t="str">
        <ns0:f>IF(F1329="","",IFERROR(INDEX('Müşteriler'!$C$2:$C$101,MATCH(F1329,'Müşteriler'!$A$2:$A$101,0)),""))</ns0:f>
        <ns0:v/>
      </ns0:c>
      <ns0:c r="H1329" s="28" t="str">
        <ns0:f>IF(A1329="","",IF(C1329&lt;=0,"Satış dışı",IF(OR(F1329="",G1329=""),"Eşleşmedi","Eşleşti")))</ns0:f>
        <ns0:v/>
      </ns0:c>
      <ns0:c r="I1329" s="28">
        <ns0:f>I1328+IF(AND(H1329="Eşleşmedi",E1329='Panel'!$B$4),1,0)</ns0:f>
        <ns0:v>3.0</ns0:v>
      </ns0:c>
    </ns0:row>
    <ns0:row r="1330" ht="21" customHeight="1">
      <ns0:c r="A1330" s="25" t="n"/>
      <ns0:c r="B1330" s="26" t="n"/>
      <ns0:c r="C1330" s="27" t="n"/>
      <ns0:c r="D1330" s="27" t="n"/>
      <ns0:c r="E1330" s="28" t="str">
        <ns0:f>IF(A1330="","",YEAR(A1330)&amp;"-"&amp;RIGHT("0"&amp;MONTH(A1330),2))</ns0:f>
        <ns0:v/>
      </ns0:c>
      <ns0:c r="F1330" s="28" t="str">
        <ns0:f>IF(OR(A1330="",B1330="",C1330&lt;=0),"",IF(SUMPRODUCT(('Müşteriler'!$B$2:$B$101&lt;&gt;"")*ISNUMBER(SEARCH('Müşteriler'!$B$2:$B$101,B1330)))=1,IFERROR(INDEX('Müşteriler'!$A$2:$A$101,SUMPRODUCT(('Müşteriler'!$B$2:$B$101&lt;&gt;"")*ISNUMBER(SEARCH('Müşteriler'!$B$2:$B$101,B1330)),ROW('Müşteriler'!$B$2:$B$101)-ROW('Müşteriler'!$B$2)+1)),""),""))</ns0:f>
        <ns0:v/>
      </ns0:c>
      <ns0:c r="G1330" s="28" t="str">
        <ns0:f>IF(F1330="","",IFERROR(INDEX('Müşteriler'!$C$2:$C$101,MATCH(F1330,'Müşteriler'!$A$2:$A$101,0)),""))</ns0:f>
        <ns0:v/>
      </ns0:c>
      <ns0:c r="H1330" s="28" t="str">
        <ns0:f>IF(A1330="","",IF(C1330&lt;=0,"Satış dışı",IF(OR(F1330="",G1330=""),"Eşleşmedi","Eşleşti")))</ns0:f>
        <ns0:v/>
      </ns0:c>
      <ns0:c r="I1330" s="28">
        <ns0:f>I1329+IF(AND(H1330="Eşleşmedi",E1330='Panel'!$B$4),1,0)</ns0:f>
        <ns0:v>3.0</ns0:v>
      </ns0:c>
    </ns0:row>
    <ns0:row r="1331" ht="21" customHeight="1">
      <ns0:c r="A1331" s="25" t="n"/>
      <ns0:c r="B1331" s="26" t="n"/>
      <ns0:c r="C1331" s="27" t="n"/>
      <ns0:c r="D1331" s="27" t="n"/>
      <ns0:c r="E1331" s="28" t="str">
        <ns0:f>IF(A1331="","",YEAR(A1331)&amp;"-"&amp;RIGHT("0"&amp;MONTH(A1331),2))</ns0:f>
        <ns0:v/>
      </ns0:c>
      <ns0:c r="F1331" s="28" t="str">
        <ns0:f>IF(OR(A1331="",B1331="",C1331&lt;=0),"",IF(SUMPRODUCT(('Müşteriler'!$B$2:$B$101&lt;&gt;"")*ISNUMBER(SEARCH('Müşteriler'!$B$2:$B$101,B1331)))=1,IFERROR(INDEX('Müşteriler'!$A$2:$A$101,SUMPRODUCT(('Müşteriler'!$B$2:$B$101&lt;&gt;"")*ISNUMBER(SEARCH('Müşteriler'!$B$2:$B$101,B1331)),ROW('Müşteriler'!$B$2:$B$101)-ROW('Müşteriler'!$B$2)+1)),""),""))</ns0:f>
        <ns0:v/>
      </ns0:c>
      <ns0:c r="G1331" s="28" t="str">
        <ns0:f>IF(F1331="","",IFERROR(INDEX('Müşteriler'!$C$2:$C$101,MATCH(F1331,'Müşteriler'!$A$2:$A$101,0)),""))</ns0:f>
        <ns0:v/>
      </ns0:c>
      <ns0:c r="H1331" s="28" t="str">
        <ns0:f>IF(A1331="","",IF(C1331&lt;=0,"Satış dışı",IF(OR(F1331="",G1331=""),"Eşleşmedi","Eşleşti")))</ns0:f>
        <ns0:v/>
      </ns0:c>
      <ns0:c r="I1331" s="28">
        <ns0:f>I1330+IF(AND(H1331="Eşleşmedi",E1331='Panel'!$B$4),1,0)</ns0:f>
        <ns0:v>3.0</ns0:v>
      </ns0:c>
    </ns0:row>
    <ns0:row r="1332" ht="21" customHeight="1">
      <ns0:c r="A1332" s="25" t="n"/>
      <ns0:c r="B1332" s="26" t="n"/>
      <ns0:c r="C1332" s="27" t="n"/>
      <ns0:c r="D1332" s="27" t="n"/>
      <ns0:c r="E1332" s="28" t="str">
        <ns0:f>IF(A1332="","",YEAR(A1332)&amp;"-"&amp;RIGHT("0"&amp;MONTH(A1332),2))</ns0:f>
        <ns0:v/>
      </ns0:c>
      <ns0:c r="F1332" s="28" t="str">
        <ns0:f>IF(OR(A1332="",B1332="",C1332&lt;=0),"",IF(SUMPRODUCT(('Müşteriler'!$B$2:$B$101&lt;&gt;"")*ISNUMBER(SEARCH('Müşteriler'!$B$2:$B$101,B1332)))=1,IFERROR(INDEX('Müşteriler'!$A$2:$A$101,SUMPRODUCT(('Müşteriler'!$B$2:$B$101&lt;&gt;"")*ISNUMBER(SEARCH('Müşteriler'!$B$2:$B$101,B1332)),ROW('Müşteriler'!$B$2:$B$101)-ROW('Müşteriler'!$B$2)+1)),""),""))</ns0:f>
        <ns0:v/>
      </ns0:c>
      <ns0:c r="G1332" s="28" t="str">
        <ns0:f>IF(F1332="","",IFERROR(INDEX('Müşteriler'!$C$2:$C$101,MATCH(F1332,'Müşteriler'!$A$2:$A$101,0)),""))</ns0:f>
        <ns0:v/>
      </ns0:c>
      <ns0:c r="H1332" s="28" t="str">
        <ns0:f>IF(A1332="","",IF(C1332&lt;=0,"Satış dışı",IF(OR(F1332="",G1332=""),"Eşleşmedi","Eşleşti")))</ns0:f>
        <ns0:v/>
      </ns0:c>
      <ns0:c r="I1332" s="28">
        <ns0:f>I1331+IF(AND(H1332="Eşleşmedi",E1332='Panel'!$B$4),1,0)</ns0:f>
        <ns0:v>3.0</ns0:v>
      </ns0:c>
    </ns0:row>
    <ns0:row r="1333" ht="21" customHeight="1">
      <ns0:c r="A1333" s="25" t="n"/>
      <ns0:c r="B1333" s="26" t="n"/>
      <ns0:c r="C1333" s="27" t="n"/>
      <ns0:c r="D1333" s="27" t="n"/>
      <ns0:c r="E1333" s="28" t="str">
        <ns0:f>IF(A1333="","",YEAR(A1333)&amp;"-"&amp;RIGHT("0"&amp;MONTH(A1333),2))</ns0:f>
        <ns0:v/>
      </ns0:c>
      <ns0:c r="F1333" s="28" t="str">
        <ns0:f>IF(OR(A1333="",B1333="",C1333&lt;=0),"",IF(SUMPRODUCT(('Müşteriler'!$B$2:$B$101&lt;&gt;"")*ISNUMBER(SEARCH('Müşteriler'!$B$2:$B$101,B1333)))=1,IFERROR(INDEX('Müşteriler'!$A$2:$A$101,SUMPRODUCT(('Müşteriler'!$B$2:$B$101&lt;&gt;"")*ISNUMBER(SEARCH('Müşteriler'!$B$2:$B$101,B1333)),ROW('Müşteriler'!$B$2:$B$101)-ROW('Müşteriler'!$B$2)+1)),""),""))</ns0:f>
        <ns0:v/>
      </ns0:c>
      <ns0:c r="G1333" s="28" t="str">
        <ns0:f>IF(F1333="","",IFERROR(INDEX('Müşteriler'!$C$2:$C$101,MATCH(F1333,'Müşteriler'!$A$2:$A$101,0)),""))</ns0:f>
        <ns0:v/>
      </ns0:c>
      <ns0:c r="H1333" s="28" t="str">
        <ns0:f>IF(A1333="","",IF(C1333&lt;=0,"Satış dışı",IF(OR(F1333="",G1333=""),"Eşleşmedi","Eşleşti")))</ns0:f>
        <ns0:v/>
      </ns0:c>
      <ns0:c r="I1333" s="28">
        <ns0:f>I1332+IF(AND(H1333="Eşleşmedi",E1333='Panel'!$B$4),1,0)</ns0:f>
        <ns0:v>3.0</ns0:v>
      </ns0:c>
    </ns0:row>
    <ns0:row r="1334" ht="21" customHeight="1">
      <ns0:c r="A1334" s="25" t="n"/>
      <ns0:c r="B1334" s="26" t="n"/>
      <ns0:c r="C1334" s="27" t="n"/>
      <ns0:c r="D1334" s="27" t="n"/>
      <ns0:c r="E1334" s="28" t="str">
        <ns0:f>IF(A1334="","",YEAR(A1334)&amp;"-"&amp;RIGHT("0"&amp;MONTH(A1334),2))</ns0:f>
        <ns0:v/>
      </ns0:c>
      <ns0:c r="F1334" s="28" t="str">
        <ns0:f>IF(OR(A1334="",B1334="",C1334&lt;=0),"",IF(SUMPRODUCT(('Müşteriler'!$B$2:$B$101&lt;&gt;"")*ISNUMBER(SEARCH('Müşteriler'!$B$2:$B$101,B1334)))=1,IFERROR(INDEX('Müşteriler'!$A$2:$A$101,SUMPRODUCT(('Müşteriler'!$B$2:$B$101&lt;&gt;"")*ISNUMBER(SEARCH('Müşteriler'!$B$2:$B$101,B1334)),ROW('Müşteriler'!$B$2:$B$101)-ROW('Müşteriler'!$B$2)+1)),""),""))</ns0:f>
        <ns0:v/>
      </ns0:c>
      <ns0:c r="G1334" s="28" t="str">
        <ns0:f>IF(F1334="","",IFERROR(INDEX('Müşteriler'!$C$2:$C$101,MATCH(F1334,'Müşteriler'!$A$2:$A$101,0)),""))</ns0:f>
        <ns0:v/>
      </ns0:c>
      <ns0:c r="H1334" s="28" t="str">
        <ns0:f>IF(A1334="","",IF(C1334&lt;=0,"Satış dışı",IF(OR(F1334="",G1334=""),"Eşleşmedi","Eşleşti")))</ns0:f>
        <ns0:v/>
      </ns0:c>
      <ns0:c r="I1334" s="28">
        <ns0:f>I1333+IF(AND(H1334="Eşleşmedi",E1334='Panel'!$B$4),1,0)</ns0:f>
        <ns0:v>3.0</ns0:v>
      </ns0:c>
    </ns0:row>
    <ns0:row r="1335" ht="21" customHeight="1">
      <ns0:c r="A1335" s="25" t="n"/>
      <ns0:c r="B1335" s="26" t="n"/>
      <ns0:c r="C1335" s="27" t="n"/>
      <ns0:c r="D1335" s="27" t="n"/>
      <ns0:c r="E1335" s="28" t="str">
        <ns0:f>IF(A1335="","",YEAR(A1335)&amp;"-"&amp;RIGHT("0"&amp;MONTH(A1335),2))</ns0:f>
        <ns0:v/>
      </ns0:c>
      <ns0:c r="F1335" s="28" t="str">
        <ns0:f>IF(OR(A1335="",B1335="",C1335&lt;=0),"",IF(SUMPRODUCT(('Müşteriler'!$B$2:$B$101&lt;&gt;"")*ISNUMBER(SEARCH('Müşteriler'!$B$2:$B$101,B1335)))=1,IFERROR(INDEX('Müşteriler'!$A$2:$A$101,SUMPRODUCT(('Müşteriler'!$B$2:$B$101&lt;&gt;"")*ISNUMBER(SEARCH('Müşteriler'!$B$2:$B$101,B1335)),ROW('Müşteriler'!$B$2:$B$101)-ROW('Müşteriler'!$B$2)+1)),""),""))</ns0:f>
        <ns0:v/>
      </ns0:c>
      <ns0:c r="G1335" s="28" t="str">
        <ns0:f>IF(F1335="","",IFERROR(INDEX('Müşteriler'!$C$2:$C$101,MATCH(F1335,'Müşteriler'!$A$2:$A$101,0)),""))</ns0:f>
        <ns0:v/>
      </ns0:c>
      <ns0:c r="H1335" s="28" t="str">
        <ns0:f>IF(A1335="","",IF(C1335&lt;=0,"Satış dışı",IF(OR(F1335="",G1335=""),"Eşleşmedi","Eşleşti")))</ns0:f>
        <ns0:v/>
      </ns0:c>
      <ns0:c r="I1335" s="28">
        <ns0:f>I1334+IF(AND(H1335="Eşleşmedi",E1335='Panel'!$B$4),1,0)</ns0:f>
        <ns0:v>3.0</ns0:v>
      </ns0:c>
    </ns0:row>
    <ns0:row r="1336" ht="21" customHeight="1">
      <ns0:c r="A1336" s="25" t="n"/>
      <ns0:c r="B1336" s="26" t="n"/>
      <ns0:c r="C1336" s="27" t="n"/>
      <ns0:c r="D1336" s="27" t="n"/>
      <ns0:c r="E1336" s="28" t="str">
        <ns0:f>IF(A1336="","",YEAR(A1336)&amp;"-"&amp;RIGHT("0"&amp;MONTH(A1336),2))</ns0:f>
        <ns0:v/>
      </ns0:c>
      <ns0:c r="F1336" s="28" t="str">
        <ns0:f>IF(OR(A1336="",B1336="",C1336&lt;=0),"",IF(SUMPRODUCT(('Müşteriler'!$B$2:$B$101&lt;&gt;"")*ISNUMBER(SEARCH('Müşteriler'!$B$2:$B$101,B1336)))=1,IFERROR(INDEX('Müşteriler'!$A$2:$A$101,SUMPRODUCT(('Müşteriler'!$B$2:$B$101&lt;&gt;"")*ISNUMBER(SEARCH('Müşteriler'!$B$2:$B$101,B1336)),ROW('Müşteriler'!$B$2:$B$101)-ROW('Müşteriler'!$B$2)+1)),""),""))</ns0:f>
        <ns0:v/>
      </ns0:c>
      <ns0:c r="G1336" s="28" t="str">
        <ns0:f>IF(F1336="","",IFERROR(INDEX('Müşteriler'!$C$2:$C$101,MATCH(F1336,'Müşteriler'!$A$2:$A$101,0)),""))</ns0:f>
        <ns0:v/>
      </ns0:c>
      <ns0:c r="H1336" s="28" t="str">
        <ns0:f>IF(A1336="","",IF(C1336&lt;=0,"Satış dışı",IF(OR(F1336="",G1336=""),"Eşleşmedi","Eşleşti")))</ns0:f>
        <ns0:v/>
      </ns0:c>
      <ns0:c r="I1336" s="28">
        <ns0:f>I1335+IF(AND(H1336="Eşleşmedi",E1336='Panel'!$B$4),1,0)</ns0:f>
        <ns0:v>3.0</ns0:v>
      </ns0:c>
    </ns0:row>
    <ns0:row r="1337" ht="21" customHeight="1">
      <ns0:c r="A1337" s="25" t="n"/>
      <ns0:c r="B1337" s="26" t="n"/>
      <ns0:c r="C1337" s="27" t="n"/>
      <ns0:c r="D1337" s="27" t="n"/>
      <ns0:c r="E1337" s="28" t="str">
        <ns0:f>IF(A1337="","",YEAR(A1337)&amp;"-"&amp;RIGHT("0"&amp;MONTH(A1337),2))</ns0:f>
        <ns0:v/>
      </ns0:c>
      <ns0:c r="F1337" s="28" t="str">
        <ns0:f>IF(OR(A1337="",B1337="",C1337&lt;=0),"",IF(SUMPRODUCT(('Müşteriler'!$B$2:$B$101&lt;&gt;"")*ISNUMBER(SEARCH('Müşteriler'!$B$2:$B$101,B1337)))=1,IFERROR(INDEX('Müşteriler'!$A$2:$A$101,SUMPRODUCT(('Müşteriler'!$B$2:$B$101&lt;&gt;"")*ISNUMBER(SEARCH('Müşteriler'!$B$2:$B$101,B1337)),ROW('Müşteriler'!$B$2:$B$101)-ROW('Müşteriler'!$B$2)+1)),""),""))</ns0:f>
        <ns0:v/>
      </ns0:c>
      <ns0:c r="G1337" s="28" t="str">
        <ns0:f>IF(F1337="","",IFERROR(INDEX('Müşteriler'!$C$2:$C$101,MATCH(F1337,'Müşteriler'!$A$2:$A$101,0)),""))</ns0:f>
        <ns0:v/>
      </ns0:c>
      <ns0:c r="H1337" s="28" t="str">
        <ns0:f>IF(A1337="","",IF(C1337&lt;=0,"Satış dışı",IF(OR(F1337="",G1337=""),"Eşleşmedi","Eşleşti")))</ns0:f>
        <ns0:v/>
      </ns0:c>
      <ns0:c r="I1337" s="28">
        <ns0:f>I1336+IF(AND(H1337="Eşleşmedi",E1337='Panel'!$B$4),1,0)</ns0:f>
        <ns0:v>3.0</ns0:v>
      </ns0:c>
    </ns0:row>
    <ns0:row r="1338" ht="21" customHeight="1">
      <ns0:c r="A1338" s="25" t="n"/>
      <ns0:c r="B1338" s="26" t="n"/>
      <ns0:c r="C1338" s="27" t="n"/>
      <ns0:c r="D1338" s="27" t="n"/>
      <ns0:c r="E1338" s="28" t="str">
        <ns0:f>IF(A1338="","",YEAR(A1338)&amp;"-"&amp;RIGHT("0"&amp;MONTH(A1338),2))</ns0:f>
        <ns0:v/>
      </ns0:c>
      <ns0:c r="F1338" s="28" t="str">
        <ns0:f>IF(OR(A1338="",B1338="",C1338&lt;=0),"",IF(SUMPRODUCT(('Müşteriler'!$B$2:$B$101&lt;&gt;"")*ISNUMBER(SEARCH('Müşteriler'!$B$2:$B$101,B1338)))=1,IFERROR(INDEX('Müşteriler'!$A$2:$A$101,SUMPRODUCT(('Müşteriler'!$B$2:$B$101&lt;&gt;"")*ISNUMBER(SEARCH('Müşteriler'!$B$2:$B$101,B1338)),ROW('Müşteriler'!$B$2:$B$101)-ROW('Müşteriler'!$B$2)+1)),""),""))</ns0:f>
        <ns0:v/>
      </ns0:c>
      <ns0:c r="G1338" s="28" t="str">
        <ns0:f>IF(F1338="","",IFERROR(INDEX('Müşteriler'!$C$2:$C$101,MATCH(F1338,'Müşteriler'!$A$2:$A$101,0)),""))</ns0:f>
        <ns0:v/>
      </ns0:c>
      <ns0:c r="H1338" s="28" t="str">
        <ns0:f>IF(A1338="","",IF(C1338&lt;=0,"Satış dışı",IF(OR(F1338="",G1338=""),"Eşleşmedi","Eşleşti")))</ns0:f>
        <ns0:v/>
      </ns0:c>
      <ns0:c r="I1338" s="28">
        <ns0:f>I1337+IF(AND(H1338="Eşleşmedi",E1338='Panel'!$B$4),1,0)</ns0:f>
        <ns0:v>3.0</ns0:v>
      </ns0:c>
    </ns0:row>
    <ns0:row r="1339" ht="21" customHeight="1">
      <ns0:c r="A1339" s="25" t="n"/>
      <ns0:c r="B1339" s="26" t="n"/>
      <ns0:c r="C1339" s="27" t="n"/>
      <ns0:c r="D1339" s="27" t="n"/>
      <ns0:c r="E1339" s="28" t="str">
        <ns0:f>IF(A1339="","",YEAR(A1339)&amp;"-"&amp;RIGHT("0"&amp;MONTH(A1339),2))</ns0:f>
        <ns0:v/>
      </ns0:c>
      <ns0:c r="F1339" s="28" t="str">
        <ns0:f>IF(OR(A1339="",B1339="",C1339&lt;=0),"",IF(SUMPRODUCT(('Müşteriler'!$B$2:$B$101&lt;&gt;"")*ISNUMBER(SEARCH('Müşteriler'!$B$2:$B$101,B1339)))=1,IFERROR(INDEX('Müşteriler'!$A$2:$A$101,SUMPRODUCT(('Müşteriler'!$B$2:$B$101&lt;&gt;"")*ISNUMBER(SEARCH('Müşteriler'!$B$2:$B$101,B1339)),ROW('Müşteriler'!$B$2:$B$101)-ROW('Müşteriler'!$B$2)+1)),""),""))</ns0:f>
        <ns0:v/>
      </ns0:c>
      <ns0:c r="G1339" s="28" t="str">
        <ns0:f>IF(F1339="","",IFERROR(INDEX('Müşteriler'!$C$2:$C$101,MATCH(F1339,'Müşteriler'!$A$2:$A$101,0)),""))</ns0:f>
        <ns0:v/>
      </ns0:c>
      <ns0:c r="H1339" s="28" t="str">
        <ns0:f>IF(A1339="","",IF(C1339&lt;=0,"Satış dışı",IF(OR(F1339="",G1339=""),"Eşleşmedi","Eşleşti")))</ns0:f>
        <ns0:v/>
      </ns0:c>
      <ns0:c r="I1339" s="28">
        <ns0:f>I1338+IF(AND(H1339="Eşleşmedi",E1339='Panel'!$B$4),1,0)</ns0:f>
        <ns0:v>3.0</ns0:v>
      </ns0:c>
    </ns0:row>
    <ns0:row r="1340" ht="21" customHeight="1">
      <ns0:c r="A1340" s="25" t="n"/>
      <ns0:c r="B1340" s="26" t="n"/>
      <ns0:c r="C1340" s="27" t="n"/>
      <ns0:c r="D1340" s="27" t="n"/>
      <ns0:c r="E1340" s="28" t="str">
        <ns0:f>IF(A1340="","",YEAR(A1340)&amp;"-"&amp;RIGHT("0"&amp;MONTH(A1340),2))</ns0:f>
        <ns0:v/>
      </ns0:c>
      <ns0:c r="F1340" s="28" t="str">
        <ns0:f>IF(OR(A1340="",B1340="",C1340&lt;=0),"",IF(SUMPRODUCT(('Müşteriler'!$B$2:$B$101&lt;&gt;"")*ISNUMBER(SEARCH('Müşteriler'!$B$2:$B$101,B1340)))=1,IFERROR(INDEX('Müşteriler'!$A$2:$A$101,SUMPRODUCT(('Müşteriler'!$B$2:$B$101&lt;&gt;"")*ISNUMBER(SEARCH('Müşteriler'!$B$2:$B$101,B1340)),ROW('Müşteriler'!$B$2:$B$101)-ROW('Müşteriler'!$B$2)+1)),""),""))</ns0:f>
        <ns0:v/>
      </ns0:c>
      <ns0:c r="G1340" s="28" t="str">
        <ns0:f>IF(F1340="","",IFERROR(INDEX('Müşteriler'!$C$2:$C$101,MATCH(F1340,'Müşteriler'!$A$2:$A$101,0)),""))</ns0:f>
        <ns0:v/>
      </ns0:c>
      <ns0:c r="H1340" s="28" t="str">
        <ns0:f>IF(A1340="","",IF(C1340&lt;=0,"Satış dışı",IF(OR(F1340="",G1340=""),"Eşleşmedi","Eşleşti")))</ns0:f>
        <ns0:v/>
      </ns0:c>
      <ns0:c r="I1340" s="28">
        <ns0:f>I1339+IF(AND(H1340="Eşleşmedi",E1340='Panel'!$B$4),1,0)</ns0:f>
        <ns0:v>3.0</ns0:v>
      </ns0:c>
    </ns0:row>
    <ns0:row r="1341" ht="21" customHeight="1">
      <ns0:c r="A1341" s="25" t="n"/>
      <ns0:c r="B1341" s="26" t="n"/>
      <ns0:c r="C1341" s="27" t="n"/>
      <ns0:c r="D1341" s="27" t="n"/>
      <ns0:c r="E1341" s="28" t="str">
        <ns0:f>IF(A1341="","",YEAR(A1341)&amp;"-"&amp;RIGHT("0"&amp;MONTH(A1341),2))</ns0:f>
        <ns0:v/>
      </ns0:c>
      <ns0:c r="F1341" s="28" t="str">
        <ns0:f>IF(OR(A1341="",B1341="",C1341&lt;=0),"",IF(SUMPRODUCT(('Müşteriler'!$B$2:$B$101&lt;&gt;"")*ISNUMBER(SEARCH('Müşteriler'!$B$2:$B$101,B1341)))=1,IFERROR(INDEX('Müşteriler'!$A$2:$A$101,SUMPRODUCT(('Müşteriler'!$B$2:$B$101&lt;&gt;"")*ISNUMBER(SEARCH('Müşteriler'!$B$2:$B$101,B1341)),ROW('Müşteriler'!$B$2:$B$101)-ROW('Müşteriler'!$B$2)+1)),""),""))</ns0:f>
        <ns0:v/>
      </ns0:c>
      <ns0:c r="G1341" s="28" t="str">
        <ns0:f>IF(F1341="","",IFERROR(INDEX('Müşteriler'!$C$2:$C$101,MATCH(F1341,'Müşteriler'!$A$2:$A$101,0)),""))</ns0:f>
        <ns0:v/>
      </ns0:c>
      <ns0:c r="H1341" s="28" t="str">
        <ns0:f>IF(A1341="","",IF(C1341&lt;=0,"Satış dışı",IF(OR(F1341="",G1341=""),"Eşleşmedi","Eşleşti")))</ns0:f>
        <ns0:v/>
      </ns0:c>
      <ns0:c r="I1341" s="28">
        <ns0:f>I1340+IF(AND(H1341="Eşleşmedi",E1341='Panel'!$B$4),1,0)</ns0:f>
        <ns0:v>3.0</ns0:v>
      </ns0:c>
    </ns0:row>
    <ns0:row r="1342" ht="21" customHeight="1">
      <ns0:c r="A1342" s="25" t="n"/>
      <ns0:c r="B1342" s="26" t="n"/>
      <ns0:c r="C1342" s="27" t="n"/>
      <ns0:c r="D1342" s="27" t="n"/>
      <ns0:c r="E1342" s="28" t="str">
        <ns0:f>IF(A1342="","",YEAR(A1342)&amp;"-"&amp;RIGHT("0"&amp;MONTH(A1342),2))</ns0:f>
        <ns0:v/>
      </ns0:c>
      <ns0:c r="F1342" s="28" t="str">
        <ns0:f>IF(OR(A1342="",B1342="",C1342&lt;=0),"",IF(SUMPRODUCT(('Müşteriler'!$B$2:$B$101&lt;&gt;"")*ISNUMBER(SEARCH('Müşteriler'!$B$2:$B$101,B1342)))=1,IFERROR(INDEX('Müşteriler'!$A$2:$A$101,SUMPRODUCT(('Müşteriler'!$B$2:$B$101&lt;&gt;"")*ISNUMBER(SEARCH('Müşteriler'!$B$2:$B$101,B1342)),ROW('Müşteriler'!$B$2:$B$101)-ROW('Müşteriler'!$B$2)+1)),""),""))</ns0:f>
        <ns0:v/>
      </ns0:c>
      <ns0:c r="G1342" s="28" t="str">
        <ns0:f>IF(F1342="","",IFERROR(INDEX('Müşteriler'!$C$2:$C$101,MATCH(F1342,'Müşteriler'!$A$2:$A$101,0)),""))</ns0:f>
        <ns0:v/>
      </ns0:c>
      <ns0:c r="H1342" s="28" t="str">
        <ns0:f>IF(A1342="","",IF(C1342&lt;=0,"Satış dışı",IF(OR(F1342="",G1342=""),"Eşleşmedi","Eşleşti")))</ns0:f>
        <ns0:v/>
      </ns0:c>
      <ns0:c r="I1342" s="28">
        <ns0:f>I1341+IF(AND(H1342="Eşleşmedi",E1342='Panel'!$B$4),1,0)</ns0:f>
        <ns0:v>3.0</ns0:v>
      </ns0:c>
    </ns0:row>
    <ns0:row r="1343" ht="21" customHeight="1">
      <ns0:c r="A1343" s="25" t="n"/>
      <ns0:c r="B1343" s="26" t="n"/>
      <ns0:c r="C1343" s="27" t="n"/>
      <ns0:c r="D1343" s="27" t="n"/>
      <ns0:c r="E1343" s="28" t="str">
        <ns0:f>IF(A1343="","",YEAR(A1343)&amp;"-"&amp;RIGHT("0"&amp;MONTH(A1343),2))</ns0:f>
        <ns0:v/>
      </ns0:c>
      <ns0:c r="F1343" s="28" t="str">
        <ns0:f>IF(OR(A1343="",B1343="",C1343&lt;=0),"",IF(SUMPRODUCT(('Müşteriler'!$B$2:$B$101&lt;&gt;"")*ISNUMBER(SEARCH('Müşteriler'!$B$2:$B$101,B1343)))=1,IFERROR(INDEX('Müşteriler'!$A$2:$A$101,SUMPRODUCT(('Müşteriler'!$B$2:$B$101&lt;&gt;"")*ISNUMBER(SEARCH('Müşteriler'!$B$2:$B$101,B1343)),ROW('Müşteriler'!$B$2:$B$101)-ROW('Müşteriler'!$B$2)+1)),""),""))</ns0:f>
        <ns0:v/>
      </ns0:c>
      <ns0:c r="G1343" s="28" t="str">
        <ns0:f>IF(F1343="","",IFERROR(INDEX('Müşteriler'!$C$2:$C$101,MATCH(F1343,'Müşteriler'!$A$2:$A$101,0)),""))</ns0:f>
        <ns0:v/>
      </ns0:c>
      <ns0:c r="H1343" s="28" t="str">
        <ns0:f>IF(A1343="","",IF(C1343&lt;=0,"Satış dışı",IF(OR(F1343="",G1343=""),"Eşleşmedi","Eşleşti")))</ns0:f>
        <ns0:v/>
      </ns0:c>
      <ns0:c r="I1343" s="28">
        <ns0:f>I1342+IF(AND(H1343="Eşleşmedi",E1343='Panel'!$B$4),1,0)</ns0:f>
        <ns0:v>3.0</ns0:v>
      </ns0:c>
    </ns0:row>
    <ns0:row r="1344" ht="21" customHeight="1">
      <ns0:c r="A1344" s="25" t="n"/>
      <ns0:c r="B1344" s="26" t="n"/>
      <ns0:c r="C1344" s="27" t="n"/>
      <ns0:c r="D1344" s="27" t="n"/>
      <ns0:c r="E1344" s="28" t="str">
        <ns0:f>IF(A1344="","",YEAR(A1344)&amp;"-"&amp;RIGHT("0"&amp;MONTH(A1344),2))</ns0:f>
        <ns0:v/>
      </ns0:c>
      <ns0:c r="F1344" s="28" t="str">
        <ns0:f>IF(OR(A1344="",B1344="",C1344&lt;=0),"",IF(SUMPRODUCT(('Müşteriler'!$B$2:$B$101&lt;&gt;"")*ISNUMBER(SEARCH('Müşteriler'!$B$2:$B$101,B1344)))=1,IFERROR(INDEX('Müşteriler'!$A$2:$A$101,SUMPRODUCT(('Müşteriler'!$B$2:$B$101&lt;&gt;"")*ISNUMBER(SEARCH('Müşteriler'!$B$2:$B$101,B1344)),ROW('Müşteriler'!$B$2:$B$101)-ROW('Müşteriler'!$B$2)+1)),""),""))</ns0:f>
        <ns0:v/>
      </ns0:c>
      <ns0:c r="G1344" s="28" t="str">
        <ns0:f>IF(F1344="","",IFERROR(INDEX('Müşteriler'!$C$2:$C$101,MATCH(F1344,'Müşteriler'!$A$2:$A$101,0)),""))</ns0:f>
        <ns0:v/>
      </ns0:c>
      <ns0:c r="H1344" s="28" t="str">
        <ns0:f>IF(A1344="","",IF(C1344&lt;=0,"Satış dışı",IF(OR(F1344="",G1344=""),"Eşleşmedi","Eşleşti")))</ns0:f>
        <ns0:v/>
      </ns0:c>
      <ns0:c r="I1344" s="28">
        <ns0:f>I1343+IF(AND(H1344="Eşleşmedi",E1344='Panel'!$B$4),1,0)</ns0:f>
        <ns0:v>3.0</ns0:v>
      </ns0:c>
    </ns0:row>
    <ns0:row r="1345" ht="21" customHeight="1">
      <ns0:c r="A1345" s="25" t="n"/>
      <ns0:c r="B1345" s="26" t="n"/>
      <ns0:c r="C1345" s="27" t="n"/>
      <ns0:c r="D1345" s="27" t="n"/>
      <ns0:c r="E1345" s="28" t="str">
        <ns0:f>IF(A1345="","",YEAR(A1345)&amp;"-"&amp;RIGHT("0"&amp;MONTH(A1345),2))</ns0:f>
        <ns0:v/>
      </ns0:c>
      <ns0:c r="F1345" s="28" t="str">
        <ns0:f>IF(OR(A1345="",B1345="",C1345&lt;=0),"",IF(SUMPRODUCT(('Müşteriler'!$B$2:$B$101&lt;&gt;"")*ISNUMBER(SEARCH('Müşteriler'!$B$2:$B$101,B1345)))=1,IFERROR(INDEX('Müşteriler'!$A$2:$A$101,SUMPRODUCT(('Müşteriler'!$B$2:$B$101&lt;&gt;"")*ISNUMBER(SEARCH('Müşteriler'!$B$2:$B$101,B1345)),ROW('Müşteriler'!$B$2:$B$101)-ROW('Müşteriler'!$B$2)+1)),""),""))</ns0:f>
        <ns0:v/>
      </ns0:c>
      <ns0:c r="G1345" s="28" t="str">
        <ns0:f>IF(F1345="","",IFERROR(INDEX('Müşteriler'!$C$2:$C$101,MATCH(F1345,'Müşteriler'!$A$2:$A$101,0)),""))</ns0:f>
        <ns0:v/>
      </ns0:c>
      <ns0:c r="H1345" s="28" t="str">
        <ns0:f>IF(A1345="","",IF(C1345&lt;=0,"Satış dışı",IF(OR(F1345="",G1345=""),"Eşleşmedi","Eşleşti")))</ns0:f>
        <ns0:v/>
      </ns0:c>
      <ns0:c r="I1345" s="28">
        <ns0:f>I1344+IF(AND(H1345="Eşleşmedi",E1345='Panel'!$B$4),1,0)</ns0:f>
        <ns0:v>3.0</ns0:v>
      </ns0:c>
    </ns0:row>
    <ns0:row r="1346" ht="21" customHeight="1">
      <ns0:c r="A1346" s="25" t="n"/>
      <ns0:c r="B1346" s="26" t="n"/>
      <ns0:c r="C1346" s="27" t="n"/>
      <ns0:c r="D1346" s="27" t="n"/>
      <ns0:c r="E1346" s="28" t="str">
        <ns0:f>IF(A1346="","",YEAR(A1346)&amp;"-"&amp;RIGHT("0"&amp;MONTH(A1346),2))</ns0:f>
        <ns0:v/>
      </ns0:c>
      <ns0:c r="F1346" s="28" t="str">
        <ns0:f>IF(OR(A1346="",B1346="",C1346&lt;=0),"",IF(SUMPRODUCT(('Müşteriler'!$B$2:$B$101&lt;&gt;"")*ISNUMBER(SEARCH('Müşteriler'!$B$2:$B$101,B1346)))=1,IFERROR(INDEX('Müşteriler'!$A$2:$A$101,SUMPRODUCT(('Müşteriler'!$B$2:$B$101&lt;&gt;"")*ISNUMBER(SEARCH('Müşteriler'!$B$2:$B$101,B1346)),ROW('Müşteriler'!$B$2:$B$101)-ROW('Müşteriler'!$B$2)+1)),""),""))</ns0:f>
        <ns0:v/>
      </ns0:c>
      <ns0:c r="G1346" s="28" t="str">
        <ns0:f>IF(F1346="","",IFERROR(INDEX('Müşteriler'!$C$2:$C$101,MATCH(F1346,'Müşteriler'!$A$2:$A$101,0)),""))</ns0:f>
        <ns0:v/>
      </ns0:c>
      <ns0:c r="H1346" s="28" t="str">
        <ns0:f>IF(A1346="","",IF(C1346&lt;=0,"Satış dışı",IF(OR(F1346="",G1346=""),"Eşleşmedi","Eşleşti")))</ns0:f>
        <ns0:v/>
      </ns0:c>
      <ns0:c r="I1346" s="28">
        <ns0:f>I1345+IF(AND(H1346="Eşleşmedi",E1346='Panel'!$B$4),1,0)</ns0:f>
        <ns0:v>3.0</ns0:v>
      </ns0:c>
    </ns0:row>
    <ns0:row r="1347" ht="21" customHeight="1">
      <ns0:c r="A1347" s="25" t="n"/>
      <ns0:c r="B1347" s="26" t="n"/>
      <ns0:c r="C1347" s="27" t="n"/>
      <ns0:c r="D1347" s="27" t="n"/>
      <ns0:c r="E1347" s="28" t="str">
        <ns0:f>IF(A1347="","",YEAR(A1347)&amp;"-"&amp;RIGHT("0"&amp;MONTH(A1347),2))</ns0:f>
        <ns0:v/>
      </ns0:c>
      <ns0:c r="F1347" s="28" t="str">
        <ns0:f>IF(OR(A1347="",B1347="",C1347&lt;=0),"",IF(SUMPRODUCT(('Müşteriler'!$B$2:$B$101&lt;&gt;"")*ISNUMBER(SEARCH('Müşteriler'!$B$2:$B$101,B1347)))=1,IFERROR(INDEX('Müşteriler'!$A$2:$A$101,SUMPRODUCT(('Müşteriler'!$B$2:$B$101&lt;&gt;"")*ISNUMBER(SEARCH('Müşteriler'!$B$2:$B$101,B1347)),ROW('Müşteriler'!$B$2:$B$101)-ROW('Müşteriler'!$B$2)+1)),""),""))</ns0:f>
        <ns0:v/>
      </ns0:c>
      <ns0:c r="G1347" s="28" t="str">
        <ns0:f>IF(F1347="","",IFERROR(INDEX('Müşteriler'!$C$2:$C$101,MATCH(F1347,'Müşteriler'!$A$2:$A$101,0)),""))</ns0:f>
        <ns0:v/>
      </ns0:c>
      <ns0:c r="H1347" s="28" t="str">
        <ns0:f>IF(A1347="","",IF(C1347&lt;=0,"Satış dışı",IF(OR(F1347="",G1347=""),"Eşleşmedi","Eşleşti")))</ns0:f>
        <ns0:v/>
      </ns0:c>
      <ns0:c r="I1347" s="28">
        <ns0:f>I1346+IF(AND(H1347="Eşleşmedi",E1347='Panel'!$B$4),1,0)</ns0:f>
        <ns0:v>3.0</ns0:v>
      </ns0:c>
    </ns0:row>
    <ns0:row r="1348" ht="21" customHeight="1">
      <ns0:c r="A1348" s="25" t="n"/>
      <ns0:c r="B1348" s="26" t="n"/>
      <ns0:c r="C1348" s="27" t="n"/>
      <ns0:c r="D1348" s="27" t="n"/>
      <ns0:c r="E1348" s="28" t="str">
        <ns0:f>IF(A1348="","",YEAR(A1348)&amp;"-"&amp;RIGHT("0"&amp;MONTH(A1348),2))</ns0:f>
        <ns0:v/>
      </ns0:c>
      <ns0:c r="F1348" s="28" t="str">
        <ns0:f>IF(OR(A1348="",B1348="",C1348&lt;=0),"",IF(SUMPRODUCT(('Müşteriler'!$B$2:$B$101&lt;&gt;"")*ISNUMBER(SEARCH('Müşteriler'!$B$2:$B$101,B1348)))=1,IFERROR(INDEX('Müşteriler'!$A$2:$A$101,SUMPRODUCT(('Müşteriler'!$B$2:$B$101&lt;&gt;"")*ISNUMBER(SEARCH('Müşteriler'!$B$2:$B$101,B1348)),ROW('Müşteriler'!$B$2:$B$101)-ROW('Müşteriler'!$B$2)+1)),""),""))</ns0:f>
        <ns0:v/>
      </ns0:c>
      <ns0:c r="G1348" s="28" t="str">
        <ns0:f>IF(F1348="","",IFERROR(INDEX('Müşteriler'!$C$2:$C$101,MATCH(F1348,'Müşteriler'!$A$2:$A$101,0)),""))</ns0:f>
        <ns0:v/>
      </ns0:c>
      <ns0:c r="H1348" s="28" t="str">
        <ns0:f>IF(A1348="","",IF(C1348&lt;=0,"Satış dışı",IF(OR(F1348="",G1348=""),"Eşleşmedi","Eşleşti")))</ns0:f>
        <ns0:v/>
      </ns0:c>
      <ns0:c r="I1348" s="28">
        <ns0:f>I1347+IF(AND(H1348="Eşleşmedi",E1348='Panel'!$B$4),1,0)</ns0:f>
        <ns0:v>3.0</ns0:v>
      </ns0:c>
    </ns0:row>
    <ns0:row r="1349" ht="21" customHeight="1">
      <ns0:c r="A1349" s="25" t="n"/>
      <ns0:c r="B1349" s="26" t="n"/>
      <ns0:c r="C1349" s="27" t="n"/>
      <ns0:c r="D1349" s="27" t="n"/>
      <ns0:c r="E1349" s="28" t="str">
        <ns0:f>IF(A1349="","",YEAR(A1349)&amp;"-"&amp;RIGHT("0"&amp;MONTH(A1349),2))</ns0:f>
        <ns0:v/>
      </ns0:c>
      <ns0:c r="F1349" s="28" t="str">
        <ns0:f>IF(OR(A1349="",B1349="",C1349&lt;=0),"",IF(SUMPRODUCT(('Müşteriler'!$B$2:$B$101&lt;&gt;"")*ISNUMBER(SEARCH('Müşteriler'!$B$2:$B$101,B1349)))=1,IFERROR(INDEX('Müşteriler'!$A$2:$A$101,SUMPRODUCT(('Müşteriler'!$B$2:$B$101&lt;&gt;"")*ISNUMBER(SEARCH('Müşteriler'!$B$2:$B$101,B1349)),ROW('Müşteriler'!$B$2:$B$101)-ROW('Müşteriler'!$B$2)+1)),""),""))</ns0:f>
        <ns0:v/>
      </ns0:c>
      <ns0:c r="G1349" s="28" t="str">
        <ns0:f>IF(F1349="","",IFERROR(INDEX('Müşteriler'!$C$2:$C$101,MATCH(F1349,'Müşteriler'!$A$2:$A$101,0)),""))</ns0:f>
        <ns0:v/>
      </ns0:c>
      <ns0:c r="H1349" s="28" t="str">
        <ns0:f>IF(A1349="","",IF(C1349&lt;=0,"Satış dışı",IF(OR(F1349="",G1349=""),"Eşleşmedi","Eşleşti")))</ns0:f>
        <ns0:v/>
      </ns0:c>
      <ns0:c r="I1349" s="28">
        <ns0:f>I1348+IF(AND(H1349="Eşleşmedi",E1349='Panel'!$B$4),1,0)</ns0:f>
        <ns0:v>3.0</ns0:v>
      </ns0:c>
    </ns0:row>
    <ns0:row r="1350" ht="21" customHeight="1">
      <ns0:c r="A1350" s="25" t="n"/>
      <ns0:c r="B1350" s="26" t="n"/>
      <ns0:c r="C1350" s="27" t="n"/>
      <ns0:c r="D1350" s="27" t="n"/>
      <ns0:c r="E1350" s="28" t="str">
        <ns0:f>IF(A1350="","",YEAR(A1350)&amp;"-"&amp;RIGHT("0"&amp;MONTH(A1350),2))</ns0:f>
        <ns0:v/>
      </ns0:c>
      <ns0:c r="F1350" s="28" t="str">
        <ns0:f>IF(OR(A1350="",B1350="",C1350&lt;=0),"",IF(SUMPRODUCT(('Müşteriler'!$B$2:$B$101&lt;&gt;"")*ISNUMBER(SEARCH('Müşteriler'!$B$2:$B$101,B1350)))=1,IFERROR(INDEX('Müşteriler'!$A$2:$A$101,SUMPRODUCT(('Müşteriler'!$B$2:$B$101&lt;&gt;"")*ISNUMBER(SEARCH('Müşteriler'!$B$2:$B$101,B1350)),ROW('Müşteriler'!$B$2:$B$101)-ROW('Müşteriler'!$B$2)+1)),""),""))</ns0:f>
        <ns0:v/>
      </ns0:c>
      <ns0:c r="G1350" s="28" t="str">
        <ns0:f>IF(F1350="","",IFERROR(INDEX('Müşteriler'!$C$2:$C$101,MATCH(F1350,'Müşteriler'!$A$2:$A$101,0)),""))</ns0:f>
        <ns0:v/>
      </ns0:c>
      <ns0:c r="H1350" s="28" t="str">
        <ns0:f>IF(A1350="","",IF(C1350&lt;=0,"Satış dışı",IF(OR(F1350="",G1350=""),"Eşleşmedi","Eşleşti")))</ns0:f>
        <ns0:v/>
      </ns0:c>
      <ns0:c r="I1350" s="28">
        <ns0:f>I1349+IF(AND(H1350="Eşleşmedi",E1350='Panel'!$B$4),1,0)</ns0:f>
        <ns0:v>3.0</ns0:v>
      </ns0:c>
    </ns0:row>
    <ns0:row r="1351" ht="21" customHeight="1">
      <ns0:c r="A1351" s="25" t="n"/>
      <ns0:c r="B1351" s="26" t="n"/>
      <ns0:c r="C1351" s="27" t="n"/>
      <ns0:c r="D1351" s="27" t="n"/>
      <ns0:c r="E1351" s="28" t="str">
        <ns0:f>IF(A1351="","",YEAR(A1351)&amp;"-"&amp;RIGHT("0"&amp;MONTH(A1351),2))</ns0:f>
        <ns0:v/>
      </ns0:c>
      <ns0:c r="F1351" s="28" t="str">
        <ns0:f>IF(OR(A1351="",B1351="",C1351&lt;=0),"",IF(SUMPRODUCT(('Müşteriler'!$B$2:$B$101&lt;&gt;"")*ISNUMBER(SEARCH('Müşteriler'!$B$2:$B$101,B1351)))=1,IFERROR(INDEX('Müşteriler'!$A$2:$A$101,SUMPRODUCT(('Müşteriler'!$B$2:$B$101&lt;&gt;"")*ISNUMBER(SEARCH('Müşteriler'!$B$2:$B$101,B1351)),ROW('Müşteriler'!$B$2:$B$101)-ROW('Müşteriler'!$B$2)+1)),""),""))</ns0:f>
        <ns0:v/>
      </ns0:c>
      <ns0:c r="G1351" s="28" t="str">
        <ns0:f>IF(F1351="","",IFERROR(INDEX('Müşteriler'!$C$2:$C$101,MATCH(F1351,'Müşteriler'!$A$2:$A$101,0)),""))</ns0:f>
        <ns0:v/>
      </ns0:c>
      <ns0:c r="H1351" s="28" t="str">
        <ns0:f>IF(A1351="","",IF(C1351&lt;=0,"Satış dışı",IF(OR(F1351="",G1351=""),"Eşleşmedi","Eşleşti")))</ns0:f>
        <ns0:v/>
      </ns0:c>
      <ns0:c r="I1351" s="28">
        <ns0:f>I1350+IF(AND(H1351="Eşleşmedi",E1351='Panel'!$B$4),1,0)</ns0:f>
        <ns0:v>3.0</ns0:v>
      </ns0:c>
    </ns0:row>
    <ns0:row r="1352" ht="21" customHeight="1">
      <ns0:c r="A1352" s="25" t="n"/>
      <ns0:c r="B1352" s="26" t="n"/>
      <ns0:c r="C1352" s="27" t="n"/>
      <ns0:c r="D1352" s="27" t="n"/>
      <ns0:c r="E1352" s="28" t="str">
        <ns0:f>IF(A1352="","",YEAR(A1352)&amp;"-"&amp;RIGHT("0"&amp;MONTH(A1352),2))</ns0:f>
        <ns0:v/>
      </ns0:c>
      <ns0:c r="F1352" s="28" t="str">
        <ns0:f>IF(OR(A1352="",B1352="",C1352&lt;=0),"",IF(SUMPRODUCT(('Müşteriler'!$B$2:$B$101&lt;&gt;"")*ISNUMBER(SEARCH('Müşteriler'!$B$2:$B$101,B1352)))=1,IFERROR(INDEX('Müşteriler'!$A$2:$A$101,SUMPRODUCT(('Müşteriler'!$B$2:$B$101&lt;&gt;"")*ISNUMBER(SEARCH('Müşteriler'!$B$2:$B$101,B1352)),ROW('Müşteriler'!$B$2:$B$101)-ROW('Müşteriler'!$B$2)+1)),""),""))</ns0:f>
        <ns0:v/>
      </ns0:c>
      <ns0:c r="G1352" s="28" t="str">
        <ns0:f>IF(F1352="","",IFERROR(INDEX('Müşteriler'!$C$2:$C$101,MATCH(F1352,'Müşteriler'!$A$2:$A$101,0)),""))</ns0:f>
        <ns0:v/>
      </ns0:c>
      <ns0:c r="H1352" s="28" t="str">
        <ns0:f>IF(A1352="","",IF(C1352&lt;=0,"Satış dışı",IF(OR(F1352="",G1352=""),"Eşleşmedi","Eşleşti")))</ns0:f>
        <ns0:v/>
      </ns0:c>
      <ns0:c r="I1352" s="28">
        <ns0:f>I1351+IF(AND(H1352="Eşleşmedi",E1352='Panel'!$B$4),1,0)</ns0:f>
        <ns0:v>3.0</ns0:v>
      </ns0:c>
    </ns0:row>
    <ns0:row r="1353" ht="21" customHeight="1">
      <ns0:c r="A1353" s="25" t="n"/>
      <ns0:c r="B1353" s="26" t="n"/>
      <ns0:c r="C1353" s="27" t="n"/>
      <ns0:c r="D1353" s="27" t="n"/>
      <ns0:c r="E1353" s="28" t="str">
        <ns0:f>IF(A1353="","",YEAR(A1353)&amp;"-"&amp;RIGHT("0"&amp;MONTH(A1353),2))</ns0:f>
        <ns0:v/>
      </ns0:c>
      <ns0:c r="F1353" s="28" t="str">
        <ns0:f>IF(OR(A1353="",B1353="",C1353&lt;=0),"",IF(SUMPRODUCT(('Müşteriler'!$B$2:$B$101&lt;&gt;"")*ISNUMBER(SEARCH('Müşteriler'!$B$2:$B$101,B1353)))=1,IFERROR(INDEX('Müşteriler'!$A$2:$A$101,SUMPRODUCT(('Müşteriler'!$B$2:$B$101&lt;&gt;"")*ISNUMBER(SEARCH('Müşteriler'!$B$2:$B$101,B1353)),ROW('Müşteriler'!$B$2:$B$101)-ROW('Müşteriler'!$B$2)+1)),""),""))</ns0:f>
        <ns0:v/>
      </ns0:c>
      <ns0:c r="G1353" s="28" t="str">
        <ns0:f>IF(F1353="","",IFERROR(INDEX('Müşteriler'!$C$2:$C$101,MATCH(F1353,'Müşteriler'!$A$2:$A$101,0)),""))</ns0:f>
        <ns0:v/>
      </ns0:c>
      <ns0:c r="H1353" s="28" t="str">
        <ns0:f>IF(A1353="","",IF(C1353&lt;=0,"Satış dışı",IF(OR(F1353="",G1353=""),"Eşleşmedi","Eşleşti")))</ns0:f>
        <ns0:v/>
      </ns0:c>
      <ns0:c r="I1353" s="28">
        <ns0:f>I1352+IF(AND(H1353="Eşleşmedi",E1353='Panel'!$B$4),1,0)</ns0:f>
        <ns0:v>3.0</ns0:v>
      </ns0:c>
    </ns0:row>
    <ns0:row r="1354" ht="21" customHeight="1">
      <ns0:c r="A1354" s="25" t="n"/>
      <ns0:c r="B1354" s="26" t="n"/>
      <ns0:c r="C1354" s="27" t="n"/>
      <ns0:c r="D1354" s="27" t="n"/>
      <ns0:c r="E1354" s="28" t="str">
        <ns0:f>IF(A1354="","",YEAR(A1354)&amp;"-"&amp;RIGHT("0"&amp;MONTH(A1354),2))</ns0:f>
        <ns0:v/>
      </ns0:c>
      <ns0:c r="F1354" s="28" t="str">
        <ns0:f>IF(OR(A1354="",B1354="",C1354&lt;=0),"",IF(SUMPRODUCT(('Müşteriler'!$B$2:$B$101&lt;&gt;"")*ISNUMBER(SEARCH('Müşteriler'!$B$2:$B$101,B1354)))=1,IFERROR(INDEX('Müşteriler'!$A$2:$A$101,SUMPRODUCT(('Müşteriler'!$B$2:$B$101&lt;&gt;"")*ISNUMBER(SEARCH('Müşteriler'!$B$2:$B$101,B1354)),ROW('Müşteriler'!$B$2:$B$101)-ROW('Müşteriler'!$B$2)+1)),""),""))</ns0:f>
        <ns0:v/>
      </ns0:c>
      <ns0:c r="G1354" s="28" t="str">
        <ns0:f>IF(F1354="","",IFERROR(INDEX('Müşteriler'!$C$2:$C$101,MATCH(F1354,'Müşteriler'!$A$2:$A$101,0)),""))</ns0:f>
        <ns0:v/>
      </ns0:c>
      <ns0:c r="H1354" s="28" t="str">
        <ns0:f>IF(A1354="","",IF(C1354&lt;=0,"Satış dışı",IF(OR(F1354="",G1354=""),"Eşleşmedi","Eşleşti")))</ns0:f>
        <ns0:v/>
      </ns0:c>
      <ns0:c r="I1354" s="28">
        <ns0:f>I1353+IF(AND(H1354="Eşleşmedi",E1354='Panel'!$B$4),1,0)</ns0:f>
        <ns0:v>3.0</ns0:v>
      </ns0:c>
    </ns0:row>
    <ns0:row r="1355" ht="21" customHeight="1">
      <ns0:c r="A1355" s="25" t="n"/>
      <ns0:c r="B1355" s="26" t="n"/>
      <ns0:c r="C1355" s="27" t="n"/>
      <ns0:c r="D1355" s="27" t="n"/>
      <ns0:c r="E1355" s="28" t="str">
        <ns0:f>IF(A1355="","",YEAR(A1355)&amp;"-"&amp;RIGHT("0"&amp;MONTH(A1355),2))</ns0:f>
        <ns0:v/>
      </ns0:c>
      <ns0:c r="F1355" s="28" t="str">
        <ns0:f>IF(OR(A1355="",B1355="",C1355&lt;=0),"",IF(SUMPRODUCT(('Müşteriler'!$B$2:$B$101&lt;&gt;"")*ISNUMBER(SEARCH('Müşteriler'!$B$2:$B$101,B1355)))=1,IFERROR(INDEX('Müşteriler'!$A$2:$A$101,SUMPRODUCT(('Müşteriler'!$B$2:$B$101&lt;&gt;"")*ISNUMBER(SEARCH('Müşteriler'!$B$2:$B$101,B1355)),ROW('Müşteriler'!$B$2:$B$101)-ROW('Müşteriler'!$B$2)+1)),""),""))</ns0:f>
        <ns0:v/>
      </ns0:c>
      <ns0:c r="G1355" s="28" t="str">
        <ns0:f>IF(F1355="","",IFERROR(INDEX('Müşteriler'!$C$2:$C$101,MATCH(F1355,'Müşteriler'!$A$2:$A$101,0)),""))</ns0:f>
        <ns0:v/>
      </ns0:c>
      <ns0:c r="H1355" s="28" t="str">
        <ns0:f>IF(A1355="","",IF(C1355&lt;=0,"Satış dışı",IF(OR(F1355="",G1355=""),"Eşleşmedi","Eşleşti")))</ns0:f>
        <ns0:v/>
      </ns0:c>
      <ns0:c r="I1355" s="28">
        <ns0:f>I1354+IF(AND(H1355="Eşleşmedi",E1355='Panel'!$B$4),1,0)</ns0:f>
        <ns0:v>3.0</ns0:v>
      </ns0:c>
    </ns0:row>
    <ns0:row r="1356" ht="21" customHeight="1">
      <ns0:c r="A1356" s="25" t="n"/>
      <ns0:c r="B1356" s="26" t="n"/>
      <ns0:c r="C1356" s="27" t="n"/>
      <ns0:c r="D1356" s="27" t="n"/>
      <ns0:c r="E1356" s="28" t="str">
        <ns0:f>IF(A1356="","",YEAR(A1356)&amp;"-"&amp;RIGHT("0"&amp;MONTH(A1356),2))</ns0:f>
        <ns0:v/>
      </ns0:c>
      <ns0:c r="F1356" s="28" t="str">
        <ns0:f>IF(OR(A1356="",B1356="",C1356&lt;=0),"",IF(SUMPRODUCT(('Müşteriler'!$B$2:$B$101&lt;&gt;"")*ISNUMBER(SEARCH('Müşteriler'!$B$2:$B$101,B1356)))=1,IFERROR(INDEX('Müşteriler'!$A$2:$A$101,SUMPRODUCT(('Müşteriler'!$B$2:$B$101&lt;&gt;"")*ISNUMBER(SEARCH('Müşteriler'!$B$2:$B$101,B1356)),ROW('Müşteriler'!$B$2:$B$101)-ROW('Müşteriler'!$B$2)+1)),""),""))</ns0:f>
        <ns0:v/>
      </ns0:c>
      <ns0:c r="G1356" s="28" t="str">
        <ns0:f>IF(F1356="","",IFERROR(INDEX('Müşteriler'!$C$2:$C$101,MATCH(F1356,'Müşteriler'!$A$2:$A$101,0)),""))</ns0:f>
        <ns0:v/>
      </ns0:c>
      <ns0:c r="H1356" s="28" t="str">
        <ns0:f>IF(A1356="","",IF(C1356&lt;=0,"Satış dışı",IF(OR(F1356="",G1356=""),"Eşleşmedi","Eşleşti")))</ns0:f>
        <ns0:v/>
      </ns0:c>
      <ns0:c r="I1356" s="28">
        <ns0:f>I1355+IF(AND(H1356="Eşleşmedi",E1356='Panel'!$B$4),1,0)</ns0:f>
        <ns0:v>3.0</ns0:v>
      </ns0:c>
    </ns0:row>
    <ns0:row r="1357" ht="21" customHeight="1">
      <ns0:c r="A1357" s="25" t="n"/>
      <ns0:c r="B1357" s="26" t="n"/>
      <ns0:c r="C1357" s="27" t="n"/>
      <ns0:c r="D1357" s="27" t="n"/>
      <ns0:c r="E1357" s="28" t="str">
        <ns0:f>IF(A1357="","",YEAR(A1357)&amp;"-"&amp;RIGHT("0"&amp;MONTH(A1357),2))</ns0:f>
        <ns0:v/>
      </ns0:c>
      <ns0:c r="F1357" s="28" t="str">
        <ns0:f>IF(OR(A1357="",B1357="",C1357&lt;=0),"",IF(SUMPRODUCT(('Müşteriler'!$B$2:$B$101&lt;&gt;"")*ISNUMBER(SEARCH('Müşteriler'!$B$2:$B$101,B1357)))=1,IFERROR(INDEX('Müşteriler'!$A$2:$A$101,SUMPRODUCT(('Müşteriler'!$B$2:$B$101&lt;&gt;"")*ISNUMBER(SEARCH('Müşteriler'!$B$2:$B$101,B1357)),ROW('Müşteriler'!$B$2:$B$101)-ROW('Müşteriler'!$B$2)+1)),""),""))</ns0:f>
        <ns0:v/>
      </ns0:c>
      <ns0:c r="G1357" s="28" t="str">
        <ns0:f>IF(F1357="","",IFERROR(INDEX('Müşteriler'!$C$2:$C$101,MATCH(F1357,'Müşteriler'!$A$2:$A$101,0)),""))</ns0:f>
        <ns0:v/>
      </ns0:c>
      <ns0:c r="H1357" s="28" t="str">
        <ns0:f>IF(A1357="","",IF(C1357&lt;=0,"Satış dışı",IF(OR(F1357="",G1357=""),"Eşleşmedi","Eşleşti")))</ns0:f>
        <ns0:v/>
      </ns0:c>
      <ns0:c r="I1357" s="28">
        <ns0:f>I1356+IF(AND(H1357="Eşleşmedi",E1357='Panel'!$B$4),1,0)</ns0:f>
        <ns0:v>3.0</ns0:v>
      </ns0:c>
    </ns0:row>
    <ns0:row r="1358" ht="21" customHeight="1">
      <ns0:c r="A1358" s="25" t="n"/>
      <ns0:c r="B1358" s="26" t="n"/>
      <ns0:c r="C1358" s="27" t="n"/>
      <ns0:c r="D1358" s="27" t="n"/>
      <ns0:c r="E1358" s="28" t="str">
        <ns0:f>IF(A1358="","",YEAR(A1358)&amp;"-"&amp;RIGHT("0"&amp;MONTH(A1358),2))</ns0:f>
        <ns0:v/>
      </ns0:c>
      <ns0:c r="F1358" s="28" t="str">
        <ns0:f>IF(OR(A1358="",B1358="",C1358&lt;=0),"",IF(SUMPRODUCT(('Müşteriler'!$B$2:$B$101&lt;&gt;"")*ISNUMBER(SEARCH('Müşteriler'!$B$2:$B$101,B1358)))=1,IFERROR(INDEX('Müşteriler'!$A$2:$A$101,SUMPRODUCT(('Müşteriler'!$B$2:$B$101&lt;&gt;"")*ISNUMBER(SEARCH('Müşteriler'!$B$2:$B$101,B1358)),ROW('Müşteriler'!$B$2:$B$101)-ROW('Müşteriler'!$B$2)+1)),""),""))</ns0:f>
        <ns0:v/>
      </ns0:c>
      <ns0:c r="G1358" s="28" t="str">
        <ns0:f>IF(F1358="","",IFERROR(INDEX('Müşteriler'!$C$2:$C$101,MATCH(F1358,'Müşteriler'!$A$2:$A$101,0)),""))</ns0:f>
        <ns0:v/>
      </ns0:c>
      <ns0:c r="H1358" s="28" t="str">
        <ns0:f>IF(A1358="","",IF(C1358&lt;=0,"Satış dışı",IF(OR(F1358="",G1358=""),"Eşleşmedi","Eşleşti")))</ns0:f>
        <ns0:v/>
      </ns0:c>
      <ns0:c r="I1358" s="28">
        <ns0:f>I1357+IF(AND(H1358="Eşleşmedi",E1358='Panel'!$B$4),1,0)</ns0:f>
        <ns0:v>3.0</ns0:v>
      </ns0:c>
    </ns0:row>
    <ns0:row r="1359" ht="21" customHeight="1">
      <ns0:c r="A1359" s="25" t="n"/>
      <ns0:c r="B1359" s="26" t="n"/>
      <ns0:c r="C1359" s="27" t="n"/>
      <ns0:c r="D1359" s="27" t="n"/>
      <ns0:c r="E1359" s="28" t="str">
        <ns0:f>IF(A1359="","",YEAR(A1359)&amp;"-"&amp;RIGHT("0"&amp;MONTH(A1359),2))</ns0:f>
        <ns0:v/>
      </ns0:c>
      <ns0:c r="F1359" s="28" t="str">
        <ns0:f>IF(OR(A1359="",B1359="",C1359&lt;=0),"",IF(SUMPRODUCT(('Müşteriler'!$B$2:$B$101&lt;&gt;"")*ISNUMBER(SEARCH('Müşteriler'!$B$2:$B$101,B1359)))=1,IFERROR(INDEX('Müşteriler'!$A$2:$A$101,SUMPRODUCT(('Müşteriler'!$B$2:$B$101&lt;&gt;"")*ISNUMBER(SEARCH('Müşteriler'!$B$2:$B$101,B1359)),ROW('Müşteriler'!$B$2:$B$101)-ROW('Müşteriler'!$B$2)+1)),""),""))</ns0:f>
        <ns0:v/>
      </ns0:c>
      <ns0:c r="G1359" s="28" t="str">
        <ns0:f>IF(F1359="","",IFERROR(INDEX('Müşteriler'!$C$2:$C$101,MATCH(F1359,'Müşteriler'!$A$2:$A$101,0)),""))</ns0:f>
        <ns0:v/>
      </ns0:c>
      <ns0:c r="H1359" s="28" t="str">
        <ns0:f>IF(A1359="","",IF(C1359&lt;=0,"Satış dışı",IF(OR(F1359="",G1359=""),"Eşleşmedi","Eşleşti")))</ns0:f>
        <ns0:v/>
      </ns0:c>
      <ns0:c r="I1359" s="28">
        <ns0:f>I1358+IF(AND(H1359="Eşleşmedi",E1359='Panel'!$B$4),1,0)</ns0:f>
        <ns0:v>3.0</ns0:v>
      </ns0:c>
    </ns0:row>
    <ns0:row r="1360" ht="21" customHeight="1">
      <ns0:c r="A1360" s="25" t="n"/>
      <ns0:c r="B1360" s="26" t="n"/>
      <ns0:c r="C1360" s="27" t="n"/>
      <ns0:c r="D1360" s="27" t="n"/>
      <ns0:c r="E1360" s="28" t="str">
        <ns0:f>IF(A1360="","",YEAR(A1360)&amp;"-"&amp;RIGHT("0"&amp;MONTH(A1360),2))</ns0:f>
        <ns0:v/>
      </ns0:c>
      <ns0:c r="F1360" s="28" t="str">
        <ns0:f>IF(OR(A1360="",B1360="",C1360&lt;=0),"",IF(SUMPRODUCT(('Müşteriler'!$B$2:$B$101&lt;&gt;"")*ISNUMBER(SEARCH('Müşteriler'!$B$2:$B$101,B1360)))=1,IFERROR(INDEX('Müşteriler'!$A$2:$A$101,SUMPRODUCT(('Müşteriler'!$B$2:$B$101&lt;&gt;"")*ISNUMBER(SEARCH('Müşteriler'!$B$2:$B$101,B1360)),ROW('Müşteriler'!$B$2:$B$101)-ROW('Müşteriler'!$B$2)+1)),""),""))</ns0:f>
        <ns0:v/>
      </ns0:c>
      <ns0:c r="G1360" s="28" t="str">
        <ns0:f>IF(F1360="","",IFERROR(INDEX('Müşteriler'!$C$2:$C$101,MATCH(F1360,'Müşteriler'!$A$2:$A$101,0)),""))</ns0:f>
        <ns0:v/>
      </ns0:c>
      <ns0:c r="H1360" s="28" t="str">
        <ns0:f>IF(A1360="","",IF(C1360&lt;=0,"Satış dışı",IF(OR(F1360="",G1360=""),"Eşleşmedi","Eşleşti")))</ns0:f>
        <ns0:v/>
      </ns0:c>
      <ns0:c r="I1360" s="28">
        <ns0:f>I1359+IF(AND(H1360="Eşleşmedi",E1360='Panel'!$B$4),1,0)</ns0:f>
        <ns0:v>3.0</ns0:v>
      </ns0:c>
    </ns0:row>
    <ns0:row r="1361" ht="21" customHeight="1">
      <ns0:c r="A1361" s="25" t="n"/>
      <ns0:c r="B1361" s="26" t="n"/>
      <ns0:c r="C1361" s="27" t="n"/>
      <ns0:c r="D1361" s="27" t="n"/>
      <ns0:c r="E1361" s="28" t="str">
        <ns0:f>IF(A1361="","",YEAR(A1361)&amp;"-"&amp;RIGHT("0"&amp;MONTH(A1361),2))</ns0:f>
        <ns0:v/>
      </ns0:c>
      <ns0:c r="F1361" s="28" t="str">
        <ns0:f>IF(OR(A1361="",B1361="",C1361&lt;=0),"",IF(SUMPRODUCT(('Müşteriler'!$B$2:$B$101&lt;&gt;"")*ISNUMBER(SEARCH('Müşteriler'!$B$2:$B$101,B1361)))=1,IFERROR(INDEX('Müşteriler'!$A$2:$A$101,SUMPRODUCT(('Müşteriler'!$B$2:$B$101&lt;&gt;"")*ISNUMBER(SEARCH('Müşteriler'!$B$2:$B$101,B1361)),ROW('Müşteriler'!$B$2:$B$101)-ROW('Müşteriler'!$B$2)+1)),""),""))</ns0:f>
        <ns0:v/>
      </ns0:c>
      <ns0:c r="G1361" s="28" t="str">
        <ns0:f>IF(F1361="","",IFERROR(INDEX('Müşteriler'!$C$2:$C$101,MATCH(F1361,'Müşteriler'!$A$2:$A$101,0)),""))</ns0:f>
        <ns0:v/>
      </ns0:c>
      <ns0:c r="H1361" s="28" t="str">
        <ns0:f>IF(A1361="","",IF(C1361&lt;=0,"Satış dışı",IF(OR(F1361="",G1361=""),"Eşleşmedi","Eşleşti")))</ns0:f>
        <ns0:v/>
      </ns0:c>
      <ns0:c r="I1361" s="28">
        <ns0:f>I1360+IF(AND(H1361="Eşleşmedi",E1361='Panel'!$B$4),1,0)</ns0:f>
        <ns0:v>3.0</ns0:v>
      </ns0:c>
    </ns0:row>
    <ns0:row r="1362" ht="21" customHeight="1">
      <ns0:c r="A1362" s="25" t="n"/>
      <ns0:c r="B1362" s="26" t="n"/>
      <ns0:c r="C1362" s="27" t="n"/>
      <ns0:c r="D1362" s="27" t="n"/>
      <ns0:c r="E1362" s="28" t="str">
        <ns0:f>IF(A1362="","",YEAR(A1362)&amp;"-"&amp;RIGHT("0"&amp;MONTH(A1362),2))</ns0:f>
        <ns0:v/>
      </ns0:c>
      <ns0:c r="F1362" s="28" t="str">
        <ns0:f>IF(OR(A1362="",B1362="",C1362&lt;=0),"",IF(SUMPRODUCT(('Müşteriler'!$B$2:$B$101&lt;&gt;"")*ISNUMBER(SEARCH('Müşteriler'!$B$2:$B$101,B1362)))=1,IFERROR(INDEX('Müşteriler'!$A$2:$A$101,SUMPRODUCT(('Müşteriler'!$B$2:$B$101&lt;&gt;"")*ISNUMBER(SEARCH('Müşteriler'!$B$2:$B$101,B1362)),ROW('Müşteriler'!$B$2:$B$101)-ROW('Müşteriler'!$B$2)+1)),""),""))</ns0:f>
        <ns0:v/>
      </ns0:c>
      <ns0:c r="G1362" s="28" t="str">
        <ns0:f>IF(F1362="","",IFERROR(INDEX('Müşteriler'!$C$2:$C$101,MATCH(F1362,'Müşteriler'!$A$2:$A$101,0)),""))</ns0:f>
        <ns0:v/>
      </ns0:c>
      <ns0:c r="H1362" s="28" t="str">
        <ns0:f>IF(A1362="","",IF(C1362&lt;=0,"Satış dışı",IF(OR(F1362="",G1362=""),"Eşleşmedi","Eşleşti")))</ns0:f>
        <ns0:v/>
      </ns0:c>
      <ns0:c r="I1362" s="28">
        <ns0:f>I1361+IF(AND(H1362="Eşleşmedi",E1362='Panel'!$B$4),1,0)</ns0:f>
        <ns0:v>3.0</ns0:v>
      </ns0:c>
    </ns0:row>
    <ns0:row r="1363" ht="21" customHeight="1">
      <ns0:c r="A1363" s="25" t="n"/>
      <ns0:c r="B1363" s="26" t="n"/>
      <ns0:c r="C1363" s="27" t="n"/>
      <ns0:c r="D1363" s="27" t="n"/>
      <ns0:c r="E1363" s="28" t="str">
        <ns0:f>IF(A1363="","",YEAR(A1363)&amp;"-"&amp;RIGHT("0"&amp;MONTH(A1363),2))</ns0:f>
        <ns0:v/>
      </ns0:c>
      <ns0:c r="F1363" s="28" t="str">
        <ns0:f>IF(OR(A1363="",B1363="",C1363&lt;=0),"",IF(SUMPRODUCT(('Müşteriler'!$B$2:$B$101&lt;&gt;"")*ISNUMBER(SEARCH('Müşteriler'!$B$2:$B$101,B1363)))=1,IFERROR(INDEX('Müşteriler'!$A$2:$A$101,SUMPRODUCT(('Müşteriler'!$B$2:$B$101&lt;&gt;"")*ISNUMBER(SEARCH('Müşteriler'!$B$2:$B$101,B1363)),ROW('Müşteriler'!$B$2:$B$101)-ROW('Müşteriler'!$B$2)+1)),""),""))</ns0:f>
        <ns0:v/>
      </ns0:c>
      <ns0:c r="G1363" s="28" t="str">
        <ns0:f>IF(F1363="","",IFERROR(INDEX('Müşteriler'!$C$2:$C$101,MATCH(F1363,'Müşteriler'!$A$2:$A$101,0)),""))</ns0:f>
        <ns0:v/>
      </ns0:c>
      <ns0:c r="H1363" s="28" t="str">
        <ns0:f>IF(A1363="","",IF(C1363&lt;=0,"Satış dışı",IF(OR(F1363="",G1363=""),"Eşleşmedi","Eşleşti")))</ns0:f>
        <ns0:v/>
      </ns0:c>
      <ns0:c r="I1363" s="28">
        <ns0:f>I1362+IF(AND(H1363="Eşleşmedi",E1363='Panel'!$B$4),1,0)</ns0:f>
        <ns0:v>3.0</ns0:v>
      </ns0:c>
    </ns0:row>
    <ns0:row r="1364" ht="21" customHeight="1">
      <ns0:c r="A1364" s="25" t="n"/>
      <ns0:c r="B1364" s="26" t="n"/>
      <ns0:c r="C1364" s="27" t="n"/>
      <ns0:c r="D1364" s="27" t="n"/>
      <ns0:c r="E1364" s="28" t="str">
        <ns0:f>IF(A1364="","",YEAR(A1364)&amp;"-"&amp;RIGHT("0"&amp;MONTH(A1364),2))</ns0:f>
        <ns0:v/>
      </ns0:c>
      <ns0:c r="F1364" s="28" t="str">
        <ns0:f>IF(OR(A1364="",B1364="",C1364&lt;=0),"",IF(SUMPRODUCT(('Müşteriler'!$B$2:$B$101&lt;&gt;"")*ISNUMBER(SEARCH('Müşteriler'!$B$2:$B$101,B1364)))=1,IFERROR(INDEX('Müşteriler'!$A$2:$A$101,SUMPRODUCT(('Müşteriler'!$B$2:$B$101&lt;&gt;"")*ISNUMBER(SEARCH('Müşteriler'!$B$2:$B$101,B1364)),ROW('Müşteriler'!$B$2:$B$101)-ROW('Müşteriler'!$B$2)+1)),""),""))</ns0:f>
        <ns0:v/>
      </ns0:c>
      <ns0:c r="G1364" s="28" t="str">
        <ns0:f>IF(F1364="","",IFERROR(INDEX('Müşteriler'!$C$2:$C$101,MATCH(F1364,'Müşteriler'!$A$2:$A$101,0)),""))</ns0:f>
        <ns0:v/>
      </ns0:c>
      <ns0:c r="H1364" s="28" t="str">
        <ns0:f>IF(A1364="","",IF(C1364&lt;=0,"Satış dışı",IF(OR(F1364="",G1364=""),"Eşleşmedi","Eşleşti")))</ns0:f>
        <ns0:v/>
      </ns0:c>
      <ns0:c r="I1364" s="28">
        <ns0:f>I1363+IF(AND(H1364="Eşleşmedi",E1364='Panel'!$B$4),1,0)</ns0:f>
        <ns0:v>3.0</ns0:v>
      </ns0:c>
    </ns0:row>
    <ns0:row r="1365" ht="21" customHeight="1">
      <ns0:c r="A1365" s="25" t="n"/>
      <ns0:c r="B1365" s="26" t="n"/>
      <ns0:c r="C1365" s="27" t="n"/>
      <ns0:c r="D1365" s="27" t="n"/>
      <ns0:c r="E1365" s="28" t="str">
        <ns0:f>IF(A1365="","",YEAR(A1365)&amp;"-"&amp;RIGHT("0"&amp;MONTH(A1365),2))</ns0:f>
        <ns0:v/>
      </ns0:c>
      <ns0:c r="F1365" s="28" t="str">
        <ns0:f>IF(OR(A1365="",B1365="",C1365&lt;=0),"",IF(SUMPRODUCT(('Müşteriler'!$B$2:$B$101&lt;&gt;"")*ISNUMBER(SEARCH('Müşteriler'!$B$2:$B$101,B1365)))=1,IFERROR(INDEX('Müşteriler'!$A$2:$A$101,SUMPRODUCT(('Müşteriler'!$B$2:$B$101&lt;&gt;"")*ISNUMBER(SEARCH('Müşteriler'!$B$2:$B$101,B1365)),ROW('Müşteriler'!$B$2:$B$101)-ROW('Müşteriler'!$B$2)+1)),""),""))</ns0:f>
        <ns0:v/>
      </ns0:c>
      <ns0:c r="G1365" s="28" t="str">
        <ns0:f>IF(F1365="","",IFERROR(INDEX('Müşteriler'!$C$2:$C$101,MATCH(F1365,'Müşteriler'!$A$2:$A$101,0)),""))</ns0:f>
        <ns0:v/>
      </ns0:c>
      <ns0:c r="H1365" s="28" t="str">
        <ns0:f>IF(A1365="","",IF(C1365&lt;=0,"Satış dışı",IF(OR(F1365="",G1365=""),"Eşleşmedi","Eşleşti")))</ns0:f>
        <ns0:v/>
      </ns0:c>
      <ns0:c r="I1365" s="28">
        <ns0:f>I1364+IF(AND(H1365="Eşleşmedi",E1365='Panel'!$B$4),1,0)</ns0:f>
        <ns0:v>3.0</ns0:v>
      </ns0:c>
    </ns0:row>
    <ns0:row r="1366" ht="21" customHeight="1">
      <ns0:c r="A1366" s="25" t="n"/>
      <ns0:c r="B1366" s="26" t="n"/>
      <ns0:c r="C1366" s="27" t="n"/>
      <ns0:c r="D1366" s="27" t="n"/>
      <ns0:c r="E1366" s="28" t="str">
        <ns0:f>IF(A1366="","",YEAR(A1366)&amp;"-"&amp;RIGHT("0"&amp;MONTH(A1366),2))</ns0:f>
        <ns0:v/>
      </ns0:c>
      <ns0:c r="F1366" s="28" t="str">
        <ns0:f>IF(OR(A1366="",B1366="",C1366&lt;=0),"",IF(SUMPRODUCT(('Müşteriler'!$B$2:$B$101&lt;&gt;"")*ISNUMBER(SEARCH('Müşteriler'!$B$2:$B$101,B1366)))=1,IFERROR(INDEX('Müşteriler'!$A$2:$A$101,SUMPRODUCT(('Müşteriler'!$B$2:$B$101&lt;&gt;"")*ISNUMBER(SEARCH('Müşteriler'!$B$2:$B$101,B1366)),ROW('Müşteriler'!$B$2:$B$101)-ROW('Müşteriler'!$B$2)+1)),""),""))</ns0:f>
        <ns0:v/>
      </ns0:c>
      <ns0:c r="G1366" s="28" t="str">
        <ns0:f>IF(F1366="","",IFERROR(INDEX('Müşteriler'!$C$2:$C$101,MATCH(F1366,'Müşteriler'!$A$2:$A$101,0)),""))</ns0:f>
        <ns0:v/>
      </ns0:c>
      <ns0:c r="H1366" s="28" t="str">
        <ns0:f>IF(A1366="","",IF(C1366&lt;=0,"Satış dışı",IF(OR(F1366="",G1366=""),"Eşleşmedi","Eşleşti")))</ns0:f>
        <ns0:v/>
      </ns0:c>
      <ns0:c r="I1366" s="28">
        <ns0:f>I1365+IF(AND(H1366="Eşleşmedi",E1366='Panel'!$B$4),1,0)</ns0:f>
        <ns0:v>3.0</ns0:v>
      </ns0:c>
    </ns0:row>
    <ns0:row r="1367" ht="21" customHeight="1">
      <ns0:c r="A1367" s="25" t="n"/>
      <ns0:c r="B1367" s="26" t="n"/>
      <ns0:c r="C1367" s="27" t="n"/>
      <ns0:c r="D1367" s="27" t="n"/>
      <ns0:c r="E1367" s="28" t="str">
        <ns0:f>IF(A1367="","",YEAR(A1367)&amp;"-"&amp;RIGHT("0"&amp;MONTH(A1367),2))</ns0:f>
        <ns0:v/>
      </ns0:c>
      <ns0:c r="F1367" s="28" t="str">
        <ns0:f>IF(OR(A1367="",B1367="",C1367&lt;=0),"",IF(SUMPRODUCT(('Müşteriler'!$B$2:$B$101&lt;&gt;"")*ISNUMBER(SEARCH('Müşteriler'!$B$2:$B$101,B1367)))=1,IFERROR(INDEX('Müşteriler'!$A$2:$A$101,SUMPRODUCT(('Müşteriler'!$B$2:$B$101&lt;&gt;"")*ISNUMBER(SEARCH('Müşteriler'!$B$2:$B$101,B1367)),ROW('Müşteriler'!$B$2:$B$101)-ROW('Müşteriler'!$B$2)+1)),""),""))</ns0:f>
        <ns0:v/>
      </ns0:c>
      <ns0:c r="G1367" s="28" t="str">
        <ns0:f>IF(F1367="","",IFERROR(INDEX('Müşteriler'!$C$2:$C$101,MATCH(F1367,'Müşteriler'!$A$2:$A$101,0)),""))</ns0:f>
        <ns0:v/>
      </ns0:c>
      <ns0:c r="H1367" s="28" t="str">
        <ns0:f>IF(A1367="","",IF(C1367&lt;=0,"Satış dışı",IF(OR(F1367="",G1367=""),"Eşleşmedi","Eşleşti")))</ns0:f>
        <ns0:v/>
      </ns0:c>
      <ns0:c r="I1367" s="28">
        <ns0:f>I1366+IF(AND(H1367="Eşleşmedi",E1367='Panel'!$B$4),1,0)</ns0:f>
        <ns0:v>3.0</ns0:v>
      </ns0:c>
    </ns0:row>
    <ns0:row r="1368" ht="21" customHeight="1">
      <ns0:c r="A1368" s="25" t="n"/>
      <ns0:c r="B1368" s="26" t="n"/>
      <ns0:c r="C1368" s="27" t="n"/>
      <ns0:c r="D1368" s="27" t="n"/>
      <ns0:c r="E1368" s="28" t="str">
        <ns0:f>IF(A1368="","",YEAR(A1368)&amp;"-"&amp;RIGHT("0"&amp;MONTH(A1368),2))</ns0:f>
        <ns0:v/>
      </ns0:c>
      <ns0:c r="F1368" s="28" t="str">
        <ns0:f>IF(OR(A1368="",B1368="",C1368&lt;=0),"",IF(SUMPRODUCT(('Müşteriler'!$B$2:$B$101&lt;&gt;"")*ISNUMBER(SEARCH('Müşteriler'!$B$2:$B$101,B1368)))=1,IFERROR(INDEX('Müşteriler'!$A$2:$A$101,SUMPRODUCT(('Müşteriler'!$B$2:$B$101&lt;&gt;"")*ISNUMBER(SEARCH('Müşteriler'!$B$2:$B$101,B1368)),ROW('Müşteriler'!$B$2:$B$101)-ROW('Müşteriler'!$B$2)+1)),""),""))</ns0:f>
        <ns0:v/>
      </ns0:c>
      <ns0:c r="G1368" s="28" t="str">
        <ns0:f>IF(F1368="","",IFERROR(INDEX('Müşteriler'!$C$2:$C$101,MATCH(F1368,'Müşteriler'!$A$2:$A$101,0)),""))</ns0:f>
        <ns0:v/>
      </ns0:c>
      <ns0:c r="H1368" s="28" t="str">
        <ns0:f>IF(A1368="","",IF(C1368&lt;=0,"Satış dışı",IF(OR(F1368="",G1368=""),"Eşleşmedi","Eşleşti")))</ns0:f>
        <ns0:v/>
      </ns0:c>
      <ns0:c r="I1368" s="28">
        <ns0:f>I1367+IF(AND(H1368="Eşleşmedi",E1368='Panel'!$B$4),1,0)</ns0:f>
        <ns0:v>3.0</ns0:v>
      </ns0:c>
    </ns0:row>
    <ns0:row r="1369" ht="21" customHeight="1">
      <ns0:c r="A1369" s="25" t="n"/>
      <ns0:c r="B1369" s="26" t="n"/>
      <ns0:c r="C1369" s="27" t="n"/>
      <ns0:c r="D1369" s="27" t="n"/>
      <ns0:c r="E1369" s="28" t="str">
        <ns0:f>IF(A1369="","",YEAR(A1369)&amp;"-"&amp;RIGHT("0"&amp;MONTH(A1369),2))</ns0:f>
        <ns0:v/>
      </ns0:c>
      <ns0:c r="F1369" s="28" t="str">
        <ns0:f>IF(OR(A1369="",B1369="",C1369&lt;=0),"",IF(SUMPRODUCT(('Müşteriler'!$B$2:$B$101&lt;&gt;"")*ISNUMBER(SEARCH('Müşteriler'!$B$2:$B$101,B1369)))=1,IFERROR(INDEX('Müşteriler'!$A$2:$A$101,SUMPRODUCT(('Müşteriler'!$B$2:$B$101&lt;&gt;"")*ISNUMBER(SEARCH('Müşteriler'!$B$2:$B$101,B1369)),ROW('Müşteriler'!$B$2:$B$101)-ROW('Müşteriler'!$B$2)+1)),""),""))</ns0:f>
        <ns0:v/>
      </ns0:c>
      <ns0:c r="G1369" s="28" t="str">
        <ns0:f>IF(F1369="","",IFERROR(INDEX('Müşteriler'!$C$2:$C$101,MATCH(F1369,'Müşteriler'!$A$2:$A$101,0)),""))</ns0:f>
        <ns0:v/>
      </ns0:c>
      <ns0:c r="H1369" s="28" t="str">
        <ns0:f>IF(A1369="","",IF(C1369&lt;=0,"Satış dışı",IF(OR(F1369="",G1369=""),"Eşleşmedi","Eşleşti")))</ns0:f>
        <ns0:v/>
      </ns0:c>
      <ns0:c r="I1369" s="28">
        <ns0:f>I1368+IF(AND(H1369="Eşleşmedi",E1369='Panel'!$B$4),1,0)</ns0:f>
        <ns0:v>3.0</ns0:v>
      </ns0:c>
    </ns0:row>
    <ns0:row r="1370" ht="21" customHeight="1">
      <ns0:c r="A1370" s="25" t="n"/>
      <ns0:c r="B1370" s="26" t="n"/>
      <ns0:c r="C1370" s="27" t="n"/>
      <ns0:c r="D1370" s="27" t="n"/>
      <ns0:c r="E1370" s="28" t="str">
        <ns0:f>IF(A1370="","",YEAR(A1370)&amp;"-"&amp;RIGHT("0"&amp;MONTH(A1370),2))</ns0:f>
        <ns0:v/>
      </ns0:c>
      <ns0:c r="F1370" s="28" t="str">
        <ns0:f>IF(OR(A1370="",B1370="",C1370&lt;=0),"",IF(SUMPRODUCT(('Müşteriler'!$B$2:$B$101&lt;&gt;"")*ISNUMBER(SEARCH('Müşteriler'!$B$2:$B$101,B1370)))=1,IFERROR(INDEX('Müşteriler'!$A$2:$A$101,SUMPRODUCT(('Müşteriler'!$B$2:$B$101&lt;&gt;"")*ISNUMBER(SEARCH('Müşteriler'!$B$2:$B$101,B1370)),ROW('Müşteriler'!$B$2:$B$101)-ROW('Müşteriler'!$B$2)+1)),""),""))</ns0:f>
        <ns0:v/>
      </ns0:c>
      <ns0:c r="G1370" s="28" t="str">
        <ns0:f>IF(F1370="","",IFERROR(INDEX('Müşteriler'!$C$2:$C$101,MATCH(F1370,'Müşteriler'!$A$2:$A$101,0)),""))</ns0:f>
        <ns0:v/>
      </ns0:c>
      <ns0:c r="H1370" s="28" t="str">
        <ns0:f>IF(A1370="","",IF(C1370&lt;=0,"Satış dışı",IF(OR(F1370="",G1370=""),"Eşleşmedi","Eşleşti")))</ns0:f>
        <ns0:v/>
      </ns0:c>
      <ns0:c r="I1370" s="28">
        <ns0:f>I1369+IF(AND(H1370="Eşleşmedi",E1370='Panel'!$B$4),1,0)</ns0:f>
        <ns0:v>3.0</ns0:v>
      </ns0:c>
    </ns0:row>
    <ns0:row r="1371" ht="21" customHeight="1">
      <ns0:c r="A1371" s="25" t="n"/>
      <ns0:c r="B1371" s="26" t="n"/>
      <ns0:c r="C1371" s="27" t="n"/>
      <ns0:c r="D1371" s="27" t="n"/>
      <ns0:c r="E1371" s="28" t="str">
        <ns0:f>IF(A1371="","",YEAR(A1371)&amp;"-"&amp;RIGHT("0"&amp;MONTH(A1371),2))</ns0:f>
        <ns0:v/>
      </ns0:c>
      <ns0:c r="F1371" s="28" t="str">
        <ns0:f>IF(OR(A1371="",B1371="",C1371&lt;=0),"",IF(SUMPRODUCT(('Müşteriler'!$B$2:$B$101&lt;&gt;"")*ISNUMBER(SEARCH('Müşteriler'!$B$2:$B$101,B1371)))=1,IFERROR(INDEX('Müşteriler'!$A$2:$A$101,SUMPRODUCT(('Müşteriler'!$B$2:$B$101&lt;&gt;"")*ISNUMBER(SEARCH('Müşteriler'!$B$2:$B$101,B1371)),ROW('Müşteriler'!$B$2:$B$101)-ROW('Müşteriler'!$B$2)+1)),""),""))</ns0:f>
        <ns0:v/>
      </ns0:c>
      <ns0:c r="G1371" s="28" t="str">
        <ns0:f>IF(F1371="","",IFERROR(INDEX('Müşteriler'!$C$2:$C$101,MATCH(F1371,'Müşteriler'!$A$2:$A$101,0)),""))</ns0:f>
        <ns0:v/>
      </ns0:c>
      <ns0:c r="H1371" s="28" t="str">
        <ns0:f>IF(A1371="","",IF(C1371&lt;=0,"Satış dışı",IF(OR(F1371="",G1371=""),"Eşleşmedi","Eşleşti")))</ns0:f>
        <ns0:v/>
      </ns0:c>
      <ns0:c r="I1371" s="28">
        <ns0:f>I1370+IF(AND(H1371="Eşleşmedi",E1371='Panel'!$B$4),1,0)</ns0:f>
        <ns0:v>3.0</ns0:v>
      </ns0:c>
    </ns0:row>
    <ns0:row r="1372" ht="21" customHeight="1">
      <ns0:c r="A1372" s="25" t="n"/>
      <ns0:c r="B1372" s="26" t="n"/>
      <ns0:c r="C1372" s="27" t="n"/>
      <ns0:c r="D1372" s="27" t="n"/>
      <ns0:c r="E1372" s="28" t="str">
        <ns0:f>IF(A1372="","",YEAR(A1372)&amp;"-"&amp;RIGHT("0"&amp;MONTH(A1372),2))</ns0:f>
        <ns0:v/>
      </ns0:c>
      <ns0:c r="F1372" s="28" t="str">
        <ns0:f>IF(OR(A1372="",B1372="",C1372&lt;=0),"",IF(SUMPRODUCT(('Müşteriler'!$B$2:$B$101&lt;&gt;"")*ISNUMBER(SEARCH('Müşteriler'!$B$2:$B$101,B1372)))=1,IFERROR(INDEX('Müşteriler'!$A$2:$A$101,SUMPRODUCT(('Müşteriler'!$B$2:$B$101&lt;&gt;"")*ISNUMBER(SEARCH('Müşteriler'!$B$2:$B$101,B1372)),ROW('Müşteriler'!$B$2:$B$101)-ROW('Müşteriler'!$B$2)+1)),""),""))</ns0:f>
        <ns0:v/>
      </ns0:c>
      <ns0:c r="G1372" s="28" t="str">
        <ns0:f>IF(F1372="","",IFERROR(INDEX('Müşteriler'!$C$2:$C$101,MATCH(F1372,'Müşteriler'!$A$2:$A$101,0)),""))</ns0:f>
        <ns0:v/>
      </ns0:c>
      <ns0:c r="H1372" s="28" t="str">
        <ns0:f>IF(A1372="","",IF(C1372&lt;=0,"Satış dışı",IF(OR(F1372="",G1372=""),"Eşleşmedi","Eşleşti")))</ns0:f>
        <ns0:v/>
      </ns0:c>
      <ns0:c r="I1372" s="28">
        <ns0:f>I1371+IF(AND(H1372="Eşleşmedi",E1372='Panel'!$B$4),1,0)</ns0:f>
        <ns0:v>3.0</ns0:v>
      </ns0:c>
    </ns0:row>
    <ns0:row r="1373" ht="21" customHeight="1">
      <ns0:c r="A1373" s="25" t="n"/>
      <ns0:c r="B1373" s="26" t="n"/>
      <ns0:c r="C1373" s="27" t="n"/>
      <ns0:c r="D1373" s="27" t="n"/>
      <ns0:c r="E1373" s="28" t="str">
        <ns0:f>IF(A1373="","",YEAR(A1373)&amp;"-"&amp;RIGHT("0"&amp;MONTH(A1373),2))</ns0:f>
        <ns0:v/>
      </ns0:c>
      <ns0:c r="F1373" s="28" t="str">
        <ns0:f>IF(OR(A1373="",B1373="",C1373&lt;=0),"",IF(SUMPRODUCT(('Müşteriler'!$B$2:$B$101&lt;&gt;"")*ISNUMBER(SEARCH('Müşteriler'!$B$2:$B$101,B1373)))=1,IFERROR(INDEX('Müşteriler'!$A$2:$A$101,SUMPRODUCT(('Müşteriler'!$B$2:$B$101&lt;&gt;"")*ISNUMBER(SEARCH('Müşteriler'!$B$2:$B$101,B1373)),ROW('Müşteriler'!$B$2:$B$101)-ROW('Müşteriler'!$B$2)+1)),""),""))</ns0:f>
        <ns0:v/>
      </ns0:c>
      <ns0:c r="G1373" s="28" t="str">
        <ns0:f>IF(F1373="","",IFERROR(INDEX('Müşteriler'!$C$2:$C$101,MATCH(F1373,'Müşteriler'!$A$2:$A$101,0)),""))</ns0:f>
        <ns0:v/>
      </ns0:c>
      <ns0:c r="H1373" s="28" t="str">
        <ns0:f>IF(A1373="","",IF(C1373&lt;=0,"Satış dışı",IF(OR(F1373="",G1373=""),"Eşleşmedi","Eşleşti")))</ns0:f>
        <ns0:v/>
      </ns0:c>
      <ns0:c r="I1373" s="28">
        <ns0:f>I1372+IF(AND(H1373="Eşleşmedi",E1373='Panel'!$B$4),1,0)</ns0:f>
        <ns0:v>3.0</ns0:v>
      </ns0:c>
    </ns0:row>
    <ns0:row r="1374" ht="21" customHeight="1">
      <ns0:c r="A1374" s="25" t="n"/>
      <ns0:c r="B1374" s="26" t="n"/>
      <ns0:c r="C1374" s="27" t="n"/>
      <ns0:c r="D1374" s="27" t="n"/>
      <ns0:c r="E1374" s="28" t="str">
        <ns0:f>IF(A1374="","",YEAR(A1374)&amp;"-"&amp;RIGHT("0"&amp;MONTH(A1374),2))</ns0:f>
        <ns0:v/>
      </ns0:c>
      <ns0:c r="F1374" s="28" t="str">
        <ns0:f>IF(OR(A1374="",B1374="",C1374&lt;=0),"",IF(SUMPRODUCT(('Müşteriler'!$B$2:$B$101&lt;&gt;"")*ISNUMBER(SEARCH('Müşteriler'!$B$2:$B$101,B1374)))=1,IFERROR(INDEX('Müşteriler'!$A$2:$A$101,SUMPRODUCT(('Müşteriler'!$B$2:$B$101&lt;&gt;"")*ISNUMBER(SEARCH('Müşteriler'!$B$2:$B$101,B1374)),ROW('Müşteriler'!$B$2:$B$101)-ROW('Müşteriler'!$B$2)+1)),""),""))</ns0:f>
        <ns0:v/>
      </ns0:c>
      <ns0:c r="G1374" s="28" t="str">
        <ns0:f>IF(F1374="","",IFERROR(INDEX('Müşteriler'!$C$2:$C$101,MATCH(F1374,'Müşteriler'!$A$2:$A$101,0)),""))</ns0:f>
        <ns0:v/>
      </ns0:c>
      <ns0:c r="H1374" s="28" t="str">
        <ns0:f>IF(A1374="","",IF(C1374&lt;=0,"Satış dışı",IF(OR(F1374="",G1374=""),"Eşleşmedi","Eşleşti")))</ns0:f>
        <ns0:v/>
      </ns0:c>
      <ns0:c r="I1374" s="28">
        <ns0:f>I1373+IF(AND(H1374="Eşleşmedi",E1374='Panel'!$B$4),1,0)</ns0:f>
        <ns0:v>3.0</ns0:v>
      </ns0:c>
    </ns0:row>
    <ns0:row r="1375" ht="21" customHeight="1">
      <ns0:c r="A1375" s="25" t="n"/>
      <ns0:c r="B1375" s="26" t="n"/>
      <ns0:c r="C1375" s="27" t="n"/>
      <ns0:c r="D1375" s="27" t="n"/>
      <ns0:c r="E1375" s="28" t="str">
        <ns0:f>IF(A1375="","",YEAR(A1375)&amp;"-"&amp;RIGHT("0"&amp;MONTH(A1375),2))</ns0:f>
        <ns0:v/>
      </ns0:c>
      <ns0:c r="F1375" s="28" t="str">
        <ns0:f>IF(OR(A1375="",B1375="",C1375&lt;=0),"",IF(SUMPRODUCT(('Müşteriler'!$B$2:$B$101&lt;&gt;"")*ISNUMBER(SEARCH('Müşteriler'!$B$2:$B$101,B1375)))=1,IFERROR(INDEX('Müşteriler'!$A$2:$A$101,SUMPRODUCT(('Müşteriler'!$B$2:$B$101&lt;&gt;"")*ISNUMBER(SEARCH('Müşteriler'!$B$2:$B$101,B1375)),ROW('Müşteriler'!$B$2:$B$101)-ROW('Müşteriler'!$B$2)+1)),""),""))</ns0:f>
        <ns0:v/>
      </ns0:c>
      <ns0:c r="G1375" s="28" t="str">
        <ns0:f>IF(F1375="","",IFERROR(INDEX('Müşteriler'!$C$2:$C$101,MATCH(F1375,'Müşteriler'!$A$2:$A$101,0)),""))</ns0:f>
        <ns0:v/>
      </ns0:c>
      <ns0:c r="H1375" s="28" t="str">
        <ns0:f>IF(A1375="","",IF(C1375&lt;=0,"Satış dışı",IF(OR(F1375="",G1375=""),"Eşleşmedi","Eşleşti")))</ns0:f>
        <ns0:v/>
      </ns0:c>
      <ns0:c r="I1375" s="28">
        <ns0:f>I1374+IF(AND(H1375="Eşleşmedi",E1375='Panel'!$B$4),1,0)</ns0:f>
        <ns0:v>3.0</ns0:v>
      </ns0:c>
    </ns0:row>
    <ns0:row r="1376" ht="21" customHeight="1">
      <ns0:c r="A1376" s="25" t="n"/>
      <ns0:c r="B1376" s="26" t="n"/>
      <ns0:c r="C1376" s="27" t="n"/>
      <ns0:c r="D1376" s="27" t="n"/>
      <ns0:c r="E1376" s="28" t="str">
        <ns0:f>IF(A1376="","",YEAR(A1376)&amp;"-"&amp;RIGHT("0"&amp;MONTH(A1376),2))</ns0:f>
        <ns0:v/>
      </ns0:c>
      <ns0:c r="F1376" s="28" t="str">
        <ns0:f>IF(OR(A1376="",B1376="",C1376&lt;=0),"",IF(SUMPRODUCT(('Müşteriler'!$B$2:$B$101&lt;&gt;"")*ISNUMBER(SEARCH('Müşteriler'!$B$2:$B$101,B1376)))=1,IFERROR(INDEX('Müşteriler'!$A$2:$A$101,SUMPRODUCT(('Müşteriler'!$B$2:$B$101&lt;&gt;"")*ISNUMBER(SEARCH('Müşteriler'!$B$2:$B$101,B1376)),ROW('Müşteriler'!$B$2:$B$101)-ROW('Müşteriler'!$B$2)+1)),""),""))</ns0:f>
        <ns0:v/>
      </ns0:c>
      <ns0:c r="G1376" s="28" t="str">
        <ns0:f>IF(F1376="","",IFERROR(INDEX('Müşteriler'!$C$2:$C$101,MATCH(F1376,'Müşteriler'!$A$2:$A$101,0)),""))</ns0:f>
        <ns0:v/>
      </ns0:c>
      <ns0:c r="H1376" s="28" t="str">
        <ns0:f>IF(A1376="","",IF(C1376&lt;=0,"Satış dışı",IF(OR(F1376="",G1376=""),"Eşleşmedi","Eşleşti")))</ns0:f>
        <ns0:v/>
      </ns0:c>
      <ns0:c r="I1376" s="28">
        <ns0:f>I1375+IF(AND(H1376="Eşleşmedi",E1376='Panel'!$B$4),1,0)</ns0:f>
        <ns0:v>3.0</ns0:v>
      </ns0:c>
    </ns0:row>
    <ns0:row r="1377" ht="21" customHeight="1">
      <ns0:c r="A1377" s="25" t="n"/>
      <ns0:c r="B1377" s="26" t="n"/>
      <ns0:c r="C1377" s="27" t="n"/>
      <ns0:c r="D1377" s="27" t="n"/>
      <ns0:c r="E1377" s="28" t="str">
        <ns0:f>IF(A1377="","",YEAR(A1377)&amp;"-"&amp;RIGHT("0"&amp;MONTH(A1377),2))</ns0:f>
        <ns0:v/>
      </ns0:c>
      <ns0:c r="F1377" s="28" t="str">
        <ns0:f>IF(OR(A1377="",B1377="",C1377&lt;=0),"",IF(SUMPRODUCT(('Müşteriler'!$B$2:$B$101&lt;&gt;"")*ISNUMBER(SEARCH('Müşteriler'!$B$2:$B$101,B1377)))=1,IFERROR(INDEX('Müşteriler'!$A$2:$A$101,SUMPRODUCT(('Müşteriler'!$B$2:$B$101&lt;&gt;"")*ISNUMBER(SEARCH('Müşteriler'!$B$2:$B$101,B1377)),ROW('Müşteriler'!$B$2:$B$101)-ROW('Müşteriler'!$B$2)+1)),""),""))</ns0:f>
        <ns0:v/>
      </ns0:c>
      <ns0:c r="G1377" s="28" t="str">
        <ns0:f>IF(F1377="","",IFERROR(INDEX('Müşteriler'!$C$2:$C$101,MATCH(F1377,'Müşteriler'!$A$2:$A$101,0)),""))</ns0:f>
        <ns0:v/>
      </ns0:c>
      <ns0:c r="H1377" s="28" t="str">
        <ns0:f>IF(A1377="","",IF(C1377&lt;=0,"Satış dışı",IF(OR(F1377="",G1377=""),"Eşleşmedi","Eşleşti")))</ns0:f>
        <ns0:v/>
      </ns0:c>
      <ns0:c r="I1377" s="28">
        <ns0:f>I1376+IF(AND(H1377="Eşleşmedi",E1377='Panel'!$B$4),1,0)</ns0:f>
        <ns0:v>3.0</ns0:v>
      </ns0:c>
    </ns0:row>
    <ns0:row r="1378" ht="21" customHeight="1">
      <ns0:c r="A1378" s="25" t="n"/>
      <ns0:c r="B1378" s="26" t="n"/>
      <ns0:c r="C1378" s="27" t="n"/>
      <ns0:c r="D1378" s="27" t="n"/>
      <ns0:c r="E1378" s="28" t="str">
        <ns0:f>IF(A1378="","",YEAR(A1378)&amp;"-"&amp;RIGHT("0"&amp;MONTH(A1378),2))</ns0:f>
        <ns0:v/>
      </ns0:c>
      <ns0:c r="F1378" s="28" t="str">
        <ns0:f>IF(OR(A1378="",B1378="",C1378&lt;=0),"",IF(SUMPRODUCT(('Müşteriler'!$B$2:$B$101&lt;&gt;"")*ISNUMBER(SEARCH('Müşteriler'!$B$2:$B$101,B1378)))=1,IFERROR(INDEX('Müşteriler'!$A$2:$A$101,SUMPRODUCT(('Müşteriler'!$B$2:$B$101&lt;&gt;"")*ISNUMBER(SEARCH('Müşteriler'!$B$2:$B$101,B1378)),ROW('Müşteriler'!$B$2:$B$101)-ROW('Müşteriler'!$B$2)+1)),""),""))</ns0:f>
        <ns0:v/>
      </ns0:c>
      <ns0:c r="G1378" s="28" t="str">
        <ns0:f>IF(F1378="","",IFERROR(INDEX('Müşteriler'!$C$2:$C$101,MATCH(F1378,'Müşteriler'!$A$2:$A$101,0)),""))</ns0:f>
        <ns0:v/>
      </ns0:c>
      <ns0:c r="H1378" s="28" t="str">
        <ns0:f>IF(A1378="","",IF(C1378&lt;=0,"Satış dışı",IF(OR(F1378="",G1378=""),"Eşleşmedi","Eşleşti")))</ns0:f>
        <ns0:v/>
      </ns0:c>
      <ns0:c r="I1378" s="28">
        <ns0:f>I1377+IF(AND(H1378="Eşleşmedi",E1378='Panel'!$B$4),1,0)</ns0:f>
        <ns0:v>3.0</ns0:v>
      </ns0:c>
    </ns0:row>
    <ns0:row r="1379" ht="21" customHeight="1">
      <ns0:c r="A1379" s="25" t="n"/>
      <ns0:c r="B1379" s="26" t="n"/>
      <ns0:c r="C1379" s="27" t="n"/>
      <ns0:c r="D1379" s="27" t="n"/>
      <ns0:c r="E1379" s="28" t="str">
        <ns0:f>IF(A1379="","",YEAR(A1379)&amp;"-"&amp;RIGHT("0"&amp;MONTH(A1379),2))</ns0:f>
        <ns0:v/>
      </ns0:c>
      <ns0:c r="F1379" s="28" t="str">
        <ns0:f>IF(OR(A1379="",B1379="",C1379&lt;=0),"",IF(SUMPRODUCT(('Müşteriler'!$B$2:$B$101&lt;&gt;"")*ISNUMBER(SEARCH('Müşteriler'!$B$2:$B$101,B1379)))=1,IFERROR(INDEX('Müşteriler'!$A$2:$A$101,SUMPRODUCT(('Müşteriler'!$B$2:$B$101&lt;&gt;"")*ISNUMBER(SEARCH('Müşteriler'!$B$2:$B$101,B1379)),ROW('Müşteriler'!$B$2:$B$101)-ROW('Müşteriler'!$B$2)+1)),""),""))</ns0:f>
        <ns0:v/>
      </ns0:c>
      <ns0:c r="G1379" s="28" t="str">
        <ns0:f>IF(F1379="","",IFERROR(INDEX('Müşteriler'!$C$2:$C$101,MATCH(F1379,'Müşteriler'!$A$2:$A$101,0)),""))</ns0:f>
        <ns0:v/>
      </ns0:c>
      <ns0:c r="H1379" s="28" t="str">
        <ns0:f>IF(A1379="","",IF(C1379&lt;=0,"Satış dışı",IF(OR(F1379="",G1379=""),"Eşleşmedi","Eşleşti")))</ns0:f>
        <ns0:v/>
      </ns0:c>
      <ns0:c r="I1379" s="28">
        <ns0:f>I1378+IF(AND(H1379="Eşleşmedi",E1379='Panel'!$B$4),1,0)</ns0:f>
        <ns0:v>3.0</ns0:v>
      </ns0:c>
    </ns0:row>
    <ns0:row r="1380" ht="21" customHeight="1">
      <ns0:c r="A1380" s="25" t="n"/>
      <ns0:c r="B1380" s="26" t="n"/>
      <ns0:c r="C1380" s="27" t="n"/>
      <ns0:c r="D1380" s="27" t="n"/>
      <ns0:c r="E1380" s="28" t="str">
        <ns0:f>IF(A1380="","",YEAR(A1380)&amp;"-"&amp;RIGHT("0"&amp;MONTH(A1380),2))</ns0:f>
        <ns0:v/>
      </ns0:c>
      <ns0:c r="F1380" s="28" t="str">
        <ns0:f>IF(OR(A1380="",B1380="",C1380&lt;=0),"",IF(SUMPRODUCT(('Müşteriler'!$B$2:$B$101&lt;&gt;"")*ISNUMBER(SEARCH('Müşteriler'!$B$2:$B$101,B1380)))=1,IFERROR(INDEX('Müşteriler'!$A$2:$A$101,SUMPRODUCT(('Müşteriler'!$B$2:$B$101&lt;&gt;"")*ISNUMBER(SEARCH('Müşteriler'!$B$2:$B$101,B1380)),ROW('Müşteriler'!$B$2:$B$101)-ROW('Müşteriler'!$B$2)+1)),""),""))</ns0:f>
        <ns0:v/>
      </ns0:c>
      <ns0:c r="G1380" s="28" t="str">
        <ns0:f>IF(F1380="","",IFERROR(INDEX('Müşteriler'!$C$2:$C$101,MATCH(F1380,'Müşteriler'!$A$2:$A$101,0)),""))</ns0:f>
        <ns0:v/>
      </ns0:c>
      <ns0:c r="H1380" s="28" t="str">
        <ns0:f>IF(A1380="","",IF(C1380&lt;=0,"Satış dışı",IF(OR(F1380="",G1380=""),"Eşleşmedi","Eşleşti")))</ns0:f>
        <ns0:v/>
      </ns0:c>
      <ns0:c r="I1380" s="28">
        <ns0:f>I1379+IF(AND(H1380="Eşleşmedi",E1380='Panel'!$B$4),1,0)</ns0:f>
        <ns0:v>3.0</ns0:v>
      </ns0:c>
    </ns0:row>
    <ns0:row r="1381" ht="21" customHeight="1">
      <ns0:c r="A1381" s="25" t="n"/>
      <ns0:c r="B1381" s="26" t="n"/>
      <ns0:c r="C1381" s="27" t="n"/>
      <ns0:c r="D1381" s="27" t="n"/>
      <ns0:c r="E1381" s="28" t="str">
        <ns0:f>IF(A1381="","",YEAR(A1381)&amp;"-"&amp;RIGHT("0"&amp;MONTH(A1381),2))</ns0:f>
        <ns0:v/>
      </ns0:c>
      <ns0:c r="F1381" s="28" t="str">
        <ns0:f>IF(OR(A1381="",B1381="",C1381&lt;=0),"",IF(SUMPRODUCT(('Müşteriler'!$B$2:$B$101&lt;&gt;"")*ISNUMBER(SEARCH('Müşteriler'!$B$2:$B$101,B1381)))=1,IFERROR(INDEX('Müşteriler'!$A$2:$A$101,SUMPRODUCT(('Müşteriler'!$B$2:$B$101&lt;&gt;"")*ISNUMBER(SEARCH('Müşteriler'!$B$2:$B$101,B1381)),ROW('Müşteriler'!$B$2:$B$101)-ROW('Müşteriler'!$B$2)+1)),""),""))</ns0:f>
        <ns0:v/>
      </ns0:c>
      <ns0:c r="G1381" s="28" t="str">
        <ns0:f>IF(F1381="","",IFERROR(INDEX('Müşteriler'!$C$2:$C$101,MATCH(F1381,'Müşteriler'!$A$2:$A$101,0)),""))</ns0:f>
        <ns0:v/>
      </ns0:c>
      <ns0:c r="H1381" s="28" t="str">
        <ns0:f>IF(A1381="","",IF(C1381&lt;=0,"Satış dışı",IF(OR(F1381="",G1381=""),"Eşleşmedi","Eşleşti")))</ns0:f>
        <ns0:v/>
      </ns0:c>
      <ns0:c r="I1381" s="28">
        <ns0:f>I1380+IF(AND(H1381="Eşleşmedi",E1381='Panel'!$B$4),1,0)</ns0:f>
        <ns0:v>3.0</ns0:v>
      </ns0:c>
    </ns0:row>
    <ns0:row r="1382" ht="21" customHeight="1">
      <ns0:c r="A1382" s="25" t="n"/>
      <ns0:c r="B1382" s="26" t="n"/>
      <ns0:c r="C1382" s="27" t="n"/>
      <ns0:c r="D1382" s="27" t="n"/>
      <ns0:c r="E1382" s="28" t="str">
        <ns0:f>IF(A1382="","",YEAR(A1382)&amp;"-"&amp;RIGHT("0"&amp;MONTH(A1382),2))</ns0:f>
        <ns0:v/>
      </ns0:c>
      <ns0:c r="F1382" s="28" t="str">
        <ns0:f>IF(OR(A1382="",B1382="",C1382&lt;=0),"",IF(SUMPRODUCT(('Müşteriler'!$B$2:$B$101&lt;&gt;"")*ISNUMBER(SEARCH('Müşteriler'!$B$2:$B$101,B1382)))=1,IFERROR(INDEX('Müşteriler'!$A$2:$A$101,SUMPRODUCT(('Müşteriler'!$B$2:$B$101&lt;&gt;"")*ISNUMBER(SEARCH('Müşteriler'!$B$2:$B$101,B1382)),ROW('Müşteriler'!$B$2:$B$101)-ROW('Müşteriler'!$B$2)+1)),""),""))</ns0:f>
        <ns0:v/>
      </ns0:c>
      <ns0:c r="G1382" s="28" t="str">
        <ns0:f>IF(F1382="","",IFERROR(INDEX('Müşteriler'!$C$2:$C$101,MATCH(F1382,'Müşteriler'!$A$2:$A$101,0)),""))</ns0:f>
        <ns0:v/>
      </ns0:c>
      <ns0:c r="H1382" s="28" t="str">
        <ns0:f>IF(A1382="","",IF(C1382&lt;=0,"Satış dışı",IF(OR(F1382="",G1382=""),"Eşleşmedi","Eşleşti")))</ns0:f>
        <ns0:v/>
      </ns0:c>
      <ns0:c r="I1382" s="28">
        <ns0:f>I1381+IF(AND(H1382="Eşleşmedi",E1382='Panel'!$B$4),1,0)</ns0:f>
        <ns0:v>3.0</ns0:v>
      </ns0:c>
    </ns0:row>
    <ns0:row r="1383" ht="21" customHeight="1">
      <ns0:c r="A1383" s="25" t="n"/>
      <ns0:c r="B1383" s="26" t="n"/>
      <ns0:c r="C1383" s="27" t="n"/>
      <ns0:c r="D1383" s="27" t="n"/>
      <ns0:c r="E1383" s="28" t="str">
        <ns0:f>IF(A1383="","",YEAR(A1383)&amp;"-"&amp;RIGHT("0"&amp;MONTH(A1383),2))</ns0:f>
        <ns0:v/>
      </ns0:c>
      <ns0:c r="F1383" s="28" t="str">
        <ns0:f>IF(OR(A1383="",B1383="",C1383&lt;=0),"",IF(SUMPRODUCT(('Müşteriler'!$B$2:$B$101&lt;&gt;"")*ISNUMBER(SEARCH('Müşteriler'!$B$2:$B$101,B1383)))=1,IFERROR(INDEX('Müşteriler'!$A$2:$A$101,SUMPRODUCT(('Müşteriler'!$B$2:$B$101&lt;&gt;"")*ISNUMBER(SEARCH('Müşteriler'!$B$2:$B$101,B1383)),ROW('Müşteriler'!$B$2:$B$101)-ROW('Müşteriler'!$B$2)+1)),""),""))</ns0:f>
        <ns0:v/>
      </ns0:c>
      <ns0:c r="G1383" s="28" t="str">
        <ns0:f>IF(F1383="","",IFERROR(INDEX('Müşteriler'!$C$2:$C$101,MATCH(F1383,'Müşteriler'!$A$2:$A$101,0)),""))</ns0:f>
        <ns0:v/>
      </ns0:c>
      <ns0:c r="H1383" s="28" t="str">
        <ns0:f>IF(A1383="","",IF(C1383&lt;=0,"Satış dışı",IF(OR(F1383="",G1383=""),"Eşleşmedi","Eşleşti")))</ns0:f>
        <ns0:v/>
      </ns0:c>
      <ns0:c r="I1383" s="28">
        <ns0:f>I1382+IF(AND(H1383="Eşleşmedi",E1383='Panel'!$B$4),1,0)</ns0:f>
        <ns0:v>3.0</ns0:v>
      </ns0:c>
    </ns0:row>
    <ns0:row r="1384" ht="21" customHeight="1">
      <ns0:c r="A1384" s="25" t="n"/>
      <ns0:c r="B1384" s="26" t="n"/>
      <ns0:c r="C1384" s="27" t="n"/>
      <ns0:c r="D1384" s="27" t="n"/>
      <ns0:c r="E1384" s="28" t="str">
        <ns0:f>IF(A1384="","",YEAR(A1384)&amp;"-"&amp;RIGHT("0"&amp;MONTH(A1384),2))</ns0:f>
        <ns0:v/>
      </ns0:c>
      <ns0:c r="F1384" s="28" t="str">
        <ns0:f>IF(OR(A1384="",B1384="",C1384&lt;=0),"",IF(SUMPRODUCT(('Müşteriler'!$B$2:$B$101&lt;&gt;"")*ISNUMBER(SEARCH('Müşteriler'!$B$2:$B$101,B1384)))=1,IFERROR(INDEX('Müşteriler'!$A$2:$A$101,SUMPRODUCT(('Müşteriler'!$B$2:$B$101&lt;&gt;"")*ISNUMBER(SEARCH('Müşteriler'!$B$2:$B$101,B1384)),ROW('Müşteriler'!$B$2:$B$101)-ROW('Müşteriler'!$B$2)+1)),""),""))</ns0:f>
        <ns0:v/>
      </ns0:c>
      <ns0:c r="G1384" s="28" t="str">
        <ns0:f>IF(F1384="","",IFERROR(INDEX('Müşteriler'!$C$2:$C$101,MATCH(F1384,'Müşteriler'!$A$2:$A$101,0)),""))</ns0:f>
        <ns0:v/>
      </ns0:c>
      <ns0:c r="H1384" s="28" t="str">
        <ns0:f>IF(A1384="","",IF(C1384&lt;=0,"Satış dışı",IF(OR(F1384="",G1384=""),"Eşleşmedi","Eşleşti")))</ns0:f>
        <ns0:v/>
      </ns0:c>
      <ns0:c r="I1384" s="28">
        <ns0:f>I1383+IF(AND(H1384="Eşleşmedi",E1384='Panel'!$B$4),1,0)</ns0:f>
        <ns0:v>3.0</ns0:v>
      </ns0:c>
    </ns0:row>
    <ns0:row r="1385" ht="21" customHeight="1">
      <ns0:c r="A1385" s="25" t="n"/>
      <ns0:c r="B1385" s="26" t="n"/>
      <ns0:c r="C1385" s="27" t="n"/>
      <ns0:c r="D1385" s="27" t="n"/>
      <ns0:c r="E1385" s="28" t="str">
        <ns0:f>IF(A1385="","",YEAR(A1385)&amp;"-"&amp;RIGHT("0"&amp;MONTH(A1385),2))</ns0:f>
        <ns0:v/>
      </ns0:c>
      <ns0:c r="F1385" s="28" t="str">
        <ns0:f>IF(OR(A1385="",B1385="",C1385&lt;=0),"",IF(SUMPRODUCT(('Müşteriler'!$B$2:$B$101&lt;&gt;"")*ISNUMBER(SEARCH('Müşteriler'!$B$2:$B$101,B1385)))=1,IFERROR(INDEX('Müşteriler'!$A$2:$A$101,SUMPRODUCT(('Müşteriler'!$B$2:$B$101&lt;&gt;"")*ISNUMBER(SEARCH('Müşteriler'!$B$2:$B$101,B1385)),ROW('Müşteriler'!$B$2:$B$101)-ROW('Müşteriler'!$B$2)+1)),""),""))</ns0:f>
        <ns0:v/>
      </ns0:c>
      <ns0:c r="G1385" s="28" t="str">
        <ns0:f>IF(F1385="","",IFERROR(INDEX('Müşteriler'!$C$2:$C$101,MATCH(F1385,'Müşteriler'!$A$2:$A$101,0)),""))</ns0:f>
        <ns0:v/>
      </ns0:c>
      <ns0:c r="H1385" s="28" t="str">
        <ns0:f>IF(A1385="","",IF(C1385&lt;=0,"Satış dışı",IF(OR(F1385="",G1385=""),"Eşleşmedi","Eşleşti")))</ns0:f>
        <ns0:v/>
      </ns0:c>
      <ns0:c r="I1385" s="28">
        <ns0:f>I1384+IF(AND(H1385="Eşleşmedi",E1385='Panel'!$B$4),1,0)</ns0:f>
        <ns0:v>3.0</ns0:v>
      </ns0:c>
    </ns0:row>
    <ns0:row r="1386" ht="21" customHeight="1">
      <ns0:c r="A1386" s="25" t="n"/>
      <ns0:c r="B1386" s="26" t="n"/>
      <ns0:c r="C1386" s="27" t="n"/>
      <ns0:c r="D1386" s="27" t="n"/>
      <ns0:c r="E1386" s="28" t="str">
        <ns0:f>IF(A1386="","",YEAR(A1386)&amp;"-"&amp;RIGHT("0"&amp;MONTH(A1386),2))</ns0:f>
        <ns0:v/>
      </ns0:c>
      <ns0:c r="F1386" s="28" t="str">
        <ns0:f>IF(OR(A1386="",B1386="",C1386&lt;=0),"",IF(SUMPRODUCT(('Müşteriler'!$B$2:$B$101&lt;&gt;"")*ISNUMBER(SEARCH('Müşteriler'!$B$2:$B$101,B1386)))=1,IFERROR(INDEX('Müşteriler'!$A$2:$A$101,SUMPRODUCT(('Müşteriler'!$B$2:$B$101&lt;&gt;"")*ISNUMBER(SEARCH('Müşteriler'!$B$2:$B$101,B1386)),ROW('Müşteriler'!$B$2:$B$101)-ROW('Müşteriler'!$B$2)+1)),""),""))</ns0:f>
        <ns0:v/>
      </ns0:c>
      <ns0:c r="G1386" s="28" t="str">
        <ns0:f>IF(F1386="","",IFERROR(INDEX('Müşteriler'!$C$2:$C$101,MATCH(F1386,'Müşteriler'!$A$2:$A$101,0)),""))</ns0:f>
        <ns0:v/>
      </ns0:c>
      <ns0:c r="H1386" s="28" t="str">
        <ns0:f>IF(A1386="","",IF(C1386&lt;=0,"Satış dışı",IF(OR(F1386="",G1386=""),"Eşleşmedi","Eşleşti")))</ns0:f>
        <ns0:v/>
      </ns0:c>
      <ns0:c r="I1386" s="28">
        <ns0:f>I1385+IF(AND(H1386="Eşleşmedi",E1386='Panel'!$B$4),1,0)</ns0:f>
        <ns0:v>3.0</ns0:v>
      </ns0:c>
    </ns0:row>
    <ns0:row r="1387" ht="21" customHeight="1">
      <ns0:c r="A1387" s="25" t="n"/>
      <ns0:c r="B1387" s="26" t="n"/>
      <ns0:c r="C1387" s="27" t="n"/>
      <ns0:c r="D1387" s="27" t="n"/>
      <ns0:c r="E1387" s="28" t="str">
        <ns0:f>IF(A1387="","",YEAR(A1387)&amp;"-"&amp;RIGHT("0"&amp;MONTH(A1387),2))</ns0:f>
        <ns0:v/>
      </ns0:c>
      <ns0:c r="F1387" s="28" t="str">
        <ns0:f>IF(OR(A1387="",B1387="",C1387&lt;=0),"",IF(SUMPRODUCT(('Müşteriler'!$B$2:$B$101&lt;&gt;"")*ISNUMBER(SEARCH('Müşteriler'!$B$2:$B$101,B1387)))=1,IFERROR(INDEX('Müşteriler'!$A$2:$A$101,SUMPRODUCT(('Müşteriler'!$B$2:$B$101&lt;&gt;"")*ISNUMBER(SEARCH('Müşteriler'!$B$2:$B$101,B1387)),ROW('Müşteriler'!$B$2:$B$101)-ROW('Müşteriler'!$B$2)+1)),""),""))</ns0:f>
        <ns0:v/>
      </ns0:c>
      <ns0:c r="G1387" s="28" t="str">
        <ns0:f>IF(F1387="","",IFERROR(INDEX('Müşteriler'!$C$2:$C$101,MATCH(F1387,'Müşteriler'!$A$2:$A$101,0)),""))</ns0:f>
        <ns0:v/>
      </ns0:c>
      <ns0:c r="H1387" s="28" t="str">
        <ns0:f>IF(A1387="","",IF(C1387&lt;=0,"Satış dışı",IF(OR(F1387="",G1387=""),"Eşleşmedi","Eşleşti")))</ns0:f>
        <ns0:v/>
      </ns0:c>
      <ns0:c r="I1387" s="28">
        <ns0:f>I1386+IF(AND(H1387="Eşleşmedi",E1387='Panel'!$B$4),1,0)</ns0:f>
        <ns0:v>3.0</ns0:v>
      </ns0:c>
    </ns0:row>
    <ns0:row r="1388" ht="21" customHeight="1">
      <ns0:c r="A1388" s="25" t="n"/>
      <ns0:c r="B1388" s="26" t="n"/>
      <ns0:c r="C1388" s="27" t="n"/>
      <ns0:c r="D1388" s="27" t="n"/>
      <ns0:c r="E1388" s="28" t="str">
        <ns0:f>IF(A1388="","",YEAR(A1388)&amp;"-"&amp;RIGHT("0"&amp;MONTH(A1388),2))</ns0:f>
        <ns0:v/>
      </ns0:c>
      <ns0:c r="F1388" s="28" t="str">
        <ns0:f>IF(OR(A1388="",B1388="",C1388&lt;=0),"",IF(SUMPRODUCT(('Müşteriler'!$B$2:$B$101&lt;&gt;"")*ISNUMBER(SEARCH('Müşteriler'!$B$2:$B$101,B1388)))=1,IFERROR(INDEX('Müşteriler'!$A$2:$A$101,SUMPRODUCT(('Müşteriler'!$B$2:$B$101&lt;&gt;"")*ISNUMBER(SEARCH('Müşteriler'!$B$2:$B$101,B1388)),ROW('Müşteriler'!$B$2:$B$101)-ROW('Müşteriler'!$B$2)+1)),""),""))</ns0:f>
        <ns0:v/>
      </ns0:c>
      <ns0:c r="G1388" s="28" t="str">
        <ns0:f>IF(F1388="","",IFERROR(INDEX('Müşteriler'!$C$2:$C$101,MATCH(F1388,'Müşteriler'!$A$2:$A$101,0)),""))</ns0:f>
        <ns0:v/>
      </ns0:c>
      <ns0:c r="H1388" s="28" t="str">
        <ns0:f>IF(A1388="","",IF(C1388&lt;=0,"Satış dışı",IF(OR(F1388="",G1388=""),"Eşleşmedi","Eşleşti")))</ns0:f>
        <ns0:v/>
      </ns0:c>
      <ns0:c r="I1388" s="28">
        <ns0:f>I1387+IF(AND(H1388="Eşleşmedi",E1388='Panel'!$B$4),1,0)</ns0:f>
        <ns0:v>3.0</ns0:v>
      </ns0:c>
    </ns0:row>
    <ns0:row r="1389" ht="21" customHeight="1">
      <ns0:c r="A1389" s="25" t="n"/>
      <ns0:c r="B1389" s="26" t="n"/>
      <ns0:c r="C1389" s="27" t="n"/>
      <ns0:c r="D1389" s="27" t="n"/>
      <ns0:c r="E1389" s="28" t="str">
        <ns0:f>IF(A1389="","",YEAR(A1389)&amp;"-"&amp;RIGHT("0"&amp;MONTH(A1389),2))</ns0:f>
        <ns0:v/>
      </ns0:c>
      <ns0:c r="F1389" s="28" t="str">
        <ns0:f>IF(OR(A1389="",B1389="",C1389&lt;=0),"",IF(SUMPRODUCT(('Müşteriler'!$B$2:$B$101&lt;&gt;"")*ISNUMBER(SEARCH('Müşteriler'!$B$2:$B$101,B1389)))=1,IFERROR(INDEX('Müşteriler'!$A$2:$A$101,SUMPRODUCT(('Müşteriler'!$B$2:$B$101&lt;&gt;"")*ISNUMBER(SEARCH('Müşteriler'!$B$2:$B$101,B1389)),ROW('Müşteriler'!$B$2:$B$101)-ROW('Müşteriler'!$B$2)+1)),""),""))</ns0:f>
        <ns0:v/>
      </ns0:c>
      <ns0:c r="G1389" s="28" t="str">
        <ns0:f>IF(F1389="","",IFERROR(INDEX('Müşteriler'!$C$2:$C$101,MATCH(F1389,'Müşteriler'!$A$2:$A$101,0)),""))</ns0:f>
        <ns0:v/>
      </ns0:c>
      <ns0:c r="H1389" s="28" t="str">
        <ns0:f>IF(A1389="","",IF(C1389&lt;=0,"Satış dışı",IF(OR(F1389="",G1389=""),"Eşleşmedi","Eşleşti")))</ns0:f>
        <ns0:v/>
      </ns0:c>
      <ns0:c r="I1389" s="28">
        <ns0:f>I1388+IF(AND(H1389="Eşleşmedi",E1389='Panel'!$B$4),1,0)</ns0:f>
        <ns0:v>3.0</ns0:v>
      </ns0:c>
    </ns0:row>
    <ns0:row r="1390" ht="21" customHeight="1">
      <ns0:c r="A1390" s="25" t="n"/>
      <ns0:c r="B1390" s="26" t="n"/>
      <ns0:c r="C1390" s="27" t="n"/>
      <ns0:c r="D1390" s="27" t="n"/>
      <ns0:c r="E1390" s="28" t="str">
        <ns0:f>IF(A1390="","",YEAR(A1390)&amp;"-"&amp;RIGHT("0"&amp;MONTH(A1390),2))</ns0:f>
        <ns0:v/>
      </ns0:c>
      <ns0:c r="F1390" s="28" t="str">
        <ns0:f>IF(OR(A1390="",B1390="",C1390&lt;=0),"",IF(SUMPRODUCT(('Müşteriler'!$B$2:$B$101&lt;&gt;"")*ISNUMBER(SEARCH('Müşteriler'!$B$2:$B$101,B1390)))=1,IFERROR(INDEX('Müşteriler'!$A$2:$A$101,SUMPRODUCT(('Müşteriler'!$B$2:$B$101&lt;&gt;"")*ISNUMBER(SEARCH('Müşteriler'!$B$2:$B$101,B1390)),ROW('Müşteriler'!$B$2:$B$101)-ROW('Müşteriler'!$B$2)+1)),""),""))</ns0:f>
        <ns0:v/>
      </ns0:c>
      <ns0:c r="G1390" s="28" t="str">
        <ns0:f>IF(F1390="","",IFERROR(INDEX('Müşteriler'!$C$2:$C$101,MATCH(F1390,'Müşteriler'!$A$2:$A$101,0)),""))</ns0:f>
        <ns0:v/>
      </ns0:c>
      <ns0:c r="H1390" s="28" t="str">
        <ns0:f>IF(A1390="","",IF(C1390&lt;=0,"Satış dışı",IF(OR(F1390="",G1390=""),"Eşleşmedi","Eşleşti")))</ns0:f>
        <ns0:v/>
      </ns0:c>
      <ns0:c r="I1390" s="28">
        <ns0:f>I1389+IF(AND(H1390="Eşleşmedi",E1390='Panel'!$B$4),1,0)</ns0:f>
        <ns0:v>3.0</ns0:v>
      </ns0:c>
    </ns0:row>
    <ns0:row r="1391" ht="21" customHeight="1">
      <ns0:c r="A1391" s="25" t="n"/>
      <ns0:c r="B1391" s="26" t="n"/>
      <ns0:c r="C1391" s="27" t="n"/>
      <ns0:c r="D1391" s="27" t="n"/>
      <ns0:c r="E1391" s="28" t="str">
        <ns0:f>IF(A1391="","",YEAR(A1391)&amp;"-"&amp;RIGHT("0"&amp;MONTH(A1391),2))</ns0:f>
        <ns0:v/>
      </ns0:c>
      <ns0:c r="F1391" s="28" t="str">
        <ns0:f>IF(OR(A1391="",B1391="",C1391&lt;=0),"",IF(SUMPRODUCT(('Müşteriler'!$B$2:$B$101&lt;&gt;"")*ISNUMBER(SEARCH('Müşteriler'!$B$2:$B$101,B1391)))=1,IFERROR(INDEX('Müşteriler'!$A$2:$A$101,SUMPRODUCT(('Müşteriler'!$B$2:$B$101&lt;&gt;"")*ISNUMBER(SEARCH('Müşteriler'!$B$2:$B$101,B1391)),ROW('Müşteriler'!$B$2:$B$101)-ROW('Müşteriler'!$B$2)+1)),""),""))</ns0:f>
        <ns0:v/>
      </ns0:c>
      <ns0:c r="G1391" s="28" t="str">
        <ns0:f>IF(F1391="","",IFERROR(INDEX('Müşteriler'!$C$2:$C$101,MATCH(F1391,'Müşteriler'!$A$2:$A$101,0)),""))</ns0:f>
        <ns0:v/>
      </ns0:c>
      <ns0:c r="H1391" s="28" t="str">
        <ns0:f>IF(A1391="","",IF(C1391&lt;=0,"Satış dışı",IF(OR(F1391="",G1391=""),"Eşleşmedi","Eşleşti")))</ns0:f>
        <ns0:v/>
      </ns0:c>
      <ns0:c r="I1391" s="28">
        <ns0:f>I1390+IF(AND(H1391="Eşleşmedi",E1391='Panel'!$B$4),1,0)</ns0:f>
        <ns0:v>3.0</ns0:v>
      </ns0:c>
    </ns0:row>
    <ns0:row r="1392" ht="21" customHeight="1">
      <ns0:c r="A1392" s="25" t="n"/>
      <ns0:c r="B1392" s="26" t="n"/>
      <ns0:c r="C1392" s="27" t="n"/>
      <ns0:c r="D1392" s="27" t="n"/>
      <ns0:c r="E1392" s="28" t="str">
        <ns0:f>IF(A1392="","",YEAR(A1392)&amp;"-"&amp;RIGHT("0"&amp;MONTH(A1392),2))</ns0:f>
        <ns0:v/>
      </ns0:c>
      <ns0:c r="F1392" s="28" t="str">
        <ns0:f>IF(OR(A1392="",B1392="",C1392&lt;=0),"",IF(SUMPRODUCT(('Müşteriler'!$B$2:$B$101&lt;&gt;"")*ISNUMBER(SEARCH('Müşteriler'!$B$2:$B$101,B1392)))=1,IFERROR(INDEX('Müşteriler'!$A$2:$A$101,SUMPRODUCT(('Müşteriler'!$B$2:$B$101&lt;&gt;"")*ISNUMBER(SEARCH('Müşteriler'!$B$2:$B$101,B1392)),ROW('Müşteriler'!$B$2:$B$101)-ROW('Müşteriler'!$B$2)+1)),""),""))</ns0:f>
        <ns0:v/>
      </ns0:c>
      <ns0:c r="G1392" s="28" t="str">
        <ns0:f>IF(F1392="","",IFERROR(INDEX('Müşteriler'!$C$2:$C$101,MATCH(F1392,'Müşteriler'!$A$2:$A$101,0)),""))</ns0:f>
        <ns0:v/>
      </ns0:c>
      <ns0:c r="H1392" s="28" t="str">
        <ns0:f>IF(A1392="","",IF(C1392&lt;=0,"Satış dışı",IF(OR(F1392="",G1392=""),"Eşleşmedi","Eşleşti")))</ns0:f>
        <ns0:v/>
      </ns0:c>
      <ns0:c r="I1392" s="28">
        <ns0:f>I1391+IF(AND(H1392="Eşleşmedi",E1392='Panel'!$B$4),1,0)</ns0:f>
        <ns0:v>3.0</ns0:v>
      </ns0:c>
    </ns0:row>
    <ns0:row r="1393" ht="21" customHeight="1">
      <ns0:c r="A1393" s="25" t="n"/>
      <ns0:c r="B1393" s="26" t="n"/>
      <ns0:c r="C1393" s="27" t="n"/>
      <ns0:c r="D1393" s="27" t="n"/>
      <ns0:c r="E1393" s="28" t="str">
        <ns0:f>IF(A1393="","",YEAR(A1393)&amp;"-"&amp;RIGHT("0"&amp;MONTH(A1393),2))</ns0:f>
        <ns0:v/>
      </ns0:c>
      <ns0:c r="F1393" s="28" t="str">
        <ns0:f>IF(OR(A1393="",B1393="",C1393&lt;=0),"",IF(SUMPRODUCT(('Müşteriler'!$B$2:$B$101&lt;&gt;"")*ISNUMBER(SEARCH('Müşteriler'!$B$2:$B$101,B1393)))=1,IFERROR(INDEX('Müşteriler'!$A$2:$A$101,SUMPRODUCT(('Müşteriler'!$B$2:$B$101&lt;&gt;"")*ISNUMBER(SEARCH('Müşteriler'!$B$2:$B$101,B1393)),ROW('Müşteriler'!$B$2:$B$101)-ROW('Müşteriler'!$B$2)+1)),""),""))</ns0:f>
        <ns0:v/>
      </ns0:c>
      <ns0:c r="G1393" s="28" t="str">
        <ns0:f>IF(F1393="","",IFERROR(INDEX('Müşteriler'!$C$2:$C$101,MATCH(F1393,'Müşteriler'!$A$2:$A$101,0)),""))</ns0:f>
        <ns0:v/>
      </ns0:c>
      <ns0:c r="H1393" s="28" t="str">
        <ns0:f>IF(A1393="","",IF(C1393&lt;=0,"Satış dışı",IF(OR(F1393="",G1393=""),"Eşleşmedi","Eşleşti")))</ns0:f>
        <ns0:v/>
      </ns0:c>
      <ns0:c r="I1393" s="28">
        <ns0:f>I1392+IF(AND(H1393="Eşleşmedi",E1393='Panel'!$B$4),1,0)</ns0:f>
        <ns0:v>3.0</ns0:v>
      </ns0:c>
    </ns0:row>
    <ns0:row r="1394" ht="21" customHeight="1">
      <ns0:c r="A1394" s="25" t="n"/>
      <ns0:c r="B1394" s="26" t="n"/>
      <ns0:c r="C1394" s="27" t="n"/>
      <ns0:c r="D1394" s="27" t="n"/>
      <ns0:c r="E1394" s="28" t="str">
        <ns0:f>IF(A1394="","",YEAR(A1394)&amp;"-"&amp;RIGHT("0"&amp;MONTH(A1394),2))</ns0:f>
        <ns0:v/>
      </ns0:c>
      <ns0:c r="F1394" s="28" t="str">
        <ns0:f>IF(OR(A1394="",B1394="",C1394&lt;=0),"",IF(SUMPRODUCT(('Müşteriler'!$B$2:$B$101&lt;&gt;"")*ISNUMBER(SEARCH('Müşteriler'!$B$2:$B$101,B1394)))=1,IFERROR(INDEX('Müşteriler'!$A$2:$A$101,SUMPRODUCT(('Müşteriler'!$B$2:$B$101&lt;&gt;"")*ISNUMBER(SEARCH('Müşteriler'!$B$2:$B$101,B1394)),ROW('Müşteriler'!$B$2:$B$101)-ROW('Müşteriler'!$B$2)+1)),""),""))</ns0:f>
        <ns0:v/>
      </ns0:c>
      <ns0:c r="G1394" s="28" t="str">
        <ns0:f>IF(F1394="","",IFERROR(INDEX('Müşteriler'!$C$2:$C$101,MATCH(F1394,'Müşteriler'!$A$2:$A$101,0)),""))</ns0:f>
        <ns0:v/>
      </ns0:c>
      <ns0:c r="H1394" s="28" t="str">
        <ns0:f>IF(A1394="","",IF(C1394&lt;=0,"Satış dışı",IF(OR(F1394="",G1394=""),"Eşleşmedi","Eşleşti")))</ns0:f>
        <ns0:v/>
      </ns0:c>
      <ns0:c r="I1394" s="28">
        <ns0:f>I1393+IF(AND(H1394="Eşleşmedi",E1394='Panel'!$B$4),1,0)</ns0:f>
        <ns0:v>3.0</ns0:v>
      </ns0:c>
    </ns0:row>
    <ns0:row r="1395" ht="21" customHeight="1">
      <ns0:c r="A1395" s="25" t="n"/>
      <ns0:c r="B1395" s="26" t="n"/>
      <ns0:c r="C1395" s="27" t="n"/>
      <ns0:c r="D1395" s="27" t="n"/>
      <ns0:c r="E1395" s="28" t="str">
        <ns0:f>IF(A1395="","",YEAR(A1395)&amp;"-"&amp;RIGHT("0"&amp;MONTH(A1395),2))</ns0:f>
        <ns0:v/>
      </ns0:c>
      <ns0:c r="F1395" s="28" t="str">
        <ns0:f>IF(OR(A1395="",B1395="",C1395&lt;=0),"",IF(SUMPRODUCT(('Müşteriler'!$B$2:$B$101&lt;&gt;"")*ISNUMBER(SEARCH('Müşteriler'!$B$2:$B$101,B1395)))=1,IFERROR(INDEX('Müşteriler'!$A$2:$A$101,SUMPRODUCT(('Müşteriler'!$B$2:$B$101&lt;&gt;"")*ISNUMBER(SEARCH('Müşteriler'!$B$2:$B$101,B1395)),ROW('Müşteriler'!$B$2:$B$101)-ROW('Müşteriler'!$B$2)+1)),""),""))</ns0:f>
        <ns0:v/>
      </ns0:c>
      <ns0:c r="G1395" s="28" t="str">
        <ns0:f>IF(F1395="","",IFERROR(INDEX('Müşteriler'!$C$2:$C$101,MATCH(F1395,'Müşteriler'!$A$2:$A$101,0)),""))</ns0:f>
        <ns0:v/>
      </ns0:c>
      <ns0:c r="H1395" s="28" t="str">
        <ns0:f>IF(A1395="","",IF(C1395&lt;=0,"Satış dışı",IF(OR(F1395="",G1395=""),"Eşleşmedi","Eşleşti")))</ns0:f>
        <ns0:v/>
      </ns0:c>
      <ns0:c r="I1395" s="28">
        <ns0:f>I1394+IF(AND(H1395="Eşleşmedi",E1395='Panel'!$B$4),1,0)</ns0:f>
        <ns0:v>3.0</ns0:v>
      </ns0:c>
    </ns0:row>
    <ns0:row r="1396" ht="21" customHeight="1">
      <ns0:c r="A1396" s="25" t="n"/>
      <ns0:c r="B1396" s="26" t="n"/>
      <ns0:c r="C1396" s="27" t="n"/>
      <ns0:c r="D1396" s="27" t="n"/>
      <ns0:c r="E1396" s="28" t="str">
        <ns0:f>IF(A1396="","",YEAR(A1396)&amp;"-"&amp;RIGHT("0"&amp;MONTH(A1396),2))</ns0:f>
        <ns0:v/>
      </ns0:c>
      <ns0:c r="F1396" s="28" t="str">
        <ns0:f>IF(OR(A1396="",B1396="",C1396&lt;=0),"",IF(SUMPRODUCT(('Müşteriler'!$B$2:$B$101&lt;&gt;"")*ISNUMBER(SEARCH('Müşteriler'!$B$2:$B$101,B1396)))=1,IFERROR(INDEX('Müşteriler'!$A$2:$A$101,SUMPRODUCT(('Müşteriler'!$B$2:$B$101&lt;&gt;"")*ISNUMBER(SEARCH('Müşteriler'!$B$2:$B$101,B1396)),ROW('Müşteriler'!$B$2:$B$101)-ROW('Müşteriler'!$B$2)+1)),""),""))</ns0:f>
        <ns0:v/>
      </ns0:c>
      <ns0:c r="G1396" s="28" t="str">
        <ns0:f>IF(F1396="","",IFERROR(INDEX('Müşteriler'!$C$2:$C$101,MATCH(F1396,'Müşteriler'!$A$2:$A$101,0)),""))</ns0:f>
        <ns0:v/>
      </ns0:c>
      <ns0:c r="H1396" s="28" t="str">
        <ns0:f>IF(A1396="","",IF(C1396&lt;=0,"Satış dışı",IF(OR(F1396="",G1396=""),"Eşleşmedi","Eşleşti")))</ns0:f>
        <ns0:v/>
      </ns0:c>
      <ns0:c r="I1396" s="28">
        <ns0:f>I1395+IF(AND(H1396="Eşleşmedi",E1396='Panel'!$B$4),1,0)</ns0:f>
        <ns0:v>3.0</ns0:v>
      </ns0:c>
    </ns0:row>
    <ns0:row r="1397" ht="21" customHeight="1">
      <ns0:c r="A1397" s="25" t="n"/>
      <ns0:c r="B1397" s="26" t="n"/>
      <ns0:c r="C1397" s="27" t="n"/>
      <ns0:c r="D1397" s="27" t="n"/>
      <ns0:c r="E1397" s="28" t="str">
        <ns0:f>IF(A1397="","",YEAR(A1397)&amp;"-"&amp;RIGHT("0"&amp;MONTH(A1397),2))</ns0:f>
        <ns0:v/>
      </ns0:c>
      <ns0:c r="F1397" s="28" t="str">
        <ns0:f>IF(OR(A1397="",B1397="",C1397&lt;=0),"",IF(SUMPRODUCT(('Müşteriler'!$B$2:$B$101&lt;&gt;"")*ISNUMBER(SEARCH('Müşteriler'!$B$2:$B$101,B1397)))=1,IFERROR(INDEX('Müşteriler'!$A$2:$A$101,SUMPRODUCT(('Müşteriler'!$B$2:$B$101&lt;&gt;"")*ISNUMBER(SEARCH('Müşteriler'!$B$2:$B$101,B1397)),ROW('Müşteriler'!$B$2:$B$101)-ROW('Müşteriler'!$B$2)+1)),""),""))</ns0:f>
        <ns0:v/>
      </ns0:c>
      <ns0:c r="G1397" s="28" t="str">
        <ns0:f>IF(F1397="","",IFERROR(INDEX('Müşteriler'!$C$2:$C$101,MATCH(F1397,'Müşteriler'!$A$2:$A$101,0)),""))</ns0:f>
        <ns0:v/>
      </ns0:c>
      <ns0:c r="H1397" s="28" t="str">
        <ns0:f>IF(A1397="","",IF(C1397&lt;=0,"Satış dışı",IF(OR(F1397="",G1397=""),"Eşleşmedi","Eşleşti")))</ns0:f>
        <ns0:v/>
      </ns0:c>
      <ns0:c r="I1397" s="28">
        <ns0:f>I1396+IF(AND(H1397="Eşleşmedi",E1397='Panel'!$B$4),1,0)</ns0:f>
        <ns0:v>3.0</ns0:v>
      </ns0:c>
    </ns0:row>
    <ns0:row r="1398" ht="21" customHeight="1">
      <ns0:c r="A1398" s="25" t="n"/>
      <ns0:c r="B1398" s="26" t="n"/>
      <ns0:c r="C1398" s="27" t="n"/>
      <ns0:c r="D1398" s="27" t="n"/>
      <ns0:c r="E1398" s="28" t="str">
        <ns0:f>IF(A1398="","",YEAR(A1398)&amp;"-"&amp;RIGHT("0"&amp;MONTH(A1398),2))</ns0:f>
        <ns0:v/>
      </ns0:c>
      <ns0:c r="F1398" s="28" t="str">
        <ns0:f>IF(OR(A1398="",B1398="",C1398&lt;=0),"",IF(SUMPRODUCT(('Müşteriler'!$B$2:$B$101&lt;&gt;"")*ISNUMBER(SEARCH('Müşteriler'!$B$2:$B$101,B1398)))=1,IFERROR(INDEX('Müşteriler'!$A$2:$A$101,SUMPRODUCT(('Müşteriler'!$B$2:$B$101&lt;&gt;"")*ISNUMBER(SEARCH('Müşteriler'!$B$2:$B$101,B1398)),ROW('Müşteriler'!$B$2:$B$101)-ROW('Müşteriler'!$B$2)+1)),""),""))</ns0:f>
        <ns0:v/>
      </ns0:c>
      <ns0:c r="G1398" s="28" t="str">
        <ns0:f>IF(F1398="","",IFERROR(INDEX('Müşteriler'!$C$2:$C$101,MATCH(F1398,'Müşteriler'!$A$2:$A$101,0)),""))</ns0:f>
        <ns0:v/>
      </ns0:c>
      <ns0:c r="H1398" s="28" t="str">
        <ns0:f>IF(A1398="","",IF(C1398&lt;=0,"Satış dışı",IF(OR(F1398="",G1398=""),"Eşleşmedi","Eşleşti")))</ns0:f>
        <ns0:v/>
      </ns0:c>
      <ns0:c r="I1398" s="28">
        <ns0:f>I1397+IF(AND(H1398="Eşleşmedi",E1398='Panel'!$B$4),1,0)</ns0:f>
        <ns0:v>3.0</ns0:v>
      </ns0:c>
    </ns0:row>
    <ns0:row r="1399" ht="21" customHeight="1">
      <ns0:c r="A1399" s="25" t="n"/>
      <ns0:c r="B1399" s="26" t="n"/>
      <ns0:c r="C1399" s="27" t="n"/>
      <ns0:c r="D1399" s="27" t="n"/>
      <ns0:c r="E1399" s="28" t="str">
        <ns0:f>IF(A1399="","",YEAR(A1399)&amp;"-"&amp;RIGHT("0"&amp;MONTH(A1399),2))</ns0:f>
        <ns0:v/>
      </ns0:c>
      <ns0:c r="F1399" s="28" t="str">
        <ns0:f>IF(OR(A1399="",B1399="",C1399&lt;=0),"",IF(SUMPRODUCT(('Müşteriler'!$B$2:$B$101&lt;&gt;"")*ISNUMBER(SEARCH('Müşteriler'!$B$2:$B$101,B1399)))=1,IFERROR(INDEX('Müşteriler'!$A$2:$A$101,SUMPRODUCT(('Müşteriler'!$B$2:$B$101&lt;&gt;"")*ISNUMBER(SEARCH('Müşteriler'!$B$2:$B$101,B1399)),ROW('Müşteriler'!$B$2:$B$101)-ROW('Müşteriler'!$B$2)+1)),""),""))</ns0:f>
        <ns0:v/>
      </ns0:c>
      <ns0:c r="G1399" s="28" t="str">
        <ns0:f>IF(F1399="","",IFERROR(INDEX('Müşteriler'!$C$2:$C$101,MATCH(F1399,'Müşteriler'!$A$2:$A$101,0)),""))</ns0:f>
        <ns0:v/>
      </ns0:c>
      <ns0:c r="H1399" s="28" t="str">
        <ns0:f>IF(A1399="","",IF(C1399&lt;=0,"Satış dışı",IF(OR(F1399="",G1399=""),"Eşleşmedi","Eşleşti")))</ns0:f>
        <ns0:v/>
      </ns0:c>
      <ns0:c r="I1399" s="28">
        <ns0:f>I1398+IF(AND(H1399="Eşleşmedi",E1399='Panel'!$B$4),1,0)</ns0:f>
        <ns0:v>3.0</ns0:v>
      </ns0:c>
    </ns0:row>
    <ns0:row r="1400" ht="21" customHeight="1">
      <ns0:c r="A1400" s="25" t="n"/>
      <ns0:c r="B1400" s="26" t="n"/>
      <ns0:c r="C1400" s="27" t="n"/>
      <ns0:c r="D1400" s="27" t="n"/>
      <ns0:c r="E1400" s="28" t="str">
        <ns0:f>IF(A1400="","",YEAR(A1400)&amp;"-"&amp;RIGHT("0"&amp;MONTH(A1400),2))</ns0:f>
        <ns0:v/>
      </ns0:c>
      <ns0:c r="F1400" s="28" t="str">
        <ns0:f>IF(OR(A1400="",B1400="",C1400&lt;=0),"",IF(SUMPRODUCT(('Müşteriler'!$B$2:$B$101&lt;&gt;"")*ISNUMBER(SEARCH('Müşteriler'!$B$2:$B$101,B1400)))=1,IFERROR(INDEX('Müşteriler'!$A$2:$A$101,SUMPRODUCT(('Müşteriler'!$B$2:$B$101&lt;&gt;"")*ISNUMBER(SEARCH('Müşteriler'!$B$2:$B$101,B1400)),ROW('Müşteriler'!$B$2:$B$101)-ROW('Müşteriler'!$B$2)+1)),""),""))</ns0:f>
        <ns0:v/>
      </ns0:c>
      <ns0:c r="G1400" s="28" t="str">
        <ns0:f>IF(F1400="","",IFERROR(INDEX('Müşteriler'!$C$2:$C$101,MATCH(F1400,'Müşteriler'!$A$2:$A$101,0)),""))</ns0:f>
        <ns0:v/>
      </ns0:c>
      <ns0:c r="H1400" s="28" t="str">
        <ns0:f>IF(A1400="","",IF(C1400&lt;=0,"Satış dışı",IF(OR(F1400="",G1400=""),"Eşleşmedi","Eşleşti")))</ns0:f>
        <ns0:v/>
      </ns0:c>
      <ns0:c r="I1400" s="28">
        <ns0:f>I1399+IF(AND(H1400="Eşleşmedi",E1400='Panel'!$B$4),1,0)</ns0:f>
        <ns0:v>3.0</ns0:v>
      </ns0:c>
    </ns0:row>
    <ns0:row r="1401" ht="21" customHeight="1">
      <ns0:c r="A1401" s="25" t="n"/>
      <ns0:c r="B1401" s="26" t="n"/>
      <ns0:c r="C1401" s="27" t="n"/>
      <ns0:c r="D1401" s="27" t="n"/>
      <ns0:c r="E1401" s="28" t="str">
        <ns0:f>IF(A1401="","",YEAR(A1401)&amp;"-"&amp;RIGHT("0"&amp;MONTH(A1401),2))</ns0:f>
        <ns0:v/>
      </ns0:c>
      <ns0:c r="F1401" s="28" t="str">
        <ns0:f>IF(OR(A1401="",B1401="",C1401&lt;=0),"",IF(SUMPRODUCT(('Müşteriler'!$B$2:$B$101&lt;&gt;"")*ISNUMBER(SEARCH('Müşteriler'!$B$2:$B$101,B1401)))=1,IFERROR(INDEX('Müşteriler'!$A$2:$A$101,SUMPRODUCT(('Müşteriler'!$B$2:$B$101&lt;&gt;"")*ISNUMBER(SEARCH('Müşteriler'!$B$2:$B$101,B1401)),ROW('Müşteriler'!$B$2:$B$101)-ROW('Müşteriler'!$B$2)+1)),""),""))</ns0:f>
        <ns0:v/>
      </ns0:c>
      <ns0:c r="G1401" s="28" t="str">
        <ns0:f>IF(F1401="","",IFERROR(INDEX('Müşteriler'!$C$2:$C$101,MATCH(F1401,'Müşteriler'!$A$2:$A$101,0)),""))</ns0:f>
        <ns0:v/>
      </ns0:c>
      <ns0:c r="H1401" s="28" t="str">
        <ns0:f>IF(A1401="","",IF(C1401&lt;=0,"Satış dışı",IF(OR(F1401="",G1401=""),"Eşleşmedi","Eşleşti")))</ns0:f>
        <ns0:v/>
      </ns0:c>
      <ns0:c r="I1401" s="28">
        <ns0:f>I1400+IF(AND(H1401="Eşleşmedi",E1401='Panel'!$B$4),1,0)</ns0:f>
        <ns0:v>3.0</ns0:v>
      </ns0:c>
    </ns0:row>
    <ns0:row r="1402" ht="21" customHeight="1">
      <ns0:c r="A1402" s="25" t="n"/>
      <ns0:c r="B1402" s="26" t="n"/>
      <ns0:c r="C1402" s="27" t="n"/>
      <ns0:c r="D1402" s="27" t="n"/>
      <ns0:c r="E1402" s="28" t="str">
        <ns0:f>IF(A1402="","",YEAR(A1402)&amp;"-"&amp;RIGHT("0"&amp;MONTH(A1402),2))</ns0:f>
        <ns0:v/>
      </ns0:c>
      <ns0:c r="F1402" s="28" t="str">
        <ns0:f>IF(OR(A1402="",B1402="",C1402&lt;=0),"",IF(SUMPRODUCT(('Müşteriler'!$B$2:$B$101&lt;&gt;"")*ISNUMBER(SEARCH('Müşteriler'!$B$2:$B$101,B1402)))=1,IFERROR(INDEX('Müşteriler'!$A$2:$A$101,SUMPRODUCT(('Müşteriler'!$B$2:$B$101&lt;&gt;"")*ISNUMBER(SEARCH('Müşteriler'!$B$2:$B$101,B1402)),ROW('Müşteriler'!$B$2:$B$101)-ROW('Müşteriler'!$B$2)+1)),""),""))</ns0:f>
        <ns0:v/>
      </ns0:c>
      <ns0:c r="G1402" s="28" t="str">
        <ns0:f>IF(F1402="","",IFERROR(INDEX('Müşteriler'!$C$2:$C$101,MATCH(F1402,'Müşteriler'!$A$2:$A$101,0)),""))</ns0:f>
        <ns0:v/>
      </ns0:c>
      <ns0:c r="H1402" s="28" t="str">
        <ns0:f>IF(A1402="","",IF(C1402&lt;=0,"Satış dışı",IF(OR(F1402="",G1402=""),"Eşleşmedi","Eşleşti")))</ns0:f>
        <ns0:v/>
      </ns0:c>
      <ns0:c r="I1402" s="28">
        <ns0:f>I1401+IF(AND(H1402="Eşleşmedi",E1402='Panel'!$B$4),1,0)</ns0:f>
        <ns0:v>3.0</ns0:v>
      </ns0:c>
    </ns0:row>
    <ns0:row r="1403" ht="21" customHeight="1">
      <ns0:c r="A1403" s="25" t="n"/>
      <ns0:c r="B1403" s="26" t="n"/>
      <ns0:c r="C1403" s="27" t="n"/>
      <ns0:c r="D1403" s="27" t="n"/>
      <ns0:c r="E1403" s="28" t="str">
        <ns0:f>IF(A1403="","",YEAR(A1403)&amp;"-"&amp;RIGHT("0"&amp;MONTH(A1403),2))</ns0:f>
        <ns0:v/>
      </ns0:c>
      <ns0:c r="F1403" s="28" t="str">
        <ns0:f>IF(OR(A1403="",B1403="",C1403&lt;=0),"",IF(SUMPRODUCT(('Müşteriler'!$B$2:$B$101&lt;&gt;"")*ISNUMBER(SEARCH('Müşteriler'!$B$2:$B$101,B1403)))=1,IFERROR(INDEX('Müşteriler'!$A$2:$A$101,SUMPRODUCT(('Müşteriler'!$B$2:$B$101&lt;&gt;"")*ISNUMBER(SEARCH('Müşteriler'!$B$2:$B$101,B1403)),ROW('Müşteriler'!$B$2:$B$101)-ROW('Müşteriler'!$B$2)+1)),""),""))</ns0:f>
        <ns0:v/>
      </ns0:c>
      <ns0:c r="G1403" s="28" t="str">
        <ns0:f>IF(F1403="","",IFERROR(INDEX('Müşteriler'!$C$2:$C$101,MATCH(F1403,'Müşteriler'!$A$2:$A$101,0)),""))</ns0:f>
        <ns0:v/>
      </ns0:c>
      <ns0:c r="H1403" s="28" t="str">
        <ns0:f>IF(A1403="","",IF(C1403&lt;=0,"Satış dışı",IF(OR(F1403="",G1403=""),"Eşleşmedi","Eşleşti")))</ns0:f>
        <ns0:v/>
      </ns0:c>
      <ns0:c r="I1403" s="28">
        <ns0:f>I1402+IF(AND(H1403="Eşleşmedi",E1403='Panel'!$B$4),1,0)</ns0:f>
        <ns0:v>3.0</ns0:v>
      </ns0:c>
    </ns0:row>
    <ns0:row r="1404" ht="21" customHeight="1">
      <ns0:c r="A1404" s="25" t="n"/>
      <ns0:c r="B1404" s="26" t="n"/>
      <ns0:c r="C1404" s="27" t="n"/>
      <ns0:c r="D1404" s="27" t="n"/>
      <ns0:c r="E1404" s="28" t="str">
        <ns0:f>IF(A1404="","",YEAR(A1404)&amp;"-"&amp;RIGHT("0"&amp;MONTH(A1404),2))</ns0:f>
        <ns0:v/>
      </ns0:c>
      <ns0:c r="F1404" s="28" t="str">
        <ns0:f>IF(OR(A1404="",B1404="",C1404&lt;=0),"",IF(SUMPRODUCT(('Müşteriler'!$B$2:$B$101&lt;&gt;"")*ISNUMBER(SEARCH('Müşteriler'!$B$2:$B$101,B1404)))=1,IFERROR(INDEX('Müşteriler'!$A$2:$A$101,SUMPRODUCT(('Müşteriler'!$B$2:$B$101&lt;&gt;"")*ISNUMBER(SEARCH('Müşteriler'!$B$2:$B$101,B1404)),ROW('Müşteriler'!$B$2:$B$101)-ROW('Müşteriler'!$B$2)+1)),""),""))</ns0:f>
        <ns0:v/>
      </ns0:c>
      <ns0:c r="G1404" s="28" t="str">
        <ns0:f>IF(F1404="","",IFERROR(INDEX('Müşteriler'!$C$2:$C$101,MATCH(F1404,'Müşteriler'!$A$2:$A$101,0)),""))</ns0:f>
        <ns0:v/>
      </ns0:c>
      <ns0:c r="H1404" s="28" t="str">
        <ns0:f>IF(A1404="","",IF(C1404&lt;=0,"Satış dışı",IF(OR(F1404="",G1404=""),"Eşleşmedi","Eşleşti")))</ns0:f>
        <ns0:v/>
      </ns0:c>
      <ns0:c r="I1404" s="28">
        <ns0:f>I1403+IF(AND(H1404="Eşleşmedi",E1404='Panel'!$B$4),1,0)</ns0:f>
        <ns0:v>3.0</ns0:v>
      </ns0:c>
    </ns0:row>
    <ns0:row r="1405" ht="21" customHeight="1">
      <ns0:c r="A1405" s="25" t="n"/>
      <ns0:c r="B1405" s="26" t="n"/>
      <ns0:c r="C1405" s="27" t="n"/>
      <ns0:c r="D1405" s="27" t="n"/>
      <ns0:c r="E1405" s="28" t="str">
        <ns0:f>IF(A1405="","",YEAR(A1405)&amp;"-"&amp;RIGHT("0"&amp;MONTH(A1405),2))</ns0:f>
        <ns0:v/>
      </ns0:c>
      <ns0:c r="F1405" s="28" t="str">
        <ns0:f>IF(OR(A1405="",B1405="",C1405&lt;=0),"",IF(SUMPRODUCT(('Müşteriler'!$B$2:$B$101&lt;&gt;"")*ISNUMBER(SEARCH('Müşteriler'!$B$2:$B$101,B1405)))=1,IFERROR(INDEX('Müşteriler'!$A$2:$A$101,SUMPRODUCT(('Müşteriler'!$B$2:$B$101&lt;&gt;"")*ISNUMBER(SEARCH('Müşteriler'!$B$2:$B$101,B1405)),ROW('Müşteriler'!$B$2:$B$101)-ROW('Müşteriler'!$B$2)+1)),""),""))</ns0:f>
        <ns0:v/>
      </ns0:c>
      <ns0:c r="G1405" s="28" t="str">
        <ns0:f>IF(F1405="","",IFERROR(INDEX('Müşteriler'!$C$2:$C$101,MATCH(F1405,'Müşteriler'!$A$2:$A$101,0)),""))</ns0:f>
        <ns0:v/>
      </ns0:c>
      <ns0:c r="H1405" s="28" t="str">
        <ns0:f>IF(A1405="","",IF(C1405&lt;=0,"Satış dışı",IF(OR(F1405="",G1405=""),"Eşleşmedi","Eşleşti")))</ns0:f>
        <ns0:v/>
      </ns0:c>
      <ns0:c r="I1405" s="28">
        <ns0:f>I1404+IF(AND(H1405="Eşleşmedi",E1405='Panel'!$B$4),1,0)</ns0:f>
        <ns0:v>3.0</ns0:v>
      </ns0:c>
    </ns0:row>
    <ns0:row r="1406" ht="21" customHeight="1">
      <ns0:c r="A1406" s="25" t="n"/>
      <ns0:c r="B1406" s="26" t="n"/>
      <ns0:c r="C1406" s="27" t="n"/>
      <ns0:c r="D1406" s="27" t="n"/>
      <ns0:c r="E1406" s="28" t="str">
        <ns0:f>IF(A1406="","",YEAR(A1406)&amp;"-"&amp;RIGHT("0"&amp;MONTH(A1406),2))</ns0:f>
        <ns0:v/>
      </ns0:c>
      <ns0:c r="F1406" s="28" t="str">
        <ns0:f>IF(OR(A1406="",B1406="",C1406&lt;=0),"",IF(SUMPRODUCT(('Müşteriler'!$B$2:$B$101&lt;&gt;"")*ISNUMBER(SEARCH('Müşteriler'!$B$2:$B$101,B1406)))=1,IFERROR(INDEX('Müşteriler'!$A$2:$A$101,SUMPRODUCT(('Müşteriler'!$B$2:$B$101&lt;&gt;"")*ISNUMBER(SEARCH('Müşteriler'!$B$2:$B$101,B1406)),ROW('Müşteriler'!$B$2:$B$101)-ROW('Müşteriler'!$B$2)+1)),""),""))</ns0:f>
        <ns0:v/>
      </ns0:c>
      <ns0:c r="G1406" s="28" t="str">
        <ns0:f>IF(F1406="","",IFERROR(INDEX('Müşteriler'!$C$2:$C$101,MATCH(F1406,'Müşteriler'!$A$2:$A$101,0)),""))</ns0:f>
        <ns0:v/>
      </ns0:c>
      <ns0:c r="H1406" s="28" t="str">
        <ns0:f>IF(A1406="","",IF(C1406&lt;=0,"Satış dışı",IF(OR(F1406="",G1406=""),"Eşleşmedi","Eşleşti")))</ns0:f>
        <ns0:v/>
      </ns0:c>
      <ns0:c r="I1406" s="28">
        <ns0:f>I1405+IF(AND(H1406="Eşleşmedi",E1406='Panel'!$B$4),1,0)</ns0:f>
        <ns0:v>3.0</ns0:v>
      </ns0:c>
    </ns0:row>
    <ns0:row r="1407" ht="21" customHeight="1">
      <ns0:c r="A1407" s="25" t="n"/>
      <ns0:c r="B1407" s="26" t="n"/>
      <ns0:c r="C1407" s="27" t="n"/>
      <ns0:c r="D1407" s="27" t="n"/>
      <ns0:c r="E1407" s="28" t="str">
        <ns0:f>IF(A1407="","",YEAR(A1407)&amp;"-"&amp;RIGHT("0"&amp;MONTH(A1407),2))</ns0:f>
        <ns0:v/>
      </ns0:c>
      <ns0:c r="F1407" s="28" t="str">
        <ns0:f>IF(OR(A1407="",B1407="",C1407&lt;=0),"",IF(SUMPRODUCT(('Müşteriler'!$B$2:$B$101&lt;&gt;"")*ISNUMBER(SEARCH('Müşteriler'!$B$2:$B$101,B1407)))=1,IFERROR(INDEX('Müşteriler'!$A$2:$A$101,SUMPRODUCT(('Müşteriler'!$B$2:$B$101&lt;&gt;"")*ISNUMBER(SEARCH('Müşteriler'!$B$2:$B$101,B1407)),ROW('Müşteriler'!$B$2:$B$101)-ROW('Müşteriler'!$B$2)+1)),""),""))</ns0:f>
        <ns0:v/>
      </ns0:c>
      <ns0:c r="G1407" s="28" t="str">
        <ns0:f>IF(F1407="","",IFERROR(INDEX('Müşteriler'!$C$2:$C$101,MATCH(F1407,'Müşteriler'!$A$2:$A$101,0)),""))</ns0:f>
        <ns0:v/>
      </ns0:c>
      <ns0:c r="H1407" s="28" t="str">
        <ns0:f>IF(A1407="","",IF(C1407&lt;=0,"Satış dışı",IF(OR(F1407="",G1407=""),"Eşleşmedi","Eşleşti")))</ns0:f>
        <ns0:v/>
      </ns0:c>
      <ns0:c r="I1407" s="28">
        <ns0:f>I1406+IF(AND(H1407="Eşleşmedi",E1407='Panel'!$B$4),1,0)</ns0:f>
        <ns0:v>3.0</ns0:v>
      </ns0:c>
    </ns0:row>
    <ns0:row r="1408" ht="21" customHeight="1">
      <ns0:c r="A1408" s="25" t="n"/>
      <ns0:c r="B1408" s="26" t="n"/>
      <ns0:c r="C1408" s="27" t="n"/>
      <ns0:c r="D1408" s="27" t="n"/>
      <ns0:c r="E1408" s="28" t="str">
        <ns0:f>IF(A1408="","",YEAR(A1408)&amp;"-"&amp;RIGHT("0"&amp;MONTH(A1408),2))</ns0:f>
        <ns0:v/>
      </ns0:c>
      <ns0:c r="F1408" s="28" t="str">
        <ns0:f>IF(OR(A1408="",B1408="",C1408&lt;=0),"",IF(SUMPRODUCT(('Müşteriler'!$B$2:$B$101&lt;&gt;"")*ISNUMBER(SEARCH('Müşteriler'!$B$2:$B$101,B1408)))=1,IFERROR(INDEX('Müşteriler'!$A$2:$A$101,SUMPRODUCT(('Müşteriler'!$B$2:$B$101&lt;&gt;"")*ISNUMBER(SEARCH('Müşteriler'!$B$2:$B$101,B1408)),ROW('Müşteriler'!$B$2:$B$101)-ROW('Müşteriler'!$B$2)+1)),""),""))</ns0:f>
        <ns0:v/>
      </ns0:c>
      <ns0:c r="G1408" s="28" t="str">
        <ns0:f>IF(F1408="","",IFERROR(INDEX('Müşteriler'!$C$2:$C$101,MATCH(F1408,'Müşteriler'!$A$2:$A$101,0)),""))</ns0:f>
        <ns0:v/>
      </ns0:c>
      <ns0:c r="H1408" s="28" t="str">
        <ns0:f>IF(A1408="","",IF(C1408&lt;=0,"Satış dışı",IF(OR(F1408="",G1408=""),"Eşleşmedi","Eşleşti")))</ns0:f>
        <ns0:v/>
      </ns0:c>
      <ns0:c r="I1408" s="28">
        <ns0:f>I1407+IF(AND(H1408="Eşleşmedi",E1408='Panel'!$B$4),1,0)</ns0:f>
        <ns0:v>3.0</ns0:v>
      </ns0:c>
    </ns0:row>
    <ns0:row r="1409" ht="21" customHeight="1">
      <ns0:c r="A1409" s="25" t="n"/>
      <ns0:c r="B1409" s="26" t="n"/>
      <ns0:c r="C1409" s="27" t="n"/>
      <ns0:c r="D1409" s="27" t="n"/>
      <ns0:c r="E1409" s="28" t="str">
        <ns0:f>IF(A1409="","",YEAR(A1409)&amp;"-"&amp;RIGHT("0"&amp;MONTH(A1409),2))</ns0:f>
        <ns0:v/>
      </ns0:c>
      <ns0:c r="F1409" s="28" t="str">
        <ns0:f>IF(OR(A1409="",B1409="",C1409&lt;=0),"",IF(SUMPRODUCT(('Müşteriler'!$B$2:$B$101&lt;&gt;"")*ISNUMBER(SEARCH('Müşteriler'!$B$2:$B$101,B1409)))=1,IFERROR(INDEX('Müşteriler'!$A$2:$A$101,SUMPRODUCT(('Müşteriler'!$B$2:$B$101&lt;&gt;"")*ISNUMBER(SEARCH('Müşteriler'!$B$2:$B$101,B1409)),ROW('Müşteriler'!$B$2:$B$101)-ROW('Müşteriler'!$B$2)+1)),""),""))</ns0:f>
        <ns0:v/>
      </ns0:c>
      <ns0:c r="G1409" s="28" t="str">
        <ns0:f>IF(F1409="","",IFERROR(INDEX('Müşteriler'!$C$2:$C$101,MATCH(F1409,'Müşteriler'!$A$2:$A$101,0)),""))</ns0:f>
        <ns0:v/>
      </ns0:c>
      <ns0:c r="H1409" s="28" t="str">
        <ns0:f>IF(A1409="","",IF(C1409&lt;=0,"Satış dışı",IF(OR(F1409="",G1409=""),"Eşleşmedi","Eşleşti")))</ns0:f>
        <ns0:v/>
      </ns0:c>
      <ns0:c r="I1409" s="28">
        <ns0:f>I1408+IF(AND(H1409="Eşleşmedi",E1409='Panel'!$B$4),1,0)</ns0:f>
        <ns0:v>3.0</ns0:v>
      </ns0:c>
    </ns0:row>
    <ns0:row r="1410" ht="21" customHeight="1">
      <ns0:c r="A1410" s="25" t="n"/>
      <ns0:c r="B1410" s="26" t="n"/>
      <ns0:c r="C1410" s="27" t="n"/>
      <ns0:c r="D1410" s="27" t="n"/>
      <ns0:c r="E1410" s="28" t="str">
        <ns0:f>IF(A1410="","",YEAR(A1410)&amp;"-"&amp;RIGHT("0"&amp;MONTH(A1410),2))</ns0:f>
        <ns0:v/>
      </ns0:c>
      <ns0:c r="F1410" s="28" t="str">
        <ns0:f>IF(OR(A1410="",B1410="",C1410&lt;=0),"",IF(SUMPRODUCT(('Müşteriler'!$B$2:$B$101&lt;&gt;"")*ISNUMBER(SEARCH('Müşteriler'!$B$2:$B$101,B1410)))=1,IFERROR(INDEX('Müşteriler'!$A$2:$A$101,SUMPRODUCT(('Müşteriler'!$B$2:$B$101&lt;&gt;"")*ISNUMBER(SEARCH('Müşteriler'!$B$2:$B$101,B1410)),ROW('Müşteriler'!$B$2:$B$101)-ROW('Müşteriler'!$B$2)+1)),""),""))</ns0:f>
        <ns0:v/>
      </ns0:c>
      <ns0:c r="G1410" s="28" t="str">
        <ns0:f>IF(F1410="","",IFERROR(INDEX('Müşteriler'!$C$2:$C$101,MATCH(F1410,'Müşteriler'!$A$2:$A$101,0)),""))</ns0:f>
        <ns0:v/>
      </ns0:c>
      <ns0:c r="H1410" s="28" t="str">
        <ns0:f>IF(A1410="","",IF(C1410&lt;=0,"Satış dışı",IF(OR(F1410="",G1410=""),"Eşleşmedi","Eşleşti")))</ns0:f>
        <ns0:v/>
      </ns0:c>
      <ns0:c r="I1410" s="28">
        <ns0:f>I1409+IF(AND(H1410="Eşleşmedi",E1410='Panel'!$B$4),1,0)</ns0:f>
        <ns0:v>3.0</ns0:v>
      </ns0:c>
    </ns0:row>
    <ns0:row r="1411" ht="21" customHeight="1">
      <ns0:c r="A1411" s="25" t="n"/>
      <ns0:c r="B1411" s="26" t="n"/>
      <ns0:c r="C1411" s="27" t="n"/>
      <ns0:c r="D1411" s="27" t="n"/>
      <ns0:c r="E1411" s="28" t="str">
        <ns0:f>IF(A1411="","",YEAR(A1411)&amp;"-"&amp;RIGHT("0"&amp;MONTH(A1411),2))</ns0:f>
        <ns0:v/>
      </ns0:c>
      <ns0:c r="F1411" s="28" t="str">
        <ns0:f>IF(OR(A1411="",B1411="",C1411&lt;=0),"",IF(SUMPRODUCT(('Müşteriler'!$B$2:$B$101&lt;&gt;"")*ISNUMBER(SEARCH('Müşteriler'!$B$2:$B$101,B1411)))=1,IFERROR(INDEX('Müşteriler'!$A$2:$A$101,SUMPRODUCT(('Müşteriler'!$B$2:$B$101&lt;&gt;"")*ISNUMBER(SEARCH('Müşteriler'!$B$2:$B$101,B1411)),ROW('Müşteriler'!$B$2:$B$101)-ROW('Müşteriler'!$B$2)+1)),""),""))</ns0:f>
        <ns0:v/>
      </ns0:c>
      <ns0:c r="G1411" s="28" t="str">
        <ns0:f>IF(F1411="","",IFERROR(INDEX('Müşteriler'!$C$2:$C$101,MATCH(F1411,'Müşteriler'!$A$2:$A$101,0)),""))</ns0:f>
        <ns0:v/>
      </ns0:c>
      <ns0:c r="H1411" s="28" t="str">
        <ns0:f>IF(A1411="","",IF(C1411&lt;=0,"Satış dışı",IF(OR(F1411="",G1411=""),"Eşleşmedi","Eşleşti")))</ns0:f>
        <ns0:v/>
      </ns0:c>
      <ns0:c r="I1411" s="28">
        <ns0:f>I1410+IF(AND(H1411="Eşleşmedi",E1411='Panel'!$B$4),1,0)</ns0:f>
        <ns0:v>3.0</ns0:v>
      </ns0:c>
    </ns0:row>
    <ns0:row r="1412" ht="21" customHeight="1">
      <ns0:c r="A1412" s="25" t="n"/>
      <ns0:c r="B1412" s="26" t="n"/>
      <ns0:c r="C1412" s="27" t="n"/>
      <ns0:c r="D1412" s="27" t="n"/>
      <ns0:c r="E1412" s="28" t="str">
        <ns0:f>IF(A1412="","",YEAR(A1412)&amp;"-"&amp;RIGHT("0"&amp;MONTH(A1412),2))</ns0:f>
        <ns0:v/>
      </ns0:c>
      <ns0:c r="F1412" s="28" t="str">
        <ns0:f>IF(OR(A1412="",B1412="",C1412&lt;=0),"",IF(SUMPRODUCT(('Müşteriler'!$B$2:$B$101&lt;&gt;"")*ISNUMBER(SEARCH('Müşteriler'!$B$2:$B$101,B1412)))=1,IFERROR(INDEX('Müşteriler'!$A$2:$A$101,SUMPRODUCT(('Müşteriler'!$B$2:$B$101&lt;&gt;"")*ISNUMBER(SEARCH('Müşteriler'!$B$2:$B$101,B1412)),ROW('Müşteriler'!$B$2:$B$101)-ROW('Müşteriler'!$B$2)+1)),""),""))</ns0:f>
        <ns0:v/>
      </ns0:c>
      <ns0:c r="G1412" s="28" t="str">
        <ns0:f>IF(F1412="","",IFERROR(INDEX('Müşteriler'!$C$2:$C$101,MATCH(F1412,'Müşteriler'!$A$2:$A$101,0)),""))</ns0:f>
        <ns0:v/>
      </ns0:c>
      <ns0:c r="H1412" s="28" t="str">
        <ns0:f>IF(A1412="","",IF(C1412&lt;=0,"Satış dışı",IF(OR(F1412="",G1412=""),"Eşleşmedi","Eşleşti")))</ns0:f>
        <ns0:v/>
      </ns0:c>
      <ns0:c r="I1412" s="28">
        <ns0:f>I1411+IF(AND(H1412="Eşleşmedi",E1412='Panel'!$B$4),1,0)</ns0:f>
        <ns0:v>3.0</ns0:v>
      </ns0:c>
    </ns0:row>
    <ns0:row r="1413" ht="21" customHeight="1">
      <ns0:c r="A1413" s="25" t="n"/>
      <ns0:c r="B1413" s="26" t="n"/>
      <ns0:c r="C1413" s="27" t="n"/>
      <ns0:c r="D1413" s="27" t="n"/>
      <ns0:c r="E1413" s="28" t="str">
        <ns0:f>IF(A1413="","",YEAR(A1413)&amp;"-"&amp;RIGHT("0"&amp;MONTH(A1413),2))</ns0:f>
        <ns0:v/>
      </ns0:c>
      <ns0:c r="F1413" s="28" t="str">
        <ns0:f>IF(OR(A1413="",B1413="",C1413&lt;=0),"",IF(SUMPRODUCT(('Müşteriler'!$B$2:$B$101&lt;&gt;"")*ISNUMBER(SEARCH('Müşteriler'!$B$2:$B$101,B1413)))=1,IFERROR(INDEX('Müşteriler'!$A$2:$A$101,SUMPRODUCT(('Müşteriler'!$B$2:$B$101&lt;&gt;"")*ISNUMBER(SEARCH('Müşteriler'!$B$2:$B$101,B1413)),ROW('Müşteriler'!$B$2:$B$101)-ROW('Müşteriler'!$B$2)+1)),""),""))</ns0:f>
        <ns0:v/>
      </ns0:c>
      <ns0:c r="G1413" s="28" t="str">
        <ns0:f>IF(F1413="","",IFERROR(INDEX('Müşteriler'!$C$2:$C$101,MATCH(F1413,'Müşteriler'!$A$2:$A$101,0)),""))</ns0:f>
        <ns0:v/>
      </ns0:c>
      <ns0:c r="H1413" s="28" t="str">
        <ns0:f>IF(A1413="","",IF(C1413&lt;=0,"Satış dışı",IF(OR(F1413="",G1413=""),"Eşleşmedi","Eşleşti")))</ns0:f>
        <ns0:v/>
      </ns0:c>
      <ns0:c r="I1413" s="28">
        <ns0:f>I1412+IF(AND(H1413="Eşleşmedi",E1413='Panel'!$B$4),1,0)</ns0:f>
        <ns0:v>3.0</ns0:v>
      </ns0:c>
    </ns0:row>
    <ns0:row r="1414" ht="21" customHeight="1">
      <ns0:c r="A1414" s="25" t="n"/>
      <ns0:c r="B1414" s="26" t="n"/>
      <ns0:c r="C1414" s="27" t="n"/>
      <ns0:c r="D1414" s="27" t="n"/>
      <ns0:c r="E1414" s="28" t="str">
        <ns0:f>IF(A1414="","",YEAR(A1414)&amp;"-"&amp;RIGHT("0"&amp;MONTH(A1414),2))</ns0:f>
        <ns0:v/>
      </ns0:c>
      <ns0:c r="F1414" s="28" t="str">
        <ns0:f>IF(OR(A1414="",B1414="",C1414&lt;=0),"",IF(SUMPRODUCT(('Müşteriler'!$B$2:$B$101&lt;&gt;"")*ISNUMBER(SEARCH('Müşteriler'!$B$2:$B$101,B1414)))=1,IFERROR(INDEX('Müşteriler'!$A$2:$A$101,SUMPRODUCT(('Müşteriler'!$B$2:$B$101&lt;&gt;"")*ISNUMBER(SEARCH('Müşteriler'!$B$2:$B$101,B1414)),ROW('Müşteriler'!$B$2:$B$101)-ROW('Müşteriler'!$B$2)+1)),""),""))</ns0:f>
        <ns0:v/>
      </ns0:c>
      <ns0:c r="G1414" s="28" t="str">
        <ns0:f>IF(F1414="","",IFERROR(INDEX('Müşteriler'!$C$2:$C$101,MATCH(F1414,'Müşteriler'!$A$2:$A$101,0)),""))</ns0:f>
        <ns0:v/>
      </ns0:c>
      <ns0:c r="H1414" s="28" t="str">
        <ns0:f>IF(A1414="","",IF(C1414&lt;=0,"Satış dışı",IF(OR(F1414="",G1414=""),"Eşleşmedi","Eşleşti")))</ns0:f>
        <ns0:v/>
      </ns0:c>
      <ns0:c r="I1414" s="28">
        <ns0:f>I1413+IF(AND(H1414="Eşleşmedi",E1414='Panel'!$B$4),1,0)</ns0:f>
        <ns0:v>3.0</ns0:v>
      </ns0:c>
    </ns0:row>
    <ns0:row r="1415" ht="21" customHeight="1">
      <ns0:c r="A1415" s="25" t="n"/>
      <ns0:c r="B1415" s="26" t="n"/>
      <ns0:c r="C1415" s="27" t="n"/>
      <ns0:c r="D1415" s="27" t="n"/>
      <ns0:c r="E1415" s="28" t="str">
        <ns0:f>IF(A1415="","",YEAR(A1415)&amp;"-"&amp;RIGHT("0"&amp;MONTH(A1415),2))</ns0:f>
        <ns0:v/>
      </ns0:c>
      <ns0:c r="F1415" s="28" t="str">
        <ns0:f>IF(OR(A1415="",B1415="",C1415&lt;=0),"",IF(SUMPRODUCT(('Müşteriler'!$B$2:$B$101&lt;&gt;"")*ISNUMBER(SEARCH('Müşteriler'!$B$2:$B$101,B1415)))=1,IFERROR(INDEX('Müşteriler'!$A$2:$A$101,SUMPRODUCT(('Müşteriler'!$B$2:$B$101&lt;&gt;"")*ISNUMBER(SEARCH('Müşteriler'!$B$2:$B$101,B1415)),ROW('Müşteriler'!$B$2:$B$101)-ROW('Müşteriler'!$B$2)+1)),""),""))</ns0:f>
        <ns0:v/>
      </ns0:c>
      <ns0:c r="G1415" s="28" t="str">
        <ns0:f>IF(F1415="","",IFERROR(INDEX('Müşteriler'!$C$2:$C$101,MATCH(F1415,'Müşteriler'!$A$2:$A$101,0)),""))</ns0:f>
        <ns0:v/>
      </ns0:c>
      <ns0:c r="H1415" s="28" t="str">
        <ns0:f>IF(A1415="","",IF(C1415&lt;=0,"Satış dışı",IF(OR(F1415="",G1415=""),"Eşleşmedi","Eşleşti")))</ns0:f>
        <ns0:v/>
      </ns0:c>
      <ns0:c r="I1415" s="28">
        <ns0:f>I1414+IF(AND(H1415="Eşleşmedi",E1415='Panel'!$B$4),1,0)</ns0:f>
        <ns0:v>3.0</ns0:v>
      </ns0:c>
    </ns0:row>
    <ns0:row r="1416" ht="21" customHeight="1">
      <ns0:c r="A1416" s="25" t="n"/>
      <ns0:c r="B1416" s="26" t="n"/>
      <ns0:c r="C1416" s="27" t="n"/>
      <ns0:c r="D1416" s="27" t="n"/>
      <ns0:c r="E1416" s="28" t="str">
        <ns0:f>IF(A1416="","",YEAR(A1416)&amp;"-"&amp;RIGHT("0"&amp;MONTH(A1416),2))</ns0:f>
        <ns0:v/>
      </ns0:c>
      <ns0:c r="F1416" s="28" t="str">
        <ns0:f>IF(OR(A1416="",B1416="",C1416&lt;=0),"",IF(SUMPRODUCT(('Müşteriler'!$B$2:$B$101&lt;&gt;"")*ISNUMBER(SEARCH('Müşteriler'!$B$2:$B$101,B1416)))=1,IFERROR(INDEX('Müşteriler'!$A$2:$A$101,SUMPRODUCT(('Müşteriler'!$B$2:$B$101&lt;&gt;"")*ISNUMBER(SEARCH('Müşteriler'!$B$2:$B$101,B1416)),ROW('Müşteriler'!$B$2:$B$101)-ROW('Müşteriler'!$B$2)+1)),""),""))</ns0:f>
        <ns0:v/>
      </ns0:c>
      <ns0:c r="G1416" s="28" t="str">
        <ns0:f>IF(F1416="","",IFERROR(INDEX('Müşteriler'!$C$2:$C$101,MATCH(F1416,'Müşteriler'!$A$2:$A$101,0)),""))</ns0:f>
        <ns0:v/>
      </ns0:c>
      <ns0:c r="H1416" s="28" t="str">
        <ns0:f>IF(A1416="","",IF(C1416&lt;=0,"Satış dışı",IF(OR(F1416="",G1416=""),"Eşleşmedi","Eşleşti")))</ns0:f>
        <ns0:v/>
      </ns0:c>
      <ns0:c r="I1416" s="28">
        <ns0:f>I1415+IF(AND(H1416="Eşleşmedi",E1416='Panel'!$B$4),1,0)</ns0:f>
        <ns0:v>3.0</ns0:v>
      </ns0:c>
    </ns0:row>
    <ns0:row r="1417" ht="21" customHeight="1">
      <ns0:c r="A1417" s="25" t="n"/>
      <ns0:c r="B1417" s="26" t="n"/>
      <ns0:c r="C1417" s="27" t="n"/>
      <ns0:c r="D1417" s="27" t="n"/>
      <ns0:c r="E1417" s="28" t="str">
        <ns0:f>IF(A1417="","",YEAR(A1417)&amp;"-"&amp;RIGHT("0"&amp;MONTH(A1417),2))</ns0:f>
        <ns0:v/>
      </ns0:c>
      <ns0:c r="F1417" s="28" t="str">
        <ns0:f>IF(OR(A1417="",B1417="",C1417&lt;=0),"",IF(SUMPRODUCT(('Müşteriler'!$B$2:$B$101&lt;&gt;"")*ISNUMBER(SEARCH('Müşteriler'!$B$2:$B$101,B1417)))=1,IFERROR(INDEX('Müşteriler'!$A$2:$A$101,SUMPRODUCT(('Müşteriler'!$B$2:$B$101&lt;&gt;"")*ISNUMBER(SEARCH('Müşteriler'!$B$2:$B$101,B1417)),ROW('Müşteriler'!$B$2:$B$101)-ROW('Müşteriler'!$B$2)+1)),""),""))</ns0:f>
        <ns0:v/>
      </ns0:c>
      <ns0:c r="G1417" s="28" t="str">
        <ns0:f>IF(F1417="","",IFERROR(INDEX('Müşteriler'!$C$2:$C$101,MATCH(F1417,'Müşteriler'!$A$2:$A$101,0)),""))</ns0:f>
        <ns0:v/>
      </ns0:c>
      <ns0:c r="H1417" s="28" t="str">
        <ns0:f>IF(A1417="","",IF(C1417&lt;=0,"Satış dışı",IF(OR(F1417="",G1417=""),"Eşleşmedi","Eşleşti")))</ns0:f>
        <ns0:v/>
      </ns0:c>
      <ns0:c r="I1417" s="28">
        <ns0:f>I1416+IF(AND(H1417="Eşleşmedi",E1417='Panel'!$B$4),1,0)</ns0:f>
        <ns0:v>3.0</ns0:v>
      </ns0:c>
    </ns0:row>
    <ns0:row r="1418" ht="21" customHeight="1">
      <ns0:c r="A1418" s="25" t="n"/>
      <ns0:c r="B1418" s="26" t="n"/>
      <ns0:c r="C1418" s="27" t="n"/>
      <ns0:c r="D1418" s="27" t="n"/>
      <ns0:c r="E1418" s="28" t="str">
        <ns0:f>IF(A1418="","",YEAR(A1418)&amp;"-"&amp;RIGHT("0"&amp;MONTH(A1418),2))</ns0:f>
        <ns0:v/>
      </ns0:c>
      <ns0:c r="F1418" s="28" t="str">
        <ns0:f>IF(OR(A1418="",B1418="",C1418&lt;=0),"",IF(SUMPRODUCT(('Müşteriler'!$B$2:$B$101&lt;&gt;"")*ISNUMBER(SEARCH('Müşteriler'!$B$2:$B$101,B1418)))=1,IFERROR(INDEX('Müşteriler'!$A$2:$A$101,SUMPRODUCT(('Müşteriler'!$B$2:$B$101&lt;&gt;"")*ISNUMBER(SEARCH('Müşteriler'!$B$2:$B$101,B1418)),ROW('Müşteriler'!$B$2:$B$101)-ROW('Müşteriler'!$B$2)+1)),""),""))</ns0:f>
        <ns0:v/>
      </ns0:c>
      <ns0:c r="G1418" s="28" t="str">
        <ns0:f>IF(F1418="","",IFERROR(INDEX('Müşteriler'!$C$2:$C$101,MATCH(F1418,'Müşteriler'!$A$2:$A$101,0)),""))</ns0:f>
        <ns0:v/>
      </ns0:c>
      <ns0:c r="H1418" s="28" t="str">
        <ns0:f>IF(A1418="","",IF(C1418&lt;=0,"Satış dışı",IF(OR(F1418="",G1418=""),"Eşleşmedi","Eşleşti")))</ns0:f>
        <ns0:v/>
      </ns0:c>
      <ns0:c r="I1418" s="28">
        <ns0:f>I1417+IF(AND(H1418="Eşleşmedi",E1418='Panel'!$B$4),1,0)</ns0:f>
        <ns0:v>3.0</ns0:v>
      </ns0:c>
    </ns0:row>
    <ns0:row r="1419" ht="21" customHeight="1">
      <ns0:c r="A1419" s="25" t="n"/>
      <ns0:c r="B1419" s="26" t="n"/>
      <ns0:c r="C1419" s="27" t="n"/>
      <ns0:c r="D1419" s="27" t="n"/>
      <ns0:c r="E1419" s="28" t="str">
        <ns0:f>IF(A1419="","",YEAR(A1419)&amp;"-"&amp;RIGHT("0"&amp;MONTH(A1419),2))</ns0:f>
        <ns0:v/>
      </ns0:c>
      <ns0:c r="F1419" s="28" t="str">
        <ns0:f>IF(OR(A1419="",B1419="",C1419&lt;=0),"",IF(SUMPRODUCT(('Müşteriler'!$B$2:$B$101&lt;&gt;"")*ISNUMBER(SEARCH('Müşteriler'!$B$2:$B$101,B1419)))=1,IFERROR(INDEX('Müşteriler'!$A$2:$A$101,SUMPRODUCT(('Müşteriler'!$B$2:$B$101&lt;&gt;"")*ISNUMBER(SEARCH('Müşteriler'!$B$2:$B$101,B1419)),ROW('Müşteriler'!$B$2:$B$101)-ROW('Müşteriler'!$B$2)+1)),""),""))</ns0:f>
        <ns0:v/>
      </ns0:c>
      <ns0:c r="G1419" s="28" t="str">
        <ns0:f>IF(F1419="","",IFERROR(INDEX('Müşteriler'!$C$2:$C$101,MATCH(F1419,'Müşteriler'!$A$2:$A$101,0)),""))</ns0:f>
        <ns0:v/>
      </ns0:c>
      <ns0:c r="H1419" s="28" t="str">
        <ns0:f>IF(A1419="","",IF(C1419&lt;=0,"Satış dışı",IF(OR(F1419="",G1419=""),"Eşleşmedi","Eşleşti")))</ns0:f>
        <ns0:v/>
      </ns0:c>
      <ns0:c r="I1419" s="28">
        <ns0:f>I1418+IF(AND(H1419="Eşleşmedi",E1419='Panel'!$B$4),1,0)</ns0:f>
        <ns0:v>3.0</ns0:v>
      </ns0:c>
    </ns0:row>
    <ns0:row r="1420" ht="21" customHeight="1">
      <ns0:c r="A1420" s="25" t="n"/>
      <ns0:c r="B1420" s="26" t="n"/>
      <ns0:c r="C1420" s="27" t="n"/>
      <ns0:c r="D1420" s="27" t="n"/>
      <ns0:c r="E1420" s="28" t="str">
        <ns0:f>IF(A1420="","",YEAR(A1420)&amp;"-"&amp;RIGHT("0"&amp;MONTH(A1420),2))</ns0:f>
        <ns0:v/>
      </ns0:c>
      <ns0:c r="F1420" s="28" t="str">
        <ns0:f>IF(OR(A1420="",B1420="",C1420&lt;=0),"",IF(SUMPRODUCT(('Müşteriler'!$B$2:$B$101&lt;&gt;"")*ISNUMBER(SEARCH('Müşteriler'!$B$2:$B$101,B1420)))=1,IFERROR(INDEX('Müşteriler'!$A$2:$A$101,SUMPRODUCT(('Müşteriler'!$B$2:$B$101&lt;&gt;"")*ISNUMBER(SEARCH('Müşteriler'!$B$2:$B$101,B1420)),ROW('Müşteriler'!$B$2:$B$101)-ROW('Müşteriler'!$B$2)+1)),""),""))</ns0:f>
        <ns0:v/>
      </ns0:c>
      <ns0:c r="G1420" s="28" t="str">
        <ns0:f>IF(F1420="","",IFERROR(INDEX('Müşteriler'!$C$2:$C$101,MATCH(F1420,'Müşteriler'!$A$2:$A$101,0)),""))</ns0:f>
        <ns0:v/>
      </ns0:c>
      <ns0:c r="H1420" s="28" t="str">
        <ns0:f>IF(A1420="","",IF(C1420&lt;=0,"Satış dışı",IF(OR(F1420="",G1420=""),"Eşleşmedi","Eşleşti")))</ns0:f>
        <ns0:v/>
      </ns0:c>
      <ns0:c r="I1420" s="28">
        <ns0:f>I1419+IF(AND(H1420="Eşleşmedi",E1420='Panel'!$B$4),1,0)</ns0:f>
        <ns0:v>3.0</ns0:v>
      </ns0:c>
    </ns0:row>
    <ns0:row r="1421" ht="21" customHeight="1">
      <ns0:c r="A1421" s="25" t="n"/>
      <ns0:c r="B1421" s="26" t="n"/>
      <ns0:c r="C1421" s="27" t="n"/>
      <ns0:c r="D1421" s="27" t="n"/>
      <ns0:c r="E1421" s="28" t="str">
        <ns0:f>IF(A1421="","",YEAR(A1421)&amp;"-"&amp;RIGHT("0"&amp;MONTH(A1421),2))</ns0:f>
        <ns0:v/>
      </ns0:c>
      <ns0:c r="F1421" s="28" t="str">
        <ns0:f>IF(OR(A1421="",B1421="",C1421&lt;=0),"",IF(SUMPRODUCT(('Müşteriler'!$B$2:$B$101&lt;&gt;"")*ISNUMBER(SEARCH('Müşteriler'!$B$2:$B$101,B1421)))=1,IFERROR(INDEX('Müşteriler'!$A$2:$A$101,SUMPRODUCT(('Müşteriler'!$B$2:$B$101&lt;&gt;"")*ISNUMBER(SEARCH('Müşteriler'!$B$2:$B$101,B1421)),ROW('Müşteriler'!$B$2:$B$101)-ROW('Müşteriler'!$B$2)+1)),""),""))</ns0:f>
        <ns0:v/>
      </ns0:c>
      <ns0:c r="G1421" s="28" t="str">
        <ns0:f>IF(F1421="","",IFERROR(INDEX('Müşteriler'!$C$2:$C$101,MATCH(F1421,'Müşteriler'!$A$2:$A$101,0)),""))</ns0:f>
        <ns0:v/>
      </ns0:c>
      <ns0:c r="H1421" s="28" t="str">
        <ns0:f>IF(A1421="","",IF(C1421&lt;=0,"Satış dışı",IF(OR(F1421="",G1421=""),"Eşleşmedi","Eşleşti")))</ns0:f>
        <ns0:v/>
      </ns0:c>
      <ns0:c r="I1421" s="28">
        <ns0:f>I1420+IF(AND(H1421="Eşleşmedi",E1421='Panel'!$B$4),1,0)</ns0:f>
        <ns0:v>3.0</ns0:v>
      </ns0:c>
    </ns0:row>
    <ns0:row r="1422" ht="21" customHeight="1">
      <ns0:c r="A1422" s="25" t="n"/>
      <ns0:c r="B1422" s="26" t="n"/>
      <ns0:c r="C1422" s="27" t="n"/>
      <ns0:c r="D1422" s="27" t="n"/>
      <ns0:c r="E1422" s="28" t="str">
        <ns0:f>IF(A1422="","",YEAR(A1422)&amp;"-"&amp;RIGHT("0"&amp;MONTH(A1422),2))</ns0:f>
        <ns0:v/>
      </ns0:c>
      <ns0:c r="F1422" s="28" t="str">
        <ns0:f>IF(OR(A1422="",B1422="",C1422&lt;=0),"",IF(SUMPRODUCT(('Müşteriler'!$B$2:$B$101&lt;&gt;"")*ISNUMBER(SEARCH('Müşteriler'!$B$2:$B$101,B1422)))=1,IFERROR(INDEX('Müşteriler'!$A$2:$A$101,SUMPRODUCT(('Müşteriler'!$B$2:$B$101&lt;&gt;"")*ISNUMBER(SEARCH('Müşteriler'!$B$2:$B$101,B1422)),ROW('Müşteriler'!$B$2:$B$101)-ROW('Müşteriler'!$B$2)+1)),""),""))</ns0:f>
        <ns0:v/>
      </ns0:c>
      <ns0:c r="G1422" s="28" t="str">
        <ns0:f>IF(F1422="","",IFERROR(INDEX('Müşteriler'!$C$2:$C$101,MATCH(F1422,'Müşteriler'!$A$2:$A$101,0)),""))</ns0:f>
        <ns0:v/>
      </ns0:c>
      <ns0:c r="H1422" s="28" t="str">
        <ns0:f>IF(A1422="","",IF(C1422&lt;=0,"Satış dışı",IF(OR(F1422="",G1422=""),"Eşleşmedi","Eşleşti")))</ns0:f>
        <ns0:v/>
      </ns0:c>
      <ns0:c r="I1422" s="28">
        <ns0:f>I1421+IF(AND(H1422="Eşleşmedi",E1422='Panel'!$B$4),1,0)</ns0:f>
        <ns0:v>3.0</ns0:v>
      </ns0:c>
    </ns0:row>
    <ns0:row r="1423" ht="21" customHeight="1">
      <ns0:c r="A1423" s="25" t="n"/>
      <ns0:c r="B1423" s="26" t="n"/>
      <ns0:c r="C1423" s="27" t="n"/>
      <ns0:c r="D1423" s="27" t="n"/>
      <ns0:c r="E1423" s="28" t="str">
        <ns0:f>IF(A1423="","",YEAR(A1423)&amp;"-"&amp;RIGHT("0"&amp;MONTH(A1423),2))</ns0:f>
        <ns0:v/>
      </ns0:c>
      <ns0:c r="F1423" s="28" t="str">
        <ns0:f>IF(OR(A1423="",B1423="",C1423&lt;=0),"",IF(SUMPRODUCT(('Müşteriler'!$B$2:$B$101&lt;&gt;"")*ISNUMBER(SEARCH('Müşteriler'!$B$2:$B$101,B1423)))=1,IFERROR(INDEX('Müşteriler'!$A$2:$A$101,SUMPRODUCT(('Müşteriler'!$B$2:$B$101&lt;&gt;"")*ISNUMBER(SEARCH('Müşteriler'!$B$2:$B$101,B1423)),ROW('Müşteriler'!$B$2:$B$101)-ROW('Müşteriler'!$B$2)+1)),""),""))</ns0:f>
        <ns0:v/>
      </ns0:c>
      <ns0:c r="G1423" s="28" t="str">
        <ns0:f>IF(F1423="","",IFERROR(INDEX('Müşteriler'!$C$2:$C$101,MATCH(F1423,'Müşteriler'!$A$2:$A$101,0)),""))</ns0:f>
        <ns0:v/>
      </ns0:c>
      <ns0:c r="H1423" s="28" t="str">
        <ns0:f>IF(A1423="","",IF(C1423&lt;=0,"Satış dışı",IF(OR(F1423="",G1423=""),"Eşleşmedi","Eşleşti")))</ns0:f>
        <ns0:v/>
      </ns0:c>
      <ns0:c r="I1423" s="28">
        <ns0:f>I1422+IF(AND(H1423="Eşleşmedi",E1423='Panel'!$B$4),1,0)</ns0:f>
        <ns0:v>3.0</ns0:v>
      </ns0:c>
    </ns0:row>
    <ns0:row r="1424" ht="21" customHeight="1">
      <ns0:c r="A1424" s="25" t="n"/>
      <ns0:c r="B1424" s="26" t="n"/>
      <ns0:c r="C1424" s="27" t="n"/>
      <ns0:c r="D1424" s="27" t="n"/>
      <ns0:c r="E1424" s="28" t="str">
        <ns0:f>IF(A1424="","",YEAR(A1424)&amp;"-"&amp;RIGHT("0"&amp;MONTH(A1424),2))</ns0:f>
        <ns0:v/>
      </ns0:c>
      <ns0:c r="F1424" s="28" t="str">
        <ns0:f>IF(OR(A1424="",B1424="",C1424&lt;=0),"",IF(SUMPRODUCT(('Müşteriler'!$B$2:$B$101&lt;&gt;"")*ISNUMBER(SEARCH('Müşteriler'!$B$2:$B$101,B1424)))=1,IFERROR(INDEX('Müşteriler'!$A$2:$A$101,SUMPRODUCT(('Müşteriler'!$B$2:$B$101&lt;&gt;"")*ISNUMBER(SEARCH('Müşteriler'!$B$2:$B$101,B1424)),ROW('Müşteriler'!$B$2:$B$101)-ROW('Müşteriler'!$B$2)+1)),""),""))</ns0:f>
        <ns0:v/>
      </ns0:c>
      <ns0:c r="G1424" s="28" t="str">
        <ns0:f>IF(F1424="","",IFERROR(INDEX('Müşteriler'!$C$2:$C$101,MATCH(F1424,'Müşteriler'!$A$2:$A$101,0)),""))</ns0:f>
        <ns0:v/>
      </ns0:c>
      <ns0:c r="H1424" s="28" t="str">
        <ns0:f>IF(A1424="","",IF(C1424&lt;=0,"Satış dışı",IF(OR(F1424="",G1424=""),"Eşleşmedi","Eşleşti")))</ns0:f>
        <ns0:v/>
      </ns0:c>
      <ns0:c r="I1424" s="28">
        <ns0:f>I1423+IF(AND(H1424="Eşleşmedi",E1424='Panel'!$B$4),1,0)</ns0:f>
        <ns0:v>3.0</ns0:v>
      </ns0:c>
    </ns0:row>
    <ns0:row r="1425" ht="21" customHeight="1">
      <ns0:c r="A1425" s="25" t="n"/>
      <ns0:c r="B1425" s="26" t="n"/>
      <ns0:c r="C1425" s="27" t="n"/>
      <ns0:c r="D1425" s="27" t="n"/>
      <ns0:c r="E1425" s="28" t="str">
        <ns0:f>IF(A1425="","",YEAR(A1425)&amp;"-"&amp;RIGHT("0"&amp;MONTH(A1425),2))</ns0:f>
        <ns0:v/>
      </ns0:c>
      <ns0:c r="F1425" s="28" t="str">
        <ns0:f>IF(OR(A1425="",B1425="",C1425&lt;=0),"",IF(SUMPRODUCT(('Müşteriler'!$B$2:$B$101&lt;&gt;"")*ISNUMBER(SEARCH('Müşteriler'!$B$2:$B$101,B1425)))=1,IFERROR(INDEX('Müşteriler'!$A$2:$A$101,SUMPRODUCT(('Müşteriler'!$B$2:$B$101&lt;&gt;"")*ISNUMBER(SEARCH('Müşteriler'!$B$2:$B$101,B1425)),ROW('Müşteriler'!$B$2:$B$101)-ROW('Müşteriler'!$B$2)+1)),""),""))</ns0:f>
        <ns0:v/>
      </ns0:c>
      <ns0:c r="G1425" s="28" t="str">
        <ns0:f>IF(F1425="","",IFERROR(INDEX('Müşteriler'!$C$2:$C$101,MATCH(F1425,'Müşteriler'!$A$2:$A$101,0)),""))</ns0:f>
        <ns0:v/>
      </ns0:c>
      <ns0:c r="H1425" s="28" t="str">
        <ns0:f>IF(A1425="","",IF(C1425&lt;=0,"Satış dışı",IF(OR(F1425="",G1425=""),"Eşleşmedi","Eşleşti")))</ns0:f>
        <ns0:v/>
      </ns0:c>
      <ns0:c r="I1425" s="28">
        <ns0:f>I1424+IF(AND(H1425="Eşleşmedi",E1425='Panel'!$B$4),1,0)</ns0:f>
        <ns0:v>3.0</ns0:v>
      </ns0:c>
    </ns0:row>
    <ns0:row r="1426" ht="21" customHeight="1">
      <ns0:c r="A1426" s="25" t="n"/>
      <ns0:c r="B1426" s="26" t="n"/>
      <ns0:c r="C1426" s="27" t="n"/>
      <ns0:c r="D1426" s="27" t="n"/>
      <ns0:c r="E1426" s="28" t="str">
        <ns0:f>IF(A1426="","",YEAR(A1426)&amp;"-"&amp;RIGHT("0"&amp;MONTH(A1426),2))</ns0:f>
        <ns0:v/>
      </ns0:c>
      <ns0:c r="F1426" s="28" t="str">
        <ns0:f>IF(OR(A1426="",B1426="",C1426&lt;=0),"",IF(SUMPRODUCT(('Müşteriler'!$B$2:$B$101&lt;&gt;"")*ISNUMBER(SEARCH('Müşteriler'!$B$2:$B$101,B1426)))=1,IFERROR(INDEX('Müşteriler'!$A$2:$A$101,SUMPRODUCT(('Müşteriler'!$B$2:$B$101&lt;&gt;"")*ISNUMBER(SEARCH('Müşteriler'!$B$2:$B$101,B1426)),ROW('Müşteriler'!$B$2:$B$101)-ROW('Müşteriler'!$B$2)+1)),""),""))</ns0:f>
        <ns0:v/>
      </ns0:c>
      <ns0:c r="G1426" s="28" t="str">
        <ns0:f>IF(F1426="","",IFERROR(INDEX('Müşteriler'!$C$2:$C$101,MATCH(F1426,'Müşteriler'!$A$2:$A$101,0)),""))</ns0:f>
        <ns0:v/>
      </ns0:c>
      <ns0:c r="H1426" s="28" t="str">
        <ns0:f>IF(A1426="","",IF(C1426&lt;=0,"Satış dışı",IF(OR(F1426="",G1426=""),"Eşleşmedi","Eşleşti")))</ns0:f>
        <ns0:v/>
      </ns0:c>
      <ns0:c r="I1426" s="28">
        <ns0:f>I1425+IF(AND(H1426="Eşleşmedi",E1426='Panel'!$B$4),1,0)</ns0:f>
        <ns0:v>3.0</ns0:v>
      </ns0:c>
    </ns0:row>
    <ns0:row r="1427" ht="21" customHeight="1">
      <ns0:c r="A1427" s="25" t="n"/>
      <ns0:c r="B1427" s="26" t="n"/>
      <ns0:c r="C1427" s="27" t="n"/>
      <ns0:c r="D1427" s="27" t="n"/>
      <ns0:c r="E1427" s="28" t="str">
        <ns0:f>IF(A1427="","",YEAR(A1427)&amp;"-"&amp;RIGHT("0"&amp;MONTH(A1427),2))</ns0:f>
        <ns0:v/>
      </ns0:c>
      <ns0:c r="F1427" s="28" t="str">
        <ns0:f>IF(OR(A1427="",B1427="",C1427&lt;=0),"",IF(SUMPRODUCT(('Müşteriler'!$B$2:$B$101&lt;&gt;"")*ISNUMBER(SEARCH('Müşteriler'!$B$2:$B$101,B1427)))=1,IFERROR(INDEX('Müşteriler'!$A$2:$A$101,SUMPRODUCT(('Müşteriler'!$B$2:$B$101&lt;&gt;"")*ISNUMBER(SEARCH('Müşteriler'!$B$2:$B$101,B1427)),ROW('Müşteriler'!$B$2:$B$101)-ROW('Müşteriler'!$B$2)+1)),""),""))</ns0:f>
        <ns0:v/>
      </ns0:c>
      <ns0:c r="G1427" s="28" t="str">
        <ns0:f>IF(F1427="","",IFERROR(INDEX('Müşteriler'!$C$2:$C$101,MATCH(F1427,'Müşteriler'!$A$2:$A$101,0)),""))</ns0:f>
        <ns0:v/>
      </ns0:c>
      <ns0:c r="H1427" s="28" t="str">
        <ns0:f>IF(A1427="","",IF(C1427&lt;=0,"Satış dışı",IF(OR(F1427="",G1427=""),"Eşleşmedi","Eşleşti")))</ns0:f>
        <ns0:v/>
      </ns0:c>
      <ns0:c r="I1427" s="28">
        <ns0:f>I1426+IF(AND(H1427="Eşleşmedi",E1427='Panel'!$B$4),1,0)</ns0:f>
        <ns0:v>3.0</ns0:v>
      </ns0:c>
    </ns0:row>
    <ns0:row r="1428" ht="21" customHeight="1">
      <ns0:c r="A1428" s="25" t="n"/>
      <ns0:c r="B1428" s="26" t="n"/>
      <ns0:c r="C1428" s="27" t="n"/>
      <ns0:c r="D1428" s="27" t="n"/>
      <ns0:c r="E1428" s="28" t="str">
        <ns0:f>IF(A1428="","",YEAR(A1428)&amp;"-"&amp;RIGHT("0"&amp;MONTH(A1428),2))</ns0:f>
        <ns0:v/>
      </ns0:c>
      <ns0:c r="F1428" s="28" t="str">
        <ns0:f>IF(OR(A1428="",B1428="",C1428&lt;=0),"",IF(SUMPRODUCT(('Müşteriler'!$B$2:$B$101&lt;&gt;"")*ISNUMBER(SEARCH('Müşteriler'!$B$2:$B$101,B1428)))=1,IFERROR(INDEX('Müşteriler'!$A$2:$A$101,SUMPRODUCT(('Müşteriler'!$B$2:$B$101&lt;&gt;"")*ISNUMBER(SEARCH('Müşteriler'!$B$2:$B$101,B1428)),ROW('Müşteriler'!$B$2:$B$101)-ROW('Müşteriler'!$B$2)+1)),""),""))</ns0:f>
        <ns0:v/>
      </ns0:c>
      <ns0:c r="G1428" s="28" t="str">
        <ns0:f>IF(F1428="","",IFERROR(INDEX('Müşteriler'!$C$2:$C$101,MATCH(F1428,'Müşteriler'!$A$2:$A$101,0)),""))</ns0:f>
        <ns0:v/>
      </ns0:c>
      <ns0:c r="H1428" s="28" t="str">
        <ns0:f>IF(A1428="","",IF(C1428&lt;=0,"Satış dışı",IF(OR(F1428="",G1428=""),"Eşleşmedi","Eşleşti")))</ns0:f>
        <ns0:v/>
      </ns0:c>
      <ns0:c r="I1428" s="28">
        <ns0:f>I1427+IF(AND(H1428="Eşleşmedi",E1428='Panel'!$B$4),1,0)</ns0:f>
        <ns0:v>3.0</ns0:v>
      </ns0:c>
    </ns0:row>
    <ns0:row r="1429" ht="21" customHeight="1">
      <ns0:c r="A1429" s="25" t="n"/>
      <ns0:c r="B1429" s="26" t="n"/>
      <ns0:c r="C1429" s="27" t="n"/>
      <ns0:c r="D1429" s="27" t="n"/>
      <ns0:c r="E1429" s="28" t="str">
        <ns0:f>IF(A1429="","",YEAR(A1429)&amp;"-"&amp;RIGHT("0"&amp;MONTH(A1429),2))</ns0:f>
        <ns0:v/>
      </ns0:c>
      <ns0:c r="F1429" s="28" t="str">
        <ns0:f>IF(OR(A1429="",B1429="",C1429&lt;=0),"",IF(SUMPRODUCT(('Müşteriler'!$B$2:$B$101&lt;&gt;"")*ISNUMBER(SEARCH('Müşteriler'!$B$2:$B$101,B1429)))=1,IFERROR(INDEX('Müşteriler'!$A$2:$A$101,SUMPRODUCT(('Müşteriler'!$B$2:$B$101&lt;&gt;"")*ISNUMBER(SEARCH('Müşteriler'!$B$2:$B$101,B1429)),ROW('Müşteriler'!$B$2:$B$101)-ROW('Müşteriler'!$B$2)+1)),""),""))</ns0:f>
        <ns0:v/>
      </ns0:c>
      <ns0:c r="G1429" s="28" t="str">
        <ns0:f>IF(F1429="","",IFERROR(INDEX('Müşteriler'!$C$2:$C$101,MATCH(F1429,'Müşteriler'!$A$2:$A$101,0)),""))</ns0:f>
        <ns0:v/>
      </ns0:c>
      <ns0:c r="H1429" s="28" t="str">
        <ns0:f>IF(A1429="","",IF(C1429&lt;=0,"Satış dışı",IF(OR(F1429="",G1429=""),"Eşleşmedi","Eşleşti")))</ns0:f>
        <ns0:v/>
      </ns0:c>
      <ns0:c r="I1429" s="28">
        <ns0:f>I1428+IF(AND(H1429="Eşleşmedi",E1429='Panel'!$B$4),1,0)</ns0:f>
        <ns0:v>3.0</ns0:v>
      </ns0:c>
    </ns0:row>
    <ns0:row r="1430" ht="21" customHeight="1">
      <ns0:c r="A1430" s="25" t="n"/>
      <ns0:c r="B1430" s="26" t="n"/>
      <ns0:c r="C1430" s="27" t="n"/>
      <ns0:c r="D1430" s="27" t="n"/>
      <ns0:c r="E1430" s="28" t="str">
        <ns0:f>IF(A1430="","",YEAR(A1430)&amp;"-"&amp;RIGHT("0"&amp;MONTH(A1430),2))</ns0:f>
        <ns0:v/>
      </ns0:c>
      <ns0:c r="F1430" s="28" t="str">
        <ns0:f>IF(OR(A1430="",B1430="",C1430&lt;=0),"",IF(SUMPRODUCT(('Müşteriler'!$B$2:$B$101&lt;&gt;"")*ISNUMBER(SEARCH('Müşteriler'!$B$2:$B$101,B1430)))=1,IFERROR(INDEX('Müşteriler'!$A$2:$A$101,SUMPRODUCT(('Müşteriler'!$B$2:$B$101&lt;&gt;"")*ISNUMBER(SEARCH('Müşteriler'!$B$2:$B$101,B1430)),ROW('Müşteriler'!$B$2:$B$101)-ROW('Müşteriler'!$B$2)+1)),""),""))</ns0:f>
        <ns0:v/>
      </ns0:c>
      <ns0:c r="G1430" s="28" t="str">
        <ns0:f>IF(F1430="","",IFERROR(INDEX('Müşteriler'!$C$2:$C$101,MATCH(F1430,'Müşteriler'!$A$2:$A$101,0)),""))</ns0:f>
        <ns0:v/>
      </ns0:c>
      <ns0:c r="H1430" s="28" t="str">
        <ns0:f>IF(A1430="","",IF(C1430&lt;=0,"Satış dışı",IF(OR(F1430="",G1430=""),"Eşleşmedi","Eşleşti")))</ns0:f>
        <ns0:v/>
      </ns0:c>
      <ns0:c r="I1430" s="28">
        <ns0:f>I1429+IF(AND(H1430="Eşleşmedi",E1430='Panel'!$B$4),1,0)</ns0:f>
        <ns0:v>3.0</ns0:v>
      </ns0:c>
    </ns0:row>
    <ns0:row r="1431" ht="21" customHeight="1">
      <ns0:c r="A1431" s="25" t="n"/>
      <ns0:c r="B1431" s="26" t="n"/>
      <ns0:c r="C1431" s="27" t="n"/>
      <ns0:c r="D1431" s="27" t="n"/>
      <ns0:c r="E1431" s="28" t="str">
        <ns0:f>IF(A1431="","",YEAR(A1431)&amp;"-"&amp;RIGHT("0"&amp;MONTH(A1431),2))</ns0:f>
        <ns0:v/>
      </ns0:c>
      <ns0:c r="F1431" s="28" t="str">
        <ns0:f>IF(OR(A1431="",B1431="",C1431&lt;=0),"",IF(SUMPRODUCT(('Müşteriler'!$B$2:$B$101&lt;&gt;"")*ISNUMBER(SEARCH('Müşteriler'!$B$2:$B$101,B1431)))=1,IFERROR(INDEX('Müşteriler'!$A$2:$A$101,SUMPRODUCT(('Müşteriler'!$B$2:$B$101&lt;&gt;"")*ISNUMBER(SEARCH('Müşteriler'!$B$2:$B$101,B1431)),ROW('Müşteriler'!$B$2:$B$101)-ROW('Müşteriler'!$B$2)+1)),""),""))</ns0:f>
        <ns0:v/>
      </ns0:c>
      <ns0:c r="G1431" s="28" t="str">
        <ns0:f>IF(F1431="","",IFERROR(INDEX('Müşteriler'!$C$2:$C$101,MATCH(F1431,'Müşteriler'!$A$2:$A$101,0)),""))</ns0:f>
        <ns0:v/>
      </ns0:c>
      <ns0:c r="H1431" s="28" t="str">
        <ns0:f>IF(A1431="","",IF(C1431&lt;=0,"Satış dışı",IF(OR(F1431="",G1431=""),"Eşleşmedi","Eşleşti")))</ns0:f>
        <ns0:v/>
      </ns0:c>
      <ns0:c r="I1431" s="28">
        <ns0:f>I1430+IF(AND(H1431="Eşleşmedi",E1431='Panel'!$B$4),1,0)</ns0:f>
        <ns0:v>3.0</ns0:v>
      </ns0:c>
    </ns0:row>
    <ns0:row r="1432" ht="21" customHeight="1">
      <ns0:c r="A1432" s="25" t="n"/>
      <ns0:c r="B1432" s="26" t="n"/>
      <ns0:c r="C1432" s="27" t="n"/>
      <ns0:c r="D1432" s="27" t="n"/>
      <ns0:c r="E1432" s="28" t="str">
        <ns0:f>IF(A1432="","",YEAR(A1432)&amp;"-"&amp;RIGHT("0"&amp;MONTH(A1432),2))</ns0:f>
        <ns0:v/>
      </ns0:c>
      <ns0:c r="F1432" s="28" t="str">
        <ns0:f>IF(OR(A1432="",B1432="",C1432&lt;=0),"",IF(SUMPRODUCT(('Müşteriler'!$B$2:$B$101&lt;&gt;"")*ISNUMBER(SEARCH('Müşteriler'!$B$2:$B$101,B1432)))=1,IFERROR(INDEX('Müşteriler'!$A$2:$A$101,SUMPRODUCT(('Müşteriler'!$B$2:$B$101&lt;&gt;"")*ISNUMBER(SEARCH('Müşteriler'!$B$2:$B$101,B1432)),ROW('Müşteriler'!$B$2:$B$101)-ROW('Müşteriler'!$B$2)+1)),""),""))</ns0:f>
        <ns0:v/>
      </ns0:c>
      <ns0:c r="G1432" s="28" t="str">
        <ns0:f>IF(F1432="","",IFERROR(INDEX('Müşteriler'!$C$2:$C$101,MATCH(F1432,'Müşteriler'!$A$2:$A$101,0)),""))</ns0:f>
        <ns0:v/>
      </ns0:c>
      <ns0:c r="H1432" s="28" t="str">
        <ns0:f>IF(A1432="","",IF(C1432&lt;=0,"Satış dışı",IF(OR(F1432="",G1432=""),"Eşleşmedi","Eşleşti")))</ns0:f>
        <ns0:v/>
      </ns0:c>
      <ns0:c r="I1432" s="28">
        <ns0:f>I1431+IF(AND(H1432="Eşleşmedi",E1432='Panel'!$B$4),1,0)</ns0:f>
        <ns0:v>3.0</ns0:v>
      </ns0:c>
    </ns0:row>
    <ns0:row r="1433" ht="21" customHeight="1">
      <ns0:c r="A1433" s="25" t="n"/>
      <ns0:c r="B1433" s="26" t="n"/>
      <ns0:c r="C1433" s="27" t="n"/>
      <ns0:c r="D1433" s="27" t="n"/>
      <ns0:c r="E1433" s="28" t="str">
        <ns0:f>IF(A1433="","",YEAR(A1433)&amp;"-"&amp;RIGHT("0"&amp;MONTH(A1433),2))</ns0:f>
        <ns0:v/>
      </ns0:c>
      <ns0:c r="F1433" s="28" t="str">
        <ns0:f>IF(OR(A1433="",B1433="",C1433&lt;=0),"",IF(SUMPRODUCT(('Müşteriler'!$B$2:$B$101&lt;&gt;"")*ISNUMBER(SEARCH('Müşteriler'!$B$2:$B$101,B1433)))=1,IFERROR(INDEX('Müşteriler'!$A$2:$A$101,SUMPRODUCT(('Müşteriler'!$B$2:$B$101&lt;&gt;"")*ISNUMBER(SEARCH('Müşteriler'!$B$2:$B$101,B1433)),ROW('Müşteriler'!$B$2:$B$101)-ROW('Müşteriler'!$B$2)+1)),""),""))</ns0:f>
        <ns0:v/>
      </ns0:c>
      <ns0:c r="G1433" s="28" t="str">
        <ns0:f>IF(F1433="","",IFERROR(INDEX('Müşteriler'!$C$2:$C$101,MATCH(F1433,'Müşteriler'!$A$2:$A$101,0)),""))</ns0:f>
        <ns0:v/>
      </ns0:c>
      <ns0:c r="H1433" s="28" t="str">
        <ns0:f>IF(A1433="","",IF(C1433&lt;=0,"Satış dışı",IF(OR(F1433="",G1433=""),"Eşleşmedi","Eşleşti")))</ns0:f>
        <ns0:v/>
      </ns0:c>
      <ns0:c r="I1433" s="28">
        <ns0:f>I1432+IF(AND(H1433="Eşleşmedi",E1433='Panel'!$B$4),1,0)</ns0:f>
        <ns0:v>3.0</ns0:v>
      </ns0:c>
    </ns0:row>
    <ns0:row r="1434" ht="21" customHeight="1">
      <ns0:c r="A1434" s="25" t="n"/>
      <ns0:c r="B1434" s="26" t="n"/>
      <ns0:c r="C1434" s="27" t="n"/>
      <ns0:c r="D1434" s="27" t="n"/>
      <ns0:c r="E1434" s="28" t="str">
        <ns0:f>IF(A1434="","",YEAR(A1434)&amp;"-"&amp;RIGHT("0"&amp;MONTH(A1434),2))</ns0:f>
        <ns0:v/>
      </ns0:c>
      <ns0:c r="F1434" s="28" t="str">
        <ns0:f>IF(OR(A1434="",B1434="",C1434&lt;=0),"",IF(SUMPRODUCT(('Müşteriler'!$B$2:$B$101&lt;&gt;"")*ISNUMBER(SEARCH('Müşteriler'!$B$2:$B$101,B1434)))=1,IFERROR(INDEX('Müşteriler'!$A$2:$A$101,SUMPRODUCT(('Müşteriler'!$B$2:$B$101&lt;&gt;"")*ISNUMBER(SEARCH('Müşteriler'!$B$2:$B$101,B1434)),ROW('Müşteriler'!$B$2:$B$101)-ROW('Müşteriler'!$B$2)+1)),""),""))</ns0:f>
        <ns0:v/>
      </ns0:c>
      <ns0:c r="G1434" s="28" t="str">
        <ns0:f>IF(F1434="","",IFERROR(INDEX('Müşteriler'!$C$2:$C$101,MATCH(F1434,'Müşteriler'!$A$2:$A$101,0)),""))</ns0:f>
        <ns0:v/>
      </ns0:c>
      <ns0:c r="H1434" s="28" t="str">
        <ns0:f>IF(A1434="","",IF(C1434&lt;=0,"Satış dışı",IF(OR(F1434="",G1434=""),"Eşleşmedi","Eşleşti")))</ns0:f>
        <ns0:v/>
      </ns0:c>
      <ns0:c r="I1434" s="28">
        <ns0:f>I1433+IF(AND(H1434="Eşleşmedi",E1434='Panel'!$B$4),1,0)</ns0:f>
        <ns0:v>3.0</ns0:v>
      </ns0:c>
    </ns0:row>
    <ns0:row r="1435" ht="21" customHeight="1">
      <ns0:c r="A1435" s="25" t="n"/>
      <ns0:c r="B1435" s="26" t="n"/>
      <ns0:c r="C1435" s="27" t="n"/>
      <ns0:c r="D1435" s="27" t="n"/>
      <ns0:c r="E1435" s="28" t="str">
        <ns0:f>IF(A1435="","",YEAR(A1435)&amp;"-"&amp;RIGHT("0"&amp;MONTH(A1435),2))</ns0:f>
        <ns0:v/>
      </ns0:c>
      <ns0:c r="F1435" s="28" t="str">
        <ns0:f>IF(OR(A1435="",B1435="",C1435&lt;=0),"",IF(SUMPRODUCT(('Müşteriler'!$B$2:$B$101&lt;&gt;"")*ISNUMBER(SEARCH('Müşteriler'!$B$2:$B$101,B1435)))=1,IFERROR(INDEX('Müşteriler'!$A$2:$A$101,SUMPRODUCT(('Müşteriler'!$B$2:$B$101&lt;&gt;"")*ISNUMBER(SEARCH('Müşteriler'!$B$2:$B$101,B1435)),ROW('Müşteriler'!$B$2:$B$101)-ROW('Müşteriler'!$B$2)+1)),""),""))</ns0:f>
        <ns0:v/>
      </ns0:c>
      <ns0:c r="G1435" s="28" t="str">
        <ns0:f>IF(F1435="","",IFERROR(INDEX('Müşteriler'!$C$2:$C$101,MATCH(F1435,'Müşteriler'!$A$2:$A$101,0)),""))</ns0:f>
        <ns0:v/>
      </ns0:c>
      <ns0:c r="H1435" s="28" t="str">
        <ns0:f>IF(A1435="","",IF(C1435&lt;=0,"Satış dışı",IF(OR(F1435="",G1435=""),"Eşleşmedi","Eşleşti")))</ns0:f>
        <ns0:v/>
      </ns0:c>
      <ns0:c r="I1435" s="28">
        <ns0:f>I1434+IF(AND(H1435="Eşleşmedi",E1435='Panel'!$B$4),1,0)</ns0:f>
        <ns0:v>3.0</ns0:v>
      </ns0:c>
    </ns0:row>
    <ns0:row r="1436" ht="21" customHeight="1">
      <ns0:c r="A1436" s="25" t="n"/>
      <ns0:c r="B1436" s="26" t="n"/>
      <ns0:c r="C1436" s="27" t="n"/>
      <ns0:c r="D1436" s="27" t="n"/>
      <ns0:c r="E1436" s="28" t="str">
        <ns0:f>IF(A1436="","",YEAR(A1436)&amp;"-"&amp;RIGHT("0"&amp;MONTH(A1436),2))</ns0:f>
        <ns0:v/>
      </ns0:c>
      <ns0:c r="F1436" s="28" t="str">
        <ns0:f>IF(OR(A1436="",B1436="",C1436&lt;=0),"",IF(SUMPRODUCT(('Müşteriler'!$B$2:$B$101&lt;&gt;"")*ISNUMBER(SEARCH('Müşteriler'!$B$2:$B$101,B1436)))=1,IFERROR(INDEX('Müşteriler'!$A$2:$A$101,SUMPRODUCT(('Müşteriler'!$B$2:$B$101&lt;&gt;"")*ISNUMBER(SEARCH('Müşteriler'!$B$2:$B$101,B1436)),ROW('Müşteriler'!$B$2:$B$101)-ROW('Müşteriler'!$B$2)+1)),""),""))</ns0:f>
        <ns0:v/>
      </ns0:c>
      <ns0:c r="G1436" s="28" t="str">
        <ns0:f>IF(F1436="","",IFERROR(INDEX('Müşteriler'!$C$2:$C$101,MATCH(F1436,'Müşteriler'!$A$2:$A$101,0)),""))</ns0:f>
        <ns0:v/>
      </ns0:c>
      <ns0:c r="H1436" s="28" t="str">
        <ns0:f>IF(A1436="","",IF(C1436&lt;=0,"Satış dışı",IF(OR(F1436="",G1436=""),"Eşleşmedi","Eşleşti")))</ns0:f>
        <ns0:v/>
      </ns0:c>
      <ns0:c r="I1436" s="28">
        <ns0:f>I1435+IF(AND(H1436="Eşleşmedi",E1436='Panel'!$B$4),1,0)</ns0:f>
        <ns0:v>3.0</ns0:v>
      </ns0:c>
    </ns0:row>
    <ns0:row r="1437" ht="21" customHeight="1">
      <ns0:c r="A1437" s="25" t="n"/>
      <ns0:c r="B1437" s="26" t="n"/>
      <ns0:c r="C1437" s="27" t="n"/>
      <ns0:c r="D1437" s="27" t="n"/>
      <ns0:c r="E1437" s="28" t="str">
        <ns0:f>IF(A1437="","",YEAR(A1437)&amp;"-"&amp;RIGHT("0"&amp;MONTH(A1437),2))</ns0:f>
        <ns0:v/>
      </ns0:c>
      <ns0:c r="F1437" s="28" t="str">
        <ns0:f>IF(OR(A1437="",B1437="",C1437&lt;=0),"",IF(SUMPRODUCT(('Müşteriler'!$B$2:$B$101&lt;&gt;"")*ISNUMBER(SEARCH('Müşteriler'!$B$2:$B$101,B1437)))=1,IFERROR(INDEX('Müşteriler'!$A$2:$A$101,SUMPRODUCT(('Müşteriler'!$B$2:$B$101&lt;&gt;"")*ISNUMBER(SEARCH('Müşteriler'!$B$2:$B$101,B1437)),ROW('Müşteriler'!$B$2:$B$101)-ROW('Müşteriler'!$B$2)+1)),""),""))</ns0:f>
        <ns0:v/>
      </ns0:c>
      <ns0:c r="G1437" s="28" t="str">
        <ns0:f>IF(F1437="","",IFERROR(INDEX('Müşteriler'!$C$2:$C$101,MATCH(F1437,'Müşteriler'!$A$2:$A$101,0)),""))</ns0:f>
        <ns0:v/>
      </ns0:c>
      <ns0:c r="H1437" s="28" t="str">
        <ns0:f>IF(A1437="","",IF(C1437&lt;=0,"Satış dışı",IF(OR(F1437="",G1437=""),"Eşleşmedi","Eşleşti")))</ns0:f>
        <ns0:v/>
      </ns0:c>
      <ns0:c r="I1437" s="28">
        <ns0:f>I1436+IF(AND(H1437="Eşleşmedi",E1437='Panel'!$B$4),1,0)</ns0:f>
        <ns0:v>3.0</ns0:v>
      </ns0:c>
    </ns0:row>
    <ns0:row r="1438" ht="21" customHeight="1">
      <ns0:c r="A1438" s="25" t="n"/>
      <ns0:c r="B1438" s="26" t="n"/>
      <ns0:c r="C1438" s="27" t="n"/>
      <ns0:c r="D1438" s="27" t="n"/>
      <ns0:c r="E1438" s="28" t="str">
        <ns0:f>IF(A1438="","",YEAR(A1438)&amp;"-"&amp;RIGHT("0"&amp;MONTH(A1438),2))</ns0:f>
        <ns0:v/>
      </ns0:c>
      <ns0:c r="F1438" s="28" t="str">
        <ns0:f>IF(OR(A1438="",B1438="",C1438&lt;=0),"",IF(SUMPRODUCT(('Müşteriler'!$B$2:$B$101&lt;&gt;"")*ISNUMBER(SEARCH('Müşteriler'!$B$2:$B$101,B1438)))=1,IFERROR(INDEX('Müşteriler'!$A$2:$A$101,SUMPRODUCT(('Müşteriler'!$B$2:$B$101&lt;&gt;"")*ISNUMBER(SEARCH('Müşteriler'!$B$2:$B$101,B1438)),ROW('Müşteriler'!$B$2:$B$101)-ROW('Müşteriler'!$B$2)+1)),""),""))</ns0:f>
        <ns0:v/>
      </ns0:c>
      <ns0:c r="G1438" s="28" t="str">
        <ns0:f>IF(F1438="","",IFERROR(INDEX('Müşteriler'!$C$2:$C$101,MATCH(F1438,'Müşteriler'!$A$2:$A$101,0)),""))</ns0:f>
        <ns0:v/>
      </ns0:c>
      <ns0:c r="H1438" s="28" t="str">
        <ns0:f>IF(A1438="","",IF(C1438&lt;=0,"Satış dışı",IF(OR(F1438="",G1438=""),"Eşleşmedi","Eşleşti")))</ns0:f>
        <ns0:v/>
      </ns0:c>
      <ns0:c r="I1438" s="28">
        <ns0:f>I1437+IF(AND(H1438="Eşleşmedi",E1438='Panel'!$B$4),1,0)</ns0:f>
        <ns0:v>3.0</ns0:v>
      </ns0:c>
    </ns0:row>
    <ns0:row r="1439" ht="21" customHeight="1">
      <ns0:c r="A1439" s="25" t="n"/>
      <ns0:c r="B1439" s="26" t="n"/>
      <ns0:c r="C1439" s="27" t="n"/>
      <ns0:c r="D1439" s="27" t="n"/>
      <ns0:c r="E1439" s="28" t="str">
        <ns0:f>IF(A1439="","",YEAR(A1439)&amp;"-"&amp;RIGHT("0"&amp;MONTH(A1439),2))</ns0:f>
        <ns0:v/>
      </ns0:c>
      <ns0:c r="F1439" s="28" t="str">
        <ns0:f>IF(OR(A1439="",B1439="",C1439&lt;=0),"",IF(SUMPRODUCT(('Müşteriler'!$B$2:$B$101&lt;&gt;"")*ISNUMBER(SEARCH('Müşteriler'!$B$2:$B$101,B1439)))=1,IFERROR(INDEX('Müşteriler'!$A$2:$A$101,SUMPRODUCT(('Müşteriler'!$B$2:$B$101&lt;&gt;"")*ISNUMBER(SEARCH('Müşteriler'!$B$2:$B$101,B1439)),ROW('Müşteriler'!$B$2:$B$101)-ROW('Müşteriler'!$B$2)+1)),""),""))</ns0:f>
        <ns0:v/>
      </ns0:c>
      <ns0:c r="G1439" s="28" t="str">
        <ns0:f>IF(F1439="","",IFERROR(INDEX('Müşteriler'!$C$2:$C$101,MATCH(F1439,'Müşteriler'!$A$2:$A$101,0)),""))</ns0:f>
        <ns0:v/>
      </ns0:c>
      <ns0:c r="H1439" s="28" t="str">
        <ns0:f>IF(A1439="","",IF(C1439&lt;=0,"Satış dışı",IF(OR(F1439="",G1439=""),"Eşleşmedi","Eşleşti")))</ns0:f>
        <ns0:v/>
      </ns0:c>
      <ns0:c r="I1439" s="28">
        <ns0:f>I1438+IF(AND(H1439="Eşleşmedi",E1439='Panel'!$B$4),1,0)</ns0:f>
        <ns0:v>3.0</ns0:v>
      </ns0:c>
    </ns0:row>
    <ns0:row r="1440" ht="21" customHeight="1">
      <ns0:c r="A1440" s="25" t="n"/>
      <ns0:c r="B1440" s="26" t="n"/>
      <ns0:c r="C1440" s="27" t="n"/>
      <ns0:c r="D1440" s="27" t="n"/>
      <ns0:c r="E1440" s="28" t="str">
        <ns0:f>IF(A1440="","",YEAR(A1440)&amp;"-"&amp;RIGHT("0"&amp;MONTH(A1440),2))</ns0:f>
        <ns0:v/>
      </ns0:c>
      <ns0:c r="F1440" s="28" t="str">
        <ns0:f>IF(OR(A1440="",B1440="",C1440&lt;=0),"",IF(SUMPRODUCT(('Müşteriler'!$B$2:$B$101&lt;&gt;"")*ISNUMBER(SEARCH('Müşteriler'!$B$2:$B$101,B1440)))=1,IFERROR(INDEX('Müşteriler'!$A$2:$A$101,SUMPRODUCT(('Müşteriler'!$B$2:$B$101&lt;&gt;"")*ISNUMBER(SEARCH('Müşteriler'!$B$2:$B$101,B1440)),ROW('Müşteriler'!$B$2:$B$101)-ROW('Müşteriler'!$B$2)+1)),""),""))</ns0:f>
        <ns0:v/>
      </ns0:c>
      <ns0:c r="G1440" s="28" t="str">
        <ns0:f>IF(F1440="","",IFERROR(INDEX('Müşteriler'!$C$2:$C$101,MATCH(F1440,'Müşteriler'!$A$2:$A$101,0)),""))</ns0:f>
        <ns0:v/>
      </ns0:c>
      <ns0:c r="H1440" s="28" t="str">
        <ns0:f>IF(A1440="","",IF(C1440&lt;=0,"Satış dışı",IF(OR(F1440="",G1440=""),"Eşleşmedi","Eşleşti")))</ns0:f>
        <ns0:v/>
      </ns0:c>
      <ns0:c r="I1440" s="28">
        <ns0:f>I1439+IF(AND(H1440="Eşleşmedi",E1440='Panel'!$B$4),1,0)</ns0:f>
        <ns0:v>3.0</ns0:v>
      </ns0:c>
    </ns0:row>
    <ns0:row r="1441" ht="21" customHeight="1">
      <ns0:c r="A1441" s="25" t="n"/>
      <ns0:c r="B1441" s="26" t="n"/>
      <ns0:c r="C1441" s="27" t="n"/>
      <ns0:c r="D1441" s="27" t="n"/>
      <ns0:c r="E1441" s="28" t="str">
        <ns0:f>IF(A1441="","",YEAR(A1441)&amp;"-"&amp;RIGHT("0"&amp;MONTH(A1441),2))</ns0:f>
        <ns0:v/>
      </ns0:c>
      <ns0:c r="F1441" s="28" t="str">
        <ns0:f>IF(OR(A1441="",B1441="",C1441&lt;=0),"",IF(SUMPRODUCT(('Müşteriler'!$B$2:$B$101&lt;&gt;"")*ISNUMBER(SEARCH('Müşteriler'!$B$2:$B$101,B1441)))=1,IFERROR(INDEX('Müşteriler'!$A$2:$A$101,SUMPRODUCT(('Müşteriler'!$B$2:$B$101&lt;&gt;"")*ISNUMBER(SEARCH('Müşteriler'!$B$2:$B$101,B1441)),ROW('Müşteriler'!$B$2:$B$101)-ROW('Müşteriler'!$B$2)+1)),""),""))</ns0:f>
        <ns0:v/>
      </ns0:c>
      <ns0:c r="G1441" s="28" t="str">
        <ns0:f>IF(F1441="","",IFERROR(INDEX('Müşteriler'!$C$2:$C$101,MATCH(F1441,'Müşteriler'!$A$2:$A$101,0)),""))</ns0:f>
        <ns0:v/>
      </ns0:c>
      <ns0:c r="H1441" s="28" t="str">
        <ns0:f>IF(A1441="","",IF(C1441&lt;=0,"Satış dışı",IF(OR(F1441="",G1441=""),"Eşleşmedi","Eşleşti")))</ns0:f>
        <ns0:v/>
      </ns0:c>
      <ns0:c r="I1441" s="28">
        <ns0:f>I1440+IF(AND(H1441="Eşleşmedi",E1441='Panel'!$B$4),1,0)</ns0:f>
        <ns0:v>3.0</ns0:v>
      </ns0:c>
    </ns0:row>
    <ns0:row r="1442" ht="21" customHeight="1">
      <ns0:c r="A1442" s="25" t="n"/>
      <ns0:c r="B1442" s="26" t="n"/>
      <ns0:c r="C1442" s="27" t="n"/>
      <ns0:c r="D1442" s="27" t="n"/>
      <ns0:c r="E1442" s="28" t="str">
        <ns0:f>IF(A1442="","",YEAR(A1442)&amp;"-"&amp;RIGHT("0"&amp;MONTH(A1442),2))</ns0:f>
        <ns0:v/>
      </ns0:c>
      <ns0:c r="F1442" s="28" t="str">
        <ns0:f>IF(OR(A1442="",B1442="",C1442&lt;=0),"",IF(SUMPRODUCT(('Müşteriler'!$B$2:$B$101&lt;&gt;"")*ISNUMBER(SEARCH('Müşteriler'!$B$2:$B$101,B1442)))=1,IFERROR(INDEX('Müşteriler'!$A$2:$A$101,SUMPRODUCT(('Müşteriler'!$B$2:$B$101&lt;&gt;"")*ISNUMBER(SEARCH('Müşteriler'!$B$2:$B$101,B1442)),ROW('Müşteriler'!$B$2:$B$101)-ROW('Müşteriler'!$B$2)+1)),""),""))</ns0:f>
        <ns0:v/>
      </ns0:c>
      <ns0:c r="G1442" s="28" t="str">
        <ns0:f>IF(F1442="","",IFERROR(INDEX('Müşteriler'!$C$2:$C$101,MATCH(F1442,'Müşteriler'!$A$2:$A$101,0)),""))</ns0:f>
        <ns0:v/>
      </ns0:c>
      <ns0:c r="H1442" s="28" t="str">
        <ns0:f>IF(A1442="","",IF(C1442&lt;=0,"Satış dışı",IF(OR(F1442="",G1442=""),"Eşleşmedi","Eşleşti")))</ns0:f>
        <ns0:v/>
      </ns0:c>
      <ns0:c r="I1442" s="28">
        <ns0:f>I1441+IF(AND(H1442="Eşleşmedi",E1442='Panel'!$B$4),1,0)</ns0:f>
        <ns0:v>3.0</ns0:v>
      </ns0:c>
    </ns0:row>
    <ns0:row r="1443" ht="21" customHeight="1">
      <ns0:c r="A1443" s="25" t="n"/>
      <ns0:c r="B1443" s="26" t="n"/>
      <ns0:c r="C1443" s="27" t="n"/>
      <ns0:c r="D1443" s="27" t="n"/>
      <ns0:c r="E1443" s="28" t="str">
        <ns0:f>IF(A1443="","",YEAR(A1443)&amp;"-"&amp;RIGHT("0"&amp;MONTH(A1443),2))</ns0:f>
        <ns0:v/>
      </ns0:c>
      <ns0:c r="F1443" s="28" t="str">
        <ns0:f>IF(OR(A1443="",B1443="",C1443&lt;=0),"",IF(SUMPRODUCT(('Müşteriler'!$B$2:$B$101&lt;&gt;"")*ISNUMBER(SEARCH('Müşteriler'!$B$2:$B$101,B1443)))=1,IFERROR(INDEX('Müşteriler'!$A$2:$A$101,SUMPRODUCT(('Müşteriler'!$B$2:$B$101&lt;&gt;"")*ISNUMBER(SEARCH('Müşteriler'!$B$2:$B$101,B1443)),ROW('Müşteriler'!$B$2:$B$101)-ROW('Müşteriler'!$B$2)+1)),""),""))</ns0:f>
        <ns0:v/>
      </ns0:c>
      <ns0:c r="G1443" s="28" t="str">
        <ns0:f>IF(F1443="","",IFERROR(INDEX('Müşteriler'!$C$2:$C$101,MATCH(F1443,'Müşteriler'!$A$2:$A$101,0)),""))</ns0:f>
        <ns0:v/>
      </ns0:c>
      <ns0:c r="H1443" s="28" t="str">
        <ns0:f>IF(A1443="","",IF(C1443&lt;=0,"Satış dışı",IF(OR(F1443="",G1443=""),"Eşleşmedi","Eşleşti")))</ns0:f>
        <ns0:v/>
      </ns0:c>
      <ns0:c r="I1443" s="28">
        <ns0:f>I1442+IF(AND(H1443="Eşleşmedi",E1443='Panel'!$B$4),1,0)</ns0:f>
        <ns0:v>3.0</ns0:v>
      </ns0:c>
    </ns0:row>
    <ns0:row r="1444" ht="21" customHeight="1">
      <ns0:c r="A1444" s="25" t="n"/>
      <ns0:c r="B1444" s="26" t="n"/>
      <ns0:c r="C1444" s="27" t="n"/>
      <ns0:c r="D1444" s="27" t="n"/>
      <ns0:c r="E1444" s="28" t="str">
        <ns0:f>IF(A1444="","",YEAR(A1444)&amp;"-"&amp;RIGHT("0"&amp;MONTH(A1444),2))</ns0:f>
        <ns0:v/>
      </ns0:c>
      <ns0:c r="F1444" s="28" t="str">
        <ns0:f>IF(OR(A1444="",B1444="",C1444&lt;=0),"",IF(SUMPRODUCT(('Müşteriler'!$B$2:$B$101&lt;&gt;"")*ISNUMBER(SEARCH('Müşteriler'!$B$2:$B$101,B1444)))=1,IFERROR(INDEX('Müşteriler'!$A$2:$A$101,SUMPRODUCT(('Müşteriler'!$B$2:$B$101&lt;&gt;"")*ISNUMBER(SEARCH('Müşteriler'!$B$2:$B$101,B1444)),ROW('Müşteriler'!$B$2:$B$101)-ROW('Müşteriler'!$B$2)+1)),""),""))</ns0:f>
        <ns0:v/>
      </ns0:c>
      <ns0:c r="G1444" s="28" t="str">
        <ns0:f>IF(F1444="","",IFERROR(INDEX('Müşteriler'!$C$2:$C$101,MATCH(F1444,'Müşteriler'!$A$2:$A$101,0)),""))</ns0:f>
        <ns0:v/>
      </ns0:c>
      <ns0:c r="H1444" s="28" t="str">
        <ns0:f>IF(A1444="","",IF(C1444&lt;=0,"Satış dışı",IF(OR(F1444="",G1444=""),"Eşleşmedi","Eşleşti")))</ns0:f>
        <ns0:v/>
      </ns0:c>
      <ns0:c r="I1444" s="28">
        <ns0:f>I1443+IF(AND(H1444="Eşleşmedi",E1444='Panel'!$B$4),1,0)</ns0:f>
        <ns0:v>3.0</ns0:v>
      </ns0:c>
    </ns0:row>
    <ns0:row r="1445" ht="21" customHeight="1">
      <ns0:c r="A1445" s="25" t="n"/>
      <ns0:c r="B1445" s="26" t="n"/>
      <ns0:c r="C1445" s="27" t="n"/>
      <ns0:c r="D1445" s="27" t="n"/>
      <ns0:c r="E1445" s="28" t="str">
        <ns0:f>IF(A1445="","",YEAR(A1445)&amp;"-"&amp;RIGHT("0"&amp;MONTH(A1445),2))</ns0:f>
        <ns0:v/>
      </ns0:c>
      <ns0:c r="F1445" s="28" t="str">
        <ns0:f>IF(OR(A1445="",B1445="",C1445&lt;=0),"",IF(SUMPRODUCT(('Müşteriler'!$B$2:$B$101&lt;&gt;"")*ISNUMBER(SEARCH('Müşteriler'!$B$2:$B$101,B1445)))=1,IFERROR(INDEX('Müşteriler'!$A$2:$A$101,SUMPRODUCT(('Müşteriler'!$B$2:$B$101&lt;&gt;"")*ISNUMBER(SEARCH('Müşteriler'!$B$2:$B$101,B1445)),ROW('Müşteriler'!$B$2:$B$101)-ROW('Müşteriler'!$B$2)+1)),""),""))</ns0:f>
        <ns0:v/>
      </ns0:c>
      <ns0:c r="G1445" s="28" t="str">
        <ns0:f>IF(F1445="","",IFERROR(INDEX('Müşteriler'!$C$2:$C$101,MATCH(F1445,'Müşteriler'!$A$2:$A$101,0)),""))</ns0:f>
        <ns0:v/>
      </ns0:c>
      <ns0:c r="H1445" s="28" t="str">
        <ns0:f>IF(A1445="","",IF(C1445&lt;=0,"Satış dışı",IF(OR(F1445="",G1445=""),"Eşleşmedi","Eşleşti")))</ns0:f>
        <ns0:v/>
      </ns0:c>
      <ns0:c r="I1445" s="28">
        <ns0:f>I1444+IF(AND(H1445="Eşleşmedi",E1445='Panel'!$B$4),1,0)</ns0:f>
        <ns0:v>3.0</ns0:v>
      </ns0:c>
    </ns0:row>
    <ns0:row r="1446" ht="21" customHeight="1">
      <ns0:c r="A1446" s="25" t="n"/>
      <ns0:c r="B1446" s="26" t="n"/>
      <ns0:c r="C1446" s="27" t="n"/>
      <ns0:c r="D1446" s="27" t="n"/>
      <ns0:c r="E1446" s="28" t="str">
        <ns0:f>IF(A1446="","",YEAR(A1446)&amp;"-"&amp;RIGHT("0"&amp;MONTH(A1446),2))</ns0:f>
        <ns0:v/>
      </ns0:c>
      <ns0:c r="F1446" s="28" t="str">
        <ns0:f>IF(OR(A1446="",B1446="",C1446&lt;=0),"",IF(SUMPRODUCT(('Müşteriler'!$B$2:$B$101&lt;&gt;"")*ISNUMBER(SEARCH('Müşteriler'!$B$2:$B$101,B1446)))=1,IFERROR(INDEX('Müşteriler'!$A$2:$A$101,SUMPRODUCT(('Müşteriler'!$B$2:$B$101&lt;&gt;"")*ISNUMBER(SEARCH('Müşteriler'!$B$2:$B$101,B1446)),ROW('Müşteriler'!$B$2:$B$101)-ROW('Müşteriler'!$B$2)+1)),""),""))</ns0:f>
        <ns0:v/>
      </ns0:c>
      <ns0:c r="G1446" s="28" t="str">
        <ns0:f>IF(F1446="","",IFERROR(INDEX('Müşteriler'!$C$2:$C$101,MATCH(F1446,'Müşteriler'!$A$2:$A$101,0)),""))</ns0:f>
        <ns0:v/>
      </ns0:c>
      <ns0:c r="H1446" s="28" t="str">
        <ns0:f>IF(A1446="","",IF(C1446&lt;=0,"Satış dışı",IF(OR(F1446="",G1446=""),"Eşleşmedi","Eşleşti")))</ns0:f>
        <ns0:v/>
      </ns0:c>
      <ns0:c r="I1446" s="28">
        <ns0:f>I1445+IF(AND(H1446="Eşleşmedi",E1446='Panel'!$B$4),1,0)</ns0:f>
        <ns0:v>3.0</ns0:v>
      </ns0:c>
    </ns0:row>
    <ns0:row r="1447" ht="21" customHeight="1">
      <ns0:c r="A1447" s="25" t="n"/>
      <ns0:c r="B1447" s="26" t="n"/>
      <ns0:c r="C1447" s="27" t="n"/>
      <ns0:c r="D1447" s="27" t="n"/>
      <ns0:c r="E1447" s="28" t="str">
        <ns0:f>IF(A1447="","",YEAR(A1447)&amp;"-"&amp;RIGHT("0"&amp;MONTH(A1447),2))</ns0:f>
        <ns0:v/>
      </ns0:c>
      <ns0:c r="F1447" s="28" t="str">
        <ns0:f>IF(OR(A1447="",B1447="",C1447&lt;=0),"",IF(SUMPRODUCT(('Müşteriler'!$B$2:$B$101&lt;&gt;"")*ISNUMBER(SEARCH('Müşteriler'!$B$2:$B$101,B1447)))=1,IFERROR(INDEX('Müşteriler'!$A$2:$A$101,SUMPRODUCT(('Müşteriler'!$B$2:$B$101&lt;&gt;"")*ISNUMBER(SEARCH('Müşteriler'!$B$2:$B$101,B1447)),ROW('Müşteriler'!$B$2:$B$101)-ROW('Müşteriler'!$B$2)+1)),""),""))</ns0:f>
        <ns0:v/>
      </ns0:c>
      <ns0:c r="G1447" s="28" t="str">
        <ns0:f>IF(F1447="","",IFERROR(INDEX('Müşteriler'!$C$2:$C$101,MATCH(F1447,'Müşteriler'!$A$2:$A$101,0)),""))</ns0:f>
        <ns0:v/>
      </ns0:c>
      <ns0:c r="H1447" s="28" t="str">
        <ns0:f>IF(A1447="","",IF(C1447&lt;=0,"Satış dışı",IF(OR(F1447="",G1447=""),"Eşleşmedi","Eşleşti")))</ns0:f>
        <ns0:v/>
      </ns0:c>
      <ns0:c r="I1447" s="28">
        <ns0:f>I1446+IF(AND(H1447="Eşleşmedi",E1447='Panel'!$B$4),1,0)</ns0:f>
        <ns0:v>3.0</ns0:v>
      </ns0:c>
    </ns0:row>
    <ns0:row r="1448" ht="21" customHeight="1">
      <ns0:c r="A1448" s="25" t="n"/>
      <ns0:c r="B1448" s="26" t="n"/>
      <ns0:c r="C1448" s="27" t="n"/>
      <ns0:c r="D1448" s="27" t="n"/>
      <ns0:c r="E1448" s="28" t="str">
        <ns0:f>IF(A1448="","",YEAR(A1448)&amp;"-"&amp;RIGHT("0"&amp;MONTH(A1448),2))</ns0:f>
        <ns0:v/>
      </ns0:c>
      <ns0:c r="F1448" s="28" t="str">
        <ns0:f>IF(OR(A1448="",B1448="",C1448&lt;=0),"",IF(SUMPRODUCT(('Müşteriler'!$B$2:$B$101&lt;&gt;"")*ISNUMBER(SEARCH('Müşteriler'!$B$2:$B$101,B1448)))=1,IFERROR(INDEX('Müşteriler'!$A$2:$A$101,SUMPRODUCT(('Müşteriler'!$B$2:$B$101&lt;&gt;"")*ISNUMBER(SEARCH('Müşteriler'!$B$2:$B$101,B1448)),ROW('Müşteriler'!$B$2:$B$101)-ROW('Müşteriler'!$B$2)+1)),""),""))</ns0:f>
        <ns0:v/>
      </ns0:c>
      <ns0:c r="G1448" s="28" t="str">
        <ns0:f>IF(F1448="","",IFERROR(INDEX('Müşteriler'!$C$2:$C$101,MATCH(F1448,'Müşteriler'!$A$2:$A$101,0)),""))</ns0:f>
        <ns0:v/>
      </ns0:c>
      <ns0:c r="H1448" s="28" t="str">
        <ns0:f>IF(A1448="","",IF(C1448&lt;=0,"Satış dışı",IF(OR(F1448="",G1448=""),"Eşleşmedi","Eşleşti")))</ns0:f>
        <ns0:v/>
      </ns0:c>
      <ns0:c r="I1448" s="28">
        <ns0:f>I1447+IF(AND(H1448="Eşleşmedi",E1448='Panel'!$B$4),1,0)</ns0:f>
        <ns0:v>3.0</ns0:v>
      </ns0:c>
    </ns0:row>
    <ns0:row r="1449" ht="21" customHeight="1">
      <ns0:c r="A1449" s="25" t="n"/>
      <ns0:c r="B1449" s="26" t="n"/>
      <ns0:c r="C1449" s="27" t="n"/>
      <ns0:c r="D1449" s="27" t="n"/>
      <ns0:c r="E1449" s="28" t="str">
        <ns0:f>IF(A1449="","",YEAR(A1449)&amp;"-"&amp;RIGHT("0"&amp;MONTH(A1449),2))</ns0:f>
        <ns0:v/>
      </ns0:c>
      <ns0:c r="F1449" s="28" t="str">
        <ns0:f>IF(OR(A1449="",B1449="",C1449&lt;=0),"",IF(SUMPRODUCT(('Müşteriler'!$B$2:$B$101&lt;&gt;"")*ISNUMBER(SEARCH('Müşteriler'!$B$2:$B$101,B1449)))=1,IFERROR(INDEX('Müşteriler'!$A$2:$A$101,SUMPRODUCT(('Müşteriler'!$B$2:$B$101&lt;&gt;"")*ISNUMBER(SEARCH('Müşteriler'!$B$2:$B$101,B1449)),ROW('Müşteriler'!$B$2:$B$101)-ROW('Müşteriler'!$B$2)+1)),""),""))</ns0:f>
        <ns0:v/>
      </ns0:c>
      <ns0:c r="G1449" s="28" t="str">
        <ns0:f>IF(F1449="","",IFERROR(INDEX('Müşteriler'!$C$2:$C$101,MATCH(F1449,'Müşteriler'!$A$2:$A$101,0)),""))</ns0:f>
        <ns0:v/>
      </ns0:c>
      <ns0:c r="H1449" s="28" t="str">
        <ns0:f>IF(A1449="","",IF(C1449&lt;=0,"Satış dışı",IF(OR(F1449="",G1449=""),"Eşleşmedi","Eşleşti")))</ns0:f>
        <ns0:v/>
      </ns0:c>
      <ns0:c r="I1449" s="28">
        <ns0:f>I1448+IF(AND(H1449="Eşleşmedi",E1449='Panel'!$B$4),1,0)</ns0:f>
        <ns0:v>3.0</ns0:v>
      </ns0:c>
    </ns0:row>
    <ns0:row r="1450" ht="21" customHeight="1">
      <ns0:c r="A1450" s="25" t="n"/>
      <ns0:c r="B1450" s="26" t="n"/>
      <ns0:c r="C1450" s="27" t="n"/>
      <ns0:c r="D1450" s="27" t="n"/>
      <ns0:c r="E1450" s="28" t="str">
        <ns0:f>IF(A1450="","",YEAR(A1450)&amp;"-"&amp;RIGHT("0"&amp;MONTH(A1450),2))</ns0:f>
        <ns0:v/>
      </ns0:c>
      <ns0:c r="F1450" s="28" t="str">
        <ns0:f>IF(OR(A1450="",B1450="",C1450&lt;=0),"",IF(SUMPRODUCT(('Müşteriler'!$B$2:$B$101&lt;&gt;"")*ISNUMBER(SEARCH('Müşteriler'!$B$2:$B$101,B1450)))=1,IFERROR(INDEX('Müşteriler'!$A$2:$A$101,SUMPRODUCT(('Müşteriler'!$B$2:$B$101&lt;&gt;"")*ISNUMBER(SEARCH('Müşteriler'!$B$2:$B$101,B1450)),ROW('Müşteriler'!$B$2:$B$101)-ROW('Müşteriler'!$B$2)+1)),""),""))</ns0:f>
        <ns0:v/>
      </ns0:c>
      <ns0:c r="G1450" s="28" t="str">
        <ns0:f>IF(F1450="","",IFERROR(INDEX('Müşteriler'!$C$2:$C$101,MATCH(F1450,'Müşteriler'!$A$2:$A$101,0)),""))</ns0:f>
        <ns0:v/>
      </ns0:c>
      <ns0:c r="H1450" s="28" t="str">
        <ns0:f>IF(A1450="","",IF(C1450&lt;=0,"Satış dışı",IF(OR(F1450="",G1450=""),"Eşleşmedi","Eşleşti")))</ns0:f>
        <ns0:v/>
      </ns0:c>
      <ns0:c r="I1450" s="28">
        <ns0:f>I1449+IF(AND(H1450="Eşleşmedi",E1450='Panel'!$B$4),1,0)</ns0:f>
        <ns0:v>3.0</ns0:v>
      </ns0:c>
    </ns0:row>
    <ns0:row r="1451" ht="21" customHeight="1">
      <ns0:c r="A1451" s="25" t="n"/>
      <ns0:c r="B1451" s="26" t="n"/>
      <ns0:c r="C1451" s="27" t="n"/>
      <ns0:c r="D1451" s="27" t="n"/>
      <ns0:c r="E1451" s="28" t="str">
        <ns0:f>IF(A1451="","",YEAR(A1451)&amp;"-"&amp;RIGHT("0"&amp;MONTH(A1451),2))</ns0:f>
        <ns0:v/>
      </ns0:c>
      <ns0:c r="F1451" s="28" t="str">
        <ns0:f>IF(OR(A1451="",B1451="",C1451&lt;=0),"",IF(SUMPRODUCT(('Müşteriler'!$B$2:$B$101&lt;&gt;"")*ISNUMBER(SEARCH('Müşteriler'!$B$2:$B$101,B1451)))=1,IFERROR(INDEX('Müşteriler'!$A$2:$A$101,SUMPRODUCT(('Müşteriler'!$B$2:$B$101&lt;&gt;"")*ISNUMBER(SEARCH('Müşteriler'!$B$2:$B$101,B1451)),ROW('Müşteriler'!$B$2:$B$101)-ROW('Müşteriler'!$B$2)+1)),""),""))</ns0:f>
        <ns0:v/>
      </ns0:c>
      <ns0:c r="G1451" s="28" t="str">
        <ns0:f>IF(F1451="","",IFERROR(INDEX('Müşteriler'!$C$2:$C$101,MATCH(F1451,'Müşteriler'!$A$2:$A$101,0)),""))</ns0:f>
        <ns0:v/>
      </ns0:c>
      <ns0:c r="H1451" s="28" t="str">
        <ns0:f>IF(A1451="","",IF(C1451&lt;=0,"Satış dışı",IF(OR(F1451="",G1451=""),"Eşleşmedi","Eşleşti")))</ns0:f>
        <ns0:v/>
      </ns0:c>
      <ns0:c r="I1451" s="28">
        <ns0:f>I1450+IF(AND(H1451="Eşleşmedi",E1451='Panel'!$B$4),1,0)</ns0:f>
        <ns0:v>3.0</ns0:v>
      </ns0:c>
    </ns0:row>
    <ns0:row r="1452" ht="21" customHeight="1">
      <ns0:c r="A1452" s="25" t="n"/>
      <ns0:c r="B1452" s="26" t="n"/>
      <ns0:c r="C1452" s="27" t="n"/>
      <ns0:c r="D1452" s="27" t="n"/>
      <ns0:c r="E1452" s="28" t="str">
        <ns0:f>IF(A1452="","",YEAR(A1452)&amp;"-"&amp;RIGHT("0"&amp;MONTH(A1452),2))</ns0:f>
        <ns0:v/>
      </ns0:c>
      <ns0:c r="F1452" s="28" t="str">
        <ns0:f>IF(OR(A1452="",B1452="",C1452&lt;=0),"",IF(SUMPRODUCT(('Müşteriler'!$B$2:$B$101&lt;&gt;"")*ISNUMBER(SEARCH('Müşteriler'!$B$2:$B$101,B1452)))=1,IFERROR(INDEX('Müşteriler'!$A$2:$A$101,SUMPRODUCT(('Müşteriler'!$B$2:$B$101&lt;&gt;"")*ISNUMBER(SEARCH('Müşteriler'!$B$2:$B$101,B1452)),ROW('Müşteriler'!$B$2:$B$101)-ROW('Müşteriler'!$B$2)+1)),""),""))</ns0:f>
        <ns0:v/>
      </ns0:c>
      <ns0:c r="G1452" s="28" t="str">
        <ns0:f>IF(F1452="","",IFERROR(INDEX('Müşteriler'!$C$2:$C$101,MATCH(F1452,'Müşteriler'!$A$2:$A$101,0)),""))</ns0:f>
        <ns0:v/>
      </ns0:c>
      <ns0:c r="H1452" s="28" t="str">
        <ns0:f>IF(A1452="","",IF(C1452&lt;=0,"Satış dışı",IF(OR(F1452="",G1452=""),"Eşleşmedi","Eşleşti")))</ns0:f>
        <ns0:v/>
      </ns0:c>
      <ns0:c r="I1452" s="28">
        <ns0:f>I1451+IF(AND(H1452="Eşleşmedi",E1452='Panel'!$B$4),1,0)</ns0:f>
        <ns0:v>3.0</ns0:v>
      </ns0:c>
    </ns0:row>
    <ns0:row r="1453" ht="21" customHeight="1">
      <ns0:c r="A1453" s="25" t="n"/>
      <ns0:c r="B1453" s="26" t="n"/>
      <ns0:c r="C1453" s="27" t="n"/>
      <ns0:c r="D1453" s="27" t="n"/>
      <ns0:c r="E1453" s="28" t="str">
        <ns0:f>IF(A1453="","",YEAR(A1453)&amp;"-"&amp;RIGHT("0"&amp;MONTH(A1453),2))</ns0:f>
        <ns0:v/>
      </ns0:c>
      <ns0:c r="F1453" s="28" t="str">
        <ns0:f>IF(OR(A1453="",B1453="",C1453&lt;=0),"",IF(SUMPRODUCT(('Müşteriler'!$B$2:$B$101&lt;&gt;"")*ISNUMBER(SEARCH('Müşteriler'!$B$2:$B$101,B1453)))=1,IFERROR(INDEX('Müşteriler'!$A$2:$A$101,SUMPRODUCT(('Müşteriler'!$B$2:$B$101&lt;&gt;"")*ISNUMBER(SEARCH('Müşteriler'!$B$2:$B$101,B1453)),ROW('Müşteriler'!$B$2:$B$101)-ROW('Müşteriler'!$B$2)+1)),""),""))</ns0:f>
        <ns0:v/>
      </ns0:c>
      <ns0:c r="G1453" s="28" t="str">
        <ns0:f>IF(F1453="","",IFERROR(INDEX('Müşteriler'!$C$2:$C$101,MATCH(F1453,'Müşteriler'!$A$2:$A$101,0)),""))</ns0:f>
        <ns0:v/>
      </ns0:c>
      <ns0:c r="H1453" s="28" t="str">
        <ns0:f>IF(A1453="","",IF(C1453&lt;=0,"Satış dışı",IF(OR(F1453="",G1453=""),"Eşleşmedi","Eşleşti")))</ns0:f>
        <ns0:v/>
      </ns0:c>
      <ns0:c r="I1453" s="28">
        <ns0:f>I1452+IF(AND(H1453="Eşleşmedi",E1453='Panel'!$B$4),1,0)</ns0:f>
        <ns0:v>3.0</ns0:v>
      </ns0:c>
    </ns0:row>
    <ns0:row r="1454" ht="21" customHeight="1">
      <ns0:c r="A1454" s="25" t="n"/>
      <ns0:c r="B1454" s="26" t="n"/>
      <ns0:c r="C1454" s="27" t="n"/>
      <ns0:c r="D1454" s="27" t="n"/>
      <ns0:c r="E1454" s="28" t="str">
        <ns0:f>IF(A1454="","",YEAR(A1454)&amp;"-"&amp;RIGHT("0"&amp;MONTH(A1454),2))</ns0:f>
        <ns0:v/>
      </ns0:c>
      <ns0:c r="F1454" s="28" t="str">
        <ns0:f>IF(OR(A1454="",B1454="",C1454&lt;=0),"",IF(SUMPRODUCT(('Müşteriler'!$B$2:$B$101&lt;&gt;"")*ISNUMBER(SEARCH('Müşteriler'!$B$2:$B$101,B1454)))=1,IFERROR(INDEX('Müşteriler'!$A$2:$A$101,SUMPRODUCT(('Müşteriler'!$B$2:$B$101&lt;&gt;"")*ISNUMBER(SEARCH('Müşteriler'!$B$2:$B$101,B1454)),ROW('Müşteriler'!$B$2:$B$101)-ROW('Müşteriler'!$B$2)+1)),""),""))</ns0:f>
        <ns0:v/>
      </ns0:c>
      <ns0:c r="G1454" s="28" t="str">
        <ns0:f>IF(F1454="","",IFERROR(INDEX('Müşteriler'!$C$2:$C$101,MATCH(F1454,'Müşteriler'!$A$2:$A$101,0)),""))</ns0:f>
        <ns0:v/>
      </ns0:c>
      <ns0:c r="H1454" s="28" t="str">
        <ns0:f>IF(A1454="","",IF(C1454&lt;=0,"Satış dışı",IF(OR(F1454="",G1454=""),"Eşleşmedi","Eşleşti")))</ns0:f>
        <ns0:v/>
      </ns0:c>
      <ns0:c r="I1454" s="28">
        <ns0:f>I1453+IF(AND(H1454="Eşleşmedi",E1454='Panel'!$B$4),1,0)</ns0:f>
        <ns0:v>3.0</ns0:v>
      </ns0:c>
    </ns0:row>
    <ns0:row r="1455" ht="21" customHeight="1">
      <ns0:c r="A1455" s="25" t="n"/>
      <ns0:c r="B1455" s="26" t="n"/>
      <ns0:c r="C1455" s="27" t="n"/>
      <ns0:c r="D1455" s="27" t="n"/>
      <ns0:c r="E1455" s="28" t="str">
        <ns0:f>IF(A1455="","",YEAR(A1455)&amp;"-"&amp;RIGHT("0"&amp;MONTH(A1455),2))</ns0:f>
        <ns0:v/>
      </ns0:c>
      <ns0:c r="F1455" s="28" t="str">
        <ns0:f>IF(OR(A1455="",B1455="",C1455&lt;=0),"",IF(SUMPRODUCT(('Müşteriler'!$B$2:$B$101&lt;&gt;"")*ISNUMBER(SEARCH('Müşteriler'!$B$2:$B$101,B1455)))=1,IFERROR(INDEX('Müşteriler'!$A$2:$A$101,SUMPRODUCT(('Müşteriler'!$B$2:$B$101&lt;&gt;"")*ISNUMBER(SEARCH('Müşteriler'!$B$2:$B$101,B1455)),ROW('Müşteriler'!$B$2:$B$101)-ROW('Müşteriler'!$B$2)+1)),""),""))</ns0:f>
        <ns0:v/>
      </ns0:c>
      <ns0:c r="G1455" s="28" t="str">
        <ns0:f>IF(F1455="","",IFERROR(INDEX('Müşteriler'!$C$2:$C$101,MATCH(F1455,'Müşteriler'!$A$2:$A$101,0)),""))</ns0:f>
        <ns0:v/>
      </ns0:c>
      <ns0:c r="H1455" s="28" t="str">
        <ns0:f>IF(A1455="","",IF(C1455&lt;=0,"Satış dışı",IF(OR(F1455="",G1455=""),"Eşleşmedi","Eşleşti")))</ns0:f>
        <ns0:v/>
      </ns0:c>
      <ns0:c r="I1455" s="28">
        <ns0:f>I1454+IF(AND(H1455="Eşleşmedi",E1455='Panel'!$B$4),1,0)</ns0:f>
        <ns0:v>3.0</ns0:v>
      </ns0:c>
    </ns0:row>
    <ns0:row r="1456" ht="21" customHeight="1">
      <ns0:c r="A1456" s="25" t="n"/>
      <ns0:c r="B1456" s="26" t="n"/>
      <ns0:c r="C1456" s="27" t="n"/>
      <ns0:c r="D1456" s="27" t="n"/>
      <ns0:c r="E1456" s="28" t="str">
        <ns0:f>IF(A1456="","",YEAR(A1456)&amp;"-"&amp;RIGHT("0"&amp;MONTH(A1456),2))</ns0:f>
        <ns0:v/>
      </ns0:c>
      <ns0:c r="F1456" s="28" t="str">
        <ns0:f>IF(OR(A1456="",B1456="",C1456&lt;=0),"",IF(SUMPRODUCT(('Müşteriler'!$B$2:$B$101&lt;&gt;"")*ISNUMBER(SEARCH('Müşteriler'!$B$2:$B$101,B1456)))=1,IFERROR(INDEX('Müşteriler'!$A$2:$A$101,SUMPRODUCT(('Müşteriler'!$B$2:$B$101&lt;&gt;"")*ISNUMBER(SEARCH('Müşteriler'!$B$2:$B$101,B1456)),ROW('Müşteriler'!$B$2:$B$101)-ROW('Müşteriler'!$B$2)+1)),""),""))</ns0:f>
        <ns0:v/>
      </ns0:c>
      <ns0:c r="G1456" s="28" t="str">
        <ns0:f>IF(F1456="","",IFERROR(INDEX('Müşteriler'!$C$2:$C$101,MATCH(F1456,'Müşteriler'!$A$2:$A$101,0)),""))</ns0:f>
        <ns0:v/>
      </ns0:c>
      <ns0:c r="H1456" s="28" t="str">
        <ns0:f>IF(A1456="","",IF(C1456&lt;=0,"Satış dışı",IF(OR(F1456="",G1456=""),"Eşleşmedi","Eşleşti")))</ns0:f>
        <ns0:v/>
      </ns0:c>
      <ns0:c r="I1456" s="28">
        <ns0:f>I1455+IF(AND(H1456="Eşleşmedi",E1456='Panel'!$B$4),1,0)</ns0:f>
        <ns0:v>3.0</ns0:v>
      </ns0:c>
    </ns0:row>
    <ns0:row r="1457" ht="21" customHeight="1">
      <ns0:c r="A1457" s="25" t="n"/>
      <ns0:c r="B1457" s="26" t="n"/>
      <ns0:c r="C1457" s="27" t="n"/>
      <ns0:c r="D1457" s="27" t="n"/>
      <ns0:c r="E1457" s="28" t="str">
        <ns0:f>IF(A1457="","",YEAR(A1457)&amp;"-"&amp;RIGHT("0"&amp;MONTH(A1457),2))</ns0:f>
        <ns0:v/>
      </ns0:c>
      <ns0:c r="F1457" s="28" t="str">
        <ns0:f>IF(OR(A1457="",B1457="",C1457&lt;=0),"",IF(SUMPRODUCT(('Müşteriler'!$B$2:$B$101&lt;&gt;"")*ISNUMBER(SEARCH('Müşteriler'!$B$2:$B$101,B1457)))=1,IFERROR(INDEX('Müşteriler'!$A$2:$A$101,SUMPRODUCT(('Müşteriler'!$B$2:$B$101&lt;&gt;"")*ISNUMBER(SEARCH('Müşteriler'!$B$2:$B$101,B1457)),ROW('Müşteriler'!$B$2:$B$101)-ROW('Müşteriler'!$B$2)+1)),""),""))</ns0:f>
        <ns0:v/>
      </ns0:c>
      <ns0:c r="G1457" s="28" t="str">
        <ns0:f>IF(F1457="","",IFERROR(INDEX('Müşteriler'!$C$2:$C$101,MATCH(F1457,'Müşteriler'!$A$2:$A$101,0)),""))</ns0:f>
        <ns0:v/>
      </ns0:c>
      <ns0:c r="H1457" s="28" t="str">
        <ns0:f>IF(A1457="","",IF(C1457&lt;=0,"Satış dışı",IF(OR(F1457="",G1457=""),"Eşleşmedi","Eşleşti")))</ns0:f>
        <ns0:v/>
      </ns0:c>
      <ns0:c r="I1457" s="28">
        <ns0:f>I1456+IF(AND(H1457="Eşleşmedi",E1457='Panel'!$B$4),1,0)</ns0:f>
        <ns0:v>3.0</ns0:v>
      </ns0:c>
    </ns0:row>
    <ns0:row r="1458" ht="21" customHeight="1">
      <ns0:c r="A1458" s="25" t="n"/>
      <ns0:c r="B1458" s="26" t="n"/>
      <ns0:c r="C1458" s="27" t="n"/>
      <ns0:c r="D1458" s="27" t="n"/>
      <ns0:c r="E1458" s="28" t="str">
        <ns0:f>IF(A1458="","",YEAR(A1458)&amp;"-"&amp;RIGHT("0"&amp;MONTH(A1458),2))</ns0:f>
        <ns0:v/>
      </ns0:c>
      <ns0:c r="F1458" s="28" t="str">
        <ns0:f>IF(OR(A1458="",B1458="",C1458&lt;=0),"",IF(SUMPRODUCT(('Müşteriler'!$B$2:$B$101&lt;&gt;"")*ISNUMBER(SEARCH('Müşteriler'!$B$2:$B$101,B1458)))=1,IFERROR(INDEX('Müşteriler'!$A$2:$A$101,SUMPRODUCT(('Müşteriler'!$B$2:$B$101&lt;&gt;"")*ISNUMBER(SEARCH('Müşteriler'!$B$2:$B$101,B1458)),ROW('Müşteriler'!$B$2:$B$101)-ROW('Müşteriler'!$B$2)+1)),""),""))</ns0:f>
        <ns0:v/>
      </ns0:c>
      <ns0:c r="G1458" s="28" t="str">
        <ns0:f>IF(F1458="","",IFERROR(INDEX('Müşteriler'!$C$2:$C$101,MATCH(F1458,'Müşteriler'!$A$2:$A$101,0)),""))</ns0:f>
        <ns0:v/>
      </ns0:c>
      <ns0:c r="H1458" s="28" t="str">
        <ns0:f>IF(A1458="","",IF(C1458&lt;=0,"Satış dışı",IF(OR(F1458="",G1458=""),"Eşleşmedi","Eşleşti")))</ns0:f>
        <ns0:v/>
      </ns0:c>
      <ns0:c r="I1458" s="28">
        <ns0:f>I1457+IF(AND(H1458="Eşleşmedi",E1458='Panel'!$B$4),1,0)</ns0:f>
        <ns0:v>3.0</ns0:v>
      </ns0:c>
    </ns0:row>
    <ns0:row r="1459" ht="21" customHeight="1">
      <ns0:c r="A1459" s="25" t="n"/>
      <ns0:c r="B1459" s="26" t="n"/>
      <ns0:c r="C1459" s="27" t="n"/>
      <ns0:c r="D1459" s="27" t="n"/>
      <ns0:c r="E1459" s="28" t="str">
        <ns0:f>IF(A1459="","",YEAR(A1459)&amp;"-"&amp;RIGHT("0"&amp;MONTH(A1459),2))</ns0:f>
        <ns0:v/>
      </ns0:c>
      <ns0:c r="F1459" s="28" t="str">
        <ns0:f>IF(OR(A1459="",B1459="",C1459&lt;=0),"",IF(SUMPRODUCT(('Müşteriler'!$B$2:$B$101&lt;&gt;"")*ISNUMBER(SEARCH('Müşteriler'!$B$2:$B$101,B1459)))=1,IFERROR(INDEX('Müşteriler'!$A$2:$A$101,SUMPRODUCT(('Müşteriler'!$B$2:$B$101&lt;&gt;"")*ISNUMBER(SEARCH('Müşteriler'!$B$2:$B$101,B1459)),ROW('Müşteriler'!$B$2:$B$101)-ROW('Müşteriler'!$B$2)+1)),""),""))</ns0:f>
        <ns0:v/>
      </ns0:c>
      <ns0:c r="G1459" s="28" t="str">
        <ns0:f>IF(F1459="","",IFERROR(INDEX('Müşteriler'!$C$2:$C$101,MATCH(F1459,'Müşteriler'!$A$2:$A$101,0)),""))</ns0:f>
        <ns0:v/>
      </ns0:c>
      <ns0:c r="H1459" s="28" t="str">
        <ns0:f>IF(A1459="","",IF(C1459&lt;=0,"Satış dışı",IF(OR(F1459="",G1459=""),"Eşleşmedi","Eşleşti")))</ns0:f>
        <ns0:v/>
      </ns0:c>
      <ns0:c r="I1459" s="28">
        <ns0:f>I1458+IF(AND(H1459="Eşleşmedi",E1459='Panel'!$B$4),1,0)</ns0:f>
        <ns0:v>3.0</ns0:v>
      </ns0:c>
    </ns0:row>
    <ns0:row r="1460" ht="21" customHeight="1">
      <ns0:c r="A1460" s="25" t="n"/>
      <ns0:c r="B1460" s="26" t="n"/>
      <ns0:c r="C1460" s="27" t="n"/>
      <ns0:c r="D1460" s="27" t="n"/>
      <ns0:c r="E1460" s="28" t="str">
        <ns0:f>IF(A1460="","",YEAR(A1460)&amp;"-"&amp;RIGHT("0"&amp;MONTH(A1460),2))</ns0:f>
        <ns0:v/>
      </ns0:c>
      <ns0:c r="F1460" s="28" t="str">
        <ns0:f>IF(OR(A1460="",B1460="",C1460&lt;=0),"",IF(SUMPRODUCT(('Müşteriler'!$B$2:$B$101&lt;&gt;"")*ISNUMBER(SEARCH('Müşteriler'!$B$2:$B$101,B1460)))=1,IFERROR(INDEX('Müşteriler'!$A$2:$A$101,SUMPRODUCT(('Müşteriler'!$B$2:$B$101&lt;&gt;"")*ISNUMBER(SEARCH('Müşteriler'!$B$2:$B$101,B1460)),ROW('Müşteriler'!$B$2:$B$101)-ROW('Müşteriler'!$B$2)+1)),""),""))</ns0:f>
        <ns0:v/>
      </ns0:c>
      <ns0:c r="G1460" s="28" t="str">
        <ns0:f>IF(F1460="","",IFERROR(INDEX('Müşteriler'!$C$2:$C$101,MATCH(F1460,'Müşteriler'!$A$2:$A$101,0)),""))</ns0:f>
        <ns0:v/>
      </ns0:c>
      <ns0:c r="H1460" s="28" t="str">
        <ns0:f>IF(A1460="","",IF(C1460&lt;=0,"Satış dışı",IF(OR(F1460="",G1460=""),"Eşleşmedi","Eşleşti")))</ns0:f>
        <ns0:v/>
      </ns0:c>
      <ns0:c r="I1460" s="28">
        <ns0:f>I1459+IF(AND(H1460="Eşleşmedi",E1460='Panel'!$B$4),1,0)</ns0:f>
        <ns0:v>3.0</ns0:v>
      </ns0:c>
    </ns0:row>
    <ns0:row r="1461" ht="21" customHeight="1">
      <ns0:c r="A1461" s="25" t="n"/>
      <ns0:c r="B1461" s="26" t="n"/>
      <ns0:c r="C1461" s="27" t="n"/>
      <ns0:c r="D1461" s="27" t="n"/>
      <ns0:c r="E1461" s="28" t="str">
        <ns0:f>IF(A1461="","",YEAR(A1461)&amp;"-"&amp;RIGHT("0"&amp;MONTH(A1461),2))</ns0:f>
        <ns0:v/>
      </ns0:c>
      <ns0:c r="F1461" s="28" t="str">
        <ns0:f>IF(OR(A1461="",B1461="",C1461&lt;=0),"",IF(SUMPRODUCT(('Müşteriler'!$B$2:$B$101&lt;&gt;"")*ISNUMBER(SEARCH('Müşteriler'!$B$2:$B$101,B1461)))=1,IFERROR(INDEX('Müşteriler'!$A$2:$A$101,SUMPRODUCT(('Müşteriler'!$B$2:$B$101&lt;&gt;"")*ISNUMBER(SEARCH('Müşteriler'!$B$2:$B$101,B1461)),ROW('Müşteriler'!$B$2:$B$101)-ROW('Müşteriler'!$B$2)+1)),""),""))</ns0:f>
        <ns0:v/>
      </ns0:c>
      <ns0:c r="G1461" s="28" t="str">
        <ns0:f>IF(F1461="","",IFERROR(INDEX('Müşteriler'!$C$2:$C$101,MATCH(F1461,'Müşteriler'!$A$2:$A$101,0)),""))</ns0:f>
        <ns0:v/>
      </ns0:c>
      <ns0:c r="H1461" s="28" t="str">
        <ns0:f>IF(A1461="","",IF(C1461&lt;=0,"Satış dışı",IF(OR(F1461="",G1461=""),"Eşleşmedi","Eşleşti")))</ns0:f>
        <ns0:v/>
      </ns0:c>
      <ns0:c r="I1461" s="28">
        <ns0:f>I1460+IF(AND(H1461="Eşleşmedi",E1461='Panel'!$B$4),1,0)</ns0:f>
        <ns0:v>3.0</ns0:v>
      </ns0:c>
    </ns0:row>
    <ns0:row r="1462" ht="21" customHeight="1">
      <ns0:c r="A1462" s="25" t="n"/>
      <ns0:c r="B1462" s="26" t="n"/>
      <ns0:c r="C1462" s="27" t="n"/>
      <ns0:c r="D1462" s="27" t="n"/>
      <ns0:c r="E1462" s="28" t="str">
        <ns0:f>IF(A1462="","",YEAR(A1462)&amp;"-"&amp;RIGHT("0"&amp;MONTH(A1462),2))</ns0:f>
        <ns0:v/>
      </ns0:c>
      <ns0:c r="F1462" s="28" t="str">
        <ns0:f>IF(OR(A1462="",B1462="",C1462&lt;=0),"",IF(SUMPRODUCT(('Müşteriler'!$B$2:$B$101&lt;&gt;"")*ISNUMBER(SEARCH('Müşteriler'!$B$2:$B$101,B1462)))=1,IFERROR(INDEX('Müşteriler'!$A$2:$A$101,SUMPRODUCT(('Müşteriler'!$B$2:$B$101&lt;&gt;"")*ISNUMBER(SEARCH('Müşteriler'!$B$2:$B$101,B1462)),ROW('Müşteriler'!$B$2:$B$101)-ROW('Müşteriler'!$B$2)+1)),""),""))</ns0:f>
        <ns0:v/>
      </ns0:c>
      <ns0:c r="G1462" s="28" t="str">
        <ns0:f>IF(F1462="","",IFERROR(INDEX('Müşteriler'!$C$2:$C$101,MATCH(F1462,'Müşteriler'!$A$2:$A$101,0)),""))</ns0:f>
        <ns0:v/>
      </ns0:c>
      <ns0:c r="H1462" s="28" t="str">
        <ns0:f>IF(A1462="","",IF(C1462&lt;=0,"Satış dışı",IF(OR(F1462="",G1462=""),"Eşleşmedi","Eşleşti")))</ns0:f>
        <ns0:v/>
      </ns0:c>
      <ns0:c r="I1462" s="28">
        <ns0:f>I1461+IF(AND(H1462="Eşleşmedi",E1462='Panel'!$B$4),1,0)</ns0:f>
        <ns0:v>3.0</ns0:v>
      </ns0:c>
    </ns0:row>
    <ns0:row r="1463" ht="21" customHeight="1">
      <ns0:c r="A1463" s="25" t="n"/>
      <ns0:c r="B1463" s="26" t="n"/>
      <ns0:c r="C1463" s="27" t="n"/>
      <ns0:c r="D1463" s="27" t="n"/>
      <ns0:c r="E1463" s="28" t="str">
        <ns0:f>IF(A1463="","",YEAR(A1463)&amp;"-"&amp;RIGHT("0"&amp;MONTH(A1463),2))</ns0:f>
        <ns0:v/>
      </ns0:c>
      <ns0:c r="F1463" s="28" t="str">
        <ns0:f>IF(OR(A1463="",B1463="",C1463&lt;=0),"",IF(SUMPRODUCT(('Müşteriler'!$B$2:$B$101&lt;&gt;"")*ISNUMBER(SEARCH('Müşteriler'!$B$2:$B$101,B1463)))=1,IFERROR(INDEX('Müşteriler'!$A$2:$A$101,SUMPRODUCT(('Müşteriler'!$B$2:$B$101&lt;&gt;"")*ISNUMBER(SEARCH('Müşteriler'!$B$2:$B$101,B1463)),ROW('Müşteriler'!$B$2:$B$101)-ROW('Müşteriler'!$B$2)+1)),""),""))</ns0:f>
        <ns0:v/>
      </ns0:c>
      <ns0:c r="G1463" s="28" t="str">
        <ns0:f>IF(F1463="","",IFERROR(INDEX('Müşteriler'!$C$2:$C$101,MATCH(F1463,'Müşteriler'!$A$2:$A$101,0)),""))</ns0:f>
        <ns0:v/>
      </ns0:c>
      <ns0:c r="H1463" s="28" t="str">
        <ns0:f>IF(A1463="","",IF(C1463&lt;=0,"Satış dışı",IF(OR(F1463="",G1463=""),"Eşleşmedi","Eşleşti")))</ns0:f>
        <ns0:v/>
      </ns0:c>
      <ns0:c r="I1463" s="28">
        <ns0:f>I1462+IF(AND(H1463="Eşleşmedi",E1463='Panel'!$B$4),1,0)</ns0:f>
        <ns0:v>3.0</ns0:v>
      </ns0:c>
    </ns0:row>
    <ns0:row r="1464" ht="21" customHeight="1">
      <ns0:c r="A1464" s="25" t="n"/>
      <ns0:c r="B1464" s="26" t="n"/>
      <ns0:c r="C1464" s="27" t="n"/>
      <ns0:c r="D1464" s="27" t="n"/>
      <ns0:c r="E1464" s="28" t="str">
        <ns0:f>IF(A1464="","",YEAR(A1464)&amp;"-"&amp;RIGHT("0"&amp;MONTH(A1464),2))</ns0:f>
        <ns0:v/>
      </ns0:c>
      <ns0:c r="F1464" s="28" t="str">
        <ns0:f>IF(OR(A1464="",B1464="",C1464&lt;=0),"",IF(SUMPRODUCT(('Müşteriler'!$B$2:$B$101&lt;&gt;"")*ISNUMBER(SEARCH('Müşteriler'!$B$2:$B$101,B1464)))=1,IFERROR(INDEX('Müşteriler'!$A$2:$A$101,SUMPRODUCT(('Müşteriler'!$B$2:$B$101&lt;&gt;"")*ISNUMBER(SEARCH('Müşteriler'!$B$2:$B$101,B1464)),ROW('Müşteriler'!$B$2:$B$101)-ROW('Müşteriler'!$B$2)+1)),""),""))</ns0:f>
        <ns0:v/>
      </ns0:c>
      <ns0:c r="G1464" s="28" t="str">
        <ns0:f>IF(F1464="","",IFERROR(INDEX('Müşteriler'!$C$2:$C$101,MATCH(F1464,'Müşteriler'!$A$2:$A$101,0)),""))</ns0:f>
        <ns0:v/>
      </ns0:c>
      <ns0:c r="H1464" s="28" t="str">
        <ns0:f>IF(A1464="","",IF(C1464&lt;=0,"Satış dışı",IF(OR(F1464="",G1464=""),"Eşleşmedi","Eşleşti")))</ns0:f>
        <ns0:v/>
      </ns0:c>
      <ns0:c r="I1464" s="28">
        <ns0:f>I1463+IF(AND(H1464="Eşleşmedi",E1464='Panel'!$B$4),1,0)</ns0:f>
        <ns0:v>3.0</ns0:v>
      </ns0:c>
    </ns0:row>
    <ns0:row r="1465" ht="21" customHeight="1">
      <ns0:c r="A1465" s="25" t="n"/>
      <ns0:c r="B1465" s="26" t="n"/>
      <ns0:c r="C1465" s="27" t="n"/>
      <ns0:c r="D1465" s="27" t="n"/>
      <ns0:c r="E1465" s="28" t="str">
        <ns0:f>IF(A1465="","",YEAR(A1465)&amp;"-"&amp;RIGHT("0"&amp;MONTH(A1465),2))</ns0:f>
        <ns0:v/>
      </ns0:c>
      <ns0:c r="F1465" s="28" t="str">
        <ns0:f>IF(OR(A1465="",B1465="",C1465&lt;=0),"",IF(SUMPRODUCT(('Müşteriler'!$B$2:$B$101&lt;&gt;"")*ISNUMBER(SEARCH('Müşteriler'!$B$2:$B$101,B1465)))=1,IFERROR(INDEX('Müşteriler'!$A$2:$A$101,SUMPRODUCT(('Müşteriler'!$B$2:$B$101&lt;&gt;"")*ISNUMBER(SEARCH('Müşteriler'!$B$2:$B$101,B1465)),ROW('Müşteriler'!$B$2:$B$101)-ROW('Müşteriler'!$B$2)+1)),""),""))</ns0:f>
        <ns0:v/>
      </ns0:c>
      <ns0:c r="G1465" s="28" t="str">
        <ns0:f>IF(F1465="","",IFERROR(INDEX('Müşteriler'!$C$2:$C$101,MATCH(F1465,'Müşteriler'!$A$2:$A$101,0)),""))</ns0:f>
        <ns0:v/>
      </ns0:c>
      <ns0:c r="H1465" s="28" t="str">
        <ns0:f>IF(A1465="","",IF(C1465&lt;=0,"Satış dışı",IF(OR(F1465="",G1465=""),"Eşleşmedi","Eşleşti")))</ns0:f>
        <ns0:v/>
      </ns0:c>
      <ns0:c r="I1465" s="28">
        <ns0:f>I1464+IF(AND(H1465="Eşleşmedi",E1465='Panel'!$B$4),1,0)</ns0:f>
        <ns0:v>3.0</ns0:v>
      </ns0:c>
    </ns0:row>
    <ns0:row r="1466" ht="21" customHeight="1">
      <ns0:c r="A1466" s="25" t="n"/>
      <ns0:c r="B1466" s="26" t="n"/>
      <ns0:c r="C1466" s="27" t="n"/>
      <ns0:c r="D1466" s="27" t="n"/>
      <ns0:c r="E1466" s="28" t="str">
        <ns0:f>IF(A1466="","",YEAR(A1466)&amp;"-"&amp;RIGHT("0"&amp;MONTH(A1466),2))</ns0:f>
        <ns0:v/>
      </ns0:c>
      <ns0:c r="F1466" s="28" t="str">
        <ns0:f>IF(OR(A1466="",B1466="",C1466&lt;=0),"",IF(SUMPRODUCT(('Müşteriler'!$B$2:$B$101&lt;&gt;"")*ISNUMBER(SEARCH('Müşteriler'!$B$2:$B$101,B1466)))=1,IFERROR(INDEX('Müşteriler'!$A$2:$A$101,SUMPRODUCT(('Müşteriler'!$B$2:$B$101&lt;&gt;"")*ISNUMBER(SEARCH('Müşteriler'!$B$2:$B$101,B1466)),ROW('Müşteriler'!$B$2:$B$101)-ROW('Müşteriler'!$B$2)+1)),""),""))</ns0:f>
        <ns0:v/>
      </ns0:c>
      <ns0:c r="G1466" s="28" t="str">
        <ns0:f>IF(F1466="","",IFERROR(INDEX('Müşteriler'!$C$2:$C$101,MATCH(F1466,'Müşteriler'!$A$2:$A$101,0)),""))</ns0:f>
        <ns0:v/>
      </ns0:c>
      <ns0:c r="H1466" s="28" t="str">
        <ns0:f>IF(A1466="","",IF(C1466&lt;=0,"Satış dışı",IF(OR(F1466="",G1466=""),"Eşleşmedi","Eşleşti")))</ns0:f>
        <ns0:v/>
      </ns0:c>
      <ns0:c r="I1466" s="28">
        <ns0:f>I1465+IF(AND(H1466="Eşleşmedi",E1466='Panel'!$B$4),1,0)</ns0:f>
        <ns0:v>3.0</ns0:v>
      </ns0:c>
    </ns0:row>
    <ns0:row r="1467" ht="21" customHeight="1">
      <ns0:c r="A1467" s="25" t="n"/>
      <ns0:c r="B1467" s="26" t="n"/>
      <ns0:c r="C1467" s="27" t="n"/>
      <ns0:c r="D1467" s="27" t="n"/>
      <ns0:c r="E1467" s="28" t="str">
        <ns0:f>IF(A1467="","",YEAR(A1467)&amp;"-"&amp;RIGHT("0"&amp;MONTH(A1467),2))</ns0:f>
        <ns0:v/>
      </ns0:c>
      <ns0:c r="F1467" s="28" t="str">
        <ns0:f>IF(OR(A1467="",B1467="",C1467&lt;=0),"",IF(SUMPRODUCT(('Müşteriler'!$B$2:$B$101&lt;&gt;"")*ISNUMBER(SEARCH('Müşteriler'!$B$2:$B$101,B1467)))=1,IFERROR(INDEX('Müşteriler'!$A$2:$A$101,SUMPRODUCT(('Müşteriler'!$B$2:$B$101&lt;&gt;"")*ISNUMBER(SEARCH('Müşteriler'!$B$2:$B$101,B1467)),ROW('Müşteriler'!$B$2:$B$101)-ROW('Müşteriler'!$B$2)+1)),""),""))</ns0:f>
        <ns0:v/>
      </ns0:c>
      <ns0:c r="G1467" s="28" t="str">
        <ns0:f>IF(F1467="","",IFERROR(INDEX('Müşteriler'!$C$2:$C$101,MATCH(F1467,'Müşteriler'!$A$2:$A$101,0)),""))</ns0:f>
        <ns0:v/>
      </ns0:c>
      <ns0:c r="H1467" s="28" t="str">
        <ns0:f>IF(A1467="","",IF(C1467&lt;=0,"Satış dışı",IF(OR(F1467="",G1467=""),"Eşleşmedi","Eşleşti")))</ns0:f>
        <ns0:v/>
      </ns0:c>
      <ns0:c r="I1467" s="28">
        <ns0:f>I1466+IF(AND(H1467="Eşleşmedi",E1467='Panel'!$B$4),1,0)</ns0:f>
        <ns0:v>3.0</ns0:v>
      </ns0:c>
    </ns0:row>
    <ns0:row r="1468" ht="21" customHeight="1">
      <ns0:c r="A1468" s="25" t="n"/>
      <ns0:c r="B1468" s="26" t="n"/>
      <ns0:c r="C1468" s="27" t="n"/>
      <ns0:c r="D1468" s="27" t="n"/>
      <ns0:c r="E1468" s="28" t="str">
        <ns0:f>IF(A1468="","",YEAR(A1468)&amp;"-"&amp;RIGHT("0"&amp;MONTH(A1468),2))</ns0:f>
        <ns0:v/>
      </ns0:c>
      <ns0:c r="F1468" s="28" t="str">
        <ns0:f>IF(OR(A1468="",B1468="",C1468&lt;=0),"",IF(SUMPRODUCT(('Müşteriler'!$B$2:$B$101&lt;&gt;"")*ISNUMBER(SEARCH('Müşteriler'!$B$2:$B$101,B1468)))=1,IFERROR(INDEX('Müşteriler'!$A$2:$A$101,SUMPRODUCT(('Müşteriler'!$B$2:$B$101&lt;&gt;"")*ISNUMBER(SEARCH('Müşteriler'!$B$2:$B$101,B1468)),ROW('Müşteriler'!$B$2:$B$101)-ROW('Müşteriler'!$B$2)+1)),""),""))</ns0:f>
        <ns0:v/>
      </ns0:c>
      <ns0:c r="G1468" s="28" t="str">
        <ns0:f>IF(F1468="","",IFERROR(INDEX('Müşteriler'!$C$2:$C$101,MATCH(F1468,'Müşteriler'!$A$2:$A$101,0)),""))</ns0:f>
        <ns0:v/>
      </ns0:c>
      <ns0:c r="H1468" s="28" t="str">
        <ns0:f>IF(A1468="","",IF(C1468&lt;=0,"Satış dışı",IF(OR(F1468="",G1468=""),"Eşleşmedi","Eşleşti")))</ns0:f>
        <ns0:v/>
      </ns0:c>
      <ns0:c r="I1468" s="28">
        <ns0:f>I1467+IF(AND(H1468="Eşleşmedi",E1468='Panel'!$B$4),1,0)</ns0:f>
        <ns0:v>3.0</ns0:v>
      </ns0:c>
    </ns0:row>
    <ns0:row r="1469" ht="21" customHeight="1">
      <ns0:c r="A1469" s="25" t="n"/>
      <ns0:c r="B1469" s="26" t="n"/>
      <ns0:c r="C1469" s="27" t="n"/>
      <ns0:c r="D1469" s="27" t="n"/>
      <ns0:c r="E1469" s="28" t="str">
        <ns0:f>IF(A1469="","",YEAR(A1469)&amp;"-"&amp;RIGHT("0"&amp;MONTH(A1469),2))</ns0:f>
        <ns0:v/>
      </ns0:c>
      <ns0:c r="F1469" s="28" t="str">
        <ns0:f>IF(OR(A1469="",B1469="",C1469&lt;=0),"",IF(SUMPRODUCT(('Müşteriler'!$B$2:$B$101&lt;&gt;"")*ISNUMBER(SEARCH('Müşteriler'!$B$2:$B$101,B1469)))=1,IFERROR(INDEX('Müşteriler'!$A$2:$A$101,SUMPRODUCT(('Müşteriler'!$B$2:$B$101&lt;&gt;"")*ISNUMBER(SEARCH('Müşteriler'!$B$2:$B$101,B1469)),ROW('Müşteriler'!$B$2:$B$101)-ROW('Müşteriler'!$B$2)+1)),""),""))</ns0:f>
        <ns0:v/>
      </ns0:c>
      <ns0:c r="G1469" s="28" t="str">
        <ns0:f>IF(F1469="","",IFERROR(INDEX('Müşteriler'!$C$2:$C$101,MATCH(F1469,'Müşteriler'!$A$2:$A$101,0)),""))</ns0:f>
        <ns0:v/>
      </ns0:c>
      <ns0:c r="H1469" s="28" t="str">
        <ns0:f>IF(A1469="","",IF(C1469&lt;=0,"Satış dışı",IF(OR(F1469="",G1469=""),"Eşleşmedi","Eşleşti")))</ns0:f>
        <ns0:v/>
      </ns0:c>
      <ns0:c r="I1469" s="28">
        <ns0:f>I1468+IF(AND(H1469="Eşleşmedi",E1469='Panel'!$B$4),1,0)</ns0:f>
        <ns0:v>3.0</ns0:v>
      </ns0:c>
    </ns0:row>
    <ns0:row r="1470" ht="21" customHeight="1">
      <ns0:c r="A1470" s="25" t="n"/>
      <ns0:c r="B1470" s="26" t="n"/>
      <ns0:c r="C1470" s="27" t="n"/>
      <ns0:c r="D1470" s="27" t="n"/>
      <ns0:c r="E1470" s="28" t="str">
        <ns0:f>IF(A1470="","",YEAR(A1470)&amp;"-"&amp;RIGHT("0"&amp;MONTH(A1470),2))</ns0:f>
        <ns0:v/>
      </ns0:c>
      <ns0:c r="F1470" s="28" t="str">
        <ns0:f>IF(OR(A1470="",B1470="",C1470&lt;=0),"",IF(SUMPRODUCT(('Müşteriler'!$B$2:$B$101&lt;&gt;"")*ISNUMBER(SEARCH('Müşteriler'!$B$2:$B$101,B1470)))=1,IFERROR(INDEX('Müşteriler'!$A$2:$A$101,SUMPRODUCT(('Müşteriler'!$B$2:$B$101&lt;&gt;"")*ISNUMBER(SEARCH('Müşteriler'!$B$2:$B$101,B1470)),ROW('Müşteriler'!$B$2:$B$101)-ROW('Müşteriler'!$B$2)+1)),""),""))</ns0:f>
        <ns0:v/>
      </ns0:c>
      <ns0:c r="G1470" s="28" t="str">
        <ns0:f>IF(F1470="","",IFERROR(INDEX('Müşteriler'!$C$2:$C$101,MATCH(F1470,'Müşteriler'!$A$2:$A$101,0)),""))</ns0:f>
        <ns0:v/>
      </ns0:c>
      <ns0:c r="H1470" s="28" t="str">
        <ns0:f>IF(A1470="","",IF(C1470&lt;=0,"Satış dışı",IF(OR(F1470="",G1470=""),"Eşleşmedi","Eşleşti")))</ns0:f>
        <ns0:v/>
      </ns0:c>
      <ns0:c r="I1470" s="28">
        <ns0:f>I1469+IF(AND(H1470="Eşleşmedi",E1470='Panel'!$B$4),1,0)</ns0:f>
        <ns0:v>3.0</ns0:v>
      </ns0:c>
    </ns0:row>
    <ns0:row r="1471" ht="21" customHeight="1">
      <ns0:c r="A1471" s="25" t="n"/>
      <ns0:c r="B1471" s="26" t="n"/>
      <ns0:c r="C1471" s="27" t="n"/>
      <ns0:c r="D1471" s="27" t="n"/>
      <ns0:c r="E1471" s="28" t="str">
        <ns0:f>IF(A1471="","",YEAR(A1471)&amp;"-"&amp;RIGHT("0"&amp;MONTH(A1471),2))</ns0:f>
        <ns0:v/>
      </ns0:c>
      <ns0:c r="F1471" s="28" t="str">
        <ns0:f>IF(OR(A1471="",B1471="",C1471&lt;=0),"",IF(SUMPRODUCT(('Müşteriler'!$B$2:$B$101&lt;&gt;"")*ISNUMBER(SEARCH('Müşteriler'!$B$2:$B$101,B1471)))=1,IFERROR(INDEX('Müşteriler'!$A$2:$A$101,SUMPRODUCT(('Müşteriler'!$B$2:$B$101&lt;&gt;"")*ISNUMBER(SEARCH('Müşteriler'!$B$2:$B$101,B1471)),ROW('Müşteriler'!$B$2:$B$101)-ROW('Müşteriler'!$B$2)+1)),""),""))</ns0:f>
        <ns0:v/>
      </ns0:c>
      <ns0:c r="G1471" s="28" t="str">
        <ns0:f>IF(F1471="","",IFERROR(INDEX('Müşteriler'!$C$2:$C$101,MATCH(F1471,'Müşteriler'!$A$2:$A$101,0)),""))</ns0:f>
        <ns0:v/>
      </ns0:c>
      <ns0:c r="H1471" s="28" t="str">
        <ns0:f>IF(A1471="","",IF(C1471&lt;=0,"Satış dışı",IF(OR(F1471="",G1471=""),"Eşleşmedi","Eşleşti")))</ns0:f>
        <ns0:v/>
      </ns0:c>
      <ns0:c r="I1471" s="28">
        <ns0:f>I1470+IF(AND(H1471="Eşleşmedi",E1471='Panel'!$B$4),1,0)</ns0:f>
        <ns0:v>3.0</ns0:v>
      </ns0:c>
    </ns0:row>
    <ns0:row r="1472" ht="21" customHeight="1">
      <ns0:c r="A1472" s="25" t="n"/>
      <ns0:c r="B1472" s="26" t="n"/>
      <ns0:c r="C1472" s="27" t="n"/>
      <ns0:c r="D1472" s="27" t="n"/>
      <ns0:c r="E1472" s="28" t="str">
        <ns0:f>IF(A1472="","",YEAR(A1472)&amp;"-"&amp;RIGHT("0"&amp;MONTH(A1472),2))</ns0:f>
        <ns0:v/>
      </ns0:c>
      <ns0:c r="F1472" s="28" t="str">
        <ns0:f>IF(OR(A1472="",B1472="",C1472&lt;=0),"",IF(SUMPRODUCT(('Müşteriler'!$B$2:$B$101&lt;&gt;"")*ISNUMBER(SEARCH('Müşteriler'!$B$2:$B$101,B1472)))=1,IFERROR(INDEX('Müşteriler'!$A$2:$A$101,SUMPRODUCT(('Müşteriler'!$B$2:$B$101&lt;&gt;"")*ISNUMBER(SEARCH('Müşteriler'!$B$2:$B$101,B1472)),ROW('Müşteriler'!$B$2:$B$101)-ROW('Müşteriler'!$B$2)+1)),""),""))</ns0:f>
        <ns0:v/>
      </ns0:c>
      <ns0:c r="G1472" s="28" t="str">
        <ns0:f>IF(F1472="","",IFERROR(INDEX('Müşteriler'!$C$2:$C$101,MATCH(F1472,'Müşteriler'!$A$2:$A$101,0)),""))</ns0:f>
        <ns0:v/>
      </ns0:c>
      <ns0:c r="H1472" s="28" t="str">
        <ns0:f>IF(A1472="","",IF(C1472&lt;=0,"Satış dışı",IF(OR(F1472="",G1472=""),"Eşleşmedi","Eşleşti")))</ns0:f>
        <ns0:v/>
      </ns0:c>
      <ns0:c r="I1472" s="28">
        <ns0:f>I1471+IF(AND(H1472="Eşleşmedi",E1472='Panel'!$B$4),1,0)</ns0:f>
        <ns0:v>3.0</ns0:v>
      </ns0:c>
    </ns0:row>
    <ns0:row r="1473" ht="21" customHeight="1">
      <ns0:c r="A1473" s="25" t="n"/>
      <ns0:c r="B1473" s="26" t="n"/>
      <ns0:c r="C1473" s="27" t="n"/>
      <ns0:c r="D1473" s="27" t="n"/>
      <ns0:c r="E1473" s="28" t="str">
        <ns0:f>IF(A1473="","",YEAR(A1473)&amp;"-"&amp;RIGHT("0"&amp;MONTH(A1473),2))</ns0:f>
        <ns0:v/>
      </ns0:c>
      <ns0:c r="F1473" s="28" t="str">
        <ns0:f>IF(OR(A1473="",B1473="",C1473&lt;=0),"",IF(SUMPRODUCT(('Müşteriler'!$B$2:$B$101&lt;&gt;"")*ISNUMBER(SEARCH('Müşteriler'!$B$2:$B$101,B1473)))=1,IFERROR(INDEX('Müşteriler'!$A$2:$A$101,SUMPRODUCT(('Müşteriler'!$B$2:$B$101&lt;&gt;"")*ISNUMBER(SEARCH('Müşteriler'!$B$2:$B$101,B1473)),ROW('Müşteriler'!$B$2:$B$101)-ROW('Müşteriler'!$B$2)+1)),""),""))</ns0:f>
        <ns0:v/>
      </ns0:c>
      <ns0:c r="G1473" s="28" t="str">
        <ns0:f>IF(F1473="","",IFERROR(INDEX('Müşteriler'!$C$2:$C$101,MATCH(F1473,'Müşteriler'!$A$2:$A$101,0)),""))</ns0:f>
        <ns0:v/>
      </ns0:c>
      <ns0:c r="H1473" s="28" t="str">
        <ns0:f>IF(A1473="","",IF(C1473&lt;=0,"Satış dışı",IF(OR(F1473="",G1473=""),"Eşleşmedi","Eşleşti")))</ns0:f>
        <ns0:v/>
      </ns0:c>
      <ns0:c r="I1473" s="28">
        <ns0:f>I1472+IF(AND(H1473="Eşleşmedi",E1473='Panel'!$B$4),1,0)</ns0:f>
        <ns0:v>3.0</ns0:v>
      </ns0:c>
    </ns0:row>
    <ns0:row r="1474" ht="21" customHeight="1">
      <ns0:c r="A1474" s="25" t="n"/>
      <ns0:c r="B1474" s="26" t="n"/>
      <ns0:c r="C1474" s="27" t="n"/>
      <ns0:c r="D1474" s="27" t="n"/>
      <ns0:c r="E1474" s="28" t="str">
        <ns0:f>IF(A1474="","",YEAR(A1474)&amp;"-"&amp;RIGHT("0"&amp;MONTH(A1474),2))</ns0:f>
        <ns0:v/>
      </ns0:c>
      <ns0:c r="F1474" s="28" t="str">
        <ns0:f>IF(OR(A1474="",B1474="",C1474&lt;=0),"",IF(SUMPRODUCT(('Müşteriler'!$B$2:$B$101&lt;&gt;"")*ISNUMBER(SEARCH('Müşteriler'!$B$2:$B$101,B1474)))=1,IFERROR(INDEX('Müşteriler'!$A$2:$A$101,SUMPRODUCT(('Müşteriler'!$B$2:$B$101&lt;&gt;"")*ISNUMBER(SEARCH('Müşteriler'!$B$2:$B$101,B1474)),ROW('Müşteriler'!$B$2:$B$101)-ROW('Müşteriler'!$B$2)+1)),""),""))</ns0:f>
        <ns0:v/>
      </ns0:c>
      <ns0:c r="G1474" s="28" t="str">
        <ns0:f>IF(F1474="","",IFERROR(INDEX('Müşteriler'!$C$2:$C$101,MATCH(F1474,'Müşteriler'!$A$2:$A$101,0)),""))</ns0:f>
        <ns0:v/>
      </ns0:c>
      <ns0:c r="H1474" s="28" t="str">
        <ns0:f>IF(A1474="","",IF(C1474&lt;=0,"Satış dışı",IF(OR(F1474="",G1474=""),"Eşleşmedi","Eşleşti")))</ns0:f>
        <ns0:v/>
      </ns0:c>
      <ns0:c r="I1474" s="28">
        <ns0:f>I1473+IF(AND(H1474="Eşleşmedi",E1474='Panel'!$B$4),1,0)</ns0:f>
        <ns0:v>3.0</ns0:v>
      </ns0:c>
    </ns0:row>
    <ns0:row r="1475" ht="21" customHeight="1">
      <ns0:c r="A1475" s="25" t="n"/>
      <ns0:c r="B1475" s="26" t="n"/>
      <ns0:c r="C1475" s="27" t="n"/>
      <ns0:c r="D1475" s="27" t="n"/>
      <ns0:c r="E1475" s="28" t="str">
        <ns0:f>IF(A1475="","",YEAR(A1475)&amp;"-"&amp;RIGHT("0"&amp;MONTH(A1475),2))</ns0:f>
        <ns0:v/>
      </ns0:c>
      <ns0:c r="F1475" s="28" t="str">
        <ns0:f>IF(OR(A1475="",B1475="",C1475&lt;=0),"",IF(SUMPRODUCT(('Müşteriler'!$B$2:$B$101&lt;&gt;"")*ISNUMBER(SEARCH('Müşteriler'!$B$2:$B$101,B1475)))=1,IFERROR(INDEX('Müşteriler'!$A$2:$A$101,SUMPRODUCT(('Müşteriler'!$B$2:$B$101&lt;&gt;"")*ISNUMBER(SEARCH('Müşteriler'!$B$2:$B$101,B1475)),ROW('Müşteriler'!$B$2:$B$101)-ROW('Müşteriler'!$B$2)+1)),""),""))</ns0:f>
        <ns0:v/>
      </ns0:c>
      <ns0:c r="G1475" s="28" t="str">
        <ns0:f>IF(F1475="","",IFERROR(INDEX('Müşteriler'!$C$2:$C$101,MATCH(F1475,'Müşteriler'!$A$2:$A$101,0)),""))</ns0:f>
        <ns0:v/>
      </ns0:c>
      <ns0:c r="H1475" s="28" t="str">
        <ns0:f>IF(A1475="","",IF(C1475&lt;=0,"Satış dışı",IF(OR(F1475="",G1475=""),"Eşleşmedi","Eşleşti")))</ns0:f>
        <ns0:v/>
      </ns0:c>
      <ns0:c r="I1475" s="28">
        <ns0:f>I1474+IF(AND(H1475="Eşleşmedi",E1475='Panel'!$B$4),1,0)</ns0:f>
        <ns0:v>3.0</ns0:v>
      </ns0:c>
    </ns0:row>
    <ns0:row r="1476" ht="21" customHeight="1">
      <ns0:c r="A1476" s="25" t="n"/>
      <ns0:c r="B1476" s="26" t="n"/>
      <ns0:c r="C1476" s="27" t="n"/>
      <ns0:c r="D1476" s="27" t="n"/>
      <ns0:c r="E1476" s="28" t="str">
        <ns0:f>IF(A1476="","",YEAR(A1476)&amp;"-"&amp;RIGHT("0"&amp;MONTH(A1476),2))</ns0:f>
        <ns0:v/>
      </ns0:c>
      <ns0:c r="F1476" s="28" t="str">
        <ns0:f>IF(OR(A1476="",B1476="",C1476&lt;=0),"",IF(SUMPRODUCT(('Müşteriler'!$B$2:$B$101&lt;&gt;"")*ISNUMBER(SEARCH('Müşteriler'!$B$2:$B$101,B1476)))=1,IFERROR(INDEX('Müşteriler'!$A$2:$A$101,SUMPRODUCT(('Müşteriler'!$B$2:$B$101&lt;&gt;"")*ISNUMBER(SEARCH('Müşteriler'!$B$2:$B$101,B1476)),ROW('Müşteriler'!$B$2:$B$101)-ROW('Müşteriler'!$B$2)+1)),""),""))</ns0:f>
        <ns0:v/>
      </ns0:c>
      <ns0:c r="G1476" s="28" t="str">
        <ns0:f>IF(F1476="","",IFERROR(INDEX('Müşteriler'!$C$2:$C$101,MATCH(F1476,'Müşteriler'!$A$2:$A$101,0)),""))</ns0:f>
        <ns0:v/>
      </ns0:c>
      <ns0:c r="H1476" s="28" t="str">
        <ns0:f>IF(A1476="","",IF(C1476&lt;=0,"Satış dışı",IF(OR(F1476="",G1476=""),"Eşleşmedi","Eşleşti")))</ns0:f>
        <ns0:v/>
      </ns0:c>
      <ns0:c r="I1476" s="28">
        <ns0:f>I1475+IF(AND(H1476="Eşleşmedi",E1476='Panel'!$B$4),1,0)</ns0:f>
        <ns0:v>3.0</ns0:v>
      </ns0:c>
    </ns0:row>
    <ns0:row r="1477" ht="21" customHeight="1">
      <ns0:c r="A1477" s="25" t="n"/>
      <ns0:c r="B1477" s="26" t="n"/>
      <ns0:c r="C1477" s="27" t="n"/>
      <ns0:c r="D1477" s="27" t="n"/>
      <ns0:c r="E1477" s="28" t="str">
        <ns0:f>IF(A1477="","",YEAR(A1477)&amp;"-"&amp;RIGHT("0"&amp;MONTH(A1477),2))</ns0:f>
        <ns0:v/>
      </ns0:c>
      <ns0:c r="F1477" s="28" t="str">
        <ns0:f>IF(OR(A1477="",B1477="",C1477&lt;=0),"",IF(SUMPRODUCT(('Müşteriler'!$B$2:$B$101&lt;&gt;"")*ISNUMBER(SEARCH('Müşteriler'!$B$2:$B$101,B1477)))=1,IFERROR(INDEX('Müşteriler'!$A$2:$A$101,SUMPRODUCT(('Müşteriler'!$B$2:$B$101&lt;&gt;"")*ISNUMBER(SEARCH('Müşteriler'!$B$2:$B$101,B1477)),ROW('Müşteriler'!$B$2:$B$101)-ROW('Müşteriler'!$B$2)+1)),""),""))</ns0:f>
        <ns0:v/>
      </ns0:c>
      <ns0:c r="G1477" s="28" t="str">
        <ns0:f>IF(F1477="","",IFERROR(INDEX('Müşteriler'!$C$2:$C$101,MATCH(F1477,'Müşteriler'!$A$2:$A$101,0)),""))</ns0:f>
        <ns0:v/>
      </ns0:c>
      <ns0:c r="H1477" s="28" t="str">
        <ns0:f>IF(A1477="","",IF(C1477&lt;=0,"Satış dışı",IF(OR(F1477="",G1477=""),"Eşleşmedi","Eşleşti")))</ns0:f>
        <ns0:v/>
      </ns0:c>
      <ns0:c r="I1477" s="28">
        <ns0:f>I1476+IF(AND(H1477="Eşleşmedi",E1477='Panel'!$B$4),1,0)</ns0:f>
        <ns0:v>3.0</ns0:v>
      </ns0:c>
    </ns0:row>
    <ns0:row r="1478" ht="21" customHeight="1">
      <ns0:c r="A1478" s="25" t="n"/>
      <ns0:c r="B1478" s="26" t="n"/>
      <ns0:c r="C1478" s="27" t="n"/>
      <ns0:c r="D1478" s="27" t="n"/>
      <ns0:c r="E1478" s="28" t="str">
        <ns0:f>IF(A1478="","",YEAR(A1478)&amp;"-"&amp;RIGHT("0"&amp;MONTH(A1478),2))</ns0:f>
        <ns0:v/>
      </ns0:c>
      <ns0:c r="F1478" s="28" t="str">
        <ns0:f>IF(OR(A1478="",B1478="",C1478&lt;=0),"",IF(SUMPRODUCT(('Müşteriler'!$B$2:$B$101&lt;&gt;"")*ISNUMBER(SEARCH('Müşteriler'!$B$2:$B$101,B1478)))=1,IFERROR(INDEX('Müşteriler'!$A$2:$A$101,SUMPRODUCT(('Müşteriler'!$B$2:$B$101&lt;&gt;"")*ISNUMBER(SEARCH('Müşteriler'!$B$2:$B$101,B1478)),ROW('Müşteriler'!$B$2:$B$101)-ROW('Müşteriler'!$B$2)+1)),""),""))</ns0:f>
        <ns0:v/>
      </ns0:c>
      <ns0:c r="G1478" s="28" t="str">
        <ns0:f>IF(F1478="","",IFERROR(INDEX('Müşteriler'!$C$2:$C$101,MATCH(F1478,'Müşteriler'!$A$2:$A$101,0)),""))</ns0:f>
        <ns0:v/>
      </ns0:c>
      <ns0:c r="H1478" s="28" t="str">
        <ns0:f>IF(A1478="","",IF(C1478&lt;=0,"Satış dışı",IF(OR(F1478="",G1478=""),"Eşleşmedi","Eşleşti")))</ns0:f>
        <ns0:v/>
      </ns0:c>
      <ns0:c r="I1478" s="28">
        <ns0:f>I1477+IF(AND(H1478="Eşleşmedi",E1478='Panel'!$B$4),1,0)</ns0:f>
        <ns0:v>3.0</ns0:v>
      </ns0:c>
    </ns0:row>
    <ns0:row r="1479" ht="21" customHeight="1">
      <ns0:c r="A1479" s="25" t="n"/>
      <ns0:c r="B1479" s="26" t="n"/>
      <ns0:c r="C1479" s="27" t="n"/>
      <ns0:c r="D1479" s="27" t="n"/>
      <ns0:c r="E1479" s="28" t="str">
        <ns0:f>IF(A1479="","",YEAR(A1479)&amp;"-"&amp;RIGHT("0"&amp;MONTH(A1479),2))</ns0:f>
        <ns0:v/>
      </ns0:c>
      <ns0:c r="F1479" s="28" t="str">
        <ns0:f>IF(OR(A1479="",B1479="",C1479&lt;=0),"",IF(SUMPRODUCT(('Müşteriler'!$B$2:$B$101&lt;&gt;"")*ISNUMBER(SEARCH('Müşteriler'!$B$2:$B$101,B1479)))=1,IFERROR(INDEX('Müşteriler'!$A$2:$A$101,SUMPRODUCT(('Müşteriler'!$B$2:$B$101&lt;&gt;"")*ISNUMBER(SEARCH('Müşteriler'!$B$2:$B$101,B1479)),ROW('Müşteriler'!$B$2:$B$101)-ROW('Müşteriler'!$B$2)+1)),""),""))</ns0:f>
        <ns0:v/>
      </ns0:c>
      <ns0:c r="G1479" s="28" t="str">
        <ns0:f>IF(F1479="","",IFERROR(INDEX('Müşteriler'!$C$2:$C$101,MATCH(F1479,'Müşteriler'!$A$2:$A$101,0)),""))</ns0:f>
        <ns0:v/>
      </ns0:c>
      <ns0:c r="H1479" s="28" t="str">
        <ns0:f>IF(A1479="","",IF(C1479&lt;=0,"Satış dışı",IF(OR(F1479="",G1479=""),"Eşleşmedi","Eşleşti")))</ns0:f>
        <ns0:v/>
      </ns0:c>
      <ns0:c r="I1479" s="28">
        <ns0:f>I1478+IF(AND(H1479="Eşleşmedi",E1479='Panel'!$B$4),1,0)</ns0:f>
        <ns0:v>3.0</ns0:v>
      </ns0:c>
    </ns0:row>
    <ns0:row r="1480" ht="21" customHeight="1">
      <ns0:c r="A1480" s="25" t="n"/>
      <ns0:c r="B1480" s="26" t="n"/>
      <ns0:c r="C1480" s="27" t="n"/>
      <ns0:c r="D1480" s="27" t="n"/>
      <ns0:c r="E1480" s="28" t="str">
        <ns0:f>IF(A1480="","",YEAR(A1480)&amp;"-"&amp;RIGHT("0"&amp;MONTH(A1480),2))</ns0:f>
        <ns0:v/>
      </ns0:c>
      <ns0:c r="F1480" s="28" t="str">
        <ns0:f>IF(OR(A1480="",B1480="",C1480&lt;=0),"",IF(SUMPRODUCT(('Müşteriler'!$B$2:$B$101&lt;&gt;"")*ISNUMBER(SEARCH('Müşteriler'!$B$2:$B$101,B1480)))=1,IFERROR(INDEX('Müşteriler'!$A$2:$A$101,SUMPRODUCT(('Müşteriler'!$B$2:$B$101&lt;&gt;"")*ISNUMBER(SEARCH('Müşteriler'!$B$2:$B$101,B1480)),ROW('Müşteriler'!$B$2:$B$101)-ROW('Müşteriler'!$B$2)+1)),""),""))</ns0:f>
        <ns0:v/>
      </ns0:c>
      <ns0:c r="G1480" s="28" t="str">
        <ns0:f>IF(F1480="","",IFERROR(INDEX('Müşteriler'!$C$2:$C$101,MATCH(F1480,'Müşteriler'!$A$2:$A$101,0)),""))</ns0:f>
        <ns0:v/>
      </ns0:c>
      <ns0:c r="H1480" s="28" t="str">
        <ns0:f>IF(A1480="","",IF(C1480&lt;=0,"Satış dışı",IF(OR(F1480="",G1480=""),"Eşleşmedi","Eşleşti")))</ns0:f>
        <ns0:v/>
      </ns0:c>
      <ns0:c r="I1480" s="28">
        <ns0:f>I1479+IF(AND(H1480="Eşleşmedi",E1480='Panel'!$B$4),1,0)</ns0:f>
        <ns0:v>3.0</ns0:v>
      </ns0:c>
    </ns0:row>
    <ns0:row r="1481" ht="21" customHeight="1">
      <ns0:c r="A1481" s="25" t="n"/>
      <ns0:c r="B1481" s="26" t="n"/>
      <ns0:c r="C1481" s="27" t="n"/>
      <ns0:c r="D1481" s="27" t="n"/>
      <ns0:c r="E1481" s="28" t="str">
        <ns0:f>IF(A1481="","",YEAR(A1481)&amp;"-"&amp;RIGHT("0"&amp;MONTH(A1481),2))</ns0:f>
        <ns0:v/>
      </ns0:c>
      <ns0:c r="F1481" s="28" t="str">
        <ns0:f>IF(OR(A1481="",B1481="",C1481&lt;=0),"",IF(SUMPRODUCT(('Müşteriler'!$B$2:$B$101&lt;&gt;"")*ISNUMBER(SEARCH('Müşteriler'!$B$2:$B$101,B1481)))=1,IFERROR(INDEX('Müşteriler'!$A$2:$A$101,SUMPRODUCT(('Müşteriler'!$B$2:$B$101&lt;&gt;"")*ISNUMBER(SEARCH('Müşteriler'!$B$2:$B$101,B1481)),ROW('Müşteriler'!$B$2:$B$101)-ROW('Müşteriler'!$B$2)+1)),""),""))</ns0:f>
        <ns0:v/>
      </ns0:c>
      <ns0:c r="G1481" s="28" t="str">
        <ns0:f>IF(F1481="","",IFERROR(INDEX('Müşteriler'!$C$2:$C$101,MATCH(F1481,'Müşteriler'!$A$2:$A$101,0)),""))</ns0:f>
        <ns0:v/>
      </ns0:c>
      <ns0:c r="H1481" s="28" t="str">
        <ns0:f>IF(A1481="","",IF(C1481&lt;=0,"Satış dışı",IF(OR(F1481="",G1481=""),"Eşleşmedi","Eşleşti")))</ns0:f>
        <ns0:v/>
      </ns0:c>
      <ns0:c r="I1481" s="28">
        <ns0:f>I1480+IF(AND(H1481="Eşleşmedi",E1481='Panel'!$B$4),1,0)</ns0:f>
        <ns0:v>3.0</ns0:v>
      </ns0:c>
    </ns0:row>
    <ns0:row r="1482" ht="21" customHeight="1">
      <ns0:c r="A1482" s="25" t="n"/>
      <ns0:c r="B1482" s="26" t="n"/>
      <ns0:c r="C1482" s="27" t="n"/>
      <ns0:c r="D1482" s="27" t="n"/>
      <ns0:c r="E1482" s="28" t="str">
        <ns0:f>IF(A1482="","",YEAR(A1482)&amp;"-"&amp;RIGHT("0"&amp;MONTH(A1482),2))</ns0:f>
        <ns0:v/>
      </ns0:c>
      <ns0:c r="F1482" s="28" t="str">
        <ns0:f>IF(OR(A1482="",B1482="",C1482&lt;=0),"",IF(SUMPRODUCT(('Müşteriler'!$B$2:$B$101&lt;&gt;"")*ISNUMBER(SEARCH('Müşteriler'!$B$2:$B$101,B1482)))=1,IFERROR(INDEX('Müşteriler'!$A$2:$A$101,SUMPRODUCT(('Müşteriler'!$B$2:$B$101&lt;&gt;"")*ISNUMBER(SEARCH('Müşteriler'!$B$2:$B$101,B1482)),ROW('Müşteriler'!$B$2:$B$101)-ROW('Müşteriler'!$B$2)+1)),""),""))</ns0:f>
        <ns0:v/>
      </ns0:c>
      <ns0:c r="G1482" s="28" t="str">
        <ns0:f>IF(F1482="","",IFERROR(INDEX('Müşteriler'!$C$2:$C$101,MATCH(F1482,'Müşteriler'!$A$2:$A$101,0)),""))</ns0:f>
        <ns0:v/>
      </ns0:c>
      <ns0:c r="H1482" s="28" t="str">
        <ns0:f>IF(A1482="","",IF(C1482&lt;=0,"Satış dışı",IF(OR(F1482="",G1482=""),"Eşleşmedi","Eşleşti")))</ns0:f>
        <ns0:v/>
      </ns0:c>
      <ns0:c r="I1482" s="28">
        <ns0:f>I1481+IF(AND(H1482="Eşleşmedi",E1482='Panel'!$B$4),1,0)</ns0:f>
        <ns0:v>3.0</ns0:v>
      </ns0:c>
    </ns0:row>
    <ns0:row r="1483" ht="21" customHeight="1">
      <ns0:c r="A1483" s="25" t="n"/>
      <ns0:c r="B1483" s="26" t="n"/>
      <ns0:c r="C1483" s="27" t="n"/>
      <ns0:c r="D1483" s="27" t="n"/>
      <ns0:c r="E1483" s="28" t="str">
        <ns0:f>IF(A1483="","",YEAR(A1483)&amp;"-"&amp;RIGHT("0"&amp;MONTH(A1483),2))</ns0:f>
        <ns0:v/>
      </ns0:c>
      <ns0:c r="F1483" s="28" t="str">
        <ns0:f>IF(OR(A1483="",B1483="",C1483&lt;=0),"",IF(SUMPRODUCT(('Müşteriler'!$B$2:$B$101&lt;&gt;"")*ISNUMBER(SEARCH('Müşteriler'!$B$2:$B$101,B1483)))=1,IFERROR(INDEX('Müşteriler'!$A$2:$A$101,SUMPRODUCT(('Müşteriler'!$B$2:$B$101&lt;&gt;"")*ISNUMBER(SEARCH('Müşteriler'!$B$2:$B$101,B1483)),ROW('Müşteriler'!$B$2:$B$101)-ROW('Müşteriler'!$B$2)+1)),""),""))</ns0:f>
        <ns0:v/>
      </ns0:c>
      <ns0:c r="G1483" s="28" t="str">
        <ns0:f>IF(F1483="","",IFERROR(INDEX('Müşteriler'!$C$2:$C$101,MATCH(F1483,'Müşteriler'!$A$2:$A$101,0)),""))</ns0:f>
        <ns0:v/>
      </ns0:c>
      <ns0:c r="H1483" s="28" t="str">
        <ns0:f>IF(A1483="","",IF(C1483&lt;=0,"Satış dışı",IF(OR(F1483="",G1483=""),"Eşleşmedi","Eşleşti")))</ns0:f>
        <ns0:v/>
      </ns0:c>
      <ns0:c r="I1483" s="28">
        <ns0:f>I1482+IF(AND(H1483="Eşleşmedi",E1483='Panel'!$B$4),1,0)</ns0:f>
        <ns0:v>3.0</ns0:v>
      </ns0:c>
    </ns0:row>
    <ns0:row r="1484" ht="21" customHeight="1">
      <ns0:c r="A1484" s="25" t="n"/>
      <ns0:c r="B1484" s="26" t="n"/>
      <ns0:c r="C1484" s="27" t="n"/>
      <ns0:c r="D1484" s="27" t="n"/>
      <ns0:c r="E1484" s="28" t="str">
        <ns0:f>IF(A1484="","",YEAR(A1484)&amp;"-"&amp;RIGHT("0"&amp;MONTH(A1484),2))</ns0:f>
        <ns0:v/>
      </ns0:c>
      <ns0:c r="F1484" s="28" t="str">
        <ns0:f>IF(OR(A1484="",B1484="",C1484&lt;=0),"",IF(SUMPRODUCT(('Müşteriler'!$B$2:$B$101&lt;&gt;"")*ISNUMBER(SEARCH('Müşteriler'!$B$2:$B$101,B1484)))=1,IFERROR(INDEX('Müşteriler'!$A$2:$A$101,SUMPRODUCT(('Müşteriler'!$B$2:$B$101&lt;&gt;"")*ISNUMBER(SEARCH('Müşteriler'!$B$2:$B$101,B1484)),ROW('Müşteriler'!$B$2:$B$101)-ROW('Müşteriler'!$B$2)+1)),""),""))</ns0:f>
        <ns0:v/>
      </ns0:c>
      <ns0:c r="G1484" s="28" t="str">
        <ns0:f>IF(F1484="","",IFERROR(INDEX('Müşteriler'!$C$2:$C$101,MATCH(F1484,'Müşteriler'!$A$2:$A$101,0)),""))</ns0:f>
        <ns0:v/>
      </ns0:c>
      <ns0:c r="H1484" s="28" t="str">
        <ns0:f>IF(A1484="","",IF(C1484&lt;=0,"Satış dışı",IF(OR(F1484="",G1484=""),"Eşleşmedi","Eşleşti")))</ns0:f>
        <ns0:v/>
      </ns0:c>
      <ns0:c r="I1484" s="28">
        <ns0:f>I1483+IF(AND(H1484="Eşleşmedi",E1484='Panel'!$B$4),1,0)</ns0:f>
        <ns0:v>3.0</ns0:v>
      </ns0:c>
    </ns0:row>
    <ns0:row r="1485" ht="21" customHeight="1">
      <ns0:c r="A1485" s="25" t="n"/>
      <ns0:c r="B1485" s="26" t="n"/>
      <ns0:c r="C1485" s="27" t="n"/>
      <ns0:c r="D1485" s="27" t="n"/>
      <ns0:c r="E1485" s="28" t="str">
        <ns0:f>IF(A1485="","",YEAR(A1485)&amp;"-"&amp;RIGHT("0"&amp;MONTH(A1485),2))</ns0:f>
        <ns0:v/>
      </ns0:c>
      <ns0:c r="F1485" s="28" t="str">
        <ns0:f>IF(OR(A1485="",B1485="",C1485&lt;=0),"",IF(SUMPRODUCT(('Müşteriler'!$B$2:$B$101&lt;&gt;"")*ISNUMBER(SEARCH('Müşteriler'!$B$2:$B$101,B1485)))=1,IFERROR(INDEX('Müşteriler'!$A$2:$A$101,SUMPRODUCT(('Müşteriler'!$B$2:$B$101&lt;&gt;"")*ISNUMBER(SEARCH('Müşteriler'!$B$2:$B$101,B1485)),ROW('Müşteriler'!$B$2:$B$101)-ROW('Müşteriler'!$B$2)+1)),""),""))</ns0:f>
        <ns0:v/>
      </ns0:c>
      <ns0:c r="G1485" s="28" t="str">
        <ns0:f>IF(F1485="","",IFERROR(INDEX('Müşteriler'!$C$2:$C$101,MATCH(F1485,'Müşteriler'!$A$2:$A$101,0)),""))</ns0:f>
        <ns0:v/>
      </ns0:c>
      <ns0:c r="H1485" s="28" t="str">
        <ns0:f>IF(A1485="","",IF(C1485&lt;=0,"Satış dışı",IF(OR(F1485="",G1485=""),"Eşleşmedi","Eşleşti")))</ns0:f>
        <ns0:v/>
      </ns0:c>
      <ns0:c r="I1485" s="28">
        <ns0:f>I1484+IF(AND(H1485="Eşleşmedi",E1485='Panel'!$B$4),1,0)</ns0:f>
        <ns0:v>3.0</ns0:v>
      </ns0:c>
    </ns0:row>
    <ns0:row r="1486" ht="21" customHeight="1">
      <ns0:c r="A1486" s="25" t="n"/>
      <ns0:c r="B1486" s="26" t="n"/>
      <ns0:c r="C1486" s="27" t="n"/>
      <ns0:c r="D1486" s="27" t="n"/>
      <ns0:c r="E1486" s="28" t="str">
        <ns0:f>IF(A1486="","",YEAR(A1486)&amp;"-"&amp;RIGHT("0"&amp;MONTH(A1486),2))</ns0:f>
        <ns0:v/>
      </ns0:c>
      <ns0:c r="F1486" s="28" t="str">
        <ns0:f>IF(OR(A1486="",B1486="",C1486&lt;=0),"",IF(SUMPRODUCT(('Müşteriler'!$B$2:$B$101&lt;&gt;"")*ISNUMBER(SEARCH('Müşteriler'!$B$2:$B$101,B1486)))=1,IFERROR(INDEX('Müşteriler'!$A$2:$A$101,SUMPRODUCT(('Müşteriler'!$B$2:$B$101&lt;&gt;"")*ISNUMBER(SEARCH('Müşteriler'!$B$2:$B$101,B1486)),ROW('Müşteriler'!$B$2:$B$101)-ROW('Müşteriler'!$B$2)+1)),""),""))</ns0:f>
        <ns0:v/>
      </ns0:c>
      <ns0:c r="G1486" s="28" t="str">
        <ns0:f>IF(F1486="","",IFERROR(INDEX('Müşteriler'!$C$2:$C$101,MATCH(F1486,'Müşteriler'!$A$2:$A$101,0)),""))</ns0:f>
        <ns0:v/>
      </ns0:c>
      <ns0:c r="H1486" s="28" t="str">
        <ns0:f>IF(A1486="","",IF(C1486&lt;=0,"Satış dışı",IF(OR(F1486="",G1486=""),"Eşleşmedi","Eşleşti")))</ns0:f>
        <ns0:v/>
      </ns0:c>
      <ns0:c r="I1486" s="28">
        <ns0:f>I1485+IF(AND(H1486="Eşleşmedi",E1486='Panel'!$B$4),1,0)</ns0:f>
        <ns0:v>3.0</ns0:v>
      </ns0:c>
    </ns0:row>
    <ns0:row r="1487" ht="21" customHeight="1">
      <ns0:c r="A1487" s="25" t="n"/>
      <ns0:c r="B1487" s="26" t="n"/>
      <ns0:c r="C1487" s="27" t="n"/>
      <ns0:c r="D1487" s="27" t="n"/>
      <ns0:c r="E1487" s="28" t="str">
        <ns0:f>IF(A1487="","",YEAR(A1487)&amp;"-"&amp;RIGHT("0"&amp;MONTH(A1487),2))</ns0:f>
        <ns0:v/>
      </ns0:c>
      <ns0:c r="F1487" s="28" t="str">
        <ns0:f>IF(OR(A1487="",B1487="",C1487&lt;=0),"",IF(SUMPRODUCT(('Müşteriler'!$B$2:$B$101&lt;&gt;"")*ISNUMBER(SEARCH('Müşteriler'!$B$2:$B$101,B1487)))=1,IFERROR(INDEX('Müşteriler'!$A$2:$A$101,SUMPRODUCT(('Müşteriler'!$B$2:$B$101&lt;&gt;"")*ISNUMBER(SEARCH('Müşteriler'!$B$2:$B$101,B1487)),ROW('Müşteriler'!$B$2:$B$101)-ROW('Müşteriler'!$B$2)+1)),""),""))</ns0:f>
        <ns0:v/>
      </ns0:c>
      <ns0:c r="G1487" s="28" t="str">
        <ns0:f>IF(F1487="","",IFERROR(INDEX('Müşteriler'!$C$2:$C$101,MATCH(F1487,'Müşteriler'!$A$2:$A$101,0)),""))</ns0:f>
        <ns0:v/>
      </ns0:c>
      <ns0:c r="H1487" s="28" t="str">
        <ns0:f>IF(A1487="","",IF(C1487&lt;=0,"Satış dışı",IF(OR(F1487="",G1487=""),"Eşleşmedi","Eşleşti")))</ns0:f>
        <ns0:v/>
      </ns0:c>
      <ns0:c r="I1487" s="28">
        <ns0:f>I1486+IF(AND(H1487="Eşleşmedi",E1487='Panel'!$B$4),1,0)</ns0:f>
        <ns0:v>3.0</ns0:v>
      </ns0:c>
    </ns0:row>
    <ns0:row r="1488" ht="21" customHeight="1">
      <ns0:c r="A1488" s="25" t="n"/>
      <ns0:c r="B1488" s="26" t="n"/>
      <ns0:c r="C1488" s="27" t="n"/>
      <ns0:c r="D1488" s="27" t="n"/>
      <ns0:c r="E1488" s="28" t="str">
        <ns0:f>IF(A1488="","",YEAR(A1488)&amp;"-"&amp;RIGHT("0"&amp;MONTH(A1488),2))</ns0:f>
        <ns0:v/>
      </ns0:c>
      <ns0:c r="F1488" s="28" t="str">
        <ns0:f>IF(OR(A1488="",B1488="",C1488&lt;=0),"",IF(SUMPRODUCT(('Müşteriler'!$B$2:$B$101&lt;&gt;"")*ISNUMBER(SEARCH('Müşteriler'!$B$2:$B$101,B1488)))=1,IFERROR(INDEX('Müşteriler'!$A$2:$A$101,SUMPRODUCT(('Müşteriler'!$B$2:$B$101&lt;&gt;"")*ISNUMBER(SEARCH('Müşteriler'!$B$2:$B$101,B1488)),ROW('Müşteriler'!$B$2:$B$101)-ROW('Müşteriler'!$B$2)+1)),""),""))</ns0:f>
        <ns0:v/>
      </ns0:c>
      <ns0:c r="G1488" s="28" t="str">
        <ns0:f>IF(F1488="","",IFERROR(INDEX('Müşteriler'!$C$2:$C$101,MATCH(F1488,'Müşteriler'!$A$2:$A$101,0)),""))</ns0:f>
        <ns0:v/>
      </ns0:c>
      <ns0:c r="H1488" s="28" t="str">
        <ns0:f>IF(A1488="","",IF(C1488&lt;=0,"Satış dışı",IF(OR(F1488="",G1488=""),"Eşleşmedi","Eşleşti")))</ns0:f>
        <ns0:v/>
      </ns0:c>
      <ns0:c r="I1488" s="28">
        <ns0:f>I1487+IF(AND(H1488="Eşleşmedi",E1488='Panel'!$B$4),1,0)</ns0:f>
        <ns0:v>3.0</ns0:v>
      </ns0:c>
    </ns0:row>
    <ns0:row r="1489" ht="21" customHeight="1">
      <ns0:c r="A1489" s="25" t="n"/>
      <ns0:c r="B1489" s="26" t="n"/>
      <ns0:c r="C1489" s="27" t="n"/>
      <ns0:c r="D1489" s="27" t="n"/>
      <ns0:c r="E1489" s="28" t="str">
        <ns0:f>IF(A1489="","",YEAR(A1489)&amp;"-"&amp;RIGHT("0"&amp;MONTH(A1489),2))</ns0:f>
        <ns0:v/>
      </ns0:c>
      <ns0:c r="F1489" s="28" t="str">
        <ns0:f>IF(OR(A1489="",B1489="",C1489&lt;=0),"",IF(SUMPRODUCT(('Müşteriler'!$B$2:$B$101&lt;&gt;"")*ISNUMBER(SEARCH('Müşteriler'!$B$2:$B$101,B1489)))=1,IFERROR(INDEX('Müşteriler'!$A$2:$A$101,SUMPRODUCT(('Müşteriler'!$B$2:$B$101&lt;&gt;"")*ISNUMBER(SEARCH('Müşteriler'!$B$2:$B$101,B1489)),ROW('Müşteriler'!$B$2:$B$101)-ROW('Müşteriler'!$B$2)+1)),""),""))</ns0:f>
        <ns0:v/>
      </ns0:c>
      <ns0:c r="G1489" s="28" t="str">
        <ns0:f>IF(F1489="","",IFERROR(INDEX('Müşteriler'!$C$2:$C$101,MATCH(F1489,'Müşteriler'!$A$2:$A$101,0)),""))</ns0:f>
        <ns0:v/>
      </ns0:c>
      <ns0:c r="H1489" s="28" t="str">
        <ns0:f>IF(A1489="","",IF(C1489&lt;=0,"Satış dışı",IF(OR(F1489="",G1489=""),"Eşleşmedi","Eşleşti")))</ns0:f>
        <ns0:v/>
      </ns0:c>
      <ns0:c r="I1489" s="28">
        <ns0:f>I1488+IF(AND(H1489="Eşleşmedi",E1489='Panel'!$B$4),1,0)</ns0:f>
        <ns0:v>3.0</ns0:v>
      </ns0:c>
    </ns0:row>
    <ns0:row r="1490" ht="21" customHeight="1">
      <ns0:c r="A1490" s="25" t="n"/>
      <ns0:c r="B1490" s="26" t="n"/>
      <ns0:c r="C1490" s="27" t="n"/>
      <ns0:c r="D1490" s="27" t="n"/>
      <ns0:c r="E1490" s="28" t="str">
        <ns0:f>IF(A1490="","",YEAR(A1490)&amp;"-"&amp;RIGHT("0"&amp;MONTH(A1490),2))</ns0:f>
        <ns0:v/>
      </ns0:c>
      <ns0:c r="F1490" s="28" t="str">
        <ns0:f>IF(OR(A1490="",B1490="",C1490&lt;=0),"",IF(SUMPRODUCT(('Müşteriler'!$B$2:$B$101&lt;&gt;"")*ISNUMBER(SEARCH('Müşteriler'!$B$2:$B$101,B1490)))=1,IFERROR(INDEX('Müşteriler'!$A$2:$A$101,SUMPRODUCT(('Müşteriler'!$B$2:$B$101&lt;&gt;"")*ISNUMBER(SEARCH('Müşteriler'!$B$2:$B$101,B1490)),ROW('Müşteriler'!$B$2:$B$101)-ROW('Müşteriler'!$B$2)+1)),""),""))</ns0:f>
        <ns0:v/>
      </ns0:c>
      <ns0:c r="G1490" s="28" t="str">
        <ns0:f>IF(F1490="","",IFERROR(INDEX('Müşteriler'!$C$2:$C$101,MATCH(F1490,'Müşteriler'!$A$2:$A$101,0)),""))</ns0:f>
        <ns0:v/>
      </ns0:c>
      <ns0:c r="H1490" s="28" t="str">
        <ns0:f>IF(A1490="","",IF(C1490&lt;=0,"Satış dışı",IF(OR(F1490="",G1490=""),"Eşleşmedi","Eşleşti")))</ns0:f>
        <ns0:v/>
      </ns0:c>
      <ns0:c r="I1490" s="28">
        <ns0:f>I1489+IF(AND(H1490="Eşleşmedi",E1490='Panel'!$B$4),1,0)</ns0:f>
        <ns0:v>3.0</ns0:v>
      </ns0:c>
    </ns0:row>
    <ns0:row r="1491" ht="21" customHeight="1">
      <ns0:c r="A1491" s="25" t="n"/>
      <ns0:c r="B1491" s="26" t="n"/>
      <ns0:c r="C1491" s="27" t="n"/>
      <ns0:c r="D1491" s="27" t="n"/>
      <ns0:c r="E1491" s="28" t="str">
        <ns0:f>IF(A1491="","",YEAR(A1491)&amp;"-"&amp;RIGHT("0"&amp;MONTH(A1491),2))</ns0:f>
        <ns0:v/>
      </ns0:c>
      <ns0:c r="F1491" s="28" t="str">
        <ns0:f>IF(OR(A1491="",B1491="",C1491&lt;=0),"",IF(SUMPRODUCT(('Müşteriler'!$B$2:$B$101&lt;&gt;"")*ISNUMBER(SEARCH('Müşteriler'!$B$2:$B$101,B1491)))=1,IFERROR(INDEX('Müşteriler'!$A$2:$A$101,SUMPRODUCT(('Müşteriler'!$B$2:$B$101&lt;&gt;"")*ISNUMBER(SEARCH('Müşteriler'!$B$2:$B$101,B1491)),ROW('Müşteriler'!$B$2:$B$101)-ROW('Müşteriler'!$B$2)+1)),""),""))</ns0:f>
        <ns0:v/>
      </ns0:c>
      <ns0:c r="G1491" s="28" t="str">
        <ns0:f>IF(F1491="","",IFERROR(INDEX('Müşteriler'!$C$2:$C$101,MATCH(F1491,'Müşteriler'!$A$2:$A$101,0)),""))</ns0:f>
        <ns0:v/>
      </ns0:c>
      <ns0:c r="H1491" s="28" t="str">
        <ns0:f>IF(A1491="","",IF(C1491&lt;=0,"Satış dışı",IF(OR(F1491="",G1491=""),"Eşleşmedi","Eşleşti")))</ns0:f>
        <ns0:v/>
      </ns0:c>
      <ns0:c r="I1491" s="28">
        <ns0:f>I1490+IF(AND(H1491="Eşleşmedi",E1491='Panel'!$B$4),1,0)</ns0:f>
        <ns0:v>3.0</ns0:v>
      </ns0:c>
    </ns0:row>
    <ns0:row r="1492" ht="21" customHeight="1">
      <ns0:c r="A1492" s="25" t="n"/>
      <ns0:c r="B1492" s="26" t="n"/>
      <ns0:c r="C1492" s="27" t="n"/>
      <ns0:c r="D1492" s="27" t="n"/>
      <ns0:c r="E1492" s="28" t="str">
        <ns0:f>IF(A1492="","",YEAR(A1492)&amp;"-"&amp;RIGHT("0"&amp;MONTH(A1492),2))</ns0:f>
        <ns0:v/>
      </ns0:c>
      <ns0:c r="F1492" s="28" t="str">
        <ns0:f>IF(OR(A1492="",B1492="",C1492&lt;=0),"",IF(SUMPRODUCT(('Müşteriler'!$B$2:$B$101&lt;&gt;"")*ISNUMBER(SEARCH('Müşteriler'!$B$2:$B$101,B1492)))=1,IFERROR(INDEX('Müşteriler'!$A$2:$A$101,SUMPRODUCT(('Müşteriler'!$B$2:$B$101&lt;&gt;"")*ISNUMBER(SEARCH('Müşteriler'!$B$2:$B$101,B1492)),ROW('Müşteriler'!$B$2:$B$101)-ROW('Müşteriler'!$B$2)+1)),""),""))</ns0:f>
        <ns0:v/>
      </ns0:c>
      <ns0:c r="G1492" s="28" t="str">
        <ns0:f>IF(F1492="","",IFERROR(INDEX('Müşteriler'!$C$2:$C$101,MATCH(F1492,'Müşteriler'!$A$2:$A$101,0)),""))</ns0:f>
        <ns0:v/>
      </ns0:c>
      <ns0:c r="H1492" s="28" t="str">
        <ns0:f>IF(A1492="","",IF(C1492&lt;=0,"Satış dışı",IF(OR(F1492="",G1492=""),"Eşleşmedi","Eşleşti")))</ns0:f>
        <ns0:v/>
      </ns0:c>
      <ns0:c r="I1492" s="28">
        <ns0:f>I1491+IF(AND(H1492="Eşleşmedi",E1492='Panel'!$B$4),1,0)</ns0:f>
        <ns0:v>3.0</ns0:v>
      </ns0:c>
    </ns0:row>
    <ns0:row r="1493" ht="21" customHeight="1">
      <ns0:c r="A1493" s="25" t="n"/>
      <ns0:c r="B1493" s="26" t="n"/>
      <ns0:c r="C1493" s="27" t="n"/>
      <ns0:c r="D1493" s="27" t="n"/>
      <ns0:c r="E1493" s="28" t="str">
        <ns0:f>IF(A1493="","",YEAR(A1493)&amp;"-"&amp;RIGHT("0"&amp;MONTH(A1493),2))</ns0:f>
        <ns0:v/>
      </ns0:c>
      <ns0:c r="F1493" s="28" t="str">
        <ns0:f>IF(OR(A1493="",B1493="",C1493&lt;=0),"",IF(SUMPRODUCT(('Müşteriler'!$B$2:$B$101&lt;&gt;"")*ISNUMBER(SEARCH('Müşteriler'!$B$2:$B$101,B1493)))=1,IFERROR(INDEX('Müşteriler'!$A$2:$A$101,SUMPRODUCT(('Müşteriler'!$B$2:$B$101&lt;&gt;"")*ISNUMBER(SEARCH('Müşteriler'!$B$2:$B$101,B1493)),ROW('Müşteriler'!$B$2:$B$101)-ROW('Müşteriler'!$B$2)+1)),""),""))</ns0:f>
        <ns0:v/>
      </ns0:c>
      <ns0:c r="G1493" s="28" t="str">
        <ns0:f>IF(F1493="","",IFERROR(INDEX('Müşteriler'!$C$2:$C$101,MATCH(F1493,'Müşteriler'!$A$2:$A$101,0)),""))</ns0:f>
        <ns0:v/>
      </ns0:c>
      <ns0:c r="H1493" s="28" t="str">
        <ns0:f>IF(A1493="","",IF(C1493&lt;=0,"Satış dışı",IF(OR(F1493="",G1493=""),"Eşleşmedi","Eşleşti")))</ns0:f>
        <ns0:v/>
      </ns0:c>
      <ns0:c r="I1493" s="28">
        <ns0:f>I1492+IF(AND(H1493="Eşleşmedi",E1493='Panel'!$B$4),1,0)</ns0:f>
        <ns0:v>3.0</ns0:v>
      </ns0:c>
    </ns0:row>
    <ns0:row r="1494" ht="21" customHeight="1">
      <ns0:c r="A1494" s="25" t="n"/>
      <ns0:c r="B1494" s="26" t="n"/>
      <ns0:c r="C1494" s="27" t="n"/>
      <ns0:c r="D1494" s="27" t="n"/>
      <ns0:c r="E1494" s="28" t="str">
        <ns0:f>IF(A1494="","",YEAR(A1494)&amp;"-"&amp;RIGHT("0"&amp;MONTH(A1494),2))</ns0:f>
        <ns0:v/>
      </ns0:c>
      <ns0:c r="F1494" s="28" t="str">
        <ns0:f>IF(OR(A1494="",B1494="",C1494&lt;=0),"",IF(SUMPRODUCT(('Müşteriler'!$B$2:$B$101&lt;&gt;"")*ISNUMBER(SEARCH('Müşteriler'!$B$2:$B$101,B1494)))=1,IFERROR(INDEX('Müşteriler'!$A$2:$A$101,SUMPRODUCT(('Müşteriler'!$B$2:$B$101&lt;&gt;"")*ISNUMBER(SEARCH('Müşteriler'!$B$2:$B$101,B1494)),ROW('Müşteriler'!$B$2:$B$101)-ROW('Müşteriler'!$B$2)+1)),""),""))</ns0:f>
        <ns0:v/>
      </ns0:c>
      <ns0:c r="G1494" s="28" t="str">
        <ns0:f>IF(F1494="","",IFERROR(INDEX('Müşteriler'!$C$2:$C$101,MATCH(F1494,'Müşteriler'!$A$2:$A$101,0)),""))</ns0:f>
        <ns0:v/>
      </ns0:c>
      <ns0:c r="H1494" s="28" t="str">
        <ns0:f>IF(A1494="","",IF(C1494&lt;=0,"Satış dışı",IF(OR(F1494="",G1494=""),"Eşleşmedi","Eşleşti")))</ns0:f>
        <ns0:v/>
      </ns0:c>
      <ns0:c r="I1494" s="28">
        <ns0:f>I1493+IF(AND(H1494="Eşleşmedi",E1494='Panel'!$B$4),1,0)</ns0:f>
        <ns0:v>3.0</ns0:v>
      </ns0:c>
    </ns0:row>
    <ns0:row r="1495" ht="21" customHeight="1">
      <ns0:c r="A1495" s="25" t="n"/>
      <ns0:c r="B1495" s="26" t="n"/>
      <ns0:c r="C1495" s="27" t="n"/>
      <ns0:c r="D1495" s="27" t="n"/>
      <ns0:c r="E1495" s="28" t="str">
        <ns0:f>IF(A1495="","",YEAR(A1495)&amp;"-"&amp;RIGHT("0"&amp;MONTH(A1495),2))</ns0:f>
        <ns0:v/>
      </ns0:c>
      <ns0:c r="F1495" s="28" t="str">
        <ns0:f>IF(OR(A1495="",B1495="",C1495&lt;=0),"",IF(SUMPRODUCT(('Müşteriler'!$B$2:$B$101&lt;&gt;"")*ISNUMBER(SEARCH('Müşteriler'!$B$2:$B$101,B1495)))=1,IFERROR(INDEX('Müşteriler'!$A$2:$A$101,SUMPRODUCT(('Müşteriler'!$B$2:$B$101&lt;&gt;"")*ISNUMBER(SEARCH('Müşteriler'!$B$2:$B$101,B1495)),ROW('Müşteriler'!$B$2:$B$101)-ROW('Müşteriler'!$B$2)+1)),""),""))</ns0:f>
        <ns0:v/>
      </ns0:c>
      <ns0:c r="G1495" s="28" t="str">
        <ns0:f>IF(F1495="","",IFERROR(INDEX('Müşteriler'!$C$2:$C$101,MATCH(F1495,'Müşteriler'!$A$2:$A$101,0)),""))</ns0:f>
        <ns0:v/>
      </ns0:c>
      <ns0:c r="H1495" s="28" t="str">
        <ns0:f>IF(A1495="","",IF(C1495&lt;=0,"Satış dışı",IF(OR(F1495="",G1495=""),"Eşleşmedi","Eşleşti")))</ns0:f>
        <ns0:v/>
      </ns0:c>
      <ns0:c r="I1495" s="28">
        <ns0:f>I1494+IF(AND(H1495="Eşleşmedi",E1495='Panel'!$B$4),1,0)</ns0:f>
        <ns0:v>3.0</ns0:v>
      </ns0:c>
    </ns0:row>
    <ns0:row r="1496" ht="21" customHeight="1">
      <ns0:c r="A1496" s="25" t="n"/>
      <ns0:c r="B1496" s="26" t="n"/>
      <ns0:c r="C1496" s="27" t="n"/>
      <ns0:c r="D1496" s="27" t="n"/>
      <ns0:c r="E1496" s="28" t="str">
        <ns0:f>IF(A1496="","",YEAR(A1496)&amp;"-"&amp;RIGHT("0"&amp;MONTH(A1496),2))</ns0:f>
        <ns0:v/>
      </ns0:c>
      <ns0:c r="F1496" s="28" t="str">
        <ns0:f>IF(OR(A1496="",B1496="",C1496&lt;=0),"",IF(SUMPRODUCT(('Müşteriler'!$B$2:$B$101&lt;&gt;"")*ISNUMBER(SEARCH('Müşteriler'!$B$2:$B$101,B1496)))=1,IFERROR(INDEX('Müşteriler'!$A$2:$A$101,SUMPRODUCT(('Müşteriler'!$B$2:$B$101&lt;&gt;"")*ISNUMBER(SEARCH('Müşteriler'!$B$2:$B$101,B1496)),ROW('Müşteriler'!$B$2:$B$101)-ROW('Müşteriler'!$B$2)+1)),""),""))</ns0:f>
        <ns0:v/>
      </ns0:c>
      <ns0:c r="G1496" s="28" t="str">
        <ns0:f>IF(F1496="","",IFERROR(INDEX('Müşteriler'!$C$2:$C$101,MATCH(F1496,'Müşteriler'!$A$2:$A$101,0)),""))</ns0:f>
        <ns0:v/>
      </ns0:c>
      <ns0:c r="H1496" s="28" t="str">
        <ns0:f>IF(A1496="","",IF(C1496&lt;=0,"Satış dışı",IF(OR(F1496="",G1496=""),"Eşleşmedi","Eşleşti")))</ns0:f>
        <ns0:v/>
      </ns0:c>
      <ns0:c r="I1496" s="28">
        <ns0:f>I1495+IF(AND(H1496="Eşleşmedi",E1496='Panel'!$B$4),1,0)</ns0:f>
        <ns0:v>3.0</ns0:v>
      </ns0:c>
    </ns0:row>
    <ns0:row r="1497" ht="21" customHeight="1">
      <ns0:c r="A1497" s="25" t="n"/>
      <ns0:c r="B1497" s="26" t="n"/>
      <ns0:c r="C1497" s="27" t="n"/>
      <ns0:c r="D1497" s="27" t="n"/>
      <ns0:c r="E1497" s="28" t="str">
        <ns0:f>IF(A1497="","",YEAR(A1497)&amp;"-"&amp;RIGHT("0"&amp;MONTH(A1497),2))</ns0:f>
        <ns0:v/>
      </ns0:c>
      <ns0:c r="F1497" s="28" t="str">
        <ns0:f>IF(OR(A1497="",B1497="",C1497&lt;=0),"",IF(SUMPRODUCT(('Müşteriler'!$B$2:$B$101&lt;&gt;"")*ISNUMBER(SEARCH('Müşteriler'!$B$2:$B$101,B1497)))=1,IFERROR(INDEX('Müşteriler'!$A$2:$A$101,SUMPRODUCT(('Müşteriler'!$B$2:$B$101&lt;&gt;"")*ISNUMBER(SEARCH('Müşteriler'!$B$2:$B$101,B1497)),ROW('Müşteriler'!$B$2:$B$101)-ROW('Müşteriler'!$B$2)+1)),""),""))</ns0:f>
        <ns0:v/>
      </ns0:c>
      <ns0:c r="G1497" s="28" t="str">
        <ns0:f>IF(F1497="","",IFERROR(INDEX('Müşteriler'!$C$2:$C$101,MATCH(F1497,'Müşteriler'!$A$2:$A$101,0)),""))</ns0:f>
        <ns0:v/>
      </ns0:c>
      <ns0:c r="H1497" s="28" t="str">
        <ns0:f>IF(A1497="","",IF(C1497&lt;=0,"Satış dışı",IF(OR(F1497="",G1497=""),"Eşleşmedi","Eşleşti")))</ns0:f>
        <ns0:v/>
      </ns0:c>
      <ns0:c r="I1497" s="28">
        <ns0:f>I1496+IF(AND(H1497="Eşleşmedi",E1497='Panel'!$B$4),1,0)</ns0:f>
        <ns0:v>3.0</ns0:v>
      </ns0:c>
    </ns0:row>
    <ns0:row r="1498" ht="21" customHeight="1">
      <ns0:c r="A1498" s="25" t="n"/>
      <ns0:c r="B1498" s="26" t="n"/>
      <ns0:c r="C1498" s="27" t="n"/>
      <ns0:c r="D1498" s="27" t="n"/>
      <ns0:c r="E1498" s="28" t="str">
        <ns0:f>IF(A1498="","",YEAR(A1498)&amp;"-"&amp;RIGHT("0"&amp;MONTH(A1498),2))</ns0:f>
        <ns0:v/>
      </ns0:c>
      <ns0:c r="F1498" s="28" t="str">
        <ns0:f>IF(OR(A1498="",B1498="",C1498&lt;=0),"",IF(SUMPRODUCT(('Müşteriler'!$B$2:$B$101&lt;&gt;"")*ISNUMBER(SEARCH('Müşteriler'!$B$2:$B$101,B1498)))=1,IFERROR(INDEX('Müşteriler'!$A$2:$A$101,SUMPRODUCT(('Müşteriler'!$B$2:$B$101&lt;&gt;"")*ISNUMBER(SEARCH('Müşteriler'!$B$2:$B$101,B1498)),ROW('Müşteriler'!$B$2:$B$101)-ROW('Müşteriler'!$B$2)+1)),""),""))</ns0:f>
        <ns0:v/>
      </ns0:c>
      <ns0:c r="G1498" s="28" t="str">
        <ns0:f>IF(F1498="","",IFERROR(INDEX('Müşteriler'!$C$2:$C$101,MATCH(F1498,'Müşteriler'!$A$2:$A$101,0)),""))</ns0:f>
        <ns0:v/>
      </ns0:c>
      <ns0:c r="H1498" s="28" t="str">
        <ns0:f>IF(A1498="","",IF(C1498&lt;=0,"Satış dışı",IF(OR(F1498="",G1498=""),"Eşleşmedi","Eşleşti")))</ns0:f>
        <ns0:v/>
      </ns0:c>
      <ns0:c r="I1498" s="28">
        <ns0:f>I1497+IF(AND(H1498="Eşleşmedi",E1498='Panel'!$B$4),1,0)</ns0:f>
        <ns0:v>3.0</ns0:v>
      </ns0:c>
    </ns0:row>
    <ns0:row r="1499" ht="21" customHeight="1">
      <ns0:c r="A1499" s="25" t="n"/>
      <ns0:c r="B1499" s="26" t="n"/>
      <ns0:c r="C1499" s="27" t="n"/>
      <ns0:c r="D1499" s="27" t="n"/>
      <ns0:c r="E1499" s="28" t="str">
        <ns0:f>IF(A1499="","",YEAR(A1499)&amp;"-"&amp;RIGHT("0"&amp;MONTH(A1499),2))</ns0:f>
        <ns0:v/>
      </ns0:c>
      <ns0:c r="F1499" s="28" t="str">
        <ns0:f>IF(OR(A1499="",B1499="",C1499&lt;=0),"",IF(SUMPRODUCT(('Müşteriler'!$B$2:$B$101&lt;&gt;"")*ISNUMBER(SEARCH('Müşteriler'!$B$2:$B$101,B1499)))=1,IFERROR(INDEX('Müşteriler'!$A$2:$A$101,SUMPRODUCT(('Müşteriler'!$B$2:$B$101&lt;&gt;"")*ISNUMBER(SEARCH('Müşteriler'!$B$2:$B$101,B1499)),ROW('Müşteriler'!$B$2:$B$101)-ROW('Müşteriler'!$B$2)+1)),""),""))</ns0:f>
        <ns0:v/>
      </ns0:c>
      <ns0:c r="G1499" s="28" t="str">
        <ns0:f>IF(F1499="","",IFERROR(INDEX('Müşteriler'!$C$2:$C$101,MATCH(F1499,'Müşteriler'!$A$2:$A$101,0)),""))</ns0:f>
        <ns0:v/>
      </ns0:c>
      <ns0:c r="H1499" s="28" t="str">
        <ns0:f>IF(A1499="","",IF(C1499&lt;=0,"Satış dışı",IF(OR(F1499="",G1499=""),"Eşleşmedi","Eşleşti")))</ns0:f>
        <ns0:v/>
      </ns0:c>
      <ns0:c r="I1499" s="28">
        <ns0:f>I1498+IF(AND(H1499="Eşleşmedi",E1499='Panel'!$B$4),1,0)</ns0:f>
        <ns0:v>3.0</ns0:v>
      </ns0:c>
    </ns0:row>
    <ns0:row r="1500" ht="21" customHeight="1">
      <ns0:c r="A1500" s="25" t="n"/>
      <ns0:c r="B1500" s="26" t="n"/>
      <ns0:c r="C1500" s="27" t="n"/>
      <ns0:c r="D1500" s="27" t="n"/>
      <ns0:c r="E1500" s="28" t="str">
        <ns0:f>IF(A1500="","",YEAR(A1500)&amp;"-"&amp;RIGHT("0"&amp;MONTH(A1500),2))</ns0:f>
        <ns0:v/>
      </ns0:c>
      <ns0:c r="F1500" s="28" t="str">
        <ns0:f>IF(OR(A1500="",B1500="",C1500&lt;=0),"",IF(SUMPRODUCT(('Müşteriler'!$B$2:$B$101&lt;&gt;"")*ISNUMBER(SEARCH('Müşteriler'!$B$2:$B$101,B1500)))=1,IFERROR(INDEX('Müşteriler'!$A$2:$A$101,SUMPRODUCT(('Müşteriler'!$B$2:$B$101&lt;&gt;"")*ISNUMBER(SEARCH('Müşteriler'!$B$2:$B$101,B1500)),ROW('Müşteriler'!$B$2:$B$101)-ROW('Müşteriler'!$B$2)+1)),""),""))</ns0:f>
        <ns0:v/>
      </ns0:c>
      <ns0:c r="G1500" s="28" t="str">
        <ns0:f>IF(F1500="","",IFERROR(INDEX('Müşteriler'!$C$2:$C$101,MATCH(F1500,'Müşteriler'!$A$2:$A$101,0)),""))</ns0:f>
        <ns0:v/>
      </ns0:c>
      <ns0:c r="H1500" s="28" t="str">
        <ns0:f>IF(A1500="","",IF(C1500&lt;=0,"Satış dışı",IF(OR(F1500="",G1500=""),"Eşleşmedi","Eşleşti")))</ns0:f>
        <ns0:v/>
      </ns0:c>
      <ns0:c r="I1500" s="28">
        <ns0:f>I1499+IF(AND(H1500="Eşleşmedi",E1500='Panel'!$B$4),1,0)</ns0:f>
        <ns0:v>3.0</ns0:v>
      </ns0:c>
    </ns0:row>
    <ns0:row r="1501" ht="21" customHeight="1">
      <ns0:c r="A1501" s="25" t="n"/>
      <ns0:c r="B1501" s="26" t="n"/>
      <ns0:c r="C1501" s="27" t="n"/>
      <ns0:c r="D1501" s="27" t="n"/>
      <ns0:c r="E1501" s="28" t="str">
        <ns0:f>IF(A1501="","",YEAR(A1501)&amp;"-"&amp;RIGHT("0"&amp;MONTH(A1501),2))</ns0:f>
        <ns0:v/>
      </ns0:c>
      <ns0:c r="F1501" s="28" t="str">
        <ns0:f>IF(OR(A1501="",B1501="",C1501&lt;=0),"",IF(SUMPRODUCT(('Müşteriler'!$B$2:$B$101&lt;&gt;"")*ISNUMBER(SEARCH('Müşteriler'!$B$2:$B$101,B1501)))=1,IFERROR(INDEX('Müşteriler'!$A$2:$A$101,SUMPRODUCT(('Müşteriler'!$B$2:$B$101&lt;&gt;"")*ISNUMBER(SEARCH('Müşteriler'!$B$2:$B$101,B1501)),ROW('Müşteriler'!$B$2:$B$101)-ROW('Müşteriler'!$B$2)+1)),""),""))</ns0:f>
        <ns0:v/>
      </ns0:c>
      <ns0:c r="G1501" s="28" t="str">
        <ns0:f>IF(F1501="","",IFERROR(INDEX('Müşteriler'!$C$2:$C$101,MATCH(F1501,'Müşteriler'!$A$2:$A$101,0)),""))</ns0:f>
        <ns0:v/>
      </ns0:c>
      <ns0:c r="H1501" s="28" t="str">
        <ns0:f>IF(A1501="","",IF(C1501&lt;=0,"Satış dışı",IF(OR(F1501="",G1501=""),"Eşleşmedi","Eşleşti")))</ns0:f>
        <ns0:v/>
      </ns0:c>
      <ns0:c r="I1501" s="28">
        <ns0:f>I1500+IF(AND(H1501="Eşleşmedi",E1501='Panel'!$B$4),1,0)</ns0:f>
        <ns0:v>3.0</ns0:v>
      </ns0:c>
    </ns0:row>
    <ns0:row r="1502" ht="21" customHeight="1">
      <ns0:c r="A1502" s="25" t="n"/>
      <ns0:c r="B1502" s="26" t="n"/>
      <ns0:c r="C1502" s="27" t="n"/>
      <ns0:c r="D1502" s="27" t="n"/>
      <ns0:c r="E1502" s="28" t="str">
        <ns0:f>IF(A1502="","",YEAR(A1502)&amp;"-"&amp;RIGHT("0"&amp;MONTH(A1502),2))</ns0:f>
        <ns0:v/>
      </ns0:c>
      <ns0:c r="F1502" s="28" t="str">
        <ns0:f>IF(OR(A1502="",B1502="",C1502&lt;=0),"",IF(SUMPRODUCT(('Müşteriler'!$B$2:$B$101&lt;&gt;"")*ISNUMBER(SEARCH('Müşteriler'!$B$2:$B$101,B1502)))=1,IFERROR(INDEX('Müşteriler'!$A$2:$A$101,SUMPRODUCT(('Müşteriler'!$B$2:$B$101&lt;&gt;"")*ISNUMBER(SEARCH('Müşteriler'!$B$2:$B$101,B1502)),ROW('Müşteriler'!$B$2:$B$101)-ROW('Müşteriler'!$B$2)+1)),""),""))</ns0:f>
        <ns0:v/>
      </ns0:c>
      <ns0:c r="G1502" s="28" t="str">
        <ns0:f>IF(F1502="","",IFERROR(INDEX('Müşteriler'!$C$2:$C$101,MATCH(F1502,'Müşteriler'!$A$2:$A$101,0)),""))</ns0:f>
        <ns0:v/>
      </ns0:c>
      <ns0:c r="H1502" s="28" t="str">
        <ns0:f>IF(A1502="","",IF(C1502&lt;=0,"Satış dışı",IF(OR(F1502="",G1502=""),"Eşleşmedi","Eşleşti")))</ns0:f>
        <ns0:v/>
      </ns0:c>
      <ns0:c r="I1502" s="28">
        <ns0:f>I1501+IF(AND(H1502="Eşleşmedi",E1502='Panel'!$B$4),1,0)</ns0:f>
        <ns0:v>3.0</ns0:v>
      </ns0:c>
    </ns0:row>
    <ns0:row r="1503" ht="21" customHeight="1">
      <ns0:c r="A1503" s="25" t="n"/>
      <ns0:c r="B1503" s="26" t="n"/>
      <ns0:c r="C1503" s="27" t="n"/>
      <ns0:c r="D1503" s="27" t="n"/>
      <ns0:c r="E1503" s="28" t="str">
        <ns0:f>IF(A1503="","",YEAR(A1503)&amp;"-"&amp;RIGHT("0"&amp;MONTH(A1503),2))</ns0:f>
        <ns0:v/>
      </ns0:c>
      <ns0:c r="F1503" s="28" t="str">
        <ns0:f>IF(OR(A1503="",B1503="",C1503&lt;=0),"",IF(SUMPRODUCT(('Müşteriler'!$B$2:$B$101&lt;&gt;"")*ISNUMBER(SEARCH('Müşteriler'!$B$2:$B$101,B1503)))=1,IFERROR(INDEX('Müşteriler'!$A$2:$A$101,SUMPRODUCT(('Müşteriler'!$B$2:$B$101&lt;&gt;"")*ISNUMBER(SEARCH('Müşteriler'!$B$2:$B$101,B1503)),ROW('Müşteriler'!$B$2:$B$101)-ROW('Müşteriler'!$B$2)+1)),""),""))</ns0:f>
        <ns0:v/>
      </ns0:c>
      <ns0:c r="G1503" s="28" t="str">
        <ns0:f>IF(F1503="","",IFERROR(INDEX('Müşteriler'!$C$2:$C$101,MATCH(F1503,'Müşteriler'!$A$2:$A$101,0)),""))</ns0:f>
        <ns0:v/>
      </ns0:c>
      <ns0:c r="H1503" s="28" t="str">
        <ns0:f>IF(A1503="","",IF(C1503&lt;=0,"Satış dışı",IF(OR(F1503="",G1503=""),"Eşleşmedi","Eşleşti")))</ns0:f>
        <ns0:v/>
      </ns0:c>
      <ns0:c r="I1503" s="28">
        <ns0:f>I1502+IF(AND(H1503="Eşleşmedi",E1503='Panel'!$B$4),1,0)</ns0:f>
        <ns0:v>3.0</ns0:v>
      </ns0:c>
    </ns0:row>
    <ns0:row r="1504" ht="21" customHeight="1">
      <ns0:c r="A1504" s="25" t="n"/>
      <ns0:c r="B1504" s="26" t="n"/>
      <ns0:c r="C1504" s="27" t="n"/>
      <ns0:c r="D1504" s="27" t="n"/>
      <ns0:c r="E1504" s="28" t="str">
        <ns0:f>IF(A1504="","",YEAR(A1504)&amp;"-"&amp;RIGHT("0"&amp;MONTH(A1504),2))</ns0:f>
        <ns0:v/>
      </ns0:c>
      <ns0:c r="F1504" s="28" t="str">
        <ns0:f>IF(OR(A1504="",B1504="",C1504&lt;=0),"",IF(SUMPRODUCT(('Müşteriler'!$B$2:$B$101&lt;&gt;"")*ISNUMBER(SEARCH('Müşteriler'!$B$2:$B$101,B1504)))=1,IFERROR(INDEX('Müşteriler'!$A$2:$A$101,SUMPRODUCT(('Müşteriler'!$B$2:$B$101&lt;&gt;"")*ISNUMBER(SEARCH('Müşteriler'!$B$2:$B$101,B1504)),ROW('Müşteriler'!$B$2:$B$101)-ROW('Müşteriler'!$B$2)+1)),""),""))</ns0:f>
        <ns0:v/>
      </ns0:c>
      <ns0:c r="G1504" s="28" t="str">
        <ns0:f>IF(F1504="","",IFERROR(INDEX('Müşteriler'!$C$2:$C$101,MATCH(F1504,'Müşteriler'!$A$2:$A$101,0)),""))</ns0:f>
        <ns0:v/>
      </ns0:c>
      <ns0:c r="H1504" s="28" t="str">
        <ns0:f>IF(A1504="","",IF(C1504&lt;=0,"Satış dışı",IF(OR(F1504="",G1504=""),"Eşleşmedi","Eşleşti")))</ns0:f>
        <ns0:v/>
      </ns0:c>
      <ns0:c r="I1504" s="28">
        <ns0:f>I1503+IF(AND(H1504="Eşleşmedi",E1504='Panel'!$B$4),1,0)</ns0:f>
        <ns0:v>3.0</ns0:v>
      </ns0:c>
    </ns0:row>
    <ns0:row r="1505" ht="21" customHeight="1">
      <ns0:c r="A1505" s="25" t="n"/>
      <ns0:c r="B1505" s="26" t="n"/>
      <ns0:c r="C1505" s="27" t="n"/>
      <ns0:c r="D1505" s="27" t="n"/>
      <ns0:c r="E1505" s="28" t="str">
        <ns0:f>IF(A1505="","",YEAR(A1505)&amp;"-"&amp;RIGHT("0"&amp;MONTH(A1505),2))</ns0:f>
        <ns0:v/>
      </ns0:c>
      <ns0:c r="F1505" s="28" t="str">
        <ns0:f>IF(OR(A1505="",B1505="",C1505&lt;=0),"",IF(SUMPRODUCT(('Müşteriler'!$B$2:$B$101&lt;&gt;"")*ISNUMBER(SEARCH('Müşteriler'!$B$2:$B$101,B1505)))=1,IFERROR(INDEX('Müşteriler'!$A$2:$A$101,SUMPRODUCT(('Müşteriler'!$B$2:$B$101&lt;&gt;"")*ISNUMBER(SEARCH('Müşteriler'!$B$2:$B$101,B1505)),ROW('Müşteriler'!$B$2:$B$101)-ROW('Müşteriler'!$B$2)+1)),""),""))</ns0:f>
        <ns0:v/>
      </ns0:c>
      <ns0:c r="G1505" s="28" t="str">
        <ns0:f>IF(F1505="","",IFERROR(INDEX('Müşteriler'!$C$2:$C$101,MATCH(F1505,'Müşteriler'!$A$2:$A$101,0)),""))</ns0:f>
        <ns0:v/>
      </ns0:c>
      <ns0:c r="H1505" s="28" t="str">
        <ns0:f>IF(A1505="","",IF(C1505&lt;=0,"Satış dışı",IF(OR(F1505="",G1505=""),"Eşleşmedi","Eşleşti")))</ns0:f>
        <ns0:v/>
      </ns0:c>
      <ns0:c r="I1505" s="28">
        <ns0:f>I1504+IF(AND(H1505="Eşleşmedi",E1505='Panel'!$B$4),1,0)</ns0:f>
        <ns0:v>3.0</ns0:v>
      </ns0:c>
    </ns0:row>
    <ns0:row r="1506" ht="21" customHeight="1">
      <ns0:c r="A1506" s="25" t="n"/>
      <ns0:c r="B1506" s="26" t="n"/>
      <ns0:c r="C1506" s="27" t="n"/>
      <ns0:c r="D1506" s="27" t="n"/>
      <ns0:c r="E1506" s="28" t="str">
        <ns0:f>IF(A1506="","",YEAR(A1506)&amp;"-"&amp;RIGHT("0"&amp;MONTH(A1506),2))</ns0:f>
        <ns0:v/>
      </ns0:c>
      <ns0:c r="F1506" s="28" t="str">
        <ns0:f>IF(OR(A1506="",B1506="",C1506&lt;=0),"",IF(SUMPRODUCT(('Müşteriler'!$B$2:$B$101&lt;&gt;"")*ISNUMBER(SEARCH('Müşteriler'!$B$2:$B$101,B1506)))=1,IFERROR(INDEX('Müşteriler'!$A$2:$A$101,SUMPRODUCT(('Müşteriler'!$B$2:$B$101&lt;&gt;"")*ISNUMBER(SEARCH('Müşteriler'!$B$2:$B$101,B1506)),ROW('Müşteriler'!$B$2:$B$101)-ROW('Müşteriler'!$B$2)+1)),""),""))</ns0:f>
        <ns0:v/>
      </ns0:c>
      <ns0:c r="G1506" s="28" t="str">
        <ns0:f>IF(F1506="","",IFERROR(INDEX('Müşteriler'!$C$2:$C$101,MATCH(F1506,'Müşteriler'!$A$2:$A$101,0)),""))</ns0:f>
        <ns0:v/>
      </ns0:c>
      <ns0:c r="H1506" s="28" t="str">
        <ns0:f>IF(A1506="","",IF(C1506&lt;=0,"Satış dışı",IF(OR(F1506="",G1506=""),"Eşleşmedi","Eşleşti")))</ns0:f>
        <ns0:v/>
      </ns0:c>
      <ns0:c r="I1506" s="28">
        <ns0:f>I1505+IF(AND(H1506="Eşleşmedi",E1506='Panel'!$B$4),1,0)</ns0:f>
        <ns0:v>3.0</ns0:v>
      </ns0:c>
    </ns0:row>
    <ns0:row r="1507" ht="21" customHeight="1">
      <ns0:c r="A1507" s="25" t="n"/>
      <ns0:c r="B1507" s="26" t="n"/>
      <ns0:c r="C1507" s="27" t="n"/>
      <ns0:c r="D1507" s="27" t="n"/>
      <ns0:c r="E1507" s="28" t="str">
        <ns0:f>IF(A1507="","",YEAR(A1507)&amp;"-"&amp;RIGHT("0"&amp;MONTH(A1507),2))</ns0:f>
        <ns0:v/>
      </ns0:c>
      <ns0:c r="F1507" s="28" t="str">
        <ns0:f>IF(OR(A1507="",B1507="",C1507&lt;=0),"",IF(SUMPRODUCT(('Müşteriler'!$B$2:$B$101&lt;&gt;"")*ISNUMBER(SEARCH('Müşteriler'!$B$2:$B$101,B1507)))=1,IFERROR(INDEX('Müşteriler'!$A$2:$A$101,SUMPRODUCT(('Müşteriler'!$B$2:$B$101&lt;&gt;"")*ISNUMBER(SEARCH('Müşteriler'!$B$2:$B$101,B1507)),ROW('Müşteriler'!$B$2:$B$101)-ROW('Müşteriler'!$B$2)+1)),""),""))</ns0:f>
        <ns0:v/>
      </ns0:c>
      <ns0:c r="G1507" s="28" t="str">
        <ns0:f>IF(F1507="","",IFERROR(INDEX('Müşteriler'!$C$2:$C$101,MATCH(F1507,'Müşteriler'!$A$2:$A$101,0)),""))</ns0:f>
        <ns0:v/>
      </ns0:c>
      <ns0:c r="H1507" s="28" t="str">
        <ns0:f>IF(A1507="","",IF(C1507&lt;=0,"Satış dışı",IF(OR(F1507="",G1507=""),"Eşleşmedi","Eşleşti")))</ns0:f>
        <ns0:v/>
      </ns0:c>
      <ns0:c r="I1507" s="28">
        <ns0:f>I1506+IF(AND(H1507="Eşleşmedi",E1507='Panel'!$B$4),1,0)</ns0:f>
        <ns0:v>3.0</ns0:v>
      </ns0:c>
    </ns0:row>
    <ns0:row r="1508" ht="21" customHeight="1">
      <ns0:c r="A1508" s="25" t="n"/>
      <ns0:c r="B1508" s="26" t="n"/>
      <ns0:c r="C1508" s="27" t="n"/>
      <ns0:c r="D1508" s="27" t="n"/>
      <ns0:c r="E1508" s="28" t="str">
        <ns0:f>IF(A1508="","",YEAR(A1508)&amp;"-"&amp;RIGHT("0"&amp;MONTH(A1508),2))</ns0:f>
        <ns0:v/>
      </ns0:c>
      <ns0:c r="F1508" s="28" t="str">
        <ns0:f>IF(OR(A1508="",B1508="",C1508&lt;=0),"",IF(SUMPRODUCT(('Müşteriler'!$B$2:$B$101&lt;&gt;"")*ISNUMBER(SEARCH('Müşteriler'!$B$2:$B$101,B1508)))=1,IFERROR(INDEX('Müşteriler'!$A$2:$A$101,SUMPRODUCT(('Müşteriler'!$B$2:$B$101&lt;&gt;"")*ISNUMBER(SEARCH('Müşteriler'!$B$2:$B$101,B1508)),ROW('Müşteriler'!$B$2:$B$101)-ROW('Müşteriler'!$B$2)+1)),""),""))</ns0:f>
        <ns0:v/>
      </ns0:c>
      <ns0:c r="G1508" s="28" t="str">
        <ns0:f>IF(F1508="","",IFERROR(INDEX('Müşteriler'!$C$2:$C$101,MATCH(F1508,'Müşteriler'!$A$2:$A$101,0)),""))</ns0:f>
        <ns0:v/>
      </ns0:c>
      <ns0:c r="H1508" s="28" t="str">
        <ns0:f>IF(A1508="","",IF(C1508&lt;=0,"Satış dışı",IF(OR(F1508="",G1508=""),"Eşleşmedi","Eşleşti")))</ns0:f>
        <ns0:v/>
      </ns0:c>
      <ns0:c r="I1508" s="28">
        <ns0:f>I1507+IF(AND(H1508="Eşleşmedi",E1508='Panel'!$B$4),1,0)</ns0:f>
        <ns0:v>3.0</ns0:v>
      </ns0:c>
    </ns0:row>
    <ns0:row r="1509" ht="21" customHeight="1">
      <ns0:c r="A1509" s="25" t="n"/>
      <ns0:c r="B1509" s="26" t="n"/>
      <ns0:c r="C1509" s="27" t="n"/>
      <ns0:c r="D1509" s="27" t="n"/>
      <ns0:c r="E1509" s="28" t="str">
        <ns0:f>IF(A1509="","",YEAR(A1509)&amp;"-"&amp;RIGHT("0"&amp;MONTH(A1509),2))</ns0:f>
        <ns0:v/>
      </ns0:c>
      <ns0:c r="F1509" s="28" t="str">
        <ns0:f>IF(OR(A1509="",B1509="",C1509&lt;=0),"",IF(SUMPRODUCT(('Müşteriler'!$B$2:$B$101&lt;&gt;"")*ISNUMBER(SEARCH('Müşteriler'!$B$2:$B$101,B1509)))=1,IFERROR(INDEX('Müşteriler'!$A$2:$A$101,SUMPRODUCT(('Müşteriler'!$B$2:$B$101&lt;&gt;"")*ISNUMBER(SEARCH('Müşteriler'!$B$2:$B$101,B1509)),ROW('Müşteriler'!$B$2:$B$101)-ROW('Müşteriler'!$B$2)+1)),""),""))</ns0:f>
        <ns0:v/>
      </ns0:c>
      <ns0:c r="G1509" s="28" t="str">
        <ns0:f>IF(F1509="","",IFERROR(INDEX('Müşteriler'!$C$2:$C$101,MATCH(F1509,'Müşteriler'!$A$2:$A$101,0)),""))</ns0:f>
        <ns0:v/>
      </ns0:c>
      <ns0:c r="H1509" s="28" t="str">
        <ns0:f>IF(A1509="","",IF(C1509&lt;=0,"Satış dışı",IF(OR(F1509="",G1509=""),"Eşleşmedi","Eşleşti")))</ns0:f>
        <ns0:v/>
      </ns0:c>
      <ns0:c r="I1509" s="28">
        <ns0:f>I1508+IF(AND(H1509="Eşleşmedi",E1509='Panel'!$B$4),1,0)</ns0:f>
        <ns0:v>3.0</ns0:v>
      </ns0:c>
    </ns0:row>
    <ns0:row r="1510" ht="21" customHeight="1">
      <ns0:c r="A1510" s="25" t="n"/>
      <ns0:c r="B1510" s="26" t="n"/>
      <ns0:c r="C1510" s="27" t="n"/>
      <ns0:c r="D1510" s="27" t="n"/>
      <ns0:c r="E1510" s="28" t="str">
        <ns0:f>IF(A1510="","",YEAR(A1510)&amp;"-"&amp;RIGHT("0"&amp;MONTH(A1510),2))</ns0:f>
        <ns0:v/>
      </ns0:c>
      <ns0:c r="F1510" s="28" t="str">
        <ns0:f>IF(OR(A1510="",B1510="",C1510&lt;=0),"",IF(SUMPRODUCT(('Müşteriler'!$B$2:$B$101&lt;&gt;"")*ISNUMBER(SEARCH('Müşteriler'!$B$2:$B$101,B1510)))=1,IFERROR(INDEX('Müşteriler'!$A$2:$A$101,SUMPRODUCT(('Müşteriler'!$B$2:$B$101&lt;&gt;"")*ISNUMBER(SEARCH('Müşteriler'!$B$2:$B$101,B1510)),ROW('Müşteriler'!$B$2:$B$101)-ROW('Müşteriler'!$B$2)+1)),""),""))</ns0:f>
        <ns0:v/>
      </ns0:c>
      <ns0:c r="G1510" s="28" t="str">
        <ns0:f>IF(F1510="","",IFERROR(INDEX('Müşteriler'!$C$2:$C$101,MATCH(F1510,'Müşteriler'!$A$2:$A$101,0)),""))</ns0:f>
        <ns0:v/>
      </ns0:c>
      <ns0:c r="H1510" s="28" t="str">
        <ns0:f>IF(A1510="","",IF(C1510&lt;=0,"Satış dışı",IF(OR(F1510="",G1510=""),"Eşleşmedi","Eşleşti")))</ns0:f>
        <ns0:v/>
      </ns0:c>
      <ns0:c r="I1510" s="28">
        <ns0:f>I1509+IF(AND(H1510="Eşleşmedi",E1510='Panel'!$B$4),1,0)</ns0:f>
        <ns0:v>3.0</ns0:v>
      </ns0:c>
    </ns0:row>
    <ns0:row r="1511" ht="21" customHeight="1">
      <ns0:c r="A1511" s="25" t="n"/>
      <ns0:c r="B1511" s="26" t="n"/>
      <ns0:c r="C1511" s="27" t="n"/>
      <ns0:c r="D1511" s="27" t="n"/>
      <ns0:c r="E1511" s="28" t="str">
        <ns0:f>IF(A1511="","",YEAR(A1511)&amp;"-"&amp;RIGHT("0"&amp;MONTH(A1511),2))</ns0:f>
        <ns0:v/>
      </ns0:c>
      <ns0:c r="F1511" s="28" t="str">
        <ns0:f>IF(OR(A1511="",B1511="",C1511&lt;=0),"",IF(SUMPRODUCT(('Müşteriler'!$B$2:$B$101&lt;&gt;"")*ISNUMBER(SEARCH('Müşteriler'!$B$2:$B$101,B1511)))=1,IFERROR(INDEX('Müşteriler'!$A$2:$A$101,SUMPRODUCT(('Müşteriler'!$B$2:$B$101&lt;&gt;"")*ISNUMBER(SEARCH('Müşteriler'!$B$2:$B$101,B1511)),ROW('Müşteriler'!$B$2:$B$101)-ROW('Müşteriler'!$B$2)+1)),""),""))</ns0:f>
        <ns0:v/>
      </ns0:c>
      <ns0:c r="G1511" s="28" t="str">
        <ns0:f>IF(F1511="","",IFERROR(INDEX('Müşteriler'!$C$2:$C$101,MATCH(F1511,'Müşteriler'!$A$2:$A$101,0)),""))</ns0:f>
        <ns0:v/>
      </ns0:c>
      <ns0:c r="H1511" s="28" t="str">
        <ns0:f>IF(A1511="","",IF(C1511&lt;=0,"Satış dışı",IF(OR(F1511="",G1511=""),"Eşleşmedi","Eşleşti")))</ns0:f>
        <ns0:v/>
      </ns0:c>
      <ns0:c r="I1511" s="28">
        <ns0:f>I1510+IF(AND(H1511="Eşleşmedi",E1511='Panel'!$B$4),1,0)</ns0:f>
        <ns0:v>3.0</ns0:v>
      </ns0:c>
    </ns0:row>
    <ns0:row r="1512" ht="21" customHeight="1">
      <ns0:c r="A1512" s="25" t="n"/>
      <ns0:c r="B1512" s="26" t="n"/>
      <ns0:c r="C1512" s="27" t="n"/>
      <ns0:c r="D1512" s="27" t="n"/>
      <ns0:c r="E1512" s="28" t="str">
        <ns0:f>IF(A1512="","",YEAR(A1512)&amp;"-"&amp;RIGHT("0"&amp;MONTH(A1512),2))</ns0:f>
        <ns0:v/>
      </ns0:c>
      <ns0:c r="F1512" s="28" t="str">
        <ns0:f>IF(OR(A1512="",B1512="",C1512&lt;=0),"",IF(SUMPRODUCT(('Müşteriler'!$B$2:$B$101&lt;&gt;"")*ISNUMBER(SEARCH('Müşteriler'!$B$2:$B$101,B1512)))=1,IFERROR(INDEX('Müşteriler'!$A$2:$A$101,SUMPRODUCT(('Müşteriler'!$B$2:$B$101&lt;&gt;"")*ISNUMBER(SEARCH('Müşteriler'!$B$2:$B$101,B1512)),ROW('Müşteriler'!$B$2:$B$101)-ROW('Müşteriler'!$B$2)+1)),""),""))</ns0:f>
        <ns0:v/>
      </ns0:c>
      <ns0:c r="G1512" s="28" t="str">
        <ns0:f>IF(F1512="","",IFERROR(INDEX('Müşteriler'!$C$2:$C$101,MATCH(F1512,'Müşteriler'!$A$2:$A$101,0)),""))</ns0:f>
        <ns0:v/>
      </ns0:c>
      <ns0:c r="H1512" s="28" t="str">
        <ns0:f>IF(A1512="","",IF(C1512&lt;=0,"Satış dışı",IF(OR(F1512="",G1512=""),"Eşleşmedi","Eşleşti")))</ns0:f>
        <ns0:v/>
      </ns0:c>
      <ns0:c r="I1512" s="28">
        <ns0:f>I1511+IF(AND(H1512="Eşleşmedi",E1512='Panel'!$B$4),1,0)</ns0:f>
        <ns0:v>3.0</ns0:v>
      </ns0:c>
    </ns0:row>
    <ns0:row r="1513" ht="21" customHeight="1">
      <ns0:c r="A1513" s="25" t="n"/>
      <ns0:c r="B1513" s="26" t="n"/>
      <ns0:c r="C1513" s="27" t="n"/>
      <ns0:c r="D1513" s="27" t="n"/>
      <ns0:c r="E1513" s="28" t="str">
        <ns0:f>IF(A1513="","",YEAR(A1513)&amp;"-"&amp;RIGHT("0"&amp;MONTH(A1513),2))</ns0:f>
        <ns0:v/>
      </ns0:c>
      <ns0:c r="F1513" s="28" t="str">
        <ns0:f>IF(OR(A1513="",B1513="",C1513&lt;=0),"",IF(SUMPRODUCT(('Müşteriler'!$B$2:$B$101&lt;&gt;"")*ISNUMBER(SEARCH('Müşteriler'!$B$2:$B$101,B1513)))=1,IFERROR(INDEX('Müşteriler'!$A$2:$A$101,SUMPRODUCT(('Müşteriler'!$B$2:$B$101&lt;&gt;"")*ISNUMBER(SEARCH('Müşteriler'!$B$2:$B$101,B1513)),ROW('Müşteriler'!$B$2:$B$101)-ROW('Müşteriler'!$B$2)+1)),""),""))</ns0:f>
        <ns0:v/>
      </ns0:c>
      <ns0:c r="G1513" s="28" t="str">
        <ns0:f>IF(F1513="","",IFERROR(INDEX('Müşteriler'!$C$2:$C$101,MATCH(F1513,'Müşteriler'!$A$2:$A$101,0)),""))</ns0:f>
        <ns0:v/>
      </ns0:c>
      <ns0:c r="H1513" s="28" t="str">
        <ns0:f>IF(A1513="","",IF(C1513&lt;=0,"Satış dışı",IF(OR(F1513="",G1513=""),"Eşleşmedi","Eşleşti")))</ns0:f>
        <ns0:v/>
      </ns0:c>
      <ns0:c r="I1513" s="28">
        <ns0:f>I1512+IF(AND(H1513="Eşleşmedi",E1513='Panel'!$B$4),1,0)</ns0:f>
        <ns0:v>3.0</ns0:v>
      </ns0:c>
    </ns0:row>
    <ns0:row r="1514" ht="21" customHeight="1">
      <ns0:c r="A1514" s="25" t="n"/>
      <ns0:c r="B1514" s="26" t="n"/>
      <ns0:c r="C1514" s="27" t="n"/>
      <ns0:c r="D1514" s="27" t="n"/>
      <ns0:c r="E1514" s="28" t="str">
        <ns0:f>IF(A1514="","",YEAR(A1514)&amp;"-"&amp;RIGHT("0"&amp;MONTH(A1514),2))</ns0:f>
        <ns0:v/>
      </ns0:c>
      <ns0:c r="F1514" s="28" t="str">
        <ns0:f>IF(OR(A1514="",B1514="",C1514&lt;=0),"",IF(SUMPRODUCT(('Müşteriler'!$B$2:$B$101&lt;&gt;"")*ISNUMBER(SEARCH('Müşteriler'!$B$2:$B$101,B1514)))=1,IFERROR(INDEX('Müşteriler'!$A$2:$A$101,SUMPRODUCT(('Müşteriler'!$B$2:$B$101&lt;&gt;"")*ISNUMBER(SEARCH('Müşteriler'!$B$2:$B$101,B1514)),ROW('Müşteriler'!$B$2:$B$101)-ROW('Müşteriler'!$B$2)+1)),""),""))</ns0:f>
        <ns0:v/>
      </ns0:c>
      <ns0:c r="G1514" s="28" t="str">
        <ns0:f>IF(F1514="","",IFERROR(INDEX('Müşteriler'!$C$2:$C$101,MATCH(F1514,'Müşteriler'!$A$2:$A$101,0)),""))</ns0:f>
        <ns0:v/>
      </ns0:c>
      <ns0:c r="H1514" s="28" t="str">
        <ns0:f>IF(A1514="","",IF(C1514&lt;=0,"Satış dışı",IF(OR(F1514="",G1514=""),"Eşleşmedi","Eşleşti")))</ns0:f>
        <ns0:v/>
      </ns0:c>
      <ns0:c r="I1514" s="28">
        <ns0:f>I1513+IF(AND(H1514="Eşleşmedi",E1514='Panel'!$B$4),1,0)</ns0:f>
        <ns0:v>3.0</ns0:v>
      </ns0:c>
    </ns0:row>
    <ns0:row r="1515" ht="21" customHeight="1">
      <ns0:c r="A1515" s="25" t="n"/>
      <ns0:c r="B1515" s="26" t="n"/>
      <ns0:c r="C1515" s="27" t="n"/>
      <ns0:c r="D1515" s="27" t="n"/>
      <ns0:c r="E1515" s="28" t="str">
        <ns0:f>IF(A1515="","",YEAR(A1515)&amp;"-"&amp;RIGHT("0"&amp;MONTH(A1515),2))</ns0:f>
        <ns0:v/>
      </ns0:c>
      <ns0:c r="F1515" s="28" t="str">
        <ns0:f>IF(OR(A1515="",B1515="",C1515&lt;=0),"",IF(SUMPRODUCT(('Müşteriler'!$B$2:$B$101&lt;&gt;"")*ISNUMBER(SEARCH('Müşteriler'!$B$2:$B$101,B1515)))=1,IFERROR(INDEX('Müşteriler'!$A$2:$A$101,SUMPRODUCT(('Müşteriler'!$B$2:$B$101&lt;&gt;"")*ISNUMBER(SEARCH('Müşteriler'!$B$2:$B$101,B1515)),ROW('Müşteriler'!$B$2:$B$101)-ROW('Müşteriler'!$B$2)+1)),""),""))</ns0:f>
        <ns0:v/>
      </ns0:c>
      <ns0:c r="G1515" s="28" t="str">
        <ns0:f>IF(F1515="","",IFERROR(INDEX('Müşteriler'!$C$2:$C$101,MATCH(F1515,'Müşteriler'!$A$2:$A$101,0)),""))</ns0:f>
        <ns0:v/>
      </ns0:c>
      <ns0:c r="H1515" s="28" t="str">
        <ns0:f>IF(A1515="","",IF(C1515&lt;=0,"Satış dışı",IF(OR(F1515="",G1515=""),"Eşleşmedi","Eşleşti")))</ns0:f>
        <ns0:v/>
      </ns0:c>
      <ns0:c r="I1515" s="28">
        <ns0:f>I1514+IF(AND(H1515="Eşleşmedi",E1515='Panel'!$B$4),1,0)</ns0:f>
        <ns0:v>3.0</ns0:v>
      </ns0:c>
    </ns0:row>
    <ns0:row r="1516" ht="21" customHeight="1">
      <ns0:c r="A1516" s="25" t="n"/>
      <ns0:c r="B1516" s="26" t="n"/>
      <ns0:c r="C1516" s="27" t="n"/>
      <ns0:c r="D1516" s="27" t="n"/>
      <ns0:c r="E1516" s="28" t="str">
        <ns0:f>IF(A1516="","",YEAR(A1516)&amp;"-"&amp;RIGHT("0"&amp;MONTH(A1516),2))</ns0:f>
        <ns0:v/>
      </ns0:c>
      <ns0:c r="F1516" s="28" t="str">
        <ns0:f>IF(OR(A1516="",B1516="",C1516&lt;=0),"",IF(SUMPRODUCT(('Müşteriler'!$B$2:$B$101&lt;&gt;"")*ISNUMBER(SEARCH('Müşteriler'!$B$2:$B$101,B1516)))=1,IFERROR(INDEX('Müşteriler'!$A$2:$A$101,SUMPRODUCT(('Müşteriler'!$B$2:$B$101&lt;&gt;"")*ISNUMBER(SEARCH('Müşteriler'!$B$2:$B$101,B1516)),ROW('Müşteriler'!$B$2:$B$101)-ROW('Müşteriler'!$B$2)+1)),""),""))</ns0:f>
        <ns0:v/>
      </ns0:c>
      <ns0:c r="G1516" s="28" t="str">
        <ns0:f>IF(F1516="","",IFERROR(INDEX('Müşteriler'!$C$2:$C$101,MATCH(F1516,'Müşteriler'!$A$2:$A$101,0)),""))</ns0:f>
        <ns0:v/>
      </ns0:c>
      <ns0:c r="H1516" s="28" t="str">
        <ns0:f>IF(A1516="","",IF(C1516&lt;=0,"Satış dışı",IF(OR(F1516="",G1516=""),"Eşleşmedi","Eşleşti")))</ns0:f>
        <ns0:v/>
      </ns0:c>
      <ns0:c r="I1516" s="28">
        <ns0:f>I1515+IF(AND(H1516="Eşleşmedi",E1516='Panel'!$B$4),1,0)</ns0:f>
        <ns0:v>3.0</ns0:v>
      </ns0:c>
    </ns0:row>
    <ns0:row r="1517" ht="21" customHeight="1">
      <ns0:c r="A1517" s="25" t="n"/>
      <ns0:c r="B1517" s="26" t="n"/>
      <ns0:c r="C1517" s="27" t="n"/>
      <ns0:c r="D1517" s="27" t="n"/>
      <ns0:c r="E1517" s="28" t="str">
        <ns0:f>IF(A1517="","",YEAR(A1517)&amp;"-"&amp;RIGHT("0"&amp;MONTH(A1517),2))</ns0:f>
        <ns0:v/>
      </ns0:c>
      <ns0:c r="F1517" s="28" t="str">
        <ns0:f>IF(OR(A1517="",B1517="",C1517&lt;=0),"",IF(SUMPRODUCT(('Müşteriler'!$B$2:$B$101&lt;&gt;"")*ISNUMBER(SEARCH('Müşteriler'!$B$2:$B$101,B1517)))=1,IFERROR(INDEX('Müşteriler'!$A$2:$A$101,SUMPRODUCT(('Müşteriler'!$B$2:$B$101&lt;&gt;"")*ISNUMBER(SEARCH('Müşteriler'!$B$2:$B$101,B1517)),ROW('Müşteriler'!$B$2:$B$101)-ROW('Müşteriler'!$B$2)+1)),""),""))</ns0:f>
        <ns0:v/>
      </ns0:c>
      <ns0:c r="G1517" s="28" t="str">
        <ns0:f>IF(F1517="","",IFERROR(INDEX('Müşteriler'!$C$2:$C$101,MATCH(F1517,'Müşteriler'!$A$2:$A$101,0)),""))</ns0:f>
        <ns0:v/>
      </ns0:c>
      <ns0:c r="H1517" s="28" t="str">
        <ns0:f>IF(A1517="","",IF(C1517&lt;=0,"Satış dışı",IF(OR(F1517="",G1517=""),"Eşleşmedi","Eşleşti")))</ns0:f>
        <ns0:v/>
      </ns0:c>
      <ns0:c r="I1517" s="28">
        <ns0:f>I1516+IF(AND(H1517="Eşleşmedi",E1517='Panel'!$B$4),1,0)</ns0:f>
        <ns0:v>3.0</ns0:v>
      </ns0:c>
    </ns0:row>
    <ns0:row r="1518" ht="21" customHeight="1">
      <ns0:c r="A1518" s="25" t="n"/>
      <ns0:c r="B1518" s="26" t="n"/>
      <ns0:c r="C1518" s="27" t="n"/>
      <ns0:c r="D1518" s="27" t="n"/>
      <ns0:c r="E1518" s="28" t="str">
        <ns0:f>IF(A1518="","",YEAR(A1518)&amp;"-"&amp;RIGHT("0"&amp;MONTH(A1518),2))</ns0:f>
        <ns0:v/>
      </ns0:c>
      <ns0:c r="F1518" s="28" t="str">
        <ns0:f>IF(OR(A1518="",B1518="",C1518&lt;=0),"",IF(SUMPRODUCT(('Müşteriler'!$B$2:$B$101&lt;&gt;"")*ISNUMBER(SEARCH('Müşteriler'!$B$2:$B$101,B1518)))=1,IFERROR(INDEX('Müşteriler'!$A$2:$A$101,SUMPRODUCT(('Müşteriler'!$B$2:$B$101&lt;&gt;"")*ISNUMBER(SEARCH('Müşteriler'!$B$2:$B$101,B1518)),ROW('Müşteriler'!$B$2:$B$101)-ROW('Müşteriler'!$B$2)+1)),""),""))</ns0:f>
        <ns0:v/>
      </ns0:c>
      <ns0:c r="G1518" s="28" t="str">
        <ns0:f>IF(F1518="","",IFERROR(INDEX('Müşteriler'!$C$2:$C$101,MATCH(F1518,'Müşteriler'!$A$2:$A$101,0)),""))</ns0:f>
        <ns0:v/>
      </ns0:c>
      <ns0:c r="H1518" s="28" t="str">
        <ns0:f>IF(A1518="","",IF(C1518&lt;=0,"Satış dışı",IF(OR(F1518="",G1518=""),"Eşleşmedi","Eşleşti")))</ns0:f>
        <ns0:v/>
      </ns0:c>
      <ns0:c r="I1518" s="28">
        <ns0:f>I1517+IF(AND(H1518="Eşleşmedi",E1518='Panel'!$B$4),1,0)</ns0:f>
        <ns0:v>3.0</ns0:v>
      </ns0:c>
    </ns0:row>
    <ns0:row r="1519" ht="21" customHeight="1">
      <ns0:c r="A1519" s="25" t="n"/>
      <ns0:c r="B1519" s="26" t="n"/>
      <ns0:c r="C1519" s="27" t="n"/>
      <ns0:c r="D1519" s="27" t="n"/>
      <ns0:c r="E1519" s="28" t="str">
        <ns0:f>IF(A1519="","",YEAR(A1519)&amp;"-"&amp;RIGHT("0"&amp;MONTH(A1519),2))</ns0:f>
        <ns0:v/>
      </ns0:c>
      <ns0:c r="F1519" s="28" t="str">
        <ns0:f>IF(OR(A1519="",B1519="",C1519&lt;=0),"",IF(SUMPRODUCT(('Müşteriler'!$B$2:$B$101&lt;&gt;"")*ISNUMBER(SEARCH('Müşteriler'!$B$2:$B$101,B1519)))=1,IFERROR(INDEX('Müşteriler'!$A$2:$A$101,SUMPRODUCT(('Müşteriler'!$B$2:$B$101&lt;&gt;"")*ISNUMBER(SEARCH('Müşteriler'!$B$2:$B$101,B1519)),ROW('Müşteriler'!$B$2:$B$101)-ROW('Müşteriler'!$B$2)+1)),""),""))</ns0:f>
        <ns0:v/>
      </ns0:c>
      <ns0:c r="G1519" s="28" t="str">
        <ns0:f>IF(F1519="","",IFERROR(INDEX('Müşteriler'!$C$2:$C$101,MATCH(F1519,'Müşteriler'!$A$2:$A$101,0)),""))</ns0:f>
        <ns0:v/>
      </ns0:c>
      <ns0:c r="H1519" s="28" t="str">
        <ns0:f>IF(A1519="","",IF(C1519&lt;=0,"Satış dışı",IF(OR(F1519="",G1519=""),"Eşleşmedi","Eşleşti")))</ns0:f>
        <ns0:v/>
      </ns0:c>
      <ns0:c r="I1519" s="28">
        <ns0:f>I1518+IF(AND(H1519="Eşleşmedi",E1519='Panel'!$B$4),1,0)</ns0:f>
        <ns0:v>3.0</ns0:v>
      </ns0:c>
    </ns0:row>
    <ns0:row r="1520" ht="21" customHeight="1">
      <ns0:c r="A1520" s="25" t="n"/>
      <ns0:c r="B1520" s="26" t="n"/>
      <ns0:c r="C1520" s="27" t="n"/>
      <ns0:c r="D1520" s="27" t="n"/>
      <ns0:c r="E1520" s="28" t="str">
        <ns0:f>IF(A1520="","",YEAR(A1520)&amp;"-"&amp;RIGHT("0"&amp;MONTH(A1520),2))</ns0:f>
        <ns0:v/>
      </ns0:c>
      <ns0:c r="F1520" s="28" t="str">
        <ns0:f>IF(OR(A1520="",B1520="",C1520&lt;=0),"",IF(SUMPRODUCT(('Müşteriler'!$B$2:$B$101&lt;&gt;"")*ISNUMBER(SEARCH('Müşteriler'!$B$2:$B$101,B1520)))=1,IFERROR(INDEX('Müşteriler'!$A$2:$A$101,SUMPRODUCT(('Müşteriler'!$B$2:$B$101&lt;&gt;"")*ISNUMBER(SEARCH('Müşteriler'!$B$2:$B$101,B1520)),ROW('Müşteriler'!$B$2:$B$101)-ROW('Müşteriler'!$B$2)+1)),""),""))</ns0:f>
        <ns0:v/>
      </ns0:c>
      <ns0:c r="G1520" s="28" t="str">
        <ns0:f>IF(F1520="","",IFERROR(INDEX('Müşteriler'!$C$2:$C$101,MATCH(F1520,'Müşteriler'!$A$2:$A$101,0)),""))</ns0:f>
        <ns0:v/>
      </ns0:c>
      <ns0:c r="H1520" s="28" t="str">
        <ns0:f>IF(A1520="","",IF(C1520&lt;=0,"Satış dışı",IF(OR(F1520="",G1520=""),"Eşleşmedi","Eşleşti")))</ns0:f>
        <ns0:v/>
      </ns0:c>
      <ns0:c r="I1520" s="28">
        <ns0:f>I1519+IF(AND(H1520="Eşleşmedi",E1520='Panel'!$B$4),1,0)</ns0:f>
        <ns0:v>3.0</ns0:v>
      </ns0:c>
    </ns0:row>
    <ns0:row r="1521" ht="21" customHeight="1">
      <ns0:c r="A1521" s="25" t="n"/>
      <ns0:c r="B1521" s="26" t="n"/>
      <ns0:c r="C1521" s="27" t="n"/>
      <ns0:c r="D1521" s="27" t="n"/>
      <ns0:c r="E1521" s="28" t="str">
        <ns0:f>IF(A1521="","",YEAR(A1521)&amp;"-"&amp;RIGHT("0"&amp;MONTH(A1521),2))</ns0:f>
        <ns0:v/>
      </ns0:c>
      <ns0:c r="F1521" s="28" t="str">
        <ns0:f>IF(OR(A1521="",B1521="",C1521&lt;=0),"",IF(SUMPRODUCT(('Müşteriler'!$B$2:$B$101&lt;&gt;"")*ISNUMBER(SEARCH('Müşteriler'!$B$2:$B$101,B1521)))=1,IFERROR(INDEX('Müşteriler'!$A$2:$A$101,SUMPRODUCT(('Müşteriler'!$B$2:$B$101&lt;&gt;"")*ISNUMBER(SEARCH('Müşteriler'!$B$2:$B$101,B1521)),ROW('Müşteriler'!$B$2:$B$101)-ROW('Müşteriler'!$B$2)+1)),""),""))</ns0:f>
        <ns0:v/>
      </ns0:c>
      <ns0:c r="G1521" s="28" t="str">
        <ns0:f>IF(F1521="","",IFERROR(INDEX('Müşteriler'!$C$2:$C$101,MATCH(F1521,'Müşteriler'!$A$2:$A$101,0)),""))</ns0:f>
        <ns0:v/>
      </ns0:c>
      <ns0:c r="H1521" s="28" t="str">
        <ns0:f>IF(A1521="","",IF(C1521&lt;=0,"Satış dışı",IF(OR(F1521="",G1521=""),"Eşleşmedi","Eşleşti")))</ns0:f>
        <ns0:v/>
      </ns0:c>
      <ns0:c r="I1521" s="28">
        <ns0:f>I1520+IF(AND(H1521="Eşleşmedi",E1521='Panel'!$B$4),1,0)</ns0:f>
        <ns0:v>3.0</ns0:v>
      </ns0:c>
    </ns0:row>
    <ns0:row r="1522" ht="21" customHeight="1">
      <ns0:c r="A1522" s="25" t="n"/>
      <ns0:c r="B1522" s="26" t="n"/>
      <ns0:c r="C1522" s="27" t="n"/>
      <ns0:c r="D1522" s="27" t="n"/>
      <ns0:c r="E1522" s="28" t="str">
        <ns0:f>IF(A1522="","",YEAR(A1522)&amp;"-"&amp;RIGHT("0"&amp;MONTH(A1522),2))</ns0:f>
        <ns0:v/>
      </ns0:c>
      <ns0:c r="F1522" s="28" t="str">
        <ns0:f>IF(OR(A1522="",B1522="",C1522&lt;=0),"",IF(SUMPRODUCT(('Müşteriler'!$B$2:$B$101&lt;&gt;"")*ISNUMBER(SEARCH('Müşteriler'!$B$2:$B$101,B1522)))=1,IFERROR(INDEX('Müşteriler'!$A$2:$A$101,SUMPRODUCT(('Müşteriler'!$B$2:$B$101&lt;&gt;"")*ISNUMBER(SEARCH('Müşteriler'!$B$2:$B$101,B1522)),ROW('Müşteriler'!$B$2:$B$101)-ROW('Müşteriler'!$B$2)+1)),""),""))</ns0:f>
        <ns0:v/>
      </ns0:c>
      <ns0:c r="G1522" s="28" t="str">
        <ns0:f>IF(F1522="","",IFERROR(INDEX('Müşteriler'!$C$2:$C$101,MATCH(F1522,'Müşteriler'!$A$2:$A$101,0)),""))</ns0:f>
        <ns0:v/>
      </ns0:c>
      <ns0:c r="H1522" s="28" t="str">
        <ns0:f>IF(A1522="","",IF(C1522&lt;=0,"Satış dışı",IF(OR(F1522="",G1522=""),"Eşleşmedi","Eşleşti")))</ns0:f>
        <ns0:v/>
      </ns0:c>
      <ns0:c r="I1522" s="28">
        <ns0:f>I1521+IF(AND(H1522="Eşleşmedi",E1522='Panel'!$B$4),1,0)</ns0:f>
        <ns0:v>3.0</ns0:v>
      </ns0:c>
    </ns0:row>
    <ns0:row r="1523" ht="21" customHeight="1">
      <ns0:c r="A1523" s="25" t="n"/>
      <ns0:c r="B1523" s="26" t="n"/>
      <ns0:c r="C1523" s="27" t="n"/>
      <ns0:c r="D1523" s="27" t="n"/>
      <ns0:c r="E1523" s="28" t="str">
        <ns0:f>IF(A1523="","",YEAR(A1523)&amp;"-"&amp;RIGHT("0"&amp;MONTH(A1523),2))</ns0:f>
        <ns0:v/>
      </ns0:c>
      <ns0:c r="F1523" s="28" t="str">
        <ns0:f>IF(OR(A1523="",B1523="",C1523&lt;=0),"",IF(SUMPRODUCT(('Müşteriler'!$B$2:$B$101&lt;&gt;"")*ISNUMBER(SEARCH('Müşteriler'!$B$2:$B$101,B1523)))=1,IFERROR(INDEX('Müşteriler'!$A$2:$A$101,SUMPRODUCT(('Müşteriler'!$B$2:$B$101&lt;&gt;"")*ISNUMBER(SEARCH('Müşteriler'!$B$2:$B$101,B1523)),ROW('Müşteriler'!$B$2:$B$101)-ROW('Müşteriler'!$B$2)+1)),""),""))</ns0:f>
        <ns0:v/>
      </ns0:c>
      <ns0:c r="G1523" s="28" t="str">
        <ns0:f>IF(F1523="","",IFERROR(INDEX('Müşteriler'!$C$2:$C$101,MATCH(F1523,'Müşteriler'!$A$2:$A$101,0)),""))</ns0:f>
        <ns0:v/>
      </ns0:c>
      <ns0:c r="H1523" s="28" t="str">
        <ns0:f>IF(A1523="","",IF(C1523&lt;=0,"Satış dışı",IF(OR(F1523="",G1523=""),"Eşleşmedi","Eşleşti")))</ns0:f>
        <ns0:v/>
      </ns0:c>
      <ns0:c r="I1523" s="28">
        <ns0:f>I1522+IF(AND(H1523="Eşleşmedi",E1523='Panel'!$B$4),1,0)</ns0:f>
        <ns0:v>3.0</ns0:v>
      </ns0:c>
    </ns0:row>
    <ns0:row r="1524" ht="21" customHeight="1">
      <ns0:c r="A1524" s="25" t="n"/>
      <ns0:c r="B1524" s="26" t="n"/>
      <ns0:c r="C1524" s="27" t="n"/>
      <ns0:c r="D1524" s="27" t="n"/>
      <ns0:c r="E1524" s="28" t="str">
        <ns0:f>IF(A1524="","",YEAR(A1524)&amp;"-"&amp;RIGHT("0"&amp;MONTH(A1524),2))</ns0:f>
        <ns0:v/>
      </ns0:c>
      <ns0:c r="F1524" s="28" t="str">
        <ns0:f>IF(OR(A1524="",B1524="",C1524&lt;=0),"",IF(SUMPRODUCT(('Müşteriler'!$B$2:$B$101&lt;&gt;"")*ISNUMBER(SEARCH('Müşteriler'!$B$2:$B$101,B1524)))=1,IFERROR(INDEX('Müşteriler'!$A$2:$A$101,SUMPRODUCT(('Müşteriler'!$B$2:$B$101&lt;&gt;"")*ISNUMBER(SEARCH('Müşteriler'!$B$2:$B$101,B1524)),ROW('Müşteriler'!$B$2:$B$101)-ROW('Müşteriler'!$B$2)+1)),""),""))</ns0:f>
        <ns0:v/>
      </ns0:c>
      <ns0:c r="G1524" s="28" t="str">
        <ns0:f>IF(F1524="","",IFERROR(INDEX('Müşteriler'!$C$2:$C$101,MATCH(F1524,'Müşteriler'!$A$2:$A$101,0)),""))</ns0:f>
        <ns0:v/>
      </ns0:c>
      <ns0:c r="H1524" s="28" t="str">
        <ns0:f>IF(A1524="","",IF(C1524&lt;=0,"Satış dışı",IF(OR(F1524="",G1524=""),"Eşleşmedi","Eşleşti")))</ns0:f>
        <ns0:v/>
      </ns0:c>
      <ns0:c r="I1524" s="28">
        <ns0:f>I1523+IF(AND(H1524="Eşleşmedi",E1524='Panel'!$B$4),1,0)</ns0:f>
        <ns0:v>3.0</ns0:v>
      </ns0:c>
    </ns0:row>
    <ns0:row r="1525" ht="21" customHeight="1">
      <ns0:c r="A1525" s="25" t="n"/>
      <ns0:c r="B1525" s="26" t="n"/>
      <ns0:c r="C1525" s="27" t="n"/>
      <ns0:c r="D1525" s="27" t="n"/>
      <ns0:c r="E1525" s="28" t="str">
        <ns0:f>IF(A1525="","",YEAR(A1525)&amp;"-"&amp;RIGHT("0"&amp;MONTH(A1525),2))</ns0:f>
        <ns0:v/>
      </ns0:c>
      <ns0:c r="F1525" s="28" t="str">
        <ns0:f>IF(OR(A1525="",B1525="",C1525&lt;=0),"",IF(SUMPRODUCT(('Müşteriler'!$B$2:$B$101&lt;&gt;"")*ISNUMBER(SEARCH('Müşteriler'!$B$2:$B$101,B1525)))=1,IFERROR(INDEX('Müşteriler'!$A$2:$A$101,SUMPRODUCT(('Müşteriler'!$B$2:$B$101&lt;&gt;"")*ISNUMBER(SEARCH('Müşteriler'!$B$2:$B$101,B1525)),ROW('Müşteriler'!$B$2:$B$101)-ROW('Müşteriler'!$B$2)+1)),""),""))</ns0:f>
        <ns0:v/>
      </ns0:c>
      <ns0:c r="G1525" s="28" t="str">
        <ns0:f>IF(F1525="","",IFERROR(INDEX('Müşteriler'!$C$2:$C$101,MATCH(F1525,'Müşteriler'!$A$2:$A$101,0)),""))</ns0:f>
        <ns0:v/>
      </ns0:c>
      <ns0:c r="H1525" s="28" t="str">
        <ns0:f>IF(A1525="","",IF(C1525&lt;=0,"Satış dışı",IF(OR(F1525="",G1525=""),"Eşleşmedi","Eşleşti")))</ns0:f>
        <ns0:v/>
      </ns0:c>
      <ns0:c r="I1525" s="28">
        <ns0:f>I1524+IF(AND(H1525="Eşleşmedi",E1525='Panel'!$B$4),1,0)</ns0:f>
        <ns0:v>3.0</ns0:v>
      </ns0:c>
    </ns0:row>
    <ns0:row r="1526" ht="21" customHeight="1">
      <ns0:c r="A1526" s="25" t="n"/>
      <ns0:c r="B1526" s="26" t="n"/>
      <ns0:c r="C1526" s="27" t="n"/>
      <ns0:c r="D1526" s="27" t="n"/>
      <ns0:c r="E1526" s="28" t="str">
        <ns0:f>IF(A1526="","",YEAR(A1526)&amp;"-"&amp;RIGHT("0"&amp;MONTH(A1526),2))</ns0:f>
        <ns0:v/>
      </ns0:c>
      <ns0:c r="F1526" s="28" t="str">
        <ns0:f>IF(OR(A1526="",B1526="",C1526&lt;=0),"",IF(SUMPRODUCT(('Müşteriler'!$B$2:$B$101&lt;&gt;"")*ISNUMBER(SEARCH('Müşteriler'!$B$2:$B$101,B1526)))=1,IFERROR(INDEX('Müşteriler'!$A$2:$A$101,SUMPRODUCT(('Müşteriler'!$B$2:$B$101&lt;&gt;"")*ISNUMBER(SEARCH('Müşteriler'!$B$2:$B$101,B1526)),ROW('Müşteriler'!$B$2:$B$101)-ROW('Müşteriler'!$B$2)+1)),""),""))</ns0:f>
        <ns0:v/>
      </ns0:c>
      <ns0:c r="G1526" s="28" t="str">
        <ns0:f>IF(F1526="","",IFERROR(INDEX('Müşteriler'!$C$2:$C$101,MATCH(F1526,'Müşteriler'!$A$2:$A$101,0)),""))</ns0:f>
        <ns0:v/>
      </ns0:c>
      <ns0:c r="H1526" s="28" t="str">
        <ns0:f>IF(A1526="","",IF(C1526&lt;=0,"Satış dışı",IF(OR(F1526="",G1526=""),"Eşleşmedi","Eşleşti")))</ns0:f>
        <ns0:v/>
      </ns0:c>
      <ns0:c r="I1526" s="28">
        <ns0:f>I1525+IF(AND(H1526="Eşleşmedi",E1526='Panel'!$B$4),1,0)</ns0:f>
        <ns0:v>3.0</ns0:v>
      </ns0:c>
    </ns0:row>
    <ns0:row r="1527" ht="21" customHeight="1">
      <ns0:c r="A1527" s="25" t="n"/>
      <ns0:c r="B1527" s="26" t="n"/>
      <ns0:c r="C1527" s="27" t="n"/>
      <ns0:c r="D1527" s="27" t="n"/>
      <ns0:c r="E1527" s="28" t="str">
        <ns0:f>IF(A1527="","",YEAR(A1527)&amp;"-"&amp;RIGHT("0"&amp;MONTH(A1527),2))</ns0:f>
        <ns0:v/>
      </ns0:c>
      <ns0:c r="F1527" s="28" t="str">
        <ns0:f>IF(OR(A1527="",B1527="",C1527&lt;=0),"",IF(SUMPRODUCT(('Müşteriler'!$B$2:$B$101&lt;&gt;"")*ISNUMBER(SEARCH('Müşteriler'!$B$2:$B$101,B1527)))=1,IFERROR(INDEX('Müşteriler'!$A$2:$A$101,SUMPRODUCT(('Müşteriler'!$B$2:$B$101&lt;&gt;"")*ISNUMBER(SEARCH('Müşteriler'!$B$2:$B$101,B1527)),ROW('Müşteriler'!$B$2:$B$101)-ROW('Müşteriler'!$B$2)+1)),""),""))</ns0:f>
        <ns0:v/>
      </ns0:c>
      <ns0:c r="G1527" s="28" t="str">
        <ns0:f>IF(F1527="","",IFERROR(INDEX('Müşteriler'!$C$2:$C$101,MATCH(F1527,'Müşteriler'!$A$2:$A$101,0)),""))</ns0:f>
        <ns0:v/>
      </ns0:c>
      <ns0:c r="H1527" s="28" t="str">
        <ns0:f>IF(A1527="","",IF(C1527&lt;=0,"Satış dışı",IF(OR(F1527="",G1527=""),"Eşleşmedi","Eşleşti")))</ns0:f>
        <ns0:v/>
      </ns0:c>
      <ns0:c r="I1527" s="28">
        <ns0:f>I1526+IF(AND(H1527="Eşleşmedi",E1527='Panel'!$B$4),1,0)</ns0:f>
        <ns0:v>3.0</ns0:v>
      </ns0:c>
    </ns0:row>
    <ns0:row r="1528" ht="21" customHeight="1">
      <ns0:c r="A1528" s="25" t="n"/>
      <ns0:c r="B1528" s="26" t="n"/>
      <ns0:c r="C1528" s="27" t="n"/>
      <ns0:c r="D1528" s="27" t="n"/>
      <ns0:c r="E1528" s="28" t="str">
        <ns0:f>IF(A1528="","",YEAR(A1528)&amp;"-"&amp;RIGHT("0"&amp;MONTH(A1528),2))</ns0:f>
        <ns0:v/>
      </ns0:c>
      <ns0:c r="F1528" s="28" t="str">
        <ns0:f>IF(OR(A1528="",B1528="",C1528&lt;=0),"",IF(SUMPRODUCT(('Müşteriler'!$B$2:$B$101&lt;&gt;"")*ISNUMBER(SEARCH('Müşteriler'!$B$2:$B$101,B1528)))=1,IFERROR(INDEX('Müşteriler'!$A$2:$A$101,SUMPRODUCT(('Müşteriler'!$B$2:$B$101&lt;&gt;"")*ISNUMBER(SEARCH('Müşteriler'!$B$2:$B$101,B1528)),ROW('Müşteriler'!$B$2:$B$101)-ROW('Müşteriler'!$B$2)+1)),""),""))</ns0:f>
        <ns0:v/>
      </ns0:c>
      <ns0:c r="G1528" s="28" t="str">
        <ns0:f>IF(F1528="","",IFERROR(INDEX('Müşteriler'!$C$2:$C$101,MATCH(F1528,'Müşteriler'!$A$2:$A$101,0)),""))</ns0:f>
        <ns0:v/>
      </ns0:c>
      <ns0:c r="H1528" s="28" t="str">
        <ns0:f>IF(A1528="","",IF(C1528&lt;=0,"Satış dışı",IF(OR(F1528="",G1528=""),"Eşleşmedi","Eşleşti")))</ns0:f>
        <ns0:v/>
      </ns0:c>
      <ns0:c r="I1528" s="28">
        <ns0:f>I1527+IF(AND(H1528="Eşleşmedi",E1528='Panel'!$B$4),1,0)</ns0:f>
        <ns0:v>3.0</ns0:v>
      </ns0:c>
    </ns0:row>
    <ns0:row r="1529" ht="21" customHeight="1">
      <ns0:c r="A1529" s="25" t="n"/>
      <ns0:c r="B1529" s="26" t="n"/>
      <ns0:c r="C1529" s="27" t="n"/>
      <ns0:c r="D1529" s="27" t="n"/>
      <ns0:c r="E1529" s="28" t="str">
        <ns0:f>IF(A1529="","",YEAR(A1529)&amp;"-"&amp;RIGHT("0"&amp;MONTH(A1529),2))</ns0:f>
        <ns0:v/>
      </ns0:c>
      <ns0:c r="F1529" s="28" t="str">
        <ns0:f>IF(OR(A1529="",B1529="",C1529&lt;=0),"",IF(SUMPRODUCT(('Müşteriler'!$B$2:$B$101&lt;&gt;"")*ISNUMBER(SEARCH('Müşteriler'!$B$2:$B$101,B1529)))=1,IFERROR(INDEX('Müşteriler'!$A$2:$A$101,SUMPRODUCT(('Müşteriler'!$B$2:$B$101&lt;&gt;"")*ISNUMBER(SEARCH('Müşteriler'!$B$2:$B$101,B1529)),ROW('Müşteriler'!$B$2:$B$101)-ROW('Müşteriler'!$B$2)+1)),""),""))</ns0:f>
        <ns0:v/>
      </ns0:c>
      <ns0:c r="G1529" s="28" t="str">
        <ns0:f>IF(F1529="","",IFERROR(INDEX('Müşteriler'!$C$2:$C$101,MATCH(F1529,'Müşteriler'!$A$2:$A$101,0)),""))</ns0:f>
        <ns0:v/>
      </ns0:c>
      <ns0:c r="H1529" s="28" t="str">
        <ns0:f>IF(A1529="","",IF(C1529&lt;=0,"Satış dışı",IF(OR(F1529="",G1529=""),"Eşleşmedi","Eşleşti")))</ns0:f>
        <ns0:v/>
      </ns0:c>
      <ns0:c r="I1529" s="28">
        <ns0:f>I1528+IF(AND(H1529="Eşleşmedi",E1529='Panel'!$B$4),1,0)</ns0:f>
        <ns0:v>3.0</ns0:v>
      </ns0:c>
    </ns0:row>
    <ns0:row r="1530" ht="21" customHeight="1">
      <ns0:c r="A1530" s="25" t="n"/>
      <ns0:c r="B1530" s="26" t="n"/>
      <ns0:c r="C1530" s="27" t="n"/>
      <ns0:c r="D1530" s="27" t="n"/>
      <ns0:c r="E1530" s="28" t="str">
        <ns0:f>IF(A1530="","",YEAR(A1530)&amp;"-"&amp;RIGHT("0"&amp;MONTH(A1530),2))</ns0:f>
        <ns0:v/>
      </ns0:c>
      <ns0:c r="F1530" s="28" t="str">
        <ns0:f>IF(OR(A1530="",B1530="",C1530&lt;=0),"",IF(SUMPRODUCT(('Müşteriler'!$B$2:$B$101&lt;&gt;"")*ISNUMBER(SEARCH('Müşteriler'!$B$2:$B$101,B1530)))=1,IFERROR(INDEX('Müşteriler'!$A$2:$A$101,SUMPRODUCT(('Müşteriler'!$B$2:$B$101&lt;&gt;"")*ISNUMBER(SEARCH('Müşteriler'!$B$2:$B$101,B1530)),ROW('Müşteriler'!$B$2:$B$101)-ROW('Müşteriler'!$B$2)+1)),""),""))</ns0:f>
        <ns0:v/>
      </ns0:c>
      <ns0:c r="G1530" s="28" t="str">
        <ns0:f>IF(F1530="","",IFERROR(INDEX('Müşteriler'!$C$2:$C$101,MATCH(F1530,'Müşteriler'!$A$2:$A$101,0)),""))</ns0:f>
        <ns0:v/>
      </ns0:c>
      <ns0:c r="H1530" s="28" t="str">
        <ns0:f>IF(A1530="","",IF(C1530&lt;=0,"Satış dışı",IF(OR(F1530="",G1530=""),"Eşleşmedi","Eşleşti")))</ns0:f>
        <ns0:v/>
      </ns0:c>
      <ns0:c r="I1530" s="28">
        <ns0:f>I1529+IF(AND(H1530="Eşleşmedi",E1530='Panel'!$B$4),1,0)</ns0:f>
        <ns0:v>3.0</ns0:v>
      </ns0:c>
    </ns0:row>
    <ns0:row r="1531" ht="21" customHeight="1">
      <ns0:c r="A1531" s="25" t="n"/>
      <ns0:c r="B1531" s="26" t="n"/>
      <ns0:c r="C1531" s="27" t="n"/>
      <ns0:c r="D1531" s="27" t="n"/>
      <ns0:c r="E1531" s="28" t="str">
        <ns0:f>IF(A1531="","",YEAR(A1531)&amp;"-"&amp;RIGHT("0"&amp;MONTH(A1531),2))</ns0:f>
        <ns0:v/>
      </ns0:c>
      <ns0:c r="F1531" s="28" t="str">
        <ns0:f>IF(OR(A1531="",B1531="",C1531&lt;=0),"",IF(SUMPRODUCT(('Müşteriler'!$B$2:$B$101&lt;&gt;"")*ISNUMBER(SEARCH('Müşteriler'!$B$2:$B$101,B1531)))=1,IFERROR(INDEX('Müşteriler'!$A$2:$A$101,SUMPRODUCT(('Müşteriler'!$B$2:$B$101&lt;&gt;"")*ISNUMBER(SEARCH('Müşteriler'!$B$2:$B$101,B1531)),ROW('Müşteriler'!$B$2:$B$101)-ROW('Müşteriler'!$B$2)+1)),""),""))</ns0:f>
        <ns0:v/>
      </ns0:c>
      <ns0:c r="G1531" s="28" t="str">
        <ns0:f>IF(F1531="","",IFERROR(INDEX('Müşteriler'!$C$2:$C$101,MATCH(F1531,'Müşteriler'!$A$2:$A$101,0)),""))</ns0:f>
        <ns0:v/>
      </ns0:c>
      <ns0:c r="H1531" s="28" t="str">
        <ns0:f>IF(A1531="","",IF(C1531&lt;=0,"Satış dışı",IF(OR(F1531="",G1531=""),"Eşleşmedi","Eşleşti")))</ns0:f>
        <ns0:v/>
      </ns0:c>
      <ns0:c r="I1531" s="28">
        <ns0:f>I1530+IF(AND(H1531="Eşleşmedi",E1531='Panel'!$B$4),1,0)</ns0:f>
        <ns0:v>3.0</ns0:v>
      </ns0:c>
    </ns0:row>
    <ns0:row r="1532" ht="21" customHeight="1">
      <ns0:c r="A1532" s="25" t="n"/>
      <ns0:c r="B1532" s="26" t="n"/>
      <ns0:c r="C1532" s="27" t="n"/>
      <ns0:c r="D1532" s="27" t="n"/>
      <ns0:c r="E1532" s="28" t="str">
        <ns0:f>IF(A1532="","",YEAR(A1532)&amp;"-"&amp;RIGHT("0"&amp;MONTH(A1532),2))</ns0:f>
        <ns0:v/>
      </ns0:c>
      <ns0:c r="F1532" s="28" t="str">
        <ns0:f>IF(OR(A1532="",B1532="",C1532&lt;=0),"",IF(SUMPRODUCT(('Müşteriler'!$B$2:$B$101&lt;&gt;"")*ISNUMBER(SEARCH('Müşteriler'!$B$2:$B$101,B1532)))=1,IFERROR(INDEX('Müşteriler'!$A$2:$A$101,SUMPRODUCT(('Müşteriler'!$B$2:$B$101&lt;&gt;"")*ISNUMBER(SEARCH('Müşteriler'!$B$2:$B$101,B1532)),ROW('Müşteriler'!$B$2:$B$101)-ROW('Müşteriler'!$B$2)+1)),""),""))</ns0:f>
        <ns0:v/>
      </ns0:c>
      <ns0:c r="G1532" s="28" t="str">
        <ns0:f>IF(F1532="","",IFERROR(INDEX('Müşteriler'!$C$2:$C$101,MATCH(F1532,'Müşteriler'!$A$2:$A$101,0)),""))</ns0:f>
        <ns0:v/>
      </ns0:c>
      <ns0:c r="H1532" s="28" t="str">
        <ns0:f>IF(A1532="","",IF(C1532&lt;=0,"Satış dışı",IF(OR(F1532="",G1532=""),"Eşleşmedi","Eşleşti")))</ns0:f>
        <ns0:v/>
      </ns0:c>
      <ns0:c r="I1532" s="28">
        <ns0:f>I1531+IF(AND(H1532="Eşleşmedi",E1532='Panel'!$B$4),1,0)</ns0:f>
        <ns0:v>3.0</ns0:v>
      </ns0:c>
    </ns0:row>
    <ns0:row r="1533" ht="21" customHeight="1">
      <ns0:c r="A1533" s="25" t="n"/>
      <ns0:c r="B1533" s="26" t="n"/>
      <ns0:c r="C1533" s="27" t="n"/>
      <ns0:c r="D1533" s="27" t="n"/>
      <ns0:c r="E1533" s="28" t="str">
        <ns0:f>IF(A1533="","",YEAR(A1533)&amp;"-"&amp;RIGHT("0"&amp;MONTH(A1533),2))</ns0:f>
        <ns0:v/>
      </ns0:c>
      <ns0:c r="F1533" s="28" t="str">
        <ns0:f>IF(OR(A1533="",B1533="",C1533&lt;=0),"",IF(SUMPRODUCT(('Müşteriler'!$B$2:$B$101&lt;&gt;"")*ISNUMBER(SEARCH('Müşteriler'!$B$2:$B$101,B1533)))=1,IFERROR(INDEX('Müşteriler'!$A$2:$A$101,SUMPRODUCT(('Müşteriler'!$B$2:$B$101&lt;&gt;"")*ISNUMBER(SEARCH('Müşteriler'!$B$2:$B$101,B1533)),ROW('Müşteriler'!$B$2:$B$101)-ROW('Müşteriler'!$B$2)+1)),""),""))</ns0:f>
        <ns0:v/>
      </ns0:c>
      <ns0:c r="G1533" s="28" t="str">
        <ns0:f>IF(F1533="","",IFERROR(INDEX('Müşteriler'!$C$2:$C$101,MATCH(F1533,'Müşteriler'!$A$2:$A$101,0)),""))</ns0:f>
        <ns0:v/>
      </ns0:c>
      <ns0:c r="H1533" s="28" t="str">
        <ns0:f>IF(A1533="","",IF(C1533&lt;=0,"Satış dışı",IF(OR(F1533="",G1533=""),"Eşleşmedi","Eşleşti")))</ns0:f>
        <ns0:v/>
      </ns0:c>
      <ns0:c r="I1533" s="28">
        <ns0:f>I1532+IF(AND(H1533="Eşleşmedi",E1533='Panel'!$B$4),1,0)</ns0:f>
        <ns0:v>3.0</ns0:v>
      </ns0:c>
    </ns0:row>
    <ns0:row r="1534" ht="21" customHeight="1">
      <ns0:c r="A1534" s="25" t="n"/>
      <ns0:c r="B1534" s="26" t="n"/>
      <ns0:c r="C1534" s="27" t="n"/>
      <ns0:c r="D1534" s="27" t="n"/>
      <ns0:c r="E1534" s="28" t="str">
        <ns0:f>IF(A1534="","",YEAR(A1534)&amp;"-"&amp;RIGHT("0"&amp;MONTH(A1534),2))</ns0:f>
        <ns0:v/>
      </ns0:c>
      <ns0:c r="F1534" s="28" t="str">
        <ns0:f>IF(OR(A1534="",B1534="",C1534&lt;=0),"",IF(SUMPRODUCT(('Müşteriler'!$B$2:$B$101&lt;&gt;"")*ISNUMBER(SEARCH('Müşteriler'!$B$2:$B$101,B1534)))=1,IFERROR(INDEX('Müşteriler'!$A$2:$A$101,SUMPRODUCT(('Müşteriler'!$B$2:$B$101&lt;&gt;"")*ISNUMBER(SEARCH('Müşteriler'!$B$2:$B$101,B1534)),ROW('Müşteriler'!$B$2:$B$101)-ROW('Müşteriler'!$B$2)+1)),""),""))</ns0:f>
        <ns0:v/>
      </ns0:c>
      <ns0:c r="G1534" s="28" t="str">
        <ns0:f>IF(F1534="","",IFERROR(INDEX('Müşteriler'!$C$2:$C$101,MATCH(F1534,'Müşteriler'!$A$2:$A$101,0)),""))</ns0:f>
        <ns0:v/>
      </ns0:c>
      <ns0:c r="H1534" s="28" t="str">
        <ns0:f>IF(A1534="","",IF(C1534&lt;=0,"Satış dışı",IF(OR(F1534="",G1534=""),"Eşleşmedi","Eşleşti")))</ns0:f>
        <ns0:v/>
      </ns0:c>
      <ns0:c r="I1534" s="28">
        <ns0:f>I1533+IF(AND(H1534="Eşleşmedi",E1534='Panel'!$B$4),1,0)</ns0:f>
        <ns0:v>3.0</ns0:v>
      </ns0:c>
    </ns0:row>
    <ns0:row r="1535" ht="21" customHeight="1">
      <ns0:c r="A1535" s="25" t="n"/>
      <ns0:c r="B1535" s="26" t="n"/>
      <ns0:c r="C1535" s="27" t="n"/>
      <ns0:c r="D1535" s="27" t="n"/>
      <ns0:c r="E1535" s="28" t="str">
        <ns0:f>IF(A1535="","",YEAR(A1535)&amp;"-"&amp;RIGHT("0"&amp;MONTH(A1535),2))</ns0:f>
        <ns0:v/>
      </ns0:c>
      <ns0:c r="F1535" s="28" t="str">
        <ns0:f>IF(OR(A1535="",B1535="",C1535&lt;=0),"",IF(SUMPRODUCT(('Müşteriler'!$B$2:$B$101&lt;&gt;"")*ISNUMBER(SEARCH('Müşteriler'!$B$2:$B$101,B1535)))=1,IFERROR(INDEX('Müşteriler'!$A$2:$A$101,SUMPRODUCT(('Müşteriler'!$B$2:$B$101&lt;&gt;"")*ISNUMBER(SEARCH('Müşteriler'!$B$2:$B$101,B1535)),ROW('Müşteriler'!$B$2:$B$101)-ROW('Müşteriler'!$B$2)+1)),""),""))</ns0:f>
        <ns0:v/>
      </ns0:c>
      <ns0:c r="G1535" s="28" t="str">
        <ns0:f>IF(F1535="","",IFERROR(INDEX('Müşteriler'!$C$2:$C$101,MATCH(F1535,'Müşteriler'!$A$2:$A$101,0)),""))</ns0:f>
        <ns0:v/>
      </ns0:c>
      <ns0:c r="H1535" s="28" t="str">
        <ns0:f>IF(A1535="","",IF(C1535&lt;=0,"Satış dışı",IF(OR(F1535="",G1535=""),"Eşleşmedi","Eşleşti")))</ns0:f>
        <ns0:v/>
      </ns0:c>
      <ns0:c r="I1535" s="28">
        <ns0:f>I1534+IF(AND(H1535="Eşleşmedi",E1535='Panel'!$B$4),1,0)</ns0:f>
        <ns0:v>3.0</ns0:v>
      </ns0:c>
    </ns0:row>
    <ns0:row r="1536" ht="21" customHeight="1">
      <ns0:c r="A1536" s="25" t="n"/>
      <ns0:c r="B1536" s="26" t="n"/>
      <ns0:c r="C1536" s="27" t="n"/>
      <ns0:c r="D1536" s="27" t="n"/>
      <ns0:c r="E1536" s="28" t="str">
        <ns0:f>IF(A1536="","",YEAR(A1536)&amp;"-"&amp;RIGHT("0"&amp;MONTH(A1536),2))</ns0:f>
        <ns0:v/>
      </ns0:c>
      <ns0:c r="F1536" s="28" t="str">
        <ns0:f>IF(OR(A1536="",B1536="",C1536&lt;=0),"",IF(SUMPRODUCT(('Müşteriler'!$B$2:$B$101&lt;&gt;"")*ISNUMBER(SEARCH('Müşteriler'!$B$2:$B$101,B1536)))=1,IFERROR(INDEX('Müşteriler'!$A$2:$A$101,SUMPRODUCT(('Müşteriler'!$B$2:$B$101&lt;&gt;"")*ISNUMBER(SEARCH('Müşteriler'!$B$2:$B$101,B1536)),ROW('Müşteriler'!$B$2:$B$101)-ROW('Müşteriler'!$B$2)+1)),""),""))</ns0:f>
        <ns0:v/>
      </ns0:c>
      <ns0:c r="G1536" s="28" t="str">
        <ns0:f>IF(F1536="","",IFERROR(INDEX('Müşteriler'!$C$2:$C$101,MATCH(F1536,'Müşteriler'!$A$2:$A$101,0)),""))</ns0:f>
        <ns0:v/>
      </ns0:c>
      <ns0:c r="H1536" s="28" t="str">
        <ns0:f>IF(A1536="","",IF(C1536&lt;=0,"Satış dışı",IF(OR(F1536="",G1536=""),"Eşleşmedi","Eşleşti")))</ns0:f>
        <ns0:v/>
      </ns0:c>
      <ns0:c r="I1536" s="28">
        <ns0:f>I1535+IF(AND(H1536="Eşleşmedi",E1536='Panel'!$B$4),1,0)</ns0:f>
        <ns0:v>3.0</ns0:v>
      </ns0:c>
    </ns0:row>
    <ns0:row r="1537" ht="21" customHeight="1">
      <ns0:c r="A1537" s="25" t="n"/>
      <ns0:c r="B1537" s="26" t="n"/>
      <ns0:c r="C1537" s="27" t="n"/>
      <ns0:c r="D1537" s="27" t="n"/>
      <ns0:c r="E1537" s="28" t="str">
        <ns0:f>IF(A1537="","",YEAR(A1537)&amp;"-"&amp;RIGHT("0"&amp;MONTH(A1537),2))</ns0:f>
        <ns0:v/>
      </ns0:c>
      <ns0:c r="F1537" s="28" t="str">
        <ns0:f>IF(OR(A1537="",B1537="",C1537&lt;=0),"",IF(SUMPRODUCT(('Müşteriler'!$B$2:$B$101&lt;&gt;"")*ISNUMBER(SEARCH('Müşteriler'!$B$2:$B$101,B1537)))=1,IFERROR(INDEX('Müşteriler'!$A$2:$A$101,SUMPRODUCT(('Müşteriler'!$B$2:$B$101&lt;&gt;"")*ISNUMBER(SEARCH('Müşteriler'!$B$2:$B$101,B1537)),ROW('Müşteriler'!$B$2:$B$101)-ROW('Müşteriler'!$B$2)+1)),""),""))</ns0:f>
        <ns0:v/>
      </ns0:c>
      <ns0:c r="G1537" s="28" t="str">
        <ns0:f>IF(F1537="","",IFERROR(INDEX('Müşteriler'!$C$2:$C$101,MATCH(F1537,'Müşteriler'!$A$2:$A$101,0)),""))</ns0:f>
        <ns0:v/>
      </ns0:c>
      <ns0:c r="H1537" s="28" t="str">
        <ns0:f>IF(A1537="","",IF(C1537&lt;=0,"Satış dışı",IF(OR(F1537="",G1537=""),"Eşleşmedi","Eşleşti")))</ns0:f>
        <ns0:v/>
      </ns0:c>
      <ns0:c r="I1537" s="28">
        <ns0:f>I1536+IF(AND(H1537="Eşleşmedi",E1537='Panel'!$B$4),1,0)</ns0:f>
        <ns0:v>3.0</ns0:v>
      </ns0:c>
    </ns0:row>
    <ns0:row r="1538" ht="21" customHeight="1">
      <ns0:c r="A1538" s="25" t="n"/>
      <ns0:c r="B1538" s="26" t="n"/>
      <ns0:c r="C1538" s="27" t="n"/>
      <ns0:c r="D1538" s="27" t="n"/>
      <ns0:c r="E1538" s="28" t="str">
        <ns0:f>IF(A1538="","",YEAR(A1538)&amp;"-"&amp;RIGHT("0"&amp;MONTH(A1538),2))</ns0:f>
        <ns0:v/>
      </ns0:c>
      <ns0:c r="F1538" s="28" t="str">
        <ns0:f>IF(OR(A1538="",B1538="",C1538&lt;=0),"",IF(SUMPRODUCT(('Müşteriler'!$B$2:$B$101&lt;&gt;"")*ISNUMBER(SEARCH('Müşteriler'!$B$2:$B$101,B1538)))=1,IFERROR(INDEX('Müşteriler'!$A$2:$A$101,SUMPRODUCT(('Müşteriler'!$B$2:$B$101&lt;&gt;"")*ISNUMBER(SEARCH('Müşteriler'!$B$2:$B$101,B1538)),ROW('Müşteriler'!$B$2:$B$101)-ROW('Müşteriler'!$B$2)+1)),""),""))</ns0:f>
        <ns0:v/>
      </ns0:c>
      <ns0:c r="G1538" s="28" t="str">
        <ns0:f>IF(F1538="","",IFERROR(INDEX('Müşteriler'!$C$2:$C$101,MATCH(F1538,'Müşteriler'!$A$2:$A$101,0)),""))</ns0:f>
        <ns0:v/>
      </ns0:c>
      <ns0:c r="H1538" s="28" t="str">
        <ns0:f>IF(A1538="","",IF(C1538&lt;=0,"Satış dışı",IF(OR(F1538="",G1538=""),"Eşleşmedi","Eşleşti")))</ns0:f>
        <ns0:v/>
      </ns0:c>
      <ns0:c r="I1538" s="28">
        <ns0:f>I1537+IF(AND(H1538="Eşleşmedi",E1538='Panel'!$B$4),1,0)</ns0:f>
        <ns0:v>3.0</ns0:v>
      </ns0:c>
    </ns0:row>
    <ns0:row r="1539" ht="21" customHeight="1">
      <ns0:c r="A1539" s="25" t="n"/>
      <ns0:c r="B1539" s="26" t="n"/>
      <ns0:c r="C1539" s="27" t="n"/>
      <ns0:c r="D1539" s="27" t="n"/>
      <ns0:c r="E1539" s="28" t="str">
        <ns0:f>IF(A1539="","",YEAR(A1539)&amp;"-"&amp;RIGHT("0"&amp;MONTH(A1539),2))</ns0:f>
        <ns0:v/>
      </ns0:c>
      <ns0:c r="F1539" s="28" t="str">
        <ns0:f>IF(OR(A1539="",B1539="",C1539&lt;=0),"",IF(SUMPRODUCT(('Müşteriler'!$B$2:$B$101&lt;&gt;"")*ISNUMBER(SEARCH('Müşteriler'!$B$2:$B$101,B1539)))=1,IFERROR(INDEX('Müşteriler'!$A$2:$A$101,SUMPRODUCT(('Müşteriler'!$B$2:$B$101&lt;&gt;"")*ISNUMBER(SEARCH('Müşteriler'!$B$2:$B$101,B1539)),ROW('Müşteriler'!$B$2:$B$101)-ROW('Müşteriler'!$B$2)+1)),""),""))</ns0:f>
        <ns0:v/>
      </ns0:c>
      <ns0:c r="G1539" s="28" t="str">
        <ns0:f>IF(F1539="","",IFERROR(INDEX('Müşteriler'!$C$2:$C$101,MATCH(F1539,'Müşteriler'!$A$2:$A$101,0)),""))</ns0:f>
        <ns0:v/>
      </ns0:c>
      <ns0:c r="H1539" s="28" t="str">
        <ns0:f>IF(A1539="","",IF(C1539&lt;=0,"Satış dışı",IF(OR(F1539="",G1539=""),"Eşleşmedi","Eşleşti")))</ns0:f>
        <ns0:v/>
      </ns0:c>
      <ns0:c r="I1539" s="28">
        <ns0:f>I1538+IF(AND(H1539="Eşleşmedi",E1539='Panel'!$B$4),1,0)</ns0:f>
        <ns0:v>3.0</ns0:v>
      </ns0:c>
    </ns0:row>
    <ns0:row r="1540" ht="21" customHeight="1">
      <ns0:c r="A1540" s="25" t="n"/>
      <ns0:c r="B1540" s="26" t="n"/>
      <ns0:c r="C1540" s="27" t="n"/>
      <ns0:c r="D1540" s="27" t="n"/>
      <ns0:c r="E1540" s="28" t="str">
        <ns0:f>IF(A1540="","",YEAR(A1540)&amp;"-"&amp;RIGHT("0"&amp;MONTH(A1540),2))</ns0:f>
        <ns0:v/>
      </ns0:c>
      <ns0:c r="F1540" s="28" t="str">
        <ns0:f>IF(OR(A1540="",B1540="",C1540&lt;=0),"",IF(SUMPRODUCT(('Müşteriler'!$B$2:$B$101&lt;&gt;"")*ISNUMBER(SEARCH('Müşteriler'!$B$2:$B$101,B1540)))=1,IFERROR(INDEX('Müşteriler'!$A$2:$A$101,SUMPRODUCT(('Müşteriler'!$B$2:$B$101&lt;&gt;"")*ISNUMBER(SEARCH('Müşteriler'!$B$2:$B$101,B1540)),ROW('Müşteriler'!$B$2:$B$101)-ROW('Müşteriler'!$B$2)+1)),""),""))</ns0:f>
        <ns0:v/>
      </ns0:c>
      <ns0:c r="G1540" s="28" t="str">
        <ns0:f>IF(F1540="","",IFERROR(INDEX('Müşteriler'!$C$2:$C$101,MATCH(F1540,'Müşteriler'!$A$2:$A$101,0)),""))</ns0:f>
        <ns0:v/>
      </ns0:c>
      <ns0:c r="H1540" s="28" t="str">
        <ns0:f>IF(A1540="","",IF(C1540&lt;=0,"Satış dışı",IF(OR(F1540="",G1540=""),"Eşleşmedi","Eşleşti")))</ns0:f>
        <ns0:v/>
      </ns0:c>
      <ns0:c r="I1540" s="28">
        <ns0:f>I1539+IF(AND(H1540="Eşleşmedi",E1540='Panel'!$B$4),1,0)</ns0:f>
        <ns0:v>3.0</ns0:v>
      </ns0:c>
    </ns0:row>
    <ns0:row r="1541" ht="21" customHeight="1">
      <ns0:c r="A1541" s="25" t="n"/>
      <ns0:c r="B1541" s="26" t="n"/>
      <ns0:c r="C1541" s="27" t="n"/>
      <ns0:c r="D1541" s="27" t="n"/>
      <ns0:c r="E1541" s="28" t="str">
        <ns0:f>IF(A1541="","",YEAR(A1541)&amp;"-"&amp;RIGHT("0"&amp;MONTH(A1541),2))</ns0:f>
        <ns0:v/>
      </ns0:c>
      <ns0:c r="F1541" s="28" t="str">
        <ns0:f>IF(OR(A1541="",B1541="",C1541&lt;=0),"",IF(SUMPRODUCT(('Müşteriler'!$B$2:$B$101&lt;&gt;"")*ISNUMBER(SEARCH('Müşteriler'!$B$2:$B$101,B1541)))=1,IFERROR(INDEX('Müşteriler'!$A$2:$A$101,SUMPRODUCT(('Müşteriler'!$B$2:$B$101&lt;&gt;"")*ISNUMBER(SEARCH('Müşteriler'!$B$2:$B$101,B1541)),ROW('Müşteriler'!$B$2:$B$101)-ROW('Müşteriler'!$B$2)+1)),""),""))</ns0:f>
        <ns0:v/>
      </ns0:c>
      <ns0:c r="G1541" s="28" t="str">
        <ns0:f>IF(F1541="","",IFERROR(INDEX('Müşteriler'!$C$2:$C$101,MATCH(F1541,'Müşteriler'!$A$2:$A$101,0)),""))</ns0:f>
        <ns0:v/>
      </ns0:c>
      <ns0:c r="H1541" s="28" t="str">
        <ns0:f>IF(A1541="","",IF(C1541&lt;=0,"Satış dışı",IF(OR(F1541="",G1541=""),"Eşleşmedi","Eşleşti")))</ns0:f>
        <ns0:v/>
      </ns0:c>
      <ns0:c r="I1541" s="28">
        <ns0:f>I1540+IF(AND(H1541="Eşleşmedi",E1541='Panel'!$B$4),1,0)</ns0:f>
        <ns0:v>3.0</ns0:v>
      </ns0:c>
    </ns0:row>
    <ns0:row r="1542" ht="21" customHeight="1">
      <ns0:c r="A1542" s="25" t="n"/>
      <ns0:c r="B1542" s="26" t="n"/>
      <ns0:c r="C1542" s="27" t="n"/>
      <ns0:c r="D1542" s="27" t="n"/>
      <ns0:c r="E1542" s="28" t="str">
        <ns0:f>IF(A1542="","",YEAR(A1542)&amp;"-"&amp;RIGHT("0"&amp;MONTH(A1542),2))</ns0:f>
        <ns0:v/>
      </ns0:c>
      <ns0:c r="F1542" s="28" t="str">
        <ns0:f>IF(OR(A1542="",B1542="",C1542&lt;=0),"",IF(SUMPRODUCT(('Müşteriler'!$B$2:$B$101&lt;&gt;"")*ISNUMBER(SEARCH('Müşteriler'!$B$2:$B$101,B1542)))=1,IFERROR(INDEX('Müşteriler'!$A$2:$A$101,SUMPRODUCT(('Müşteriler'!$B$2:$B$101&lt;&gt;"")*ISNUMBER(SEARCH('Müşteriler'!$B$2:$B$101,B1542)),ROW('Müşteriler'!$B$2:$B$101)-ROW('Müşteriler'!$B$2)+1)),""),""))</ns0:f>
        <ns0:v/>
      </ns0:c>
      <ns0:c r="G1542" s="28" t="str">
        <ns0:f>IF(F1542="","",IFERROR(INDEX('Müşteriler'!$C$2:$C$101,MATCH(F1542,'Müşteriler'!$A$2:$A$101,0)),""))</ns0:f>
        <ns0:v/>
      </ns0:c>
      <ns0:c r="H1542" s="28" t="str">
        <ns0:f>IF(A1542="","",IF(C1542&lt;=0,"Satış dışı",IF(OR(F1542="",G1542=""),"Eşleşmedi","Eşleşti")))</ns0:f>
        <ns0:v/>
      </ns0:c>
      <ns0:c r="I1542" s="28">
        <ns0:f>I1541+IF(AND(H1542="Eşleşmedi",E1542='Panel'!$B$4),1,0)</ns0:f>
        <ns0:v>3.0</ns0:v>
      </ns0:c>
    </ns0:row>
    <ns0:row r="1543" ht="21" customHeight="1">
      <ns0:c r="A1543" s="25" t="n"/>
      <ns0:c r="B1543" s="26" t="n"/>
      <ns0:c r="C1543" s="27" t="n"/>
      <ns0:c r="D1543" s="27" t="n"/>
      <ns0:c r="E1543" s="28" t="str">
        <ns0:f>IF(A1543="","",YEAR(A1543)&amp;"-"&amp;RIGHT("0"&amp;MONTH(A1543),2))</ns0:f>
        <ns0:v/>
      </ns0:c>
      <ns0:c r="F1543" s="28" t="str">
        <ns0:f>IF(OR(A1543="",B1543="",C1543&lt;=0),"",IF(SUMPRODUCT(('Müşteriler'!$B$2:$B$101&lt;&gt;"")*ISNUMBER(SEARCH('Müşteriler'!$B$2:$B$101,B1543)))=1,IFERROR(INDEX('Müşteriler'!$A$2:$A$101,SUMPRODUCT(('Müşteriler'!$B$2:$B$101&lt;&gt;"")*ISNUMBER(SEARCH('Müşteriler'!$B$2:$B$101,B1543)),ROW('Müşteriler'!$B$2:$B$101)-ROW('Müşteriler'!$B$2)+1)),""),""))</ns0:f>
        <ns0:v/>
      </ns0:c>
      <ns0:c r="G1543" s="28" t="str">
        <ns0:f>IF(F1543="","",IFERROR(INDEX('Müşteriler'!$C$2:$C$101,MATCH(F1543,'Müşteriler'!$A$2:$A$101,0)),""))</ns0:f>
        <ns0:v/>
      </ns0:c>
      <ns0:c r="H1543" s="28" t="str">
        <ns0:f>IF(A1543="","",IF(C1543&lt;=0,"Satış dışı",IF(OR(F1543="",G1543=""),"Eşleşmedi","Eşleşti")))</ns0:f>
        <ns0:v/>
      </ns0:c>
      <ns0:c r="I1543" s="28">
        <ns0:f>I1542+IF(AND(H1543="Eşleşmedi",E1543='Panel'!$B$4),1,0)</ns0:f>
        <ns0:v>3.0</ns0:v>
      </ns0:c>
    </ns0:row>
    <ns0:row r="1544" ht="21" customHeight="1">
      <ns0:c r="A1544" s="25" t="n"/>
      <ns0:c r="B1544" s="26" t="n"/>
      <ns0:c r="C1544" s="27" t="n"/>
      <ns0:c r="D1544" s="27" t="n"/>
      <ns0:c r="E1544" s="28" t="str">
        <ns0:f>IF(A1544="","",YEAR(A1544)&amp;"-"&amp;RIGHT("0"&amp;MONTH(A1544),2))</ns0:f>
        <ns0:v/>
      </ns0:c>
      <ns0:c r="F1544" s="28" t="str">
        <ns0:f>IF(OR(A1544="",B1544="",C1544&lt;=0),"",IF(SUMPRODUCT(('Müşteriler'!$B$2:$B$101&lt;&gt;"")*ISNUMBER(SEARCH('Müşteriler'!$B$2:$B$101,B1544)))=1,IFERROR(INDEX('Müşteriler'!$A$2:$A$101,SUMPRODUCT(('Müşteriler'!$B$2:$B$101&lt;&gt;"")*ISNUMBER(SEARCH('Müşteriler'!$B$2:$B$101,B1544)),ROW('Müşteriler'!$B$2:$B$101)-ROW('Müşteriler'!$B$2)+1)),""),""))</ns0:f>
        <ns0:v/>
      </ns0:c>
      <ns0:c r="G1544" s="28" t="str">
        <ns0:f>IF(F1544="","",IFERROR(INDEX('Müşteriler'!$C$2:$C$101,MATCH(F1544,'Müşteriler'!$A$2:$A$101,0)),""))</ns0:f>
        <ns0:v/>
      </ns0:c>
      <ns0:c r="H1544" s="28" t="str">
        <ns0:f>IF(A1544="","",IF(C1544&lt;=0,"Satış dışı",IF(OR(F1544="",G1544=""),"Eşleşmedi","Eşleşti")))</ns0:f>
        <ns0:v/>
      </ns0:c>
      <ns0:c r="I1544" s="28">
        <ns0:f>I1543+IF(AND(H1544="Eşleşmedi",E1544='Panel'!$B$4),1,0)</ns0:f>
        <ns0:v>3.0</ns0:v>
      </ns0:c>
    </ns0:row>
    <ns0:row r="1545" ht="21" customHeight="1">
      <ns0:c r="A1545" s="25" t="n"/>
      <ns0:c r="B1545" s="26" t="n"/>
      <ns0:c r="C1545" s="27" t="n"/>
      <ns0:c r="D1545" s="27" t="n"/>
      <ns0:c r="E1545" s="28" t="str">
        <ns0:f>IF(A1545="","",YEAR(A1545)&amp;"-"&amp;RIGHT("0"&amp;MONTH(A1545),2))</ns0:f>
        <ns0:v/>
      </ns0:c>
      <ns0:c r="F1545" s="28" t="str">
        <ns0:f>IF(OR(A1545="",B1545="",C1545&lt;=0),"",IF(SUMPRODUCT(('Müşteriler'!$B$2:$B$101&lt;&gt;"")*ISNUMBER(SEARCH('Müşteriler'!$B$2:$B$101,B1545)))=1,IFERROR(INDEX('Müşteriler'!$A$2:$A$101,SUMPRODUCT(('Müşteriler'!$B$2:$B$101&lt;&gt;"")*ISNUMBER(SEARCH('Müşteriler'!$B$2:$B$101,B1545)),ROW('Müşteriler'!$B$2:$B$101)-ROW('Müşteriler'!$B$2)+1)),""),""))</ns0:f>
        <ns0:v/>
      </ns0:c>
      <ns0:c r="G1545" s="28" t="str">
        <ns0:f>IF(F1545="","",IFERROR(INDEX('Müşteriler'!$C$2:$C$101,MATCH(F1545,'Müşteriler'!$A$2:$A$101,0)),""))</ns0:f>
        <ns0:v/>
      </ns0:c>
      <ns0:c r="H1545" s="28" t="str">
        <ns0:f>IF(A1545="","",IF(C1545&lt;=0,"Satış dışı",IF(OR(F1545="",G1545=""),"Eşleşmedi","Eşleşti")))</ns0:f>
        <ns0:v/>
      </ns0:c>
      <ns0:c r="I1545" s="28">
        <ns0:f>I1544+IF(AND(H1545="Eşleşmedi",E1545='Panel'!$B$4),1,0)</ns0:f>
        <ns0:v>3.0</ns0:v>
      </ns0:c>
    </ns0:row>
    <ns0:row r="1546" ht="21" customHeight="1">
      <ns0:c r="A1546" s="25" t="n"/>
      <ns0:c r="B1546" s="26" t="n"/>
      <ns0:c r="C1546" s="27" t="n"/>
      <ns0:c r="D1546" s="27" t="n"/>
      <ns0:c r="E1546" s="28" t="str">
        <ns0:f>IF(A1546="","",YEAR(A1546)&amp;"-"&amp;RIGHT("0"&amp;MONTH(A1546),2))</ns0:f>
        <ns0:v/>
      </ns0:c>
      <ns0:c r="F1546" s="28" t="str">
        <ns0:f>IF(OR(A1546="",B1546="",C1546&lt;=0),"",IF(SUMPRODUCT(('Müşteriler'!$B$2:$B$101&lt;&gt;"")*ISNUMBER(SEARCH('Müşteriler'!$B$2:$B$101,B1546)))=1,IFERROR(INDEX('Müşteriler'!$A$2:$A$101,SUMPRODUCT(('Müşteriler'!$B$2:$B$101&lt;&gt;"")*ISNUMBER(SEARCH('Müşteriler'!$B$2:$B$101,B1546)),ROW('Müşteriler'!$B$2:$B$101)-ROW('Müşteriler'!$B$2)+1)),""),""))</ns0:f>
        <ns0:v/>
      </ns0:c>
      <ns0:c r="G1546" s="28" t="str">
        <ns0:f>IF(F1546="","",IFERROR(INDEX('Müşteriler'!$C$2:$C$101,MATCH(F1546,'Müşteriler'!$A$2:$A$101,0)),""))</ns0:f>
        <ns0:v/>
      </ns0:c>
      <ns0:c r="H1546" s="28" t="str">
        <ns0:f>IF(A1546="","",IF(C1546&lt;=0,"Satış dışı",IF(OR(F1546="",G1546=""),"Eşleşmedi","Eşleşti")))</ns0:f>
        <ns0:v/>
      </ns0:c>
      <ns0:c r="I1546" s="28">
        <ns0:f>I1545+IF(AND(H1546="Eşleşmedi",E1546='Panel'!$B$4),1,0)</ns0:f>
        <ns0:v>3.0</ns0:v>
      </ns0:c>
    </ns0:row>
    <ns0:row r="1547" ht="21" customHeight="1">
      <ns0:c r="A1547" s="25" t="n"/>
      <ns0:c r="B1547" s="26" t="n"/>
      <ns0:c r="C1547" s="27" t="n"/>
      <ns0:c r="D1547" s="27" t="n"/>
      <ns0:c r="E1547" s="28" t="str">
        <ns0:f>IF(A1547="","",YEAR(A1547)&amp;"-"&amp;RIGHT("0"&amp;MONTH(A1547),2))</ns0:f>
        <ns0:v/>
      </ns0:c>
      <ns0:c r="F1547" s="28" t="str">
        <ns0:f>IF(OR(A1547="",B1547="",C1547&lt;=0),"",IF(SUMPRODUCT(('Müşteriler'!$B$2:$B$101&lt;&gt;"")*ISNUMBER(SEARCH('Müşteriler'!$B$2:$B$101,B1547)))=1,IFERROR(INDEX('Müşteriler'!$A$2:$A$101,SUMPRODUCT(('Müşteriler'!$B$2:$B$101&lt;&gt;"")*ISNUMBER(SEARCH('Müşteriler'!$B$2:$B$101,B1547)),ROW('Müşteriler'!$B$2:$B$101)-ROW('Müşteriler'!$B$2)+1)),""),""))</ns0:f>
        <ns0:v/>
      </ns0:c>
      <ns0:c r="G1547" s="28" t="str">
        <ns0:f>IF(F1547="","",IFERROR(INDEX('Müşteriler'!$C$2:$C$101,MATCH(F1547,'Müşteriler'!$A$2:$A$101,0)),""))</ns0:f>
        <ns0:v/>
      </ns0:c>
      <ns0:c r="H1547" s="28" t="str">
        <ns0:f>IF(A1547="","",IF(C1547&lt;=0,"Satış dışı",IF(OR(F1547="",G1547=""),"Eşleşmedi","Eşleşti")))</ns0:f>
        <ns0:v/>
      </ns0:c>
      <ns0:c r="I1547" s="28">
        <ns0:f>I1546+IF(AND(H1547="Eşleşmedi",E1547='Panel'!$B$4),1,0)</ns0:f>
        <ns0:v>3.0</ns0:v>
      </ns0:c>
    </ns0:row>
    <ns0:row r="1548" ht="21" customHeight="1">
      <ns0:c r="A1548" s="25" t="n"/>
      <ns0:c r="B1548" s="26" t="n"/>
      <ns0:c r="C1548" s="27" t="n"/>
      <ns0:c r="D1548" s="27" t="n"/>
      <ns0:c r="E1548" s="28" t="str">
        <ns0:f>IF(A1548="","",YEAR(A1548)&amp;"-"&amp;RIGHT("0"&amp;MONTH(A1548),2))</ns0:f>
        <ns0:v/>
      </ns0:c>
      <ns0:c r="F1548" s="28" t="str">
        <ns0:f>IF(OR(A1548="",B1548="",C1548&lt;=0),"",IF(SUMPRODUCT(('Müşteriler'!$B$2:$B$101&lt;&gt;"")*ISNUMBER(SEARCH('Müşteriler'!$B$2:$B$101,B1548)))=1,IFERROR(INDEX('Müşteriler'!$A$2:$A$101,SUMPRODUCT(('Müşteriler'!$B$2:$B$101&lt;&gt;"")*ISNUMBER(SEARCH('Müşteriler'!$B$2:$B$101,B1548)),ROW('Müşteriler'!$B$2:$B$101)-ROW('Müşteriler'!$B$2)+1)),""),""))</ns0:f>
        <ns0:v/>
      </ns0:c>
      <ns0:c r="G1548" s="28" t="str">
        <ns0:f>IF(F1548="","",IFERROR(INDEX('Müşteriler'!$C$2:$C$101,MATCH(F1548,'Müşteriler'!$A$2:$A$101,0)),""))</ns0:f>
        <ns0:v/>
      </ns0:c>
      <ns0:c r="H1548" s="28" t="str">
        <ns0:f>IF(A1548="","",IF(C1548&lt;=0,"Satış dışı",IF(OR(F1548="",G1548=""),"Eşleşmedi","Eşleşti")))</ns0:f>
        <ns0:v/>
      </ns0:c>
      <ns0:c r="I1548" s="28">
        <ns0:f>I1547+IF(AND(H1548="Eşleşmedi",E1548='Panel'!$B$4),1,0)</ns0:f>
        <ns0:v>3.0</ns0:v>
      </ns0:c>
    </ns0:row>
    <ns0:row r="1549" ht="21" customHeight="1">
      <ns0:c r="A1549" s="25" t="n"/>
      <ns0:c r="B1549" s="26" t="n"/>
      <ns0:c r="C1549" s="27" t="n"/>
      <ns0:c r="D1549" s="27" t="n"/>
      <ns0:c r="E1549" s="28" t="str">
        <ns0:f>IF(A1549="","",YEAR(A1549)&amp;"-"&amp;RIGHT("0"&amp;MONTH(A1549),2))</ns0:f>
        <ns0:v/>
      </ns0:c>
      <ns0:c r="F1549" s="28" t="str">
        <ns0:f>IF(OR(A1549="",B1549="",C1549&lt;=0),"",IF(SUMPRODUCT(('Müşteriler'!$B$2:$B$101&lt;&gt;"")*ISNUMBER(SEARCH('Müşteriler'!$B$2:$B$101,B1549)))=1,IFERROR(INDEX('Müşteriler'!$A$2:$A$101,SUMPRODUCT(('Müşteriler'!$B$2:$B$101&lt;&gt;"")*ISNUMBER(SEARCH('Müşteriler'!$B$2:$B$101,B1549)),ROW('Müşteriler'!$B$2:$B$101)-ROW('Müşteriler'!$B$2)+1)),""),""))</ns0:f>
        <ns0:v/>
      </ns0:c>
      <ns0:c r="G1549" s="28" t="str">
        <ns0:f>IF(F1549="","",IFERROR(INDEX('Müşteriler'!$C$2:$C$101,MATCH(F1549,'Müşteriler'!$A$2:$A$101,0)),""))</ns0:f>
        <ns0:v/>
      </ns0:c>
      <ns0:c r="H1549" s="28" t="str">
        <ns0:f>IF(A1549="","",IF(C1549&lt;=0,"Satış dışı",IF(OR(F1549="",G1549=""),"Eşleşmedi","Eşleşti")))</ns0:f>
        <ns0:v/>
      </ns0:c>
      <ns0:c r="I1549" s="28">
        <ns0:f>I1548+IF(AND(H1549="Eşleşmedi",E1549='Panel'!$B$4),1,0)</ns0:f>
        <ns0:v>3.0</ns0:v>
      </ns0:c>
    </ns0:row>
    <ns0:row r="1550" ht="21" customHeight="1">
      <ns0:c r="A1550" s="25" t="n"/>
      <ns0:c r="B1550" s="26" t="n"/>
      <ns0:c r="C1550" s="27" t="n"/>
      <ns0:c r="D1550" s="27" t="n"/>
      <ns0:c r="E1550" s="28" t="str">
        <ns0:f>IF(A1550="","",YEAR(A1550)&amp;"-"&amp;RIGHT("0"&amp;MONTH(A1550),2))</ns0:f>
        <ns0:v/>
      </ns0:c>
      <ns0:c r="F1550" s="28" t="str">
        <ns0:f>IF(OR(A1550="",B1550="",C1550&lt;=0),"",IF(SUMPRODUCT(('Müşteriler'!$B$2:$B$101&lt;&gt;"")*ISNUMBER(SEARCH('Müşteriler'!$B$2:$B$101,B1550)))=1,IFERROR(INDEX('Müşteriler'!$A$2:$A$101,SUMPRODUCT(('Müşteriler'!$B$2:$B$101&lt;&gt;"")*ISNUMBER(SEARCH('Müşteriler'!$B$2:$B$101,B1550)),ROW('Müşteriler'!$B$2:$B$101)-ROW('Müşteriler'!$B$2)+1)),""),""))</ns0:f>
        <ns0:v/>
      </ns0:c>
      <ns0:c r="G1550" s="28" t="str">
        <ns0:f>IF(F1550="","",IFERROR(INDEX('Müşteriler'!$C$2:$C$101,MATCH(F1550,'Müşteriler'!$A$2:$A$101,0)),""))</ns0:f>
        <ns0:v/>
      </ns0:c>
      <ns0:c r="H1550" s="28" t="str">
        <ns0:f>IF(A1550="","",IF(C1550&lt;=0,"Satış dışı",IF(OR(F1550="",G1550=""),"Eşleşmedi","Eşleşti")))</ns0:f>
        <ns0:v/>
      </ns0:c>
      <ns0:c r="I1550" s="28">
        <ns0:f>I1549+IF(AND(H1550="Eşleşmedi",E1550='Panel'!$B$4),1,0)</ns0:f>
        <ns0:v>3.0</ns0:v>
      </ns0:c>
    </ns0:row>
    <ns0:row r="1551" ht="21" customHeight="1">
      <ns0:c r="A1551" s="25" t="n"/>
      <ns0:c r="B1551" s="26" t="n"/>
      <ns0:c r="C1551" s="27" t="n"/>
      <ns0:c r="D1551" s="27" t="n"/>
      <ns0:c r="E1551" s="28" t="str">
        <ns0:f>IF(A1551="","",YEAR(A1551)&amp;"-"&amp;RIGHT("0"&amp;MONTH(A1551),2))</ns0:f>
        <ns0:v/>
      </ns0:c>
      <ns0:c r="F1551" s="28" t="str">
        <ns0:f>IF(OR(A1551="",B1551="",C1551&lt;=0),"",IF(SUMPRODUCT(('Müşteriler'!$B$2:$B$101&lt;&gt;"")*ISNUMBER(SEARCH('Müşteriler'!$B$2:$B$101,B1551)))=1,IFERROR(INDEX('Müşteriler'!$A$2:$A$101,SUMPRODUCT(('Müşteriler'!$B$2:$B$101&lt;&gt;"")*ISNUMBER(SEARCH('Müşteriler'!$B$2:$B$101,B1551)),ROW('Müşteriler'!$B$2:$B$101)-ROW('Müşteriler'!$B$2)+1)),""),""))</ns0:f>
        <ns0:v/>
      </ns0:c>
      <ns0:c r="G1551" s="28" t="str">
        <ns0:f>IF(F1551="","",IFERROR(INDEX('Müşteriler'!$C$2:$C$101,MATCH(F1551,'Müşteriler'!$A$2:$A$101,0)),""))</ns0:f>
        <ns0:v/>
      </ns0:c>
      <ns0:c r="H1551" s="28" t="str">
        <ns0:f>IF(A1551="","",IF(C1551&lt;=0,"Satış dışı",IF(OR(F1551="",G1551=""),"Eşleşmedi","Eşleşti")))</ns0:f>
        <ns0:v/>
      </ns0:c>
      <ns0:c r="I1551" s="28">
        <ns0:f>I1550+IF(AND(H1551="Eşleşmedi",E1551='Panel'!$B$4),1,0)</ns0:f>
        <ns0:v>3.0</ns0:v>
      </ns0:c>
    </ns0:row>
    <ns0:row r="1552" ht="21" customHeight="1">
      <ns0:c r="A1552" s="25" t="n"/>
      <ns0:c r="B1552" s="26" t="n"/>
      <ns0:c r="C1552" s="27" t="n"/>
      <ns0:c r="D1552" s="27" t="n"/>
      <ns0:c r="E1552" s="28" t="str">
        <ns0:f>IF(A1552="","",YEAR(A1552)&amp;"-"&amp;RIGHT("0"&amp;MONTH(A1552),2))</ns0:f>
        <ns0:v/>
      </ns0:c>
      <ns0:c r="F1552" s="28" t="str">
        <ns0:f>IF(OR(A1552="",B1552="",C1552&lt;=0),"",IF(SUMPRODUCT(('Müşteriler'!$B$2:$B$101&lt;&gt;"")*ISNUMBER(SEARCH('Müşteriler'!$B$2:$B$101,B1552)))=1,IFERROR(INDEX('Müşteriler'!$A$2:$A$101,SUMPRODUCT(('Müşteriler'!$B$2:$B$101&lt;&gt;"")*ISNUMBER(SEARCH('Müşteriler'!$B$2:$B$101,B1552)),ROW('Müşteriler'!$B$2:$B$101)-ROW('Müşteriler'!$B$2)+1)),""),""))</ns0:f>
        <ns0:v/>
      </ns0:c>
      <ns0:c r="G1552" s="28" t="str">
        <ns0:f>IF(F1552="","",IFERROR(INDEX('Müşteriler'!$C$2:$C$101,MATCH(F1552,'Müşteriler'!$A$2:$A$101,0)),""))</ns0:f>
        <ns0:v/>
      </ns0:c>
      <ns0:c r="H1552" s="28" t="str">
        <ns0:f>IF(A1552="","",IF(C1552&lt;=0,"Satış dışı",IF(OR(F1552="",G1552=""),"Eşleşmedi","Eşleşti")))</ns0:f>
        <ns0:v/>
      </ns0:c>
      <ns0:c r="I1552" s="28">
        <ns0:f>I1551+IF(AND(H1552="Eşleşmedi",E1552='Panel'!$B$4),1,0)</ns0:f>
        <ns0:v>3.0</ns0:v>
      </ns0:c>
    </ns0:row>
    <ns0:row r="1553" ht="21" customHeight="1">
      <ns0:c r="A1553" s="25" t="n"/>
      <ns0:c r="B1553" s="26" t="n"/>
      <ns0:c r="C1553" s="27" t="n"/>
      <ns0:c r="D1553" s="27" t="n"/>
      <ns0:c r="E1553" s="28" t="str">
        <ns0:f>IF(A1553="","",YEAR(A1553)&amp;"-"&amp;RIGHT("0"&amp;MONTH(A1553),2))</ns0:f>
        <ns0:v/>
      </ns0:c>
      <ns0:c r="F1553" s="28" t="str">
        <ns0:f>IF(OR(A1553="",B1553="",C1553&lt;=0),"",IF(SUMPRODUCT(('Müşteriler'!$B$2:$B$101&lt;&gt;"")*ISNUMBER(SEARCH('Müşteriler'!$B$2:$B$101,B1553)))=1,IFERROR(INDEX('Müşteriler'!$A$2:$A$101,SUMPRODUCT(('Müşteriler'!$B$2:$B$101&lt;&gt;"")*ISNUMBER(SEARCH('Müşteriler'!$B$2:$B$101,B1553)),ROW('Müşteriler'!$B$2:$B$101)-ROW('Müşteriler'!$B$2)+1)),""),""))</ns0:f>
        <ns0:v/>
      </ns0:c>
      <ns0:c r="G1553" s="28" t="str">
        <ns0:f>IF(F1553="","",IFERROR(INDEX('Müşteriler'!$C$2:$C$101,MATCH(F1553,'Müşteriler'!$A$2:$A$101,0)),""))</ns0:f>
        <ns0:v/>
      </ns0:c>
      <ns0:c r="H1553" s="28" t="str">
        <ns0:f>IF(A1553="","",IF(C1553&lt;=0,"Satış dışı",IF(OR(F1553="",G1553=""),"Eşleşmedi","Eşleşti")))</ns0:f>
        <ns0:v/>
      </ns0:c>
      <ns0:c r="I1553" s="28">
        <ns0:f>I1552+IF(AND(H1553="Eşleşmedi",E1553='Panel'!$B$4),1,0)</ns0:f>
        <ns0:v>3.0</ns0:v>
      </ns0:c>
    </ns0:row>
    <ns0:row r="1554" ht="21" customHeight="1">
      <ns0:c r="A1554" s="25" t="n"/>
      <ns0:c r="B1554" s="26" t="n"/>
      <ns0:c r="C1554" s="27" t="n"/>
      <ns0:c r="D1554" s="27" t="n"/>
      <ns0:c r="E1554" s="28" t="str">
        <ns0:f>IF(A1554="","",YEAR(A1554)&amp;"-"&amp;RIGHT("0"&amp;MONTH(A1554),2))</ns0:f>
        <ns0:v/>
      </ns0:c>
      <ns0:c r="F1554" s="28" t="str">
        <ns0:f>IF(OR(A1554="",B1554="",C1554&lt;=0),"",IF(SUMPRODUCT(('Müşteriler'!$B$2:$B$101&lt;&gt;"")*ISNUMBER(SEARCH('Müşteriler'!$B$2:$B$101,B1554)))=1,IFERROR(INDEX('Müşteriler'!$A$2:$A$101,SUMPRODUCT(('Müşteriler'!$B$2:$B$101&lt;&gt;"")*ISNUMBER(SEARCH('Müşteriler'!$B$2:$B$101,B1554)),ROW('Müşteriler'!$B$2:$B$101)-ROW('Müşteriler'!$B$2)+1)),""),""))</ns0:f>
        <ns0:v/>
      </ns0:c>
      <ns0:c r="G1554" s="28" t="str">
        <ns0:f>IF(F1554="","",IFERROR(INDEX('Müşteriler'!$C$2:$C$101,MATCH(F1554,'Müşteriler'!$A$2:$A$101,0)),""))</ns0:f>
        <ns0:v/>
      </ns0:c>
      <ns0:c r="H1554" s="28" t="str">
        <ns0:f>IF(A1554="","",IF(C1554&lt;=0,"Satış dışı",IF(OR(F1554="",G1554=""),"Eşleşmedi","Eşleşti")))</ns0:f>
        <ns0:v/>
      </ns0:c>
      <ns0:c r="I1554" s="28">
        <ns0:f>I1553+IF(AND(H1554="Eşleşmedi",E1554='Panel'!$B$4),1,0)</ns0:f>
        <ns0:v>3.0</ns0:v>
      </ns0:c>
    </ns0:row>
    <ns0:row r="1555" ht="21" customHeight="1">
      <ns0:c r="A1555" s="25" t="n"/>
      <ns0:c r="B1555" s="26" t="n"/>
      <ns0:c r="C1555" s="27" t="n"/>
      <ns0:c r="D1555" s="27" t="n"/>
      <ns0:c r="E1555" s="28" t="str">
        <ns0:f>IF(A1555="","",YEAR(A1555)&amp;"-"&amp;RIGHT("0"&amp;MONTH(A1555),2))</ns0:f>
        <ns0:v/>
      </ns0:c>
      <ns0:c r="F1555" s="28" t="str">
        <ns0:f>IF(OR(A1555="",B1555="",C1555&lt;=0),"",IF(SUMPRODUCT(('Müşteriler'!$B$2:$B$101&lt;&gt;"")*ISNUMBER(SEARCH('Müşteriler'!$B$2:$B$101,B1555)))=1,IFERROR(INDEX('Müşteriler'!$A$2:$A$101,SUMPRODUCT(('Müşteriler'!$B$2:$B$101&lt;&gt;"")*ISNUMBER(SEARCH('Müşteriler'!$B$2:$B$101,B1555)),ROW('Müşteriler'!$B$2:$B$101)-ROW('Müşteriler'!$B$2)+1)),""),""))</ns0:f>
        <ns0:v/>
      </ns0:c>
      <ns0:c r="G1555" s="28" t="str">
        <ns0:f>IF(F1555="","",IFERROR(INDEX('Müşteriler'!$C$2:$C$101,MATCH(F1555,'Müşteriler'!$A$2:$A$101,0)),""))</ns0:f>
        <ns0:v/>
      </ns0:c>
      <ns0:c r="H1555" s="28" t="str">
        <ns0:f>IF(A1555="","",IF(C1555&lt;=0,"Satış dışı",IF(OR(F1555="",G1555=""),"Eşleşmedi","Eşleşti")))</ns0:f>
        <ns0:v/>
      </ns0:c>
      <ns0:c r="I1555" s="28">
        <ns0:f>I1554+IF(AND(H1555="Eşleşmedi",E1555='Panel'!$B$4),1,0)</ns0:f>
        <ns0:v>3.0</ns0:v>
      </ns0:c>
    </ns0:row>
    <ns0:row r="1556" ht="21" customHeight="1">
      <ns0:c r="A1556" s="25" t="n"/>
      <ns0:c r="B1556" s="26" t="n"/>
      <ns0:c r="C1556" s="27" t="n"/>
      <ns0:c r="D1556" s="27" t="n"/>
      <ns0:c r="E1556" s="28" t="str">
        <ns0:f>IF(A1556="","",YEAR(A1556)&amp;"-"&amp;RIGHT("0"&amp;MONTH(A1556),2))</ns0:f>
        <ns0:v/>
      </ns0:c>
      <ns0:c r="F1556" s="28" t="str">
        <ns0:f>IF(OR(A1556="",B1556="",C1556&lt;=0),"",IF(SUMPRODUCT(('Müşteriler'!$B$2:$B$101&lt;&gt;"")*ISNUMBER(SEARCH('Müşteriler'!$B$2:$B$101,B1556)))=1,IFERROR(INDEX('Müşteriler'!$A$2:$A$101,SUMPRODUCT(('Müşteriler'!$B$2:$B$101&lt;&gt;"")*ISNUMBER(SEARCH('Müşteriler'!$B$2:$B$101,B1556)),ROW('Müşteriler'!$B$2:$B$101)-ROW('Müşteriler'!$B$2)+1)),""),""))</ns0:f>
        <ns0:v/>
      </ns0:c>
      <ns0:c r="G1556" s="28" t="str">
        <ns0:f>IF(F1556="","",IFERROR(INDEX('Müşteriler'!$C$2:$C$101,MATCH(F1556,'Müşteriler'!$A$2:$A$101,0)),""))</ns0:f>
        <ns0:v/>
      </ns0:c>
      <ns0:c r="H1556" s="28" t="str">
        <ns0:f>IF(A1556="","",IF(C1556&lt;=0,"Satış dışı",IF(OR(F1556="",G1556=""),"Eşleşmedi","Eşleşti")))</ns0:f>
        <ns0:v/>
      </ns0:c>
      <ns0:c r="I1556" s="28">
        <ns0:f>I1555+IF(AND(H1556="Eşleşmedi",E1556='Panel'!$B$4),1,0)</ns0:f>
        <ns0:v>3.0</ns0:v>
      </ns0:c>
    </ns0:row>
    <ns0:row r="1557" ht="21" customHeight="1">
      <ns0:c r="A1557" s="25" t="n"/>
      <ns0:c r="B1557" s="26" t="n"/>
      <ns0:c r="C1557" s="27" t="n"/>
      <ns0:c r="D1557" s="27" t="n"/>
      <ns0:c r="E1557" s="28" t="str">
        <ns0:f>IF(A1557="","",YEAR(A1557)&amp;"-"&amp;RIGHT("0"&amp;MONTH(A1557),2))</ns0:f>
        <ns0:v/>
      </ns0:c>
      <ns0:c r="F1557" s="28" t="str">
        <ns0:f>IF(OR(A1557="",B1557="",C1557&lt;=0),"",IF(SUMPRODUCT(('Müşteriler'!$B$2:$B$101&lt;&gt;"")*ISNUMBER(SEARCH('Müşteriler'!$B$2:$B$101,B1557)))=1,IFERROR(INDEX('Müşteriler'!$A$2:$A$101,SUMPRODUCT(('Müşteriler'!$B$2:$B$101&lt;&gt;"")*ISNUMBER(SEARCH('Müşteriler'!$B$2:$B$101,B1557)),ROW('Müşteriler'!$B$2:$B$101)-ROW('Müşteriler'!$B$2)+1)),""),""))</ns0:f>
        <ns0:v/>
      </ns0:c>
      <ns0:c r="G1557" s="28" t="str">
        <ns0:f>IF(F1557="","",IFERROR(INDEX('Müşteriler'!$C$2:$C$101,MATCH(F1557,'Müşteriler'!$A$2:$A$101,0)),""))</ns0:f>
        <ns0:v/>
      </ns0:c>
      <ns0:c r="H1557" s="28" t="str">
        <ns0:f>IF(A1557="","",IF(C1557&lt;=0,"Satış dışı",IF(OR(F1557="",G1557=""),"Eşleşmedi","Eşleşti")))</ns0:f>
        <ns0:v/>
      </ns0:c>
      <ns0:c r="I1557" s="28">
        <ns0:f>I1556+IF(AND(H1557="Eşleşmedi",E1557='Panel'!$B$4),1,0)</ns0:f>
        <ns0:v>3.0</ns0:v>
      </ns0:c>
    </ns0:row>
    <ns0:row r="1558" ht="21" customHeight="1">
      <ns0:c r="A1558" s="25" t="n"/>
      <ns0:c r="B1558" s="26" t="n"/>
      <ns0:c r="C1558" s="27" t="n"/>
      <ns0:c r="D1558" s="27" t="n"/>
      <ns0:c r="E1558" s="28" t="str">
        <ns0:f>IF(A1558="","",YEAR(A1558)&amp;"-"&amp;RIGHT("0"&amp;MONTH(A1558),2))</ns0:f>
        <ns0:v/>
      </ns0:c>
      <ns0:c r="F1558" s="28" t="str">
        <ns0:f>IF(OR(A1558="",B1558="",C1558&lt;=0),"",IF(SUMPRODUCT(('Müşteriler'!$B$2:$B$101&lt;&gt;"")*ISNUMBER(SEARCH('Müşteriler'!$B$2:$B$101,B1558)))=1,IFERROR(INDEX('Müşteriler'!$A$2:$A$101,SUMPRODUCT(('Müşteriler'!$B$2:$B$101&lt;&gt;"")*ISNUMBER(SEARCH('Müşteriler'!$B$2:$B$101,B1558)),ROW('Müşteriler'!$B$2:$B$101)-ROW('Müşteriler'!$B$2)+1)),""),""))</ns0:f>
        <ns0:v/>
      </ns0:c>
      <ns0:c r="G1558" s="28" t="str">
        <ns0:f>IF(F1558="","",IFERROR(INDEX('Müşteriler'!$C$2:$C$101,MATCH(F1558,'Müşteriler'!$A$2:$A$101,0)),""))</ns0:f>
        <ns0:v/>
      </ns0:c>
      <ns0:c r="H1558" s="28" t="str">
        <ns0:f>IF(A1558="","",IF(C1558&lt;=0,"Satış dışı",IF(OR(F1558="",G1558=""),"Eşleşmedi","Eşleşti")))</ns0:f>
        <ns0:v/>
      </ns0:c>
      <ns0:c r="I1558" s="28">
        <ns0:f>I1557+IF(AND(H1558="Eşleşmedi",E1558='Panel'!$B$4),1,0)</ns0:f>
        <ns0:v>3.0</ns0:v>
      </ns0:c>
    </ns0:row>
    <ns0:row r="1559" ht="21" customHeight="1">
      <ns0:c r="A1559" s="25" t="n"/>
      <ns0:c r="B1559" s="26" t="n"/>
      <ns0:c r="C1559" s="27" t="n"/>
      <ns0:c r="D1559" s="27" t="n"/>
      <ns0:c r="E1559" s="28" t="str">
        <ns0:f>IF(A1559="","",YEAR(A1559)&amp;"-"&amp;RIGHT("0"&amp;MONTH(A1559),2))</ns0:f>
        <ns0:v/>
      </ns0:c>
      <ns0:c r="F1559" s="28" t="str">
        <ns0:f>IF(OR(A1559="",B1559="",C1559&lt;=0),"",IF(SUMPRODUCT(('Müşteriler'!$B$2:$B$101&lt;&gt;"")*ISNUMBER(SEARCH('Müşteriler'!$B$2:$B$101,B1559)))=1,IFERROR(INDEX('Müşteriler'!$A$2:$A$101,SUMPRODUCT(('Müşteriler'!$B$2:$B$101&lt;&gt;"")*ISNUMBER(SEARCH('Müşteriler'!$B$2:$B$101,B1559)),ROW('Müşteriler'!$B$2:$B$101)-ROW('Müşteriler'!$B$2)+1)),""),""))</ns0:f>
        <ns0:v/>
      </ns0:c>
      <ns0:c r="G1559" s="28" t="str">
        <ns0:f>IF(F1559="","",IFERROR(INDEX('Müşteriler'!$C$2:$C$101,MATCH(F1559,'Müşteriler'!$A$2:$A$101,0)),""))</ns0:f>
        <ns0:v/>
      </ns0:c>
      <ns0:c r="H1559" s="28" t="str">
        <ns0:f>IF(A1559="","",IF(C1559&lt;=0,"Satış dışı",IF(OR(F1559="",G1559=""),"Eşleşmedi","Eşleşti")))</ns0:f>
        <ns0:v/>
      </ns0:c>
      <ns0:c r="I1559" s="28">
        <ns0:f>I1558+IF(AND(H1559="Eşleşmedi",E1559='Panel'!$B$4),1,0)</ns0:f>
        <ns0:v>3.0</ns0:v>
      </ns0:c>
    </ns0:row>
    <ns0:row r="1560" ht="21" customHeight="1">
      <ns0:c r="A1560" s="25" t="n"/>
      <ns0:c r="B1560" s="26" t="n"/>
      <ns0:c r="C1560" s="27" t="n"/>
      <ns0:c r="D1560" s="27" t="n"/>
      <ns0:c r="E1560" s="28" t="str">
        <ns0:f>IF(A1560="","",YEAR(A1560)&amp;"-"&amp;RIGHT("0"&amp;MONTH(A1560),2))</ns0:f>
        <ns0:v/>
      </ns0:c>
      <ns0:c r="F1560" s="28" t="str">
        <ns0:f>IF(OR(A1560="",B1560="",C1560&lt;=0),"",IF(SUMPRODUCT(('Müşteriler'!$B$2:$B$101&lt;&gt;"")*ISNUMBER(SEARCH('Müşteriler'!$B$2:$B$101,B1560)))=1,IFERROR(INDEX('Müşteriler'!$A$2:$A$101,SUMPRODUCT(('Müşteriler'!$B$2:$B$101&lt;&gt;"")*ISNUMBER(SEARCH('Müşteriler'!$B$2:$B$101,B1560)),ROW('Müşteriler'!$B$2:$B$101)-ROW('Müşteriler'!$B$2)+1)),""),""))</ns0:f>
        <ns0:v/>
      </ns0:c>
      <ns0:c r="G1560" s="28" t="str">
        <ns0:f>IF(F1560="","",IFERROR(INDEX('Müşteriler'!$C$2:$C$101,MATCH(F1560,'Müşteriler'!$A$2:$A$101,0)),""))</ns0:f>
        <ns0:v/>
      </ns0:c>
      <ns0:c r="H1560" s="28" t="str">
        <ns0:f>IF(A1560="","",IF(C1560&lt;=0,"Satış dışı",IF(OR(F1560="",G1560=""),"Eşleşmedi","Eşleşti")))</ns0:f>
        <ns0:v/>
      </ns0:c>
      <ns0:c r="I1560" s="28">
        <ns0:f>I1559+IF(AND(H1560="Eşleşmedi",E1560='Panel'!$B$4),1,0)</ns0:f>
        <ns0:v>3.0</ns0:v>
      </ns0:c>
    </ns0:row>
    <ns0:row r="1561" ht="21" customHeight="1">
      <ns0:c r="A1561" s="25" t="n"/>
      <ns0:c r="B1561" s="26" t="n"/>
      <ns0:c r="C1561" s="27" t="n"/>
      <ns0:c r="D1561" s="27" t="n"/>
      <ns0:c r="E1561" s="28" t="str">
        <ns0:f>IF(A1561="","",YEAR(A1561)&amp;"-"&amp;RIGHT("0"&amp;MONTH(A1561),2))</ns0:f>
        <ns0:v/>
      </ns0:c>
      <ns0:c r="F1561" s="28" t="str">
        <ns0:f>IF(OR(A1561="",B1561="",C1561&lt;=0),"",IF(SUMPRODUCT(('Müşteriler'!$B$2:$B$101&lt;&gt;"")*ISNUMBER(SEARCH('Müşteriler'!$B$2:$B$101,B1561)))=1,IFERROR(INDEX('Müşteriler'!$A$2:$A$101,SUMPRODUCT(('Müşteriler'!$B$2:$B$101&lt;&gt;"")*ISNUMBER(SEARCH('Müşteriler'!$B$2:$B$101,B1561)),ROW('Müşteriler'!$B$2:$B$101)-ROW('Müşteriler'!$B$2)+1)),""),""))</ns0:f>
        <ns0:v/>
      </ns0:c>
      <ns0:c r="G1561" s="28" t="str">
        <ns0:f>IF(F1561="","",IFERROR(INDEX('Müşteriler'!$C$2:$C$101,MATCH(F1561,'Müşteriler'!$A$2:$A$101,0)),""))</ns0:f>
        <ns0:v/>
      </ns0:c>
      <ns0:c r="H1561" s="28" t="str">
        <ns0:f>IF(A1561="","",IF(C1561&lt;=0,"Satış dışı",IF(OR(F1561="",G1561=""),"Eşleşmedi","Eşleşti")))</ns0:f>
        <ns0:v/>
      </ns0:c>
      <ns0:c r="I1561" s="28">
        <ns0:f>I1560+IF(AND(H1561="Eşleşmedi",E1561='Panel'!$B$4),1,0)</ns0:f>
        <ns0:v>3.0</ns0:v>
      </ns0:c>
    </ns0:row>
    <ns0:row r="1562" ht="21" customHeight="1">
      <ns0:c r="A1562" s="25" t="n"/>
      <ns0:c r="B1562" s="26" t="n"/>
      <ns0:c r="C1562" s="27" t="n"/>
      <ns0:c r="D1562" s="27" t="n"/>
      <ns0:c r="E1562" s="28" t="str">
        <ns0:f>IF(A1562="","",YEAR(A1562)&amp;"-"&amp;RIGHT("0"&amp;MONTH(A1562),2))</ns0:f>
        <ns0:v/>
      </ns0:c>
      <ns0:c r="F1562" s="28" t="str">
        <ns0:f>IF(OR(A1562="",B1562="",C1562&lt;=0),"",IF(SUMPRODUCT(('Müşteriler'!$B$2:$B$101&lt;&gt;"")*ISNUMBER(SEARCH('Müşteriler'!$B$2:$B$101,B1562)))=1,IFERROR(INDEX('Müşteriler'!$A$2:$A$101,SUMPRODUCT(('Müşteriler'!$B$2:$B$101&lt;&gt;"")*ISNUMBER(SEARCH('Müşteriler'!$B$2:$B$101,B1562)),ROW('Müşteriler'!$B$2:$B$101)-ROW('Müşteriler'!$B$2)+1)),""),""))</ns0:f>
        <ns0:v/>
      </ns0:c>
      <ns0:c r="G1562" s="28" t="str">
        <ns0:f>IF(F1562="","",IFERROR(INDEX('Müşteriler'!$C$2:$C$101,MATCH(F1562,'Müşteriler'!$A$2:$A$101,0)),""))</ns0:f>
        <ns0:v/>
      </ns0:c>
      <ns0:c r="H1562" s="28" t="str">
        <ns0:f>IF(A1562="","",IF(C1562&lt;=0,"Satış dışı",IF(OR(F1562="",G1562=""),"Eşleşmedi","Eşleşti")))</ns0:f>
        <ns0:v/>
      </ns0:c>
      <ns0:c r="I1562" s="28">
        <ns0:f>I1561+IF(AND(H1562="Eşleşmedi",E1562='Panel'!$B$4),1,0)</ns0:f>
        <ns0:v>3.0</ns0:v>
      </ns0:c>
    </ns0:row>
    <ns0:row r="1563" ht="21" customHeight="1">
      <ns0:c r="A1563" s="25" t="n"/>
      <ns0:c r="B1563" s="26" t="n"/>
      <ns0:c r="C1563" s="27" t="n"/>
      <ns0:c r="D1563" s="27" t="n"/>
      <ns0:c r="E1563" s="28" t="str">
        <ns0:f>IF(A1563="","",YEAR(A1563)&amp;"-"&amp;RIGHT("0"&amp;MONTH(A1563),2))</ns0:f>
        <ns0:v/>
      </ns0:c>
      <ns0:c r="F1563" s="28" t="str">
        <ns0:f>IF(OR(A1563="",B1563="",C1563&lt;=0),"",IF(SUMPRODUCT(('Müşteriler'!$B$2:$B$101&lt;&gt;"")*ISNUMBER(SEARCH('Müşteriler'!$B$2:$B$101,B1563)))=1,IFERROR(INDEX('Müşteriler'!$A$2:$A$101,SUMPRODUCT(('Müşteriler'!$B$2:$B$101&lt;&gt;"")*ISNUMBER(SEARCH('Müşteriler'!$B$2:$B$101,B1563)),ROW('Müşteriler'!$B$2:$B$101)-ROW('Müşteriler'!$B$2)+1)),""),""))</ns0:f>
        <ns0:v/>
      </ns0:c>
      <ns0:c r="G1563" s="28" t="str">
        <ns0:f>IF(F1563="","",IFERROR(INDEX('Müşteriler'!$C$2:$C$101,MATCH(F1563,'Müşteriler'!$A$2:$A$101,0)),""))</ns0:f>
        <ns0:v/>
      </ns0:c>
      <ns0:c r="H1563" s="28" t="str">
        <ns0:f>IF(A1563="","",IF(C1563&lt;=0,"Satış dışı",IF(OR(F1563="",G1563=""),"Eşleşmedi","Eşleşti")))</ns0:f>
        <ns0:v/>
      </ns0:c>
      <ns0:c r="I1563" s="28">
        <ns0:f>I1562+IF(AND(H1563="Eşleşmedi",E1563='Panel'!$B$4),1,0)</ns0:f>
        <ns0:v>3.0</ns0:v>
      </ns0:c>
    </ns0:row>
    <ns0:row r="1564" ht="21" customHeight="1">
      <ns0:c r="A1564" s="25" t="n"/>
      <ns0:c r="B1564" s="26" t="n"/>
      <ns0:c r="C1564" s="27" t="n"/>
      <ns0:c r="D1564" s="27" t="n"/>
      <ns0:c r="E1564" s="28" t="str">
        <ns0:f>IF(A1564="","",YEAR(A1564)&amp;"-"&amp;RIGHT("0"&amp;MONTH(A1564),2))</ns0:f>
        <ns0:v/>
      </ns0:c>
      <ns0:c r="F1564" s="28" t="str">
        <ns0:f>IF(OR(A1564="",B1564="",C1564&lt;=0),"",IF(SUMPRODUCT(('Müşteriler'!$B$2:$B$101&lt;&gt;"")*ISNUMBER(SEARCH('Müşteriler'!$B$2:$B$101,B1564)))=1,IFERROR(INDEX('Müşteriler'!$A$2:$A$101,SUMPRODUCT(('Müşteriler'!$B$2:$B$101&lt;&gt;"")*ISNUMBER(SEARCH('Müşteriler'!$B$2:$B$101,B1564)),ROW('Müşteriler'!$B$2:$B$101)-ROW('Müşteriler'!$B$2)+1)),""),""))</ns0:f>
        <ns0:v/>
      </ns0:c>
      <ns0:c r="G1564" s="28" t="str">
        <ns0:f>IF(F1564="","",IFERROR(INDEX('Müşteriler'!$C$2:$C$101,MATCH(F1564,'Müşteriler'!$A$2:$A$101,0)),""))</ns0:f>
        <ns0:v/>
      </ns0:c>
      <ns0:c r="H1564" s="28" t="str">
        <ns0:f>IF(A1564="","",IF(C1564&lt;=0,"Satış dışı",IF(OR(F1564="",G1564=""),"Eşleşmedi","Eşleşti")))</ns0:f>
        <ns0:v/>
      </ns0:c>
      <ns0:c r="I1564" s="28">
        <ns0:f>I1563+IF(AND(H1564="Eşleşmedi",E1564='Panel'!$B$4),1,0)</ns0:f>
        <ns0:v>3.0</ns0:v>
      </ns0:c>
    </ns0:row>
    <ns0:row r="1565" ht="21" customHeight="1">
      <ns0:c r="A1565" s="25" t="n"/>
      <ns0:c r="B1565" s="26" t="n"/>
      <ns0:c r="C1565" s="27" t="n"/>
      <ns0:c r="D1565" s="27" t="n"/>
      <ns0:c r="E1565" s="28" t="str">
        <ns0:f>IF(A1565="","",YEAR(A1565)&amp;"-"&amp;RIGHT("0"&amp;MONTH(A1565),2))</ns0:f>
        <ns0:v/>
      </ns0:c>
      <ns0:c r="F1565" s="28" t="str">
        <ns0:f>IF(OR(A1565="",B1565="",C1565&lt;=0),"",IF(SUMPRODUCT(('Müşteriler'!$B$2:$B$101&lt;&gt;"")*ISNUMBER(SEARCH('Müşteriler'!$B$2:$B$101,B1565)))=1,IFERROR(INDEX('Müşteriler'!$A$2:$A$101,SUMPRODUCT(('Müşteriler'!$B$2:$B$101&lt;&gt;"")*ISNUMBER(SEARCH('Müşteriler'!$B$2:$B$101,B1565)),ROW('Müşteriler'!$B$2:$B$101)-ROW('Müşteriler'!$B$2)+1)),""),""))</ns0:f>
        <ns0:v/>
      </ns0:c>
      <ns0:c r="G1565" s="28" t="str">
        <ns0:f>IF(F1565="","",IFERROR(INDEX('Müşteriler'!$C$2:$C$101,MATCH(F1565,'Müşteriler'!$A$2:$A$101,0)),""))</ns0:f>
        <ns0:v/>
      </ns0:c>
      <ns0:c r="H1565" s="28" t="str">
        <ns0:f>IF(A1565="","",IF(C1565&lt;=0,"Satış dışı",IF(OR(F1565="",G1565=""),"Eşleşmedi","Eşleşti")))</ns0:f>
        <ns0:v/>
      </ns0:c>
      <ns0:c r="I1565" s="28">
        <ns0:f>I1564+IF(AND(H1565="Eşleşmedi",E1565='Panel'!$B$4),1,0)</ns0:f>
        <ns0:v>3.0</ns0:v>
      </ns0:c>
    </ns0:row>
    <ns0:row r="1566" ht="21" customHeight="1">
      <ns0:c r="A1566" s="25" t="n"/>
      <ns0:c r="B1566" s="26" t="n"/>
      <ns0:c r="C1566" s="27" t="n"/>
      <ns0:c r="D1566" s="27" t="n"/>
      <ns0:c r="E1566" s="28" t="str">
        <ns0:f>IF(A1566="","",YEAR(A1566)&amp;"-"&amp;RIGHT("0"&amp;MONTH(A1566),2))</ns0:f>
        <ns0:v/>
      </ns0:c>
      <ns0:c r="F1566" s="28" t="str">
        <ns0:f>IF(OR(A1566="",B1566="",C1566&lt;=0),"",IF(SUMPRODUCT(('Müşteriler'!$B$2:$B$101&lt;&gt;"")*ISNUMBER(SEARCH('Müşteriler'!$B$2:$B$101,B1566)))=1,IFERROR(INDEX('Müşteriler'!$A$2:$A$101,SUMPRODUCT(('Müşteriler'!$B$2:$B$101&lt;&gt;"")*ISNUMBER(SEARCH('Müşteriler'!$B$2:$B$101,B1566)),ROW('Müşteriler'!$B$2:$B$101)-ROW('Müşteriler'!$B$2)+1)),""),""))</ns0:f>
        <ns0:v/>
      </ns0:c>
      <ns0:c r="G1566" s="28" t="str">
        <ns0:f>IF(F1566="","",IFERROR(INDEX('Müşteriler'!$C$2:$C$101,MATCH(F1566,'Müşteriler'!$A$2:$A$101,0)),""))</ns0:f>
        <ns0:v/>
      </ns0:c>
      <ns0:c r="H1566" s="28" t="str">
        <ns0:f>IF(A1566="","",IF(C1566&lt;=0,"Satış dışı",IF(OR(F1566="",G1566=""),"Eşleşmedi","Eşleşti")))</ns0:f>
        <ns0:v/>
      </ns0:c>
      <ns0:c r="I1566" s="28">
        <ns0:f>I1565+IF(AND(H1566="Eşleşmedi",E1566='Panel'!$B$4),1,0)</ns0:f>
        <ns0:v>3.0</ns0:v>
      </ns0:c>
    </ns0:row>
    <ns0:row r="1567" ht="21" customHeight="1">
      <ns0:c r="A1567" s="25" t="n"/>
      <ns0:c r="B1567" s="26" t="n"/>
      <ns0:c r="C1567" s="27" t="n"/>
      <ns0:c r="D1567" s="27" t="n"/>
      <ns0:c r="E1567" s="28" t="str">
        <ns0:f>IF(A1567="","",YEAR(A1567)&amp;"-"&amp;RIGHT("0"&amp;MONTH(A1567),2))</ns0:f>
        <ns0:v/>
      </ns0:c>
      <ns0:c r="F1567" s="28" t="str">
        <ns0:f>IF(OR(A1567="",B1567="",C1567&lt;=0),"",IF(SUMPRODUCT(('Müşteriler'!$B$2:$B$101&lt;&gt;"")*ISNUMBER(SEARCH('Müşteriler'!$B$2:$B$101,B1567)))=1,IFERROR(INDEX('Müşteriler'!$A$2:$A$101,SUMPRODUCT(('Müşteriler'!$B$2:$B$101&lt;&gt;"")*ISNUMBER(SEARCH('Müşteriler'!$B$2:$B$101,B1567)),ROW('Müşteriler'!$B$2:$B$101)-ROW('Müşteriler'!$B$2)+1)),""),""))</ns0:f>
        <ns0:v/>
      </ns0:c>
      <ns0:c r="G1567" s="28" t="str">
        <ns0:f>IF(F1567="","",IFERROR(INDEX('Müşteriler'!$C$2:$C$101,MATCH(F1567,'Müşteriler'!$A$2:$A$101,0)),""))</ns0:f>
        <ns0:v/>
      </ns0:c>
      <ns0:c r="H1567" s="28" t="str">
        <ns0:f>IF(A1567="","",IF(C1567&lt;=0,"Satış dışı",IF(OR(F1567="",G1567=""),"Eşleşmedi","Eşleşti")))</ns0:f>
        <ns0:v/>
      </ns0:c>
      <ns0:c r="I1567" s="28">
        <ns0:f>I1566+IF(AND(H1567="Eşleşmedi",E1567='Panel'!$B$4),1,0)</ns0:f>
        <ns0:v>3.0</ns0:v>
      </ns0:c>
    </ns0:row>
    <ns0:row r="1568" ht="21" customHeight="1">
      <ns0:c r="A1568" s="25" t="n"/>
      <ns0:c r="B1568" s="26" t="n"/>
      <ns0:c r="C1568" s="27" t="n"/>
      <ns0:c r="D1568" s="27" t="n"/>
      <ns0:c r="E1568" s="28" t="str">
        <ns0:f>IF(A1568="","",YEAR(A1568)&amp;"-"&amp;RIGHT("0"&amp;MONTH(A1568),2))</ns0:f>
        <ns0:v/>
      </ns0:c>
      <ns0:c r="F1568" s="28" t="str">
        <ns0:f>IF(OR(A1568="",B1568="",C1568&lt;=0),"",IF(SUMPRODUCT(('Müşteriler'!$B$2:$B$101&lt;&gt;"")*ISNUMBER(SEARCH('Müşteriler'!$B$2:$B$101,B1568)))=1,IFERROR(INDEX('Müşteriler'!$A$2:$A$101,SUMPRODUCT(('Müşteriler'!$B$2:$B$101&lt;&gt;"")*ISNUMBER(SEARCH('Müşteriler'!$B$2:$B$101,B1568)),ROW('Müşteriler'!$B$2:$B$101)-ROW('Müşteriler'!$B$2)+1)),""),""))</ns0:f>
        <ns0:v/>
      </ns0:c>
      <ns0:c r="G1568" s="28" t="str">
        <ns0:f>IF(F1568="","",IFERROR(INDEX('Müşteriler'!$C$2:$C$101,MATCH(F1568,'Müşteriler'!$A$2:$A$101,0)),""))</ns0:f>
        <ns0:v/>
      </ns0:c>
      <ns0:c r="H1568" s="28" t="str">
        <ns0:f>IF(A1568="","",IF(C1568&lt;=0,"Satış dışı",IF(OR(F1568="",G1568=""),"Eşleşmedi","Eşleşti")))</ns0:f>
        <ns0:v/>
      </ns0:c>
      <ns0:c r="I1568" s="28">
        <ns0:f>I1567+IF(AND(H1568="Eşleşmedi",E1568='Panel'!$B$4),1,0)</ns0:f>
        <ns0:v>3.0</ns0:v>
      </ns0:c>
    </ns0:row>
    <ns0:row r="1569" ht="21" customHeight="1">
      <ns0:c r="A1569" s="25" t="n"/>
      <ns0:c r="B1569" s="26" t="n"/>
      <ns0:c r="C1569" s="27" t="n"/>
      <ns0:c r="D1569" s="27" t="n"/>
      <ns0:c r="E1569" s="28" t="str">
        <ns0:f>IF(A1569="","",YEAR(A1569)&amp;"-"&amp;RIGHT("0"&amp;MONTH(A1569),2))</ns0:f>
        <ns0:v/>
      </ns0:c>
      <ns0:c r="F1569" s="28" t="str">
        <ns0:f>IF(OR(A1569="",B1569="",C1569&lt;=0),"",IF(SUMPRODUCT(('Müşteriler'!$B$2:$B$101&lt;&gt;"")*ISNUMBER(SEARCH('Müşteriler'!$B$2:$B$101,B1569)))=1,IFERROR(INDEX('Müşteriler'!$A$2:$A$101,SUMPRODUCT(('Müşteriler'!$B$2:$B$101&lt;&gt;"")*ISNUMBER(SEARCH('Müşteriler'!$B$2:$B$101,B1569)),ROW('Müşteriler'!$B$2:$B$101)-ROW('Müşteriler'!$B$2)+1)),""),""))</ns0:f>
        <ns0:v/>
      </ns0:c>
      <ns0:c r="G1569" s="28" t="str">
        <ns0:f>IF(F1569="","",IFERROR(INDEX('Müşteriler'!$C$2:$C$101,MATCH(F1569,'Müşteriler'!$A$2:$A$101,0)),""))</ns0:f>
        <ns0:v/>
      </ns0:c>
      <ns0:c r="H1569" s="28" t="str">
        <ns0:f>IF(A1569="","",IF(C1569&lt;=0,"Satış dışı",IF(OR(F1569="",G1569=""),"Eşleşmedi","Eşleşti")))</ns0:f>
        <ns0:v/>
      </ns0:c>
      <ns0:c r="I1569" s="28">
        <ns0:f>I1568+IF(AND(H1569="Eşleşmedi",E1569='Panel'!$B$4),1,0)</ns0:f>
        <ns0:v>3.0</ns0:v>
      </ns0:c>
    </ns0:row>
    <ns0:row r="1570" ht="21" customHeight="1">
      <ns0:c r="A1570" s="25" t="n"/>
      <ns0:c r="B1570" s="26" t="n"/>
      <ns0:c r="C1570" s="27" t="n"/>
      <ns0:c r="D1570" s="27" t="n"/>
      <ns0:c r="E1570" s="28" t="str">
        <ns0:f>IF(A1570="","",YEAR(A1570)&amp;"-"&amp;RIGHT("0"&amp;MONTH(A1570),2))</ns0:f>
        <ns0:v/>
      </ns0:c>
      <ns0:c r="F1570" s="28" t="str">
        <ns0:f>IF(OR(A1570="",B1570="",C1570&lt;=0),"",IF(SUMPRODUCT(('Müşteriler'!$B$2:$B$101&lt;&gt;"")*ISNUMBER(SEARCH('Müşteriler'!$B$2:$B$101,B1570)))=1,IFERROR(INDEX('Müşteriler'!$A$2:$A$101,SUMPRODUCT(('Müşteriler'!$B$2:$B$101&lt;&gt;"")*ISNUMBER(SEARCH('Müşteriler'!$B$2:$B$101,B1570)),ROW('Müşteriler'!$B$2:$B$101)-ROW('Müşteriler'!$B$2)+1)),""),""))</ns0:f>
        <ns0:v/>
      </ns0:c>
      <ns0:c r="G1570" s="28" t="str">
        <ns0:f>IF(F1570="","",IFERROR(INDEX('Müşteriler'!$C$2:$C$101,MATCH(F1570,'Müşteriler'!$A$2:$A$101,0)),""))</ns0:f>
        <ns0:v/>
      </ns0:c>
      <ns0:c r="H1570" s="28" t="str">
        <ns0:f>IF(A1570="","",IF(C1570&lt;=0,"Satış dışı",IF(OR(F1570="",G1570=""),"Eşleşmedi","Eşleşti")))</ns0:f>
        <ns0:v/>
      </ns0:c>
      <ns0:c r="I1570" s="28">
        <ns0:f>I1569+IF(AND(H1570="Eşleşmedi",E1570='Panel'!$B$4),1,0)</ns0:f>
        <ns0:v>3.0</ns0:v>
      </ns0:c>
    </ns0:row>
    <ns0:row r="1571" ht="21" customHeight="1">
      <ns0:c r="A1571" s="25" t="n"/>
      <ns0:c r="B1571" s="26" t="n"/>
      <ns0:c r="C1571" s="27" t="n"/>
      <ns0:c r="D1571" s="27" t="n"/>
      <ns0:c r="E1571" s="28" t="str">
        <ns0:f>IF(A1571="","",YEAR(A1571)&amp;"-"&amp;RIGHT("0"&amp;MONTH(A1571),2))</ns0:f>
        <ns0:v/>
      </ns0:c>
      <ns0:c r="F1571" s="28" t="str">
        <ns0:f>IF(OR(A1571="",B1571="",C1571&lt;=0),"",IF(SUMPRODUCT(('Müşteriler'!$B$2:$B$101&lt;&gt;"")*ISNUMBER(SEARCH('Müşteriler'!$B$2:$B$101,B1571)))=1,IFERROR(INDEX('Müşteriler'!$A$2:$A$101,SUMPRODUCT(('Müşteriler'!$B$2:$B$101&lt;&gt;"")*ISNUMBER(SEARCH('Müşteriler'!$B$2:$B$101,B1571)),ROW('Müşteriler'!$B$2:$B$101)-ROW('Müşteriler'!$B$2)+1)),""),""))</ns0:f>
        <ns0:v/>
      </ns0:c>
      <ns0:c r="G1571" s="28" t="str">
        <ns0:f>IF(F1571="","",IFERROR(INDEX('Müşteriler'!$C$2:$C$101,MATCH(F1571,'Müşteriler'!$A$2:$A$101,0)),""))</ns0:f>
        <ns0:v/>
      </ns0:c>
      <ns0:c r="H1571" s="28" t="str">
        <ns0:f>IF(A1571="","",IF(C1571&lt;=0,"Satış dışı",IF(OR(F1571="",G1571=""),"Eşleşmedi","Eşleşti")))</ns0:f>
        <ns0:v/>
      </ns0:c>
      <ns0:c r="I1571" s="28">
        <ns0:f>I1570+IF(AND(H1571="Eşleşmedi",E1571='Panel'!$B$4),1,0)</ns0:f>
        <ns0:v>3.0</ns0:v>
      </ns0:c>
    </ns0:row>
    <ns0:row r="1572" ht="21" customHeight="1">
      <ns0:c r="A1572" s="25" t="n"/>
      <ns0:c r="B1572" s="26" t="n"/>
      <ns0:c r="C1572" s="27" t="n"/>
      <ns0:c r="D1572" s="27" t="n"/>
      <ns0:c r="E1572" s="28" t="str">
        <ns0:f>IF(A1572="","",YEAR(A1572)&amp;"-"&amp;RIGHT("0"&amp;MONTH(A1572),2))</ns0:f>
        <ns0:v/>
      </ns0:c>
      <ns0:c r="F1572" s="28" t="str">
        <ns0:f>IF(OR(A1572="",B1572="",C1572&lt;=0),"",IF(SUMPRODUCT(('Müşteriler'!$B$2:$B$101&lt;&gt;"")*ISNUMBER(SEARCH('Müşteriler'!$B$2:$B$101,B1572)))=1,IFERROR(INDEX('Müşteriler'!$A$2:$A$101,SUMPRODUCT(('Müşteriler'!$B$2:$B$101&lt;&gt;"")*ISNUMBER(SEARCH('Müşteriler'!$B$2:$B$101,B1572)),ROW('Müşteriler'!$B$2:$B$101)-ROW('Müşteriler'!$B$2)+1)),""),""))</ns0:f>
        <ns0:v/>
      </ns0:c>
      <ns0:c r="G1572" s="28" t="str">
        <ns0:f>IF(F1572="","",IFERROR(INDEX('Müşteriler'!$C$2:$C$101,MATCH(F1572,'Müşteriler'!$A$2:$A$101,0)),""))</ns0:f>
        <ns0:v/>
      </ns0:c>
      <ns0:c r="H1572" s="28" t="str">
        <ns0:f>IF(A1572="","",IF(C1572&lt;=0,"Satış dışı",IF(OR(F1572="",G1572=""),"Eşleşmedi","Eşleşti")))</ns0:f>
        <ns0:v/>
      </ns0:c>
      <ns0:c r="I1572" s="28">
        <ns0:f>I1571+IF(AND(H1572="Eşleşmedi",E1572='Panel'!$B$4),1,0)</ns0:f>
        <ns0:v>3.0</ns0:v>
      </ns0:c>
    </ns0:row>
    <ns0:row r="1573" ht="21" customHeight="1">
      <ns0:c r="A1573" s="25" t="n"/>
      <ns0:c r="B1573" s="26" t="n"/>
      <ns0:c r="C1573" s="27" t="n"/>
      <ns0:c r="D1573" s="27" t="n"/>
      <ns0:c r="E1573" s="28" t="str">
        <ns0:f>IF(A1573="","",YEAR(A1573)&amp;"-"&amp;RIGHT("0"&amp;MONTH(A1573),2))</ns0:f>
        <ns0:v/>
      </ns0:c>
      <ns0:c r="F1573" s="28" t="str">
        <ns0:f>IF(OR(A1573="",B1573="",C1573&lt;=0),"",IF(SUMPRODUCT(('Müşteriler'!$B$2:$B$101&lt;&gt;"")*ISNUMBER(SEARCH('Müşteriler'!$B$2:$B$101,B1573)))=1,IFERROR(INDEX('Müşteriler'!$A$2:$A$101,SUMPRODUCT(('Müşteriler'!$B$2:$B$101&lt;&gt;"")*ISNUMBER(SEARCH('Müşteriler'!$B$2:$B$101,B1573)),ROW('Müşteriler'!$B$2:$B$101)-ROW('Müşteriler'!$B$2)+1)),""),""))</ns0:f>
        <ns0:v/>
      </ns0:c>
      <ns0:c r="G1573" s="28" t="str">
        <ns0:f>IF(F1573="","",IFERROR(INDEX('Müşteriler'!$C$2:$C$101,MATCH(F1573,'Müşteriler'!$A$2:$A$101,0)),""))</ns0:f>
        <ns0:v/>
      </ns0:c>
      <ns0:c r="H1573" s="28" t="str">
        <ns0:f>IF(A1573="","",IF(C1573&lt;=0,"Satış dışı",IF(OR(F1573="",G1573=""),"Eşleşmedi","Eşleşti")))</ns0:f>
        <ns0:v/>
      </ns0:c>
      <ns0:c r="I1573" s="28">
        <ns0:f>I1572+IF(AND(H1573="Eşleşmedi",E1573='Panel'!$B$4),1,0)</ns0:f>
        <ns0:v>3.0</ns0:v>
      </ns0:c>
    </ns0:row>
    <ns0:row r="1574" ht="21" customHeight="1">
      <ns0:c r="A1574" s="25" t="n"/>
      <ns0:c r="B1574" s="26" t="n"/>
      <ns0:c r="C1574" s="27" t="n"/>
      <ns0:c r="D1574" s="27" t="n"/>
      <ns0:c r="E1574" s="28" t="str">
        <ns0:f>IF(A1574="","",YEAR(A1574)&amp;"-"&amp;RIGHT("0"&amp;MONTH(A1574),2))</ns0:f>
        <ns0:v/>
      </ns0:c>
      <ns0:c r="F1574" s="28" t="str">
        <ns0:f>IF(OR(A1574="",B1574="",C1574&lt;=0),"",IF(SUMPRODUCT(('Müşteriler'!$B$2:$B$101&lt;&gt;"")*ISNUMBER(SEARCH('Müşteriler'!$B$2:$B$101,B1574)))=1,IFERROR(INDEX('Müşteriler'!$A$2:$A$101,SUMPRODUCT(('Müşteriler'!$B$2:$B$101&lt;&gt;"")*ISNUMBER(SEARCH('Müşteriler'!$B$2:$B$101,B1574)),ROW('Müşteriler'!$B$2:$B$101)-ROW('Müşteriler'!$B$2)+1)),""),""))</ns0:f>
        <ns0:v/>
      </ns0:c>
      <ns0:c r="G1574" s="28" t="str">
        <ns0:f>IF(F1574="","",IFERROR(INDEX('Müşteriler'!$C$2:$C$101,MATCH(F1574,'Müşteriler'!$A$2:$A$101,0)),""))</ns0:f>
        <ns0:v/>
      </ns0:c>
      <ns0:c r="H1574" s="28" t="str">
        <ns0:f>IF(A1574="","",IF(C1574&lt;=0,"Satış dışı",IF(OR(F1574="",G1574=""),"Eşleşmedi","Eşleşti")))</ns0:f>
        <ns0:v/>
      </ns0:c>
      <ns0:c r="I1574" s="28">
        <ns0:f>I1573+IF(AND(H1574="Eşleşmedi",E1574='Panel'!$B$4),1,0)</ns0:f>
        <ns0:v>3.0</ns0:v>
      </ns0:c>
    </ns0:row>
    <ns0:row r="1575" ht="21" customHeight="1">
      <ns0:c r="A1575" s="25" t="n"/>
      <ns0:c r="B1575" s="26" t="n"/>
      <ns0:c r="C1575" s="27" t="n"/>
      <ns0:c r="D1575" s="27" t="n"/>
      <ns0:c r="E1575" s="28" t="str">
        <ns0:f>IF(A1575="","",YEAR(A1575)&amp;"-"&amp;RIGHT("0"&amp;MONTH(A1575),2))</ns0:f>
        <ns0:v/>
      </ns0:c>
      <ns0:c r="F1575" s="28" t="str">
        <ns0:f>IF(OR(A1575="",B1575="",C1575&lt;=0),"",IF(SUMPRODUCT(('Müşteriler'!$B$2:$B$101&lt;&gt;"")*ISNUMBER(SEARCH('Müşteriler'!$B$2:$B$101,B1575)))=1,IFERROR(INDEX('Müşteriler'!$A$2:$A$101,SUMPRODUCT(('Müşteriler'!$B$2:$B$101&lt;&gt;"")*ISNUMBER(SEARCH('Müşteriler'!$B$2:$B$101,B1575)),ROW('Müşteriler'!$B$2:$B$101)-ROW('Müşteriler'!$B$2)+1)),""),""))</ns0:f>
        <ns0:v/>
      </ns0:c>
      <ns0:c r="G1575" s="28" t="str">
        <ns0:f>IF(F1575="","",IFERROR(INDEX('Müşteriler'!$C$2:$C$101,MATCH(F1575,'Müşteriler'!$A$2:$A$101,0)),""))</ns0:f>
        <ns0:v/>
      </ns0:c>
      <ns0:c r="H1575" s="28" t="str">
        <ns0:f>IF(A1575="","",IF(C1575&lt;=0,"Satış dışı",IF(OR(F1575="",G1575=""),"Eşleşmedi","Eşleşti")))</ns0:f>
        <ns0:v/>
      </ns0:c>
      <ns0:c r="I1575" s="28">
        <ns0:f>I1574+IF(AND(H1575="Eşleşmedi",E1575='Panel'!$B$4),1,0)</ns0:f>
        <ns0:v>3.0</ns0:v>
      </ns0:c>
    </ns0:row>
    <ns0:row r="1576" ht="21" customHeight="1">
      <ns0:c r="A1576" s="25" t="n"/>
      <ns0:c r="B1576" s="26" t="n"/>
      <ns0:c r="C1576" s="27" t="n"/>
      <ns0:c r="D1576" s="27" t="n"/>
      <ns0:c r="E1576" s="28" t="str">
        <ns0:f>IF(A1576="","",YEAR(A1576)&amp;"-"&amp;RIGHT("0"&amp;MONTH(A1576),2))</ns0:f>
        <ns0:v/>
      </ns0:c>
      <ns0:c r="F1576" s="28" t="str">
        <ns0:f>IF(OR(A1576="",B1576="",C1576&lt;=0),"",IF(SUMPRODUCT(('Müşteriler'!$B$2:$B$101&lt;&gt;"")*ISNUMBER(SEARCH('Müşteriler'!$B$2:$B$101,B1576)))=1,IFERROR(INDEX('Müşteriler'!$A$2:$A$101,SUMPRODUCT(('Müşteriler'!$B$2:$B$101&lt;&gt;"")*ISNUMBER(SEARCH('Müşteriler'!$B$2:$B$101,B1576)),ROW('Müşteriler'!$B$2:$B$101)-ROW('Müşteriler'!$B$2)+1)),""),""))</ns0:f>
        <ns0:v/>
      </ns0:c>
      <ns0:c r="G1576" s="28" t="str">
        <ns0:f>IF(F1576="","",IFERROR(INDEX('Müşteriler'!$C$2:$C$101,MATCH(F1576,'Müşteriler'!$A$2:$A$101,0)),""))</ns0:f>
        <ns0:v/>
      </ns0:c>
      <ns0:c r="H1576" s="28" t="str">
        <ns0:f>IF(A1576="","",IF(C1576&lt;=0,"Satış dışı",IF(OR(F1576="",G1576=""),"Eşleşmedi","Eşleşti")))</ns0:f>
        <ns0:v/>
      </ns0:c>
      <ns0:c r="I1576" s="28">
        <ns0:f>I1575+IF(AND(H1576="Eşleşmedi",E1576='Panel'!$B$4),1,0)</ns0:f>
        <ns0:v>3.0</ns0:v>
      </ns0:c>
    </ns0:row>
    <ns0:row r="1577" ht="21" customHeight="1">
      <ns0:c r="A1577" s="25" t="n"/>
      <ns0:c r="B1577" s="26" t="n"/>
      <ns0:c r="C1577" s="27" t="n"/>
      <ns0:c r="D1577" s="27" t="n"/>
      <ns0:c r="E1577" s="28" t="str">
        <ns0:f>IF(A1577="","",YEAR(A1577)&amp;"-"&amp;RIGHT("0"&amp;MONTH(A1577),2))</ns0:f>
        <ns0:v/>
      </ns0:c>
      <ns0:c r="F1577" s="28" t="str">
        <ns0:f>IF(OR(A1577="",B1577="",C1577&lt;=0),"",IF(SUMPRODUCT(('Müşteriler'!$B$2:$B$101&lt;&gt;"")*ISNUMBER(SEARCH('Müşteriler'!$B$2:$B$101,B1577)))=1,IFERROR(INDEX('Müşteriler'!$A$2:$A$101,SUMPRODUCT(('Müşteriler'!$B$2:$B$101&lt;&gt;"")*ISNUMBER(SEARCH('Müşteriler'!$B$2:$B$101,B1577)),ROW('Müşteriler'!$B$2:$B$101)-ROW('Müşteriler'!$B$2)+1)),""),""))</ns0:f>
        <ns0:v/>
      </ns0:c>
      <ns0:c r="G1577" s="28" t="str">
        <ns0:f>IF(F1577="","",IFERROR(INDEX('Müşteriler'!$C$2:$C$101,MATCH(F1577,'Müşteriler'!$A$2:$A$101,0)),""))</ns0:f>
        <ns0:v/>
      </ns0:c>
      <ns0:c r="H1577" s="28" t="str">
        <ns0:f>IF(A1577="","",IF(C1577&lt;=0,"Satış dışı",IF(OR(F1577="",G1577=""),"Eşleşmedi","Eşleşti")))</ns0:f>
        <ns0:v/>
      </ns0:c>
      <ns0:c r="I1577" s="28">
        <ns0:f>I1576+IF(AND(H1577="Eşleşmedi",E1577='Panel'!$B$4),1,0)</ns0:f>
        <ns0:v>3.0</ns0:v>
      </ns0:c>
    </ns0:row>
    <ns0:row r="1578" ht="21" customHeight="1">
      <ns0:c r="A1578" s="25" t="n"/>
      <ns0:c r="B1578" s="26" t="n"/>
      <ns0:c r="C1578" s="27" t="n"/>
      <ns0:c r="D1578" s="27" t="n"/>
      <ns0:c r="E1578" s="28" t="str">
        <ns0:f>IF(A1578="","",YEAR(A1578)&amp;"-"&amp;RIGHT("0"&amp;MONTH(A1578),2))</ns0:f>
        <ns0:v/>
      </ns0:c>
      <ns0:c r="F1578" s="28" t="str">
        <ns0:f>IF(OR(A1578="",B1578="",C1578&lt;=0),"",IF(SUMPRODUCT(('Müşteriler'!$B$2:$B$101&lt;&gt;"")*ISNUMBER(SEARCH('Müşteriler'!$B$2:$B$101,B1578)))=1,IFERROR(INDEX('Müşteriler'!$A$2:$A$101,SUMPRODUCT(('Müşteriler'!$B$2:$B$101&lt;&gt;"")*ISNUMBER(SEARCH('Müşteriler'!$B$2:$B$101,B1578)),ROW('Müşteriler'!$B$2:$B$101)-ROW('Müşteriler'!$B$2)+1)),""),""))</ns0:f>
        <ns0:v/>
      </ns0:c>
      <ns0:c r="G1578" s="28" t="str">
        <ns0:f>IF(F1578="","",IFERROR(INDEX('Müşteriler'!$C$2:$C$101,MATCH(F1578,'Müşteriler'!$A$2:$A$101,0)),""))</ns0:f>
        <ns0:v/>
      </ns0:c>
      <ns0:c r="H1578" s="28" t="str">
        <ns0:f>IF(A1578="","",IF(C1578&lt;=0,"Satış dışı",IF(OR(F1578="",G1578=""),"Eşleşmedi","Eşleşti")))</ns0:f>
        <ns0:v/>
      </ns0:c>
      <ns0:c r="I1578" s="28">
        <ns0:f>I1577+IF(AND(H1578="Eşleşmedi",E1578='Panel'!$B$4),1,0)</ns0:f>
        <ns0:v>3.0</ns0:v>
      </ns0:c>
    </ns0:row>
    <ns0:row r="1579" ht="21" customHeight="1">
      <ns0:c r="A1579" s="25" t="n"/>
      <ns0:c r="B1579" s="26" t="n"/>
      <ns0:c r="C1579" s="27" t="n"/>
      <ns0:c r="D1579" s="27" t="n"/>
      <ns0:c r="E1579" s="28" t="str">
        <ns0:f>IF(A1579="","",YEAR(A1579)&amp;"-"&amp;RIGHT("0"&amp;MONTH(A1579),2))</ns0:f>
        <ns0:v/>
      </ns0:c>
      <ns0:c r="F1579" s="28" t="str">
        <ns0:f>IF(OR(A1579="",B1579="",C1579&lt;=0),"",IF(SUMPRODUCT(('Müşteriler'!$B$2:$B$101&lt;&gt;"")*ISNUMBER(SEARCH('Müşteriler'!$B$2:$B$101,B1579)))=1,IFERROR(INDEX('Müşteriler'!$A$2:$A$101,SUMPRODUCT(('Müşteriler'!$B$2:$B$101&lt;&gt;"")*ISNUMBER(SEARCH('Müşteriler'!$B$2:$B$101,B1579)),ROW('Müşteriler'!$B$2:$B$101)-ROW('Müşteriler'!$B$2)+1)),""),""))</ns0:f>
        <ns0:v/>
      </ns0:c>
      <ns0:c r="G1579" s="28" t="str">
        <ns0:f>IF(F1579="","",IFERROR(INDEX('Müşteriler'!$C$2:$C$101,MATCH(F1579,'Müşteriler'!$A$2:$A$101,0)),""))</ns0:f>
        <ns0:v/>
      </ns0:c>
      <ns0:c r="H1579" s="28" t="str">
        <ns0:f>IF(A1579="","",IF(C1579&lt;=0,"Satış dışı",IF(OR(F1579="",G1579=""),"Eşleşmedi","Eşleşti")))</ns0:f>
        <ns0:v/>
      </ns0:c>
      <ns0:c r="I1579" s="28">
        <ns0:f>I1578+IF(AND(H1579="Eşleşmedi",E1579='Panel'!$B$4),1,0)</ns0:f>
        <ns0:v>3.0</ns0:v>
      </ns0:c>
    </ns0:row>
    <ns0:row r="1580" ht="21" customHeight="1">
      <ns0:c r="A1580" s="25" t="n"/>
      <ns0:c r="B1580" s="26" t="n"/>
      <ns0:c r="C1580" s="27" t="n"/>
      <ns0:c r="D1580" s="27" t="n"/>
      <ns0:c r="E1580" s="28" t="str">
        <ns0:f>IF(A1580="","",YEAR(A1580)&amp;"-"&amp;RIGHT("0"&amp;MONTH(A1580),2))</ns0:f>
        <ns0:v/>
      </ns0:c>
      <ns0:c r="F1580" s="28" t="str">
        <ns0:f>IF(OR(A1580="",B1580="",C1580&lt;=0),"",IF(SUMPRODUCT(('Müşteriler'!$B$2:$B$101&lt;&gt;"")*ISNUMBER(SEARCH('Müşteriler'!$B$2:$B$101,B1580)))=1,IFERROR(INDEX('Müşteriler'!$A$2:$A$101,SUMPRODUCT(('Müşteriler'!$B$2:$B$101&lt;&gt;"")*ISNUMBER(SEARCH('Müşteriler'!$B$2:$B$101,B1580)),ROW('Müşteriler'!$B$2:$B$101)-ROW('Müşteriler'!$B$2)+1)),""),""))</ns0:f>
        <ns0:v/>
      </ns0:c>
      <ns0:c r="G1580" s="28" t="str">
        <ns0:f>IF(F1580="","",IFERROR(INDEX('Müşteriler'!$C$2:$C$101,MATCH(F1580,'Müşteriler'!$A$2:$A$101,0)),""))</ns0:f>
        <ns0:v/>
      </ns0:c>
      <ns0:c r="H1580" s="28" t="str">
        <ns0:f>IF(A1580="","",IF(C1580&lt;=0,"Satış dışı",IF(OR(F1580="",G1580=""),"Eşleşmedi","Eşleşti")))</ns0:f>
        <ns0:v/>
      </ns0:c>
      <ns0:c r="I1580" s="28">
        <ns0:f>I1579+IF(AND(H1580="Eşleşmedi",E1580='Panel'!$B$4),1,0)</ns0:f>
        <ns0:v>3.0</ns0:v>
      </ns0:c>
    </ns0:row>
    <ns0:row r="1581" ht="21" customHeight="1">
      <ns0:c r="A1581" s="25" t="n"/>
      <ns0:c r="B1581" s="26" t="n"/>
      <ns0:c r="C1581" s="27" t="n"/>
      <ns0:c r="D1581" s="27" t="n"/>
      <ns0:c r="E1581" s="28" t="str">
        <ns0:f>IF(A1581="","",YEAR(A1581)&amp;"-"&amp;RIGHT("0"&amp;MONTH(A1581),2))</ns0:f>
        <ns0:v/>
      </ns0:c>
      <ns0:c r="F1581" s="28" t="str">
        <ns0:f>IF(OR(A1581="",B1581="",C1581&lt;=0),"",IF(SUMPRODUCT(('Müşteriler'!$B$2:$B$101&lt;&gt;"")*ISNUMBER(SEARCH('Müşteriler'!$B$2:$B$101,B1581)))=1,IFERROR(INDEX('Müşteriler'!$A$2:$A$101,SUMPRODUCT(('Müşteriler'!$B$2:$B$101&lt;&gt;"")*ISNUMBER(SEARCH('Müşteriler'!$B$2:$B$101,B1581)),ROW('Müşteriler'!$B$2:$B$101)-ROW('Müşteriler'!$B$2)+1)),""),""))</ns0:f>
        <ns0:v/>
      </ns0:c>
      <ns0:c r="G1581" s="28" t="str">
        <ns0:f>IF(F1581="","",IFERROR(INDEX('Müşteriler'!$C$2:$C$101,MATCH(F1581,'Müşteriler'!$A$2:$A$101,0)),""))</ns0:f>
        <ns0:v/>
      </ns0:c>
      <ns0:c r="H1581" s="28" t="str">
        <ns0:f>IF(A1581="","",IF(C1581&lt;=0,"Satış dışı",IF(OR(F1581="",G1581=""),"Eşleşmedi","Eşleşti")))</ns0:f>
        <ns0:v/>
      </ns0:c>
      <ns0:c r="I1581" s="28">
        <ns0:f>I1580+IF(AND(H1581="Eşleşmedi",E1581='Panel'!$B$4),1,0)</ns0:f>
        <ns0:v>3.0</ns0:v>
      </ns0:c>
    </ns0:row>
    <ns0:row r="1582" ht="21" customHeight="1">
      <ns0:c r="A1582" s="25" t="n"/>
      <ns0:c r="B1582" s="26" t="n"/>
      <ns0:c r="C1582" s="27" t="n"/>
      <ns0:c r="D1582" s="27" t="n"/>
      <ns0:c r="E1582" s="28" t="str">
        <ns0:f>IF(A1582="","",YEAR(A1582)&amp;"-"&amp;RIGHT("0"&amp;MONTH(A1582),2))</ns0:f>
        <ns0:v/>
      </ns0:c>
      <ns0:c r="F1582" s="28" t="str">
        <ns0:f>IF(OR(A1582="",B1582="",C1582&lt;=0),"",IF(SUMPRODUCT(('Müşteriler'!$B$2:$B$101&lt;&gt;"")*ISNUMBER(SEARCH('Müşteriler'!$B$2:$B$101,B1582)))=1,IFERROR(INDEX('Müşteriler'!$A$2:$A$101,SUMPRODUCT(('Müşteriler'!$B$2:$B$101&lt;&gt;"")*ISNUMBER(SEARCH('Müşteriler'!$B$2:$B$101,B1582)),ROW('Müşteriler'!$B$2:$B$101)-ROW('Müşteriler'!$B$2)+1)),""),""))</ns0:f>
        <ns0:v/>
      </ns0:c>
      <ns0:c r="G1582" s="28" t="str">
        <ns0:f>IF(F1582="","",IFERROR(INDEX('Müşteriler'!$C$2:$C$101,MATCH(F1582,'Müşteriler'!$A$2:$A$101,0)),""))</ns0:f>
        <ns0:v/>
      </ns0:c>
      <ns0:c r="H1582" s="28" t="str">
        <ns0:f>IF(A1582="","",IF(C1582&lt;=0,"Satış dışı",IF(OR(F1582="",G1582=""),"Eşleşmedi","Eşleşti")))</ns0:f>
        <ns0:v/>
      </ns0:c>
      <ns0:c r="I1582" s="28">
        <ns0:f>I1581+IF(AND(H1582="Eşleşmedi",E1582='Panel'!$B$4),1,0)</ns0:f>
        <ns0:v>3.0</ns0:v>
      </ns0:c>
    </ns0:row>
    <ns0:row r="1583" ht="21" customHeight="1">
      <ns0:c r="A1583" s="25" t="n"/>
      <ns0:c r="B1583" s="26" t="n"/>
      <ns0:c r="C1583" s="27" t="n"/>
      <ns0:c r="D1583" s="27" t="n"/>
      <ns0:c r="E1583" s="28" t="str">
        <ns0:f>IF(A1583="","",YEAR(A1583)&amp;"-"&amp;RIGHT("0"&amp;MONTH(A1583),2))</ns0:f>
        <ns0:v/>
      </ns0:c>
      <ns0:c r="F1583" s="28" t="str">
        <ns0:f>IF(OR(A1583="",B1583="",C1583&lt;=0),"",IF(SUMPRODUCT(('Müşteriler'!$B$2:$B$101&lt;&gt;"")*ISNUMBER(SEARCH('Müşteriler'!$B$2:$B$101,B1583)))=1,IFERROR(INDEX('Müşteriler'!$A$2:$A$101,SUMPRODUCT(('Müşteriler'!$B$2:$B$101&lt;&gt;"")*ISNUMBER(SEARCH('Müşteriler'!$B$2:$B$101,B1583)),ROW('Müşteriler'!$B$2:$B$101)-ROW('Müşteriler'!$B$2)+1)),""),""))</ns0:f>
        <ns0:v/>
      </ns0:c>
      <ns0:c r="G1583" s="28" t="str">
        <ns0:f>IF(F1583="","",IFERROR(INDEX('Müşteriler'!$C$2:$C$101,MATCH(F1583,'Müşteriler'!$A$2:$A$101,0)),""))</ns0:f>
        <ns0:v/>
      </ns0:c>
      <ns0:c r="H1583" s="28" t="str">
        <ns0:f>IF(A1583="","",IF(C1583&lt;=0,"Satış dışı",IF(OR(F1583="",G1583=""),"Eşleşmedi","Eşleşti")))</ns0:f>
        <ns0:v/>
      </ns0:c>
      <ns0:c r="I1583" s="28">
        <ns0:f>I1582+IF(AND(H1583="Eşleşmedi",E1583='Panel'!$B$4),1,0)</ns0:f>
        <ns0:v>3.0</ns0:v>
      </ns0:c>
    </ns0:row>
    <ns0:row r="1584" ht="21" customHeight="1">
      <ns0:c r="A1584" s="25" t="n"/>
      <ns0:c r="B1584" s="26" t="n"/>
      <ns0:c r="C1584" s="27" t="n"/>
      <ns0:c r="D1584" s="27" t="n"/>
      <ns0:c r="E1584" s="28" t="str">
        <ns0:f>IF(A1584="","",YEAR(A1584)&amp;"-"&amp;RIGHT("0"&amp;MONTH(A1584),2))</ns0:f>
        <ns0:v/>
      </ns0:c>
      <ns0:c r="F1584" s="28" t="str">
        <ns0:f>IF(OR(A1584="",B1584="",C1584&lt;=0),"",IF(SUMPRODUCT(('Müşteriler'!$B$2:$B$101&lt;&gt;"")*ISNUMBER(SEARCH('Müşteriler'!$B$2:$B$101,B1584)))=1,IFERROR(INDEX('Müşteriler'!$A$2:$A$101,SUMPRODUCT(('Müşteriler'!$B$2:$B$101&lt;&gt;"")*ISNUMBER(SEARCH('Müşteriler'!$B$2:$B$101,B1584)),ROW('Müşteriler'!$B$2:$B$101)-ROW('Müşteriler'!$B$2)+1)),""),""))</ns0:f>
        <ns0:v/>
      </ns0:c>
      <ns0:c r="G1584" s="28" t="str">
        <ns0:f>IF(F1584="","",IFERROR(INDEX('Müşteriler'!$C$2:$C$101,MATCH(F1584,'Müşteriler'!$A$2:$A$101,0)),""))</ns0:f>
        <ns0:v/>
      </ns0:c>
      <ns0:c r="H1584" s="28" t="str">
        <ns0:f>IF(A1584="","",IF(C1584&lt;=0,"Satış dışı",IF(OR(F1584="",G1584=""),"Eşleşmedi","Eşleşti")))</ns0:f>
        <ns0:v/>
      </ns0:c>
      <ns0:c r="I1584" s="28">
        <ns0:f>I1583+IF(AND(H1584="Eşleşmedi",E1584='Panel'!$B$4),1,0)</ns0:f>
        <ns0:v>3.0</ns0:v>
      </ns0:c>
    </ns0:row>
    <ns0:row r="1585" ht="21" customHeight="1">
      <ns0:c r="A1585" s="25" t="n"/>
      <ns0:c r="B1585" s="26" t="n"/>
      <ns0:c r="C1585" s="27" t="n"/>
      <ns0:c r="D1585" s="27" t="n"/>
      <ns0:c r="E1585" s="28" t="str">
        <ns0:f>IF(A1585="","",YEAR(A1585)&amp;"-"&amp;RIGHT("0"&amp;MONTH(A1585),2))</ns0:f>
        <ns0:v/>
      </ns0:c>
      <ns0:c r="F1585" s="28" t="str">
        <ns0:f>IF(OR(A1585="",B1585="",C1585&lt;=0),"",IF(SUMPRODUCT(('Müşteriler'!$B$2:$B$101&lt;&gt;"")*ISNUMBER(SEARCH('Müşteriler'!$B$2:$B$101,B1585)))=1,IFERROR(INDEX('Müşteriler'!$A$2:$A$101,SUMPRODUCT(('Müşteriler'!$B$2:$B$101&lt;&gt;"")*ISNUMBER(SEARCH('Müşteriler'!$B$2:$B$101,B1585)),ROW('Müşteriler'!$B$2:$B$101)-ROW('Müşteriler'!$B$2)+1)),""),""))</ns0:f>
        <ns0:v/>
      </ns0:c>
      <ns0:c r="G1585" s="28" t="str">
        <ns0:f>IF(F1585="","",IFERROR(INDEX('Müşteriler'!$C$2:$C$101,MATCH(F1585,'Müşteriler'!$A$2:$A$101,0)),""))</ns0:f>
        <ns0:v/>
      </ns0:c>
      <ns0:c r="H1585" s="28" t="str">
        <ns0:f>IF(A1585="","",IF(C1585&lt;=0,"Satış dışı",IF(OR(F1585="",G1585=""),"Eşleşmedi","Eşleşti")))</ns0:f>
        <ns0:v/>
      </ns0:c>
      <ns0:c r="I1585" s="28">
        <ns0:f>I1584+IF(AND(H1585="Eşleşmedi",E1585='Panel'!$B$4),1,0)</ns0:f>
        <ns0:v>3.0</ns0:v>
      </ns0:c>
    </ns0:row>
    <ns0:row r="1586" ht="21" customHeight="1">
      <ns0:c r="A1586" s="25" t="n"/>
      <ns0:c r="B1586" s="26" t="n"/>
      <ns0:c r="C1586" s="27" t="n"/>
      <ns0:c r="D1586" s="27" t="n"/>
      <ns0:c r="E1586" s="28" t="str">
        <ns0:f>IF(A1586="","",YEAR(A1586)&amp;"-"&amp;RIGHT("0"&amp;MONTH(A1586),2))</ns0:f>
        <ns0:v/>
      </ns0:c>
      <ns0:c r="F1586" s="28" t="str">
        <ns0:f>IF(OR(A1586="",B1586="",C1586&lt;=0),"",IF(SUMPRODUCT(('Müşteriler'!$B$2:$B$101&lt;&gt;"")*ISNUMBER(SEARCH('Müşteriler'!$B$2:$B$101,B1586)))=1,IFERROR(INDEX('Müşteriler'!$A$2:$A$101,SUMPRODUCT(('Müşteriler'!$B$2:$B$101&lt;&gt;"")*ISNUMBER(SEARCH('Müşteriler'!$B$2:$B$101,B1586)),ROW('Müşteriler'!$B$2:$B$101)-ROW('Müşteriler'!$B$2)+1)),""),""))</ns0:f>
        <ns0:v/>
      </ns0:c>
      <ns0:c r="G1586" s="28" t="str">
        <ns0:f>IF(F1586="","",IFERROR(INDEX('Müşteriler'!$C$2:$C$101,MATCH(F1586,'Müşteriler'!$A$2:$A$101,0)),""))</ns0:f>
        <ns0:v/>
      </ns0:c>
      <ns0:c r="H1586" s="28" t="str">
        <ns0:f>IF(A1586="","",IF(C1586&lt;=0,"Satış dışı",IF(OR(F1586="",G1586=""),"Eşleşmedi","Eşleşti")))</ns0:f>
        <ns0:v/>
      </ns0:c>
      <ns0:c r="I1586" s="28">
        <ns0:f>I1585+IF(AND(H1586="Eşleşmedi",E1586='Panel'!$B$4),1,0)</ns0:f>
        <ns0:v>3.0</ns0:v>
      </ns0:c>
    </ns0:row>
    <ns0:row r="1587" ht="21" customHeight="1">
      <ns0:c r="A1587" s="25" t="n"/>
      <ns0:c r="B1587" s="26" t="n"/>
      <ns0:c r="C1587" s="27" t="n"/>
      <ns0:c r="D1587" s="27" t="n"/>
      <ns0:c r="E1587" s="28" t="str">
        <ns0:f>IF(A1587="","",YEAR(A1587)&amp;"-"&amp;RIGHT("0"&amp;MONTH(A1587),2))</ns0:f>
        <ns0:v/>
      </ns0:c>
      <ns0:c r="F1587" s="28" t="str">
        <ns0:f>IF(OR(A1587="",B1587="",C1587&lt;=0),"",IF(SUMPRODUCT(('Müşteriler'!$B$2:$B$101&lt;&gt;"")*ISNUMBER(SEARCH('Müşteriler'!$B$2:$B$101,B1587)))=1,IFERROR(INDEX('Müşteriler'!$A$2:$A$101,SUMPRODUCT(('Müşteriler'!$B$2:$B$101&lt;&gt;"")*ISNUMBER(SEARCH('Müşteriler'!$B$2:$B$101,B1587)),ROW('Müşteriler'!$B$2:$B$101)-ROW('Müşteriler'!$B$2)+1)),""),""))</ns0:f>
        <ns0:v/>
      </ns0:c>
      <ns0:c r="G1587" s="28" t="str">
        <ns0:f>IF(F1587="","",IFERROR(INDEX('Müşteriler'!$C$2:$C$101,MATCH(F1587,'Müşteriler'!$A$2:$A$101,0)),""))</ns0:f>
        <ns0:v/>
      </ns0:c>
      <ns0:c r="H1587" s="28" t="str">
        <ns0:f>IF(A1587="","",IF(C1587&lt;=0,"Satış dışı",IF(OR(F1587="",G1587=""),"Eşleşmedi","Eşleşti")))</ns0:f>
        <ns0:v/>
      </ns0:c>
      <ns0:c r="I1587" s="28">
        <ns0:f>I1586+IF(AND(H1587="Eşleşmedi",E1587='Panel'!$B$4),1,0)</ns0:f>
        <ns0:v>3.0</ns0:v>
      </ns0:c>
    </ns0:row>
    <ns0:row r="1588" ht="21" customHeight="1">
      <ns0:c r="A1588" s="25" t="n"/>
      <ns0:c r="B1588" s="26" t="n"/>
      <ns0:c r="C1588" s="27" t="n"/>
      <ns0:c r="D1588" s="27" t="n"/>
      <ns0:c r="E1588" s="28" t="str">
        <ns0:f>IF(A1588="","",YEAR(A1588)&amp;"-"&amp;RIGHT("0"&amp;MONTH(A1588),2))</ns0:f>
        <ns0:v/>
      </ns0:c>
      <ns0:c r="F1588" s="28" t="str">
        <ns0:f>IF(OR(A1588="",B1588="",C1588&lt;=0),"",IF(SUMPRODUCT(('Müşteriler'!$B$2:$B$101&lt;&gt;"")*ISNUMBER(SEARCH('Müşteriler'!$B$2:$B$101,B1588)))=1,IFERROR(INDEX('Müşteriler'!$A$2:$A$101,SUMPRODUCT(('Müşteriler'!$B$2:$B$101&lt;&gt;"")*ISNUMBER(SEARCH('Müşteriler'!$B$2:$B$101,B1588)),ROW('Müşteriler'!$B$2:$B$101)-ROW('Müşteriler'!$B$2)+1)),""),""))</ns0:f>
        <ns0:v/>
      </ns0:c>
      <ns0:c r="G1588" s="28" t="str">
        <ns0:f>IF(F1588="","",IFERROR(INDEX('Müşteriler'!$C$2:$C$101,MATCH(F1588,'Müşteriler'!$A$2:$A$101,0)),""))</ns0:f>
        <ns0:v/>
      </ns0:c>
      <ns0:c r="H1588" s="28" t="str">
        <ns0:f>IF(A1588="","",IF(C1588&lt;=0,"Satış dışı",IF(OR(F1588="",G1588=""),"Eşleşmedi","Eşleşti")))</ns0:f>
        <ns0:v/>
      </ns0:c>
      <ns0:c r="I1588" s="28">
        <ns0:f>I1587+IF(AND(H1588="Eşleşmedi",E1588='Panel'!$B$4),1,0)</ns0:f>
        <ns0:v>3.0</ns0:v>
      </ns0:c>
    </ns0:row>
    <ns0:row r="1589" ht="21" customHeight="1">
      <ns0:c r="A1589" s="25" t="n"/>
      <ns0:c r="B1589" s="26" t="n"/>
      <ns0:c r="C1589" s="27" t="n"/>
      <ns0:c r="D1589" s="27" t="n"/>
      <ns0:c r="E1589" s="28" t="str">
        <ns0:f>IF(A1589="","",YEAR(A1589)&amp;"-"&amp;RIGHT("0"&amp;MONTH(A1589),2))</ns0:f>
        <ns0:v/>
      </ns0:c>
      <ns0:c r="F1589" s="28" t="str">
        <ns0:f>IF(OR(A1589="",B1589="",C1589&lt;=0),"",IF(SUMPRODUCT(('Müşteriler'!$B$2:$B$101&lt;&gt;"")*ISNUMBER(SEARCH('Müşteriler'!$B$2:$B$101,B1589)))=1,IFERROR(INDEX('Müşteriler'!$A$2:$A$101,SUMPRODUCT(('Müşteriler'!$B$2:$B$101&lt;&gt;"")*ISNUMBER(SEARCH('Müşteriler'!$B$2:$B$101,B1589)),ROW('Müşteriler'!$B$2:$B$101)-ROW('Müşteriler'!$B$2)+1)),""),""))</ns0:f>
        <ns0:v/>
      </ns0:c>
      <ns0:c r="G1589" s="28" t="str">
        <ns0:f>IF(F1589="","",IFERROR(INDEX('Müşteriler'!$C$2:$C$101,MATCH(F1589,'Müşteriler'!$A$2:$A$101,0)),""))</ns0:f>
        <ns0:v/>
      </ns0:c>
      <ns0:c r="H1589" s="28" t="str">
        <ns0:f>IF(A1589="","",IF(C1589&lt;=0,"Satış dışı",IF(OR(F1589="",G1589=""),"Eşleşmedi","Eşleşti")))</ns0:f>
        <ns0:v/>
      </ns0:c>
      <ns0:c r="I1589" s="28">
        <ns0:f>I1588+IF(AND(H1589="Eşleşmedi",E1589='Panel'!$B$4),1,0)</ns0:f>
        <ns0:v>3.0</ns0:v>
      </ns0:c>
    </ns0:row>
    <ns0:row r="1590" ht="21" customHeight="1">
      <ns0:c r="A1590" s="25" t="n"/>
      <ns0:c r="B1590" s="26" t="n"/>
      <ns0:c r="C1590" s="27" t="n"/>
      <ns0:c r="D1590" s="27" t="n"/>
      <ns0:c r="E1590" s="28" t="str">
        <ns0:f>IF(A1590="","",YEAR(A1590)&amp;"-"&amp;RIGHT("0"&amp;MONTH(A1590),2))</ns0:f>
        <ns0:v/>
      </ns0:c>
      <ns0:c r="F1590" s="28" t="str">
        <ns0:f>IF(OR(A1590="",B1590="",C1590&lt;=0),"",IF(SUMPRODUCT(('Müşteriler'!$B$2:$B$101&lt;&gt;"")*ISNUMBER(SEARCH('Müşteriler'!$B$2:$B$101,B1590)))=1,IFERROR(INDEX('Müşteriler'!$A$2:$A$101,SUMPRODUCT(('Müşteriler'!$B$2:$B$101&lt;&gt;"")*ISNUMBER(SEARCH('Müşteriler'!$B$2:$B$101,B1590)),ROW('Müşteriler'!$B$2:$B$101)-ROW('Müşteriler'!$B$2)+1)),""),""))</ns0:f>
        <ns0:v/>
      </ns0:c>
      <ns0:c r="G1590" s="28" t="str">
        <ns0:f>IF(F1590="","",IFERROR(INDEX('Müşteriler'!$C$2:$C$101,MATCH(F1590,'Müşteriler'!$A$2:$A$101,0)),""))</ns0:f>
        <ns0:v/>
      </ns0:c>
      <ns0:c r="H1590" s="28" t="str">
        <ns0:f>IF(A1590="","",IF(C1590&lt;=0,"Satış dışı",IF(OR(F1590="",G1590=""),"Eşleşmedi","Eşleşti")))</ns0:f>
        <ns0:v/>
      </ns0:c>
      <ns0:c r="I1590" s="28">
        <ns0:f>I1589+IF(AND(H1590="Eşleşmedi",E1590='Panel'!$B$4),1,0)</ns0:f>
        <ns0:v>3.0</ns0:v>
      </ns0:c>
    </ns0:row>
    <ns0:row r="1591" ht="21" customHeight="1">
      <ns0:c r="A1591" s="25" t="n"/>
      <ns0:c r="B1591" s="26" t="n"/>
      <ns0:c r="C1591" s="27" t="n"/>
      <ns0:c r="D1591" s="27" t="n"/>
      <ns0:c r="E1591" s="28" t="str">
        <ns0:f>IF(A1591="","",YEAR(A1591)&amp;"-"&amp;RIGHT("0"&amp;MONTH(A1591),2))</ns0:f>
        <ns0:v/>
      </ns0:c>
      <ns0:c r="F1591" s="28" t="str">
        <ns0:f>IF(OR(A1591="",B1591="",C1591&lt;=0),"",IF(SUMPRODUCT(('Müşteriler'!$B$2:$B$101&lt;&gt;"")*ISNUMBER(SEARCH('Müşteriler'!$B$2:$B$101,B1591)))=1,IFERROR(INDEX('Müşteriler'!$A$2:$A$101,SUMPRODUCT(('Müşteriler'!$B$2:$B$101&lt;&gt;"")*ISNUMBER(SEARCH('Müşteriler'!$B$2:$B$101,B1591)),ROW('Müşteriler'!$B$2:$B$101)-ROW('Müşteriler'!$B$2)+1)),""),""))</ns0:f>
        <ns0:v/>
      </ns0:c>
      <ns0:c r="G1591" s="28" t="str">
        <ns0:f>IF(F1591="","",IFERROR(INDEX('Müşteriler'!$C$2:$C$101,MATCH(F1591,'Müşteriler'!$A$2:$A$101,0)),""))</ns0:f>
        <ns0:v/>
      </ns0:c>
      <ns0:c r="H1591" s="28" t="str">
        <ns0:f>IF(A1591="","",IF(C1591&lt;=0,"Satış dışı",IF(OR(F1591="",G1591=""),"Eşleşmedi","Eşleşti")))</ns0:f>
        <ns0:v/>
      </ns0:c>
      <ns0:c r="I1591" s="28">
        <ns0:f>I1590+IF(AND(H1591="Eşleşmedi",E1591='Panel'!$B$4),1,0)</ns0:f>
        <ns0:v>3.0</ns0:v>
      </ns0:c>
    </ns0:row>
    <ns0:row r="1592" ht="21" customHeight="1">
      <ns0:c r="A1592" s="25" t="n"/>
      <ns0:c r="B1592" s="26" t="n"/>
      <ns0:c r="C1592" s="27" t="n"/>
      <ns0:c r="D1592" s="27" t="n"/>
      <ns0:c r="E1592" s="28" t="str">
        <ns0:f>IF(A1592="","",YEAR(A1592)&amp;"-"&amp;RIGHT("0"&amp;MONTH(A1592),2))</ns0:f>
        <ns0:v/>
      </ns0:c>
      <ns0:c r="F1592" s="28" t="str">
        <ns0:f>IF(OR(A1592="",B1592="",C1592&lt;=0),"",IF(SUMPRODUCT(('Müşteriler'!$B$2:$B$101&lt;&gt;"")*ISNUMBER(SEARCH('Müşteriler'!$B$2:$B$101,B1592)))=1,IFERROR(INDEX('Müşteriler'!$A$2:$A$101,SUMPRODUCT(('Müşteriler'!$B$2:$B$101&lt;&gt;"")*ISNUMBER(SEARCH('Müşteriler'!$B$2:$B$101,B1592)),ROW('Müşteriler'!$B$2:$B$101)-ROW('Müşteriler'!$B$2)+1)),""),""))</ns0:f>
        <ns0:v/>
      </ns0:c>
      <ns0:c r="G1592" s="28" t="str">
        <ns0:f>IF(F1592="","",IFERROR(INDEX('Müşteriler'!$C$2:$C$101,MATCH(F1592,'Müşteriler'!$A$2:$A$101,0)),""))</ns0:f>
        <ns0:v/>
      </ns0:c>
      <ns0:c r="H1592" s="28" t="str">
        <ns0:f>IF(A1592="","",IF(C1592&lt;=0,"Satış dışı",IF(OR(F1592="",G1592=""),"Eşleşmedi","Eşleşti")))</ns0:f>
        <ns0:v/>
      </ns0:c>
      <ns0:c r="I1592" s="28">
        <ns0:f>I1591+IF(AND(H1592="Eşleşmedi",E1592='Panel'!$B$4),1,0)</ns0:f>
        <ns0:v>3.0</ns0:v>
      </ns0:c>
    </ns0:row>
    <ns0:row r="1593" ht="21" customHeight="1">
      <ns0:c r="A1593" s="25" t="n"/>
      <ns0:c r="B1593" s="26" t="n"/>
      <ns0:c r="C1593" s="27" t="n"/>
      <ns0:c r="D1593" s="27" t="n"/>
      <ns0:c r="E1593" s="28" t="str">
        <ns0:f>IF(A1593="","",YEAR(A1593)&amp;"-"&amp;RIGHT("0"&amp;MONTH(A1593),2))</ns0:f>
        <ns0:v/>
      </ns0:c>
      <ns0:c r="F1593" s="28" t="str">
        <ns0:f>IF(OR(A1593="",B1593="",C1593&lt;=0),"",IF(SUMPRODUCT(('Müşteriler'!$B$2:$B$101&lt;&gt;"")*ISNUMBER(SEARCH('Müşteriler'!$B$2:$B$101,B1593)))=1,IFERROR(INDEX('Müşteriler'!$A$2:$A$101,SUMPRODUCT(('Müşteriler'!$B$2:$B$101&lt;&gt;"")*ISNUMBER(SEARCH('Müşteriler'!$B$2:$B$101,B1593)),ROW('Müşteriler'!$B$2:$B$101)-ROW('Müşteriler'!$B$2)+1)),""),""))</ns0:f>
        <ns0:v/>
      </ns0:c>
      <ns0:c r="G1593" s="28" t="str">
        <ns0:f>IF(F1593="","",IFERROR(INDEX('Müşteriler'!$C$2:$C$101,MATCH(F1593,'Müşteriler'!$A$2:$A$101,0)),""))</ns0:f>
        <ns0:v/>
      </ns0:c>
      <ns0:c r="H1593" s="28" t="str">
        <ns0:f>IF(A1593="","",IF(C1593&lt;=0,"Satış dışı",IF(OR(F1593="",G1593=""),"Eşleşmedi","Eşleşti")))</ns0:f>
        <ns0:v/>
      </ns0:c>
      <ns0:c r="I1593" s="28">
        <ns0:f>I1592+IF(AND(H1593="Eşleşmedi",E1593='Panel'!$B$4),1,0)</ns0:f>
        <ns0:v>3.0</ns0:v>
      </ns0:c>
    </ns0:row>
    <ns0:row r="1594" ht="21" customHeight="1">
      <ns0:c r="A1594" s="25" t="n"/>
      <ns0:c r="B1594" s="26" t="n"/>
      <ns0:c r="C1594" s="27" t="n"/>
      <ns0:c r="D1594" s="27" t="n"/>
      <ns0:c r="E1594" s="28" t="str">
        <ns0:f>IF(A1594="","",YEAR(A1594)&amp;"-"&amp;RIGHT("0"&amp;MONTH(A1594),2))</ns0:f>
        <ns0:v/>
      </ns0:c>
      <ns0:c r="F1594" s="28" t="str">
        <ns0:f>IF(OR(A1594="",B1594="",C1594&lt;=0),"",IF(SUMPRODUCT(('Müşteriler'!$B$2:$B$101&lt;&gt;"")*ISNUMBER(SEARCH('Müşteriler'!$B$2:$B$101,B1594)))=1,IFERROR(INDEX('Müşteriler'!$A$2:$A$101,SUMPRODUCT(('Müşteriler'!$B$2:$B$101&lt;&gt;"")*ISNUMBER(SEARCH('Müşteriler'!$B$2:$B$101,B1594)),ROW('Müşteriler'!$B$2:$B$101)-ROW('Müşteriler'!$B$2)+1)),""),""))</ns0:f>
        <ns0:v/>
      </ns0:c>
      <ns0:c r="G1594" s="28" t="str">
        <ns0:f>IF(F1594="","",IFERROR(INDEX('Müşteriler'!$C$2:$C$101,MATCH(F1594,'Müşteriler'!$A$2:$A$101,0)),""))</ns0:f>
        <ns0:v/>
      </ns0:c>
      <ns0:c r="H1594" s="28" t="str">
        <ns0:f>IF(A1594="","",IF(C1594&lt;=0,"Satış dışı",IF(OR(F1594="",G1594=""),"Eşleşmedi","Eşleşti")))</ns0:f>
        <ns0:v/>
      </ns0:c>
      <ns0:c r="I1594" s="28">
        <ns0:f>I1593+IF(AND(H1594="Eşleşmedi",E1594='Panel'!$B$4),1,0)</ns0:f>
        <ns0:v>3.0</ns0:v>
      </ns0:c>
    </ns0:row>
    <ns0:row r="1595" ht="21" customHeight="1">
      <ns0:c r="A1595" s="25" t="n"/>
      <ns0:c r="B1595" s="26" t="n"/>
      <ns0:c r="C1595" s="27" t="n"/>
      <ns0:c r="D1595" s="27" t="n"/>
      <ns0:c r="E1595" s="28" t="str">
        <ns0:f>IF(A1595="","",YEAR(A1595)&amp;"-"&amp;RIGHT("0"&amp;MONTH(A1595),2))</ns0:f>
        <ns0:v/>
      </ns0:c>
      <ns0:c r="F1595" s="28" t="str">
        <ns0:f>IF(OR(A1595="",B1595="",C1595&lt;=0),"",IF(SUMPRODUCT(('Müşteriler'!$B$2:$B$101&lt;&gt;"")*ISNUMBER(SEARCH('Müşteriler'!$B$2:$B$101,B1595)))=1,IFERROR(INDEX('Müşteriler'!$A$2:$A$101,SUMPRODUCT(('Müşteriler'!$B$2:$B$101&lt;&gt;"")*ISNUMBER(SEARCH('Müşteriler'!$B$2:$B$101,B1595)),ROW('Müşteriler'!$B$2:$B$101)-ROW('Müşteriler'!$B$2)+1)),""),""))</ns0:f>
        <ns0:v/>
      </ns0:c>
      <ns0:c r="G1595" s="28" t="str">
        <ns0:f>IF(F1595="","",IFERROR(INDEX('Müşteriler'!$C$2:$C$101,MATCH(F1595,'Müşteriler'!$A$2:$A$101,0)),""))</ns0:f>
        <ns0:v/>
      </ns0:c>
      <ns0:c r="H1595" s="28" t="str">
        <ns0:f>IF(A1595="","",IF(C1595&lt;=0,"Satış dışı",IF(OR(F1595="",G1595=""),"Eşleşmedi","Eşleşti")))</ns0:f>
        <ns0:v/>
      </ns0:c>
      <ns0:c r="I1595" s="28">
        <ns0:f>I1594+IF(AND(H1595="Eşleşmedi",E1595='Panel'!$B$4),1,0)</ns0:f>
        <ns0:v>3.0</ns0:v>
      </ns0:c>
    </ns0:row>
    <ns0:row r="1596" ht="21" customHeight="1">
      <ns0:c r="A1596" s="25" t="n"/>
      <ns0:c r="B1596" s="26" t="n"/>
      <ns0:c r="C1596" s="27" t="n"/>
      <ns0:c r="D1596" s="27" t="n"/>
      <ns0:c r="E1596" s="28" t="str">
        <ns0:f>IF(A1596="","",YEAR(A1596)&amp;"-"&amp;RIGHT("0"&amp;MONTH(A1596),2))</ns0:f>
        <ns0:v/>
      </ns0:c>
      <ns0:c r="F1596" s="28" t="str">
        <ns0:f>IF(OR(A1596="",B1596="",C1596&lt;=0),"",IF(SUMPRODUCT(('Müşteriler'!$B$2:$B$101&lt;&gt;"")*ISNUMBER(SEARCH('Müşteriler'!$B$2:$B$101,B1596)))=1,IFERROR(INDEX('Müşteriler'!$A$2:$A$101,SUMPRODUCT(('Müşteriler'!$B$2:$B$101&lt;&gt;"")*ISNUMBER(SEARCH('Müşteriler'!$B$2:$B$101,B1596)),ROW('Müşteriler'!$B$2:$B$101)-ROW('Müşteriler'!$B$2)+1)),""),""))</ns0:f>
        <ns0:v/>
      </ns0:c>
      <ns0:c r="G1596" s="28" t="str">
        <ns0:f>IF(F1596="","",IFERROR(INDEX('Müşteriler'!$C$2:$C$101,MATCH(F1596,'Müşteriler'!$A$2:$A$101,0)),""))</ns0:f>
        <ns0:v/>
      </ns0:c>
      <ns0:c r="H1596" s="28" t="str">
        <ns0:f>IF(A1596="","",IF(C1596&lt;=0,"Satış dışı",IF(OR(F1596="",G1596=""),"Eşleşmedi","Eşleşti")))</ns0:f>
        <ns0:v/>
      </ns0:c>
      <ns0:c r="I1596" s="28">
        <ns0:f>I1595+IF(AND(H1596="Eşleşmedi",E1596='Panel'!$B$4),1,0)</ns0:f>
        <ns0:v>3.0</ns0:v>
      </ns0:c>
    </ns0:row>
    <ns0:row r="1597" ht="21" customHeight="1">
      <ns0:c r="A1597" s="25" t="n"/>
      <ns0:c r="B1597" s="26" t="n"/>
      <ns0:c r="C1597" s="27" t="n"/>
      <ns0:c r="D1597" s="27" t="n"/>
      <ns0:c r="E1597" s="28" t="str">
        <ns0:f>IF(A1597="","",YEAR(A1597)&amp;"-"&amp;RIGHT("0"&amp;MONTH(A1597),2))</ns0:f>
        <ns0:v/>
      </ns0:c>
      <ns0:c r="F1597" s="28" t="str">
        <ns0:f>IF(OR(A1597="",B1597="",C1597&lt;=0),"",IF(SUMPRODUCT(('Müşteriler'!$B$2:$B$101&lt;&gt;"")*ISNUMBER(SEARCH('Müşteriler'!$B$2:$B$101,B1597)))=1,IFERROR(INDEX('Müşteriler'!$A$2:$A$101,SUMPRODUCT(('Müşteriler'!$B$2:$B$101&lt;&gt;"")*ISNUMBER(SEARCH('Müşteriler'!$B$2:$B$101,B1597)),ROW('Müşteriler'!$B$2:$B$101)-ROW('Müşteriler'!$B$2)+1)),""),""))</ns0:f>
        <ns0:v/>
      </ns0:c>
      <ns0:c r="G1597" s="28" t="str">
        <ns0:f>IF(F1597="","",IFERROR(INDEX('Müşteriler'!$C$2:$C$101,MATCH(F1597,'Müşteriler'!$A$2:$A$101,0)),""))</ns0:f>
        <ns0:v/>
      </ns0:c>
      <ns0:c r="H1597" s="28" t="str">
        <ns0:f>IF(A1597="","",IF(C1597&lt;=0,"Satış dışı",IF(OR(F1597="",G1597=""),"Eşleşmedi","Eşleşti")))</ns0:f>
        <ns0:v/>
      </ns0:c>
      <ns0:c r="I1597" s="28">
        <ns0:f>I1596+IF(AND(H1597="Eşleşmedi",E1597='Panel'!$B$4),1,0)</ns0:f>
        <ns0:v>3.0</ns0:v>
      </ns0:c>
    </ns0:row>
    <ns0:row r="1598" ht="21" customHeight="1">
      <ns0:c r="A1598" s="25" t="n"/>
      <ns0:c r="B1598" s="26" t="n"/>
      <ns0:c r="C1598" s="27" t="n"/>
      <ns0:c r="D1598" s="27" t="n"/>
      <ns0:c r="E1598" s="28" t="str">
        <ns0:f>IF(A1598="","",YEAR(A1598)&amp;"-"&amp;RIGHT("0"&amp;MONTH(A1598),2))</ns0:f>
        <ns0:v/>
      </ns0:c>
      <ns0:c r="F1598" s="28" t="str">
        <ns0:f>IF(OR(A1598="",B1598="",C1598&lt;=0),"",IF(SUMPRODUCT(('Müşteriler'!$B$2:$B$101&lt;&gt;"")*ISNUMBER(SEARCH('Müşteriler'!$B$2:$B$101,B1598)))=1,IFERROR(INDEX('Müşteriler'!$A$2:$A$101,SUMPRODUCT(('Müşteriler'!$B$2:$B$101&lt;&gt;"")*ISNUMBER(SEARCH('Müşteriler'!$B$2:$B$101,B1598)),ROW('Müşteriler'!$B$2:$B$101)-ROW('Müşteriler'!$B$2)+1)),""),""))</ns0:f>
        <ns0:v/>
      </ns0:c>
      <ns0:c r="G1598" s="28" t="str">
        <ns0:f>IF(F1598="","",IFERROR(INDEX('Müşteriler'!$C$2:$C$101,MATCH(F1598,'Müşteriler'!$A$2:$A$101,0)),""))</ns0:f>
        <ns0:v/>
      </ns0:c>
      <ns0:c r="H1598" s="28" t="str">
        <ns0:f>IF(A1598="","",IF(C1598&lt;=0,"Satış dışı",IF(OR(F1598="",G1598=""),"Eşleşmedi","Eşleşti")))</ns0:f>
        <ns0:v/>
      </ns0:c>
      <ns0:c r="I1598" s="28">
        <ns0:f>I1597+IF(AND(H1598="Eşleşmedi",E1598='Panel'!$B$4),1,0)</ns0:f>
        <ns0:v>3.0</ns0:v>
      </ns0:c>
    </ns0:row>
    <ns0:row r="1599" ht="21" customHeight="1">
      <ns0:c r="A1599" s="25" t="n"/>
      <ns0:c r="B1599" s="26" t="n"/>
      <ns0:c r="C1599" s="27" t="n"/>
      <ns0:c r="D1599" s="27" t="n"/>
      <ns0:c r="E1599" s="28" t="str">
        <ns0:f>IF(A1599="","",YEAR(A1599)&amp;"-"&amp;RIGHT("0"&amp;MONTH(A1599),2))</ns0:f>
        <ns0:v/>
      </ns0:c>
      <ns0:c r="F1599" s="28" t="str">
        <ns0:f>IF(OR(A1599="",B1599="",C1599&lt;=0),"",IF(SUMPRODUCT(('Müşteriler'!$B$2:$B$101&lt;&gt;"")*ISNUMBER(SEARCH('Müşteriler'!$B$2:$B$101,B1599)))=1,IFERROR(INDEX('Müşteriler'!$A$2:$A$101,SUMPRODUCT(('Müşteriler'!$B$2:$B$101&lt;&gt;"")*ISNUMBER(SEARCH('Müşteriler'!$B$2:$B$101,B1599)),ROW('Müşteriler'!$B$2:$B$101)-ROW('Müşteriler'!$B$2)+1)),""),""))</ns0:f>
        <ns0:v/>
      </ns0:c>
      <ns0:c r="G1599" s="28" t="str">
        <ns0:f>IF(F1599="","",IFERROR(INDEX('Müşteriler'!$C$2:$C$101,MATCH(F1599,'Müşteriler'!$A$2:$A$101,0)),""))</ns0:f>
        <ns0:v/>
      </ns0:c>
      <ns0:c r="H1599" s="28" t="str">
        <ns0:f>IF(A1599="","",IF(C1599&lt;=0,"Satış dışı",IF(OR(F1599="",G1599=""),"Eşleşmedi","Eşleşti")))</ns0:f>
        <ns0:v/>
      </ns0:c>
      <ns0:c r="I1599" s="28">
        <ns0:f>I1598+IF(AND(H1599="Eşleşmedi",E1599='Panel'!$B$4),1,0)</ns0:f>
        <ns0:v>3.0</ns0:v>
      </ns0:c>
    </ns0:row>
    <ns0:row r="1600" ht="21" customHeight="1">
      <ns0:c r="A1600" s="25" t="n"/>
      <ns0:c r="B1600" s="26" t="n"/>
      <ns0:c r="C1600" s="27" t="n"/>
      <ns0:c r="D1600" s="27" t="n"/>
      <ns0:c r="E1600" s="28" t="str">
        <ns0:f>IF(A1600="","",YEAR(A1600)&amp;"-"&amp;RIGHT("0"&amp;MONTH(A1600),2))</ns0:f>
        <ns0:v/>
      </ns0:c>
      <ns0:c r="F1600" s="28" t="str">
        <ns0:f>IF(OR(A1600="",B1600="",C1600&lt;=0),"",IF(SUMPRODUCT(('Müşteriler'!$B$2:$B$101&lt;&gt;"")*ISNUMBER(SEARCH('Müşteriler'!$B$2:$B$101,B1600)))=1,IFERROR(INDEX('Müşteriler'!$A$2:$A$101,SUMPRODUCT(('Müşteriler'!$B$2:$B$101&lt;&gt;"")*ISNUMBER(SEARCH('Müşteriler'!$B$2:$B$101,B1600)),ROW('Müşteriler'!$B$2:$B$101)-ROW('Müşteriler'!$B$2)+1)),""),""))</ns0:f>
        <ns0:v/>
      </ns0:c>
      <ns0:c r="G1600" s="28" t="str">
        <ns0:f>IF(F1600="","",IFERROR(INDEX('Müşteriler'!$C$2:$C$101,MATCH(F1600,'Müşteriler'!$A$2:$A$101,0)),""))</ns0:f>
        <ns0:v/>
      </ns0:c>
      <ns0:c r="H1600" s="28" t="str">
        <ns0:f>IF(A1600="","",IF(C1600&lt;=0,"Satış dışı",IF(OR(F1600="",G1600=""),"Eşleşmedi","Eşleşti")))</ns0:f>
        <ns0:v/>
      </ns0:c>
      <ns0:c r="I1600" s="28">
        <ns0:f>I1599+IF(AND(H1600="Eşleşmedi",E1600='Panel'!$B$4),1,0)</ns0:f>
        <ns0:v>3.0</ns0:v>
      </ns0:c>
    </ns0:row>
    <ns0:row r="1601" ht="21" customHeight="1">
      <ns0:c r="A1601" s="25" t="n"/>
      <ns0:c r="B1601" s="26" t="n"/>
      <ns0:c r="C1601" s="27" t="n"/>
      <ns0:c r="D1601" s="27" t="n"/>
      <ns0:c r="E1601" s="28" t="str">
        <ns0:f>IF(A1601="","",YEAR(A1601)&amp;"-"&amp;RIGHT("0"&amp;MONTH(A1601),2))</ns0:f>
        <ns0:v/>
      </ns0:c>
      <ns0:c r="F1601" s="28" t="str">
        <ns0:f>IF(OR(A1601="",B1601="",C1601&lt;=0),"",IF(SUMPRODUCT(('Müşteriler'!$B$2:$B$101&lt;&gt;"")*ISNUMBER(SEARCH('Müşteriler'!$B$2:$B$101,B1601)))=1,IFERROR(INDEX('Müşteriler'!$A$2:$A$101,SUMPRODUCT(('Müşteriler'!$B$2:$B$101&lt;&gt;"")*ISNUMBER(SEARCH('Müşteriler'!$B$2:$B$101,B1601)),ROW('Müşteriler'!$B$2:$B$101)-ROW('Müşteriler'!$B$2)+1)),""),""))</ns0:f>
        <ns0:v/>
      </ns0:c>
      <ns0:c r="G1601" s="28" t="str">
        <ns0:f>IF(F1601="","",IFERROR(INDEX('Müşteriler'!$C$2:$C$101,MATCH(F1601,'Müşteriler'!$A$2:$A$101,0)),""))</ns0:f>
        <ns0:v/>
      </ns0:c>
      <ns0:c r="H1601" s="28" t="str">
        <ns0:f>IF(A1601="","",IF(C1601&lt;=0,"Satış dışı",IF(OR(F1601="",G1601=""),"Eşleşmedi","Eşleşti")))</ns0:f>
        <ns0:v/>
      </ns0:c>
      <ns0:c r="I1601" s="28">
        <ns0:f>I1600+IF(AND(H1601="Eşleşmedi",E1601='Panel'!$B$4),1,0)</ns0:f>
        <ns0:v>3.0</ns0:v>
      </ns0:c>
    </ns0:row>
    <ns0:row r="1602" ht="21" customHeight="1">
      <ns0:c r="A1602" s="25" t="n"/>
      <ns0:c r="B1602" s="26" t="n"/>
      <ns0:c r="C1602" s="27" t="n"/>
      <ns0:c r="D1602" s="27" t="n"/>
      <ns0:c r="E1602" s="28" t="str">
        <ns0:f>IF(A1602="","",YEAR(A1602)&amp;"-"&amp;RIGHT("0"&amp;MONTH(A1602),2))</ns0:f>
        <ns0:v/>
      </ns0:c>
      <ns0:c r="F1602" s="28" t="str">
        <ns0:f>IF(OR(A1602="",B1602="",C1602&lt;=0),"",IF(SUMPRODUCT(('Müşteriler'!$B$2:$B$101&lt;&gt;"")*ISNUMBER(SEARCH('Müşteriler'!$B$2:$B$101,B1602)))=1,IFERROR(INDEX('Müşteriler'!$A$2:$A$101,SUMPRODUCT(('Müşteriler'!$B$2:$B$101&lt;&gt;"")*ISNUMBER(SEARCH('Müşteriler'!$B$2:$B$101,B1602)),ROW('Müşteriler'!$B$2:$B$101)-ROW('Müşteriler'!$B$2)+1)),""),""))</ns0:f>
        <ns0:v/>
      </ns0:c>
      <ns0:c r="G1602" s="28" t="str">
        <ns0:f>IF(F1602="","",IFERROR(INDEX('Müşteriler'!$C$2:$C$101,MATCH(F1602,'Müşteriler'!$A$2:$A$101,0)),""))</ns0:f>
        <ns0:v/>
      </ns0:c>
      <ns0:c r="H1602" s="28" t="str">
        <ns0:f>IF(A1602="","",IF(C1602&lt;=0,"Satış dışı",IF(OR(F1602="",G1602=""),"Eşleşmedi","Eşleşti")))</ns0:f>
        <ns0:v/>
      </ns0:c>
      <ns0:c r="I1602" s="28">
        <ns0:f>I1601+IF(AND(H1602="Eşleşmedi",E1602='Panel'!$B$4),1,0)</ns0:f>
        <ns0:v>3.0</ns0:v>
      </ns0:c>
    </ns0:row>
    <ns0:row r="1603" ht="21" customHeight="1">
      <ns0:c r="A1603" s="25" t="n"/>
      <ns0:c r="B1603" s="26" t="n"/>
      <ns0:c r="C1603" s="27" t="n"/>
      <ns0:c r="D1603" s="27" t="n"/>
      <ns0:c r="E1603" s="28" t="str">
        <ns0:f>IF(A1603="","",YEAR(A1603)&amp;"-"&amp;RIGHT("0"&amp;MONTH(A1603),2))</ns0:f>
        <ns0:v/>
      </ns0:c>
      <ns0:c r="F1603" s="28" t="str">
        <ns0:f>IF(OR(A1603="",B1603="",C1603&lt;=0),"",IF(SUMPRODUCT(('Müşteriler'!$B$2:$B$101&lt;&gt;"")*ISNUMBER(SEARCH('Müşteriler'!$B$2:$B$101,B1603)))=1,IFERROR(INDEX('Müşteriler'!$A$2:$A$101,SUMPRODUCT(('Müşteriler'!$B$2:$B$101&lt;&gt;"")*ISNUMBER(SEARCH('Müşteriler'!$B$2:$B$101,B1603)),ROW('Müşteriler'!$B$2:$B$101)-ROW('Müşteriler'!$B$2)+1)),""),""))</ns0:f>
        <ns0:v/>
      </ns0:c>
      <ns0:c r="G1603" s="28" t="str">
        <ns0:f>IF(F1603="","",IFERROR(INDEX('Müşteriler'!$C$2:$C$101,MATCH(F1603,'Müşteriler'!$A$2:$A$101,0)),""))</ns0:f>
        <ns0:v/>
      </ns0:c>
      <ns0:c r="H1603" s="28" t="str">
        <ns0:f>IF(A1603="","",IF(C1603&lt;=0,"Satış dışı",IF(OR(F1603="",G1603=""),"Eşleşmedi","Eşleşti")))</ns0:f>
        <ns0:v/>
      </ns0:c>
      <ns0:c r="I1603" s="28">
        <ns0:f>I1602+IF(AND(H1603="Eşleşmedi",E1603='Panel'!$B$4),1,0)</ns0:f>
        <ns0:v>3.0</ns0:v>
      </ns0:c>
    </ns0:row>
    <ns0:row r="1604" ht="21" customHeight="1">
      <ns0:c r="A1604" s="25" t="n"/>
      <ns0:c r="B1604" s="26" t="n"/>
      <ns0:c r="C1604" s="27" t="n"/>
      <ns0:c r="D1604" s="27" t="n"/>
      <ns0:c r="E1604" s="28" t="str">
        <ns0:f>IF(A1604="","",YEAR(A1604)&amp;"-"&amp;RIGHT("0"&amp;MONTH(A1604),2))</ns0:f>
        <ns0:v/>
      </ns0:c>
      <ns0:c r="F1604" s="28" t="str">
        <ns0:f>IF(OR(A1604="",B1604="",C1604&lt;=0),"",IF(SUMPRODUCT(('Müşteriler'!$B$2:$B$101&lt;&gt;"")*ISNUMBER(SEARCH('Müşteriler'!$B$2:$B$101,B1604)))=1,IFERROR(INDEX('Müşteriler'!$A$2:$A$101,SUMPRODUCT(('Müşteriler'!$B$2:$B$101&lt;&gt;"")*ISNUMBER(SEARCH('Müşteriler'!$B$2:$B$101,B1604)),ROW('Müşteriler'!$B$2:$B$101)-ROW('Müşteriler'!$B$2)+1)),""),""))</ns0:f>
        <ns0:v/>
      </ns0:c>
      <ns0:c r="G1604" s="28" t="str">
        <ns0:f>IF(F1604="","",IFERROR(INDEX('Müşteriler'!$C$2:$C$101,MATCH(F1604,'Müşteriler'!$A$2:$A$101,0)),""))</ns0:f>
        <ns0:v/>
      </ns0:c>
      <ns0:c r="H1604" s="28" t="str">
        <ns0:f>IF(A1604="","",IF(C1604&lt;=0,"Satış dışı",IF(OR(F1604="",G1604=""),"Eşleşmedi","Eşleşti")))</ns0:f>
        <ns0:v/>
      </ns0:c>
      <ns0:c r="I1604" s="28">
        <ns0:f>I1603+IF(AND(H1604="Eşleşmedi",E1604='Panel'!$B$4),1,0)</ns0:f>
        <ns0:v>3.0</ns0:v>
      </ns0:c>
    </ns0:row>
    <ns0:row r="1605" ht="21" customHeight="1">
      <ns0:c r="A1605" s="25" t="n"/>
      <ns0:c r="B1605" s="26" t="n"/>
      <ns0:c r="C1605" s="27" t="n"/>
      <ns0:c r="D1605" s="27" t="n"/>
      <ns0:c r="E1605" s="28" t="str">
        <ns0:f>IF(A1605="","",YEAR(A1605)&amp;"-"&amp;RIGHT("0"&amp;MONTH(A1605),2))</ns0:f>
        <ns0:v/>
      </ns0:c>
      <ns0:c r="F1605" s="28" t="str">
        <ns0:f>IF(OR(A1605="",B1605="",C1605&lt;=0),"",IF(SUMPRODUCT(('Müşteriler'!$B$2:$B$101&lt;&gt;"")*ISNUMBER(SEARCH('Müşteriler'!$B$2:$B$101,B1605)))=1,IFERROR(INDEX('Müşteriler'!$A$2:$A$101,SUMPRODUCT(('Müşteriler'!$B$2:$B$101&lt;&gt;"")*ISNUMBER(SEARCH('Müşteriler'!$B$2:$B$101,B1605)),ROW('Müşteriler'!$B$2:$B$101)-ROW('Müşteriler'!$B$2)+1)),""),""))</ns0:f>
        <ns0:v/>
      </ns0:c>
      <ns0:c r="G1605" s="28" t="str">
        <ns0:f>IF(F1605="","",IFERROR(INDEX('Müşteriler'!$C$2:$C$101,MATCH(F1605,'Müşteriler'!$A$2:$A$101,0)),""))</ns0:f>
        <ns0:v/>
      </ns0:c>
      <ns0:c r="H1605" s="28" t="str">
        <ns0:f>IF(A1605="","",IF(C1605&lt;=0,"Satış dışı",IF(OR(F1605="",G1605=""),"Eşleşmedi","Eşleşti")))</ns0:f>
        <ns0:v/>
      </ns0:c>
      <ns0:c r="I1605" s="28">
        <ns0:f>I1604+IF(AND(H1605="Eşleşmedi",E1605='Panel'!$B$4),1,0)</ns0:f>
        <ns0:v>3.0</ns0:v>
      </ns0:c>
    </ns0:row>
    <ns0:row r="1606" ht="21" customHeight="1">
      <ns0:c r="A1606" s="25" t="n"/>
      <ns0:c r="B1606" s="26" t="n"/>
      <ns0:c r="C1606" s="27" t="n"/>
      <ns0:c r="D1606" s="27" t="n"/>
      <ns0:c r="E1606" s="28" t="str">
        <ns0:f>IF(A1606="","",YEAR(A1606)&amp;"-"&amp;RIGHT("0"&amp;MONTH(A1606),2))</ns0:f>
        <ns0:v/>
      </ns0:c>
      <ns0:c r="F1606" s="28" t="str">
        <ns0:f>IF(OR(A1606="",B1606="",C1606&lt;=0),"",IF(SUMPRODUCT(('Müşteriler'!$B$2:$B$101&lt;&gt;"")*ISNUMBER(SEARCH('Müşteriler'!$B$2:$B$101,B1606)))=1,IFERROR(INDEX('Müşteriler'!$A$2:$A$101,SUMPRODUCT(('Müşteriler'!$B$2:$B$101&lt;&gt;"")*ISNUMBER(SEARCH('Müşteriler'!$B$2:$B$101,B1606)),ROW('Müşteriler'!$B$2:$B$101)-ROW('Müşteriler'!$B$2)+1)),""),""))</ns0:f>
        <ns0:v/>
      </ns0:c>
      <ns0:c r="G1606" s="28" t="str">
        <ns0:f>IF(F1606="","",IFERROR(INDEX('Müşteriler'!$C$2:$C$101,MATCH(F1606,'Müşteriler'!$A$2:$A$101,0)),""))</ns0:f>
        <ns0:v/>
      </ns0:c>
      <ns0:c r="H1606" s="28" t="str">
        <ns0:f>IF(A1606="","",IF(C1606&lt;=0,"Satış dışı",IF(OR(F1606="",G1606=""),"Eşleşmedi","Eşleşti")))</ns0:f>
        <ns0:v/>
      </ns0:c>
      <ns0:c r="I1606" s="28">
        <ns0:f>I1605+IF(AND(H1606="Eşleşmedi",E1606='Panel'!$B$4),1,0)</ns0:f>
        <ns0:v>3.0</ns0:v>
      </ns0:c>
    </ns0:row>
    <ns0:row r="1607" ht="21" customHeight="1">
      <ns0:c r="A1607" s="25" t="n"/>
      <ns0:c r="B1607" s="26" t="n"/>
      <ns0:c r="C1607" s="27" t="n"/>
      <ns0:c r="D1607" s="27" t="n"/>
      <ns0:c r="E1607" s="28" t="str">
        <ns0:f>IF(A1607="","",YEAR(A1607)&amp;"-"&amp;RIGHT("0"&amp;MONTH(A1607),2))</ns0:f>
        <ns0:v/>
      </ns0:c>
      <ns0:c r="F1607" s="28" t="str">
        <ns0:f>IF(OR(A1607="",B1607="",C1607&lt;=0),"",IF(SUMPRODUCT(('Müşteriler'!$B$2:$B$101&lt;&gt;"")*ISNUMBER(SEARCH('Müşteriler'!$B$2:$B$101,B1607)))=1,IFERROR(INDEX('Müşteriler'!$A$2:$A$101,SUMPRODUCT(('Müşteriler'!$B$2:$B$101&lt;&gt;"")*ISNUMBER(SEARCH('Müşteriler'!$B$2:$B$101,B1607)),ROW('Müşteriler'!$B$2:$B$101)-ROW('Müşteriler'!$B$2)+1)),""),""))</ns0:f>
        <ns0:v/>
      </ns0:c>
      <ns0:c r="G1607" s="28" t="str">
        <ns0:f>IF(F1607="","",IFERROR(INDEX('Müşteriler'!$C$2:$C$101,MATCH(F1607,'Müşteriler'!$A$2:$A$101,0)),""))</ns0:f>
        <ns0:v/>
      </ns0:c>
      <ns0:c r="H1607" s="28" t="str">
        <ns0:f>IF(A1607="","",IF(C1607&lt;=0,"Satış dışı",IF(OR(F1607="",G1607=""),"Eşleşmedi","Eşleşti")))</ns0:f>
        <ns0:v/>
      </ns0:c>
      <ns0:c r="I1607" s="28">
        <ns0:f>I1606+IF(AND(H1607="Eşleşmedi",E1607='Panel'!$B$4),1,0)</ns0:f>
        <ns0:v>3.0</ns0:v>
      </ns0:c>
    </ns0:row>
    <ns0:row r="1608" ht="21" customHeight="1">
      <ns0:c r="A1608" s="25" t="n"/>
      <ns0:c r="B1608" s="26" t="n"/>
      <ns0:c r="C1608" s="27" t="n"/>
      <ns0:c r="D1608" s="27" t="n"/>
      <ns0:c r="E1608" s="28" t="str">
        <ns0:f>IF(A1608="","",YEAR(A1608)&amp;"-"&amp;RIGHT("0"&amp;MONTH(A1608),2))</ns0:f>
        <ns0:v/>
      </ns0:c>
      <ns0:c r="F1608" s="28" t="str">
        <ns0:f>IF(OR(A1608="",B1608="",C1608&lt;=0),"",IF(SUMPRODUCT(('Müşteriler'!$B$2:$B$101&lt;&gt;"")*ISNUMBER(SEARCH('Müşteriler'!$B$2:$B$101,B1608)))=1,IFERROR(INDEX('Müşteriler'!$A$2:$A$101,SUMPRODUCT(('Müşteriler'!$B$2:$B$101&lt;&gt;"")*ISNUMBER(SEARCH('Müşteriler'!$B$2:$B$101,B1608)),ROW('Müşteriler'!$B$2:$B$101)-ROW('Müşteriler'!$B$2)+1)),""),""))</ns0:f>
        <ns0:v/>
      </ns0:c>
      <ns0:c r="G1608" s="28" t="str">
        <ns0:f>IF(F1608="","",IFERROR(INDEX('Müşteriler'!$C$2:$C$101,MATCH(F1608,'Müşteriler'!$A$2:$A$101,0)),""))</ns0:f>
        <ns0:v/>
      </ns0:c>
      <ns0:c r="H1608" s="28" t="str">
        <ns0:f>IF(A1608="","",IF(C1608&lt;=0,"Satış dışı",IF(OR(F1608="",G1608=""),"Eşleşmedi","Eşleşti")))</ns0:f>
        <ns0:v/>
      </ns0:c>
      <ns0:c r="I1608" s="28">
        <ns0:f>I1607+IF(AND(H1608="Eşleşmedi",E1608='Panel'!$B$4),1,0)</ns0:f>
        <ns0:v>3.0</ns0:v>
      </ns0:c>
    </ns0:row>
    <ns0:row r="1609" ht="21" customHeight="1">
      <ns0:c r="A1609" s="25" t="n"/>
      <ns0:c r="B1609" s="26" t="n"/>
      <ns0:c r="C1609" s="27" t="n"/>
      <ns0:c r="D1609" s="27" t="n"/>
      <ns0:c r="E1609" s="28" t="str">
        <ns0:f>IF(A1609="","",YEAR(A1609)&amp;"-"&amp;RIGHT("0"&amp;MONTH(A1609),2))</ns0:f>
        <ns0:v/>
      </ns0:c>
      <ns0:c r="F1609" s="28" t="str">
        <ns0:f>IF(OR(A1609="",B1609="",C1609&lt;=0),"",IF(SUMPRODUCT(('Müşteriler'!$B$2:$B$101&lt;&gt;"")*ISNUMBER(SEARCH('Müşteriler'!$B$2:$B$101,B1609)))=1,IFERROR(INDEX('Müşteriler'!$A$2:$A$101,SUMPRODUCT(('Müşteriler'!$B$2:$B$101&lt;&gt;"")*ISNUMBER(SEARCH('Müşteriler'!$B$2:$B$101,B1609)),ROW('Müşteriler'!$B$2:$B$101)-ROW('Müşteriler'!$B$2)+1)),""),""))</ns0:f>
        <ns0:v/>
      </ns0:c>
      <ns0:c r="G1609" s="28" t="str">
        <ns0:f>IF(F1609="","",IFERROR(INDEX('Müşteriler'!$C$2:$C$101,MATCH(F1609,'Müşteriler'!$A$2:$A$101,0)),""))</ns0:f>
        <ns0:v/>
      </ns0:c>
      <ns0:c r="H1609" s="28" t="str">
        <ns0:f>IF(A1609="","",IF(C1609&lt;=0,"Satış dışı",IF(OR(F1609="",G1609=""),"Eşleşmedi","Eşleşti")))</ns0:f>
        <ns0:v/>
      </ns0:c>
      <ns0:c r="I1609" s="28">
        <ns0:f>I1608+IF(AND(H1609="Eşleşmedi",E1609='Panel'!$B$4),1,0)</ns0:f>
        <ns0:v>3.0</ns0:v>
      </ns0:c>
    </ns0:row>
    <ns0:row r="1610" ht="21" customHeight="1">
      <ns0:c r="A1610" s="25" t="n"/>
      <ns0:c r="B1610" s="26" t="n"/>
      <ns0:c r="C1610" s="27" t="n"/>
      <ns0:c r="D1610" s="27" t="n"/>
      <ns0:c r="E1610" s="28" t="str">
        <ns0:f>IF(A1610="","",YEAR(A1610)&amp;"-"&amp;RIGHT("0"&amp;MONTH(A1610),2))</ns0:f>
        <ns0:v/>
      </ns0:c>
      <ns0:c r="F1610" s="28" t="str">
        <ns0:f>IF(OR(A1610="",B1610="",C1610&lt;=0),"",IF(SUMPRODUCT(('Müşteriler'!$B$2:$B$101&lt;&gt;"")*ISNUMBER(SEARCH('Müşteriler'!$B$2:$B$101,B1610)))=1,IFERROR(INDEX('Müşteriler'!$A$2:$A$101,SUMPRODUCT(('Müşteriler'!$B$2:$B$101&lt;&gt;"")*ISNUMBER(SEARCH('Müşteriler'!$B$2:$B$101,B1610)),ROW('Müşteriler'!$B$2:$B$101)-ROW('Müşteriler'!$B$2)+1)),""),""))</ns0:f>
        <ns0:v/>
      </ns0:c>
      <ns0:c r="G1610" s="28" t="str">
        <ns0:f>IF(F1610="","",IFERROR(INDEX('Müşteriler'!$C$2:$C$101,MATCH(F1610,'Müşteriler'!$A$2:$A$101,0)),""))</ns0:f>
        <ns0:v/>
      </ns0:c>
      <ns0:c r="H1610" s="28" t="str">
        <ns0:f>IF(A1610="","",IF(C1610&lt;=0,"Satış dışı",IF(OR(F1610="",G1610=""),"Eşleşmedi","Eşleşti")))</ns0:f>
        <ns0:v/>
      </ns0:c>
      <ns0:c r="I1610" s="28">
        <ns0:f>I1609+IF(AND(H1610="Eşleşmedi",E1610='Panel'!$B$4),1,0)</ns0:f>
        <ns0:v>3.0</ns0:v>
      </ns0:c>
    </ns0:row>
    <ns0:row r="1611" ht="21" customHeight="1">
      <ns0:c r="A1611" s="25" t="n"/>
      <ns0:c r="B1611" s="26" t="n"/>
      <ns0:c r="C1611" s="27" t="n"/>
      <ns0:c r="D1611" s="27" t="n"/>
      <ns0:c r="E1611" s="28" t="str">
        <ns0:f>IF(A1611="","",YEAR(A1611)&amp;"-"&amp;RIGHT("0"&amp;MONTH(A1611),2))</ns0:f>
        <ns0:v/>
      </ns0:c>
      <ns0:c r="F1611" s="28" t="str">
        <ns0:f>IF(OR(A1611="",B1611="",C1611&lt;=0),"",IF(SUMPRODUCT(('Müşteriler'!$B$2:$B$101&lt;&gt;"")*ISNUMBER(SEARCH('Müşteriler'!$B$2:$B$101,B1611)))=1,IFERROR(INDEX('Müşteriler'!$A$2:$A$101,SUMPRODUCT(('Müşteriler'!$B$2:$B$101&lt;&gt;"")*ISNUMBER(SEARCH('Müşteriler'!$B$2:$B$101,B1611)),ROW('Müşteriler'!$B$2:$B$101)-ROW('Müşteriler'!$B$2)+1)),""),""))</ns0:f>
        <ns0:v/>
      </ns0:c>
      <ns0:c r="G1611" s="28" t="str">
        <ns0:f>IF(F1611="","",IFERROR(INDEX('Müşteriler'!$C$2:$C$101,MATCH(F1611,'Müşteriler'!$A$2:$A$101,0)),""))</ns0:f>
        <ns0:v/>
      </ns0:c>
      <ns0:c r="H1611" s="28" t="str">
        <ns0:f>IF(A1611="","",IF(C1611&lt;=0,"Satış dışı",IF(OR(F1611="",G1611=""),"Eşleşmedi","Eşleşti")))</ns0:f>
        <ns0:v/>
      </ns0:c>
      <ns0:c r="I1611" s="28">
        <ns0:f>I1610+IF(AND(H1611="Eşleşmedi",E1611='Panel'!$B$4),1,0)</ns0:f>
        <ns0:v>3.0</ns0:v>
      </ns0:c>
    </ns0:row>
    <ns0:row r="1612" ht="21" customHeight="1">
      <ns0:c r="A1612" s="25" t="n"/>
      <ns0:c r="B1612" s="26" t="n"/>
      <ns0:c r="C1612" s="27" t="n"/>
      <ns0:c r="D1612" s="27" t="n"/>
      <ns0:c r="E1612" s="28" t="str">
        <ns0:f>IF(A1612="","",YEAR(A1612)&amp;"-"&amp;RIGHT("0"&amp;MONTH(A1612),2))</ns0:f>
        <ns0:v/>
      </ns0:c>
      <ns0:c r="F1612" s="28" t="str">
        <ns0:f>IF(OR(A1612="",B1612="",C1612&lt;=0),"",IF(SUMPRODUCT(('Müşteriler'!$B$2:$B$101&lt;&gt;"")*ISNUMBER(SEARCH('Müşteriler'!$B$2:$B$101,B1612)))=1,IFERROR(INDEX('Müşteriler'!$A$2:$A$101,SUMPRODUCT(('Müşteriler'!$B$2:$B$101&lt;&gt;"")*ISNUMBER(SEARCH('Müşteriler'!$B$2:$B$101,B1612)),ROW('Müşteriler'!$B$2:$B$101)-ROW('Müşteriler'!$B$2)+1)),""),""))</ns0:f>
        <ns0:v/>
      </ns0:c>
      <ns0:c r="G1612" s="28" t="str">
        <ns0:f>IF(F1612="","",IFERROR(INDEX('Müşteriler'!$C$2:$C$101,MATCH(F1612,'Müşteriler'!$A$2:$A$101,0)),""))</ns0:f>
        <ns0:v/>
      </ns0:c>
      <ns0:c r="H1612" s="28" t="str">
        <ns0:f>IF(A1612="","",IF(C1612&lt;=0,"Satış dışı",IF(OR(F1612="",G1612=""),"Eşleşmedi","Eşleşti")))</ns0:f>
        <ns0:v/>
      </ns0:c>
      <ns0:c r="I1612" s="28">
        <ns0:f>I1611+IF(AND(H1612="Eşleşmedi",E1612='Panel'!$B$4),1,0)</ns0:f>
        <ns0:v>3.0</ns0:v>
      </ns0:c>
    </ns0:row>
    <ns0:row r="1613" ht="21" customHeight="1">
      <ns0:c r="A1613" s="25" t="n"/>
      <ns0:c r="B1613" s="26" t="n"/>
      <ns0:c r="C1613" s="27" t="n"/>
      <ns0:c r="D1613" s="27" t="n"/>
      <ns0:c r="E1613" s="28" t="str">
        <ns0:f>IF(A1613="","",YEAR(A1613)&amp;"-"&amp;RIGHT("0"&amp;MONTH(A1613),2))</ns0:f>
        <ns0:v/>
      </ns0:c>
      <ns0:c r="F1613" s="28" t="str">
        <ns0:f>IF(OR(A1613="",B1613="",C1613&lt;=0),"",IF(SUMPRODUCT(('Müşteriler'!$B$2:$B$101&lt;&gt;"")*ISNUMBER(SEARCH('Müşteriler'!$B$2:$B$101,B1613)))=1,IFERROR(INDEX('Müşteriler'!$A$2:$A$101,SUMPRODUCT(('Müşteriler'!$B$2:$B$101&lt;&gt;"")*ISNUMBER(SEARCH('Müşteriler'!$B$2:$B$101,B1613)),ROW('Müşteriler'!$B$2:$B$101)-ROW('Müşteriler'!$B$2)+1)),""),""))</ns0:f>
        <ns0:v/>
      </ns0:c>
      <ns0:c r="G1613" s="28" t="str">
        <ns0:f>IF(F1613="","",IFERROR(INDEX('Müşteriler'!$C$2:$C$101,MATCH(F1613,'Müşteriler'!$A$2:$A$101,0)),""))</ns0:f>
        <ns0:v/>
      </ns0:c>
      <ns0:c r="H1613" s="28" t="str">
        <ns0:f>IF(A1613="","",IF(C1613&lt;=0,"Satış dışı",IF(OR(F1613="",G1613=""),"Eşleşmedi","Eşleşti")))</ns0:f>
        <ns0:v/>
      </ns0:c>
      <ns0:c r="I1613" s="28">
        <ns0:f>I1612+IF(AND(H1613="Eşleşmedi",E1613='Panel'!$B$4),1,0)</ns0:f>
        <ns0:v>3.0</ns0:v>
      </ns0:c>
    </ns0:row>
    <ns0:row r="1614" ht="21" customHeight="1">
      <ns0:c r="A1614" s="25" t="n"/>
      <ns0:c r="B1614" s="26" t="n"/>
      <ns0:c r="C1614" s="27" t="n"/>
      <ns0:c r="D1614" s="27" t="n"/>
      <ns0:c r="E1614" s="28" t="str">
        <ns0:f>IF(A1614="","",YEAR(A1614)&amp;"-"&amp;RIGHT("0"&amp;MONTH(A1614),2))</ns0:f>
        <ns0:v/>
      </ns0:c>
      <ns0:c r="F1614" s="28" t="str">
        <ns0:f>IF(OR(A1614="",B1614="",C1614&lt;=0),"",IF(SUMPRODUCT(('Müşteriler'!$B$2:$B$101&lt;&gt;"")*ISNUMBER(SEARCH('Müşteriler'!$B$2:$B$101,B1614)))=1,IFERROR(INDEX('Müşteriler'!$A$2:$A$101,SUMPRODUCT(('Müşteriler'!$B$2:$B$101&lt;&gt;"")*ISNUMBER(SEARCH('Müşteriler'!$B$2:$B$101,B1614)),ROW('Müşteriler'!$B$2:$B$101)-ROW('Müşteriler'!$B$2)+1)),""),""))</ns0:f>
        <ns0:v/>
      </ns0:c>
      <ns0:c r="G1614" s="28" t="str">
        <ns0:f>IF(F1614="","",IFERROR(INDEX('Müşteriler'!$C$2:$C$101,MATCH(F1614,'Müşteriler'!$A$2:$A$101,0)),""))</ns0:f>
        <ns0:v/>
      </ns0:c>
      <ns0:c r="H1614" s="28" t="str">
        <ns0:f>IF(A1614="","",IF(C1614&lt;=0,"Satış dışı",IF(OR(F1614="",G1614=""),"Eşleşmedi","Eşleşti")))</ns0:f>
        <ns0:v/>
      </ns0:c>
      <ns0:c r="I1614" s="28">
        <ns0:f>I1613+IF(AND(H1614="Eşleşmedi",E1614='Panel'!$B$4),1,0)</ns0:f>
        <ns0:v>3.0</ns0:v>
      </ns0:c>
    </ns0:row>
    <ns0:row r="1615" ht="21" customHeight="1">
      <ns0:c r="A1615" s="25" t="n"/>
      <ns0:c r="B1615" s="26" t="n"/>
      <ns0:c r="C1615" s="27" t="n"/>
      <ns0:c r="D1615" s="27" t="n"/>
      <ns0:c r="E1615" s="28" t="str">
        <ns0:f>IF(A1615="","",YEAR(A1615)&amp;"-"&amp;RIGHT("0"&amp;MONTH(A1615),2))</ns0:f>
        <ns0:v/>
      </ns0:c>
      <ns0:c r="F1615" s="28" t="str">
        <ns0:f>IF(OR(A1615="",B1615="",C1615&lt;=0),"",IF(SUMPRODUCT(('Müşteriler'!$B$2:$B$101&lt;&gt;"")*ISNUMBER(SEARCH('Müşteriler'!$B$2:$B$101,B1615)))=1,IFERROR(INDEX('Müşteriler'!$A$2:$A$101,SUMPRODUCT(('Müşteriler'!$B$2:$B$101&lt;&gt;"")*ISNUMBER(SEARCH('Müşteriler'!$B$2:$B$101,B1615)),ROW('Müşteriler'!$B$2:$B$101)-ROW('Müşteriler'!$B$2)+1)),""),""))</ns0:f>
        <ns0:v/>
      </ns0:c>
      <ns0:c r="G1615" s="28" t="str">
        <ns0:f>IF(F1615="","",IFERROR(INDEX('Müşteriler'!$C$2:$C$101,MATCH(F1615,'Müşteriler'!$A$2:$A$101,0)),""))</ns0:f>
        <ns0:v/>
      </ns0:c>
      <ns0:c r="H1615" s="28" t="str">
        <ns0:f>IF(A1615="","",IF(C1615&lt;=0,"Satış dışı",IF(OR(F1615="",G1615=""),"Eşleşmedi","Eşleşti")))</ns0:f>
        <ns0:v/>
      </ns0:c>
      <ns0:c r="I1615" s="28">
        <ns0:f>I1614+IF(AND(H1615="Eşleşmedi",E1615='Panel'!$B$4),1,0)</ns0:f>
        <ns0:v>3.0</ns0:v>
      </ns0:c>
    </ns0:row>
    <ns0:row r="1616" ht="21" customHeight="1">
      <ns0:c r="A1616" s="25" t="n"/>
      <ns0:c r="B1616" s="26" t="n"/>
      <ns0:c r="C1616" s="27" t="n"/>
      <ns0:c r="D1616" s="27" t="n"/>
      <ns0:c r="E1616" s="28" t="str">
        <ns0:f>IF(A1616="","",YEAR(A1616)&amp;"-"&amp;RIGHT("0"&amp;MONTH(A1616),2))</ns0:f>
        <ns0:v/>
      </ns0:c>
      <ns0:c r="F1616" s="28" t="str">
        <ns0:f>IF(OR(A1616="",B1616="",C1616&lt;=0),"",IF(SUMPRODUCT(('Müşteriler'!$B$2:$B$101&lt;&gt;"")*ISNUMBER(SEARCH('Müşteriler'!$B$2:$B$101,B1616)))=1,IFERROR(INDEX('Müşteriler'!$A$2:$A$101,SUMPRODUCT(('Müşteriler'!$B$2:$B$101&lt;&gt;"")*ISNUMBER(SEARCH('Müşteriler'!$B$2:$B$101,B1616)),ROW('Müşteriler'!$B$2:$B$101)-ROW('Müşteriler'!$B$2)+1)),""),""))</ns0:f>
        <ns0:v/>
      </ns0:c>
      <ns0:c r="G1616" s="28" t="str">
        <ns0:f>IF(F1616="","",IFERROR(INDEX('Müşteriler'!$C$2:$C$101,MATCH(F1616,'Müşteriler'!$A$2:$A$101,0)),""))</ns0:f>
        <ns0:v/>
      </ns0:c>
      <ns0:c r="H1616" s="28" t="str">
        <ns0:f>IF(A1616="","",IF(C1616&lt;=0,"Satış dışı",IF(OR(F1616="",G1616=""),"Eşleşmedi","Eşleşti")))</ns0:f>
        <ns0:v/>
      </ns0:c>
      <ns0:c r="I1616" s="28">
        <ns0:f>I1615+IF(AND(H1616="Eşleşmedi",E1616='Panel'!$B$4),1,0)</ns0:f>
        <ns0:v>3.0</ns0:v>
      </ns0:c>
    </ns0:row>
    <ns0:row r="1617" ht="21" customHeight="1">
      <ns0:c r="A1617" s="25" t="n"/>
      <ns0:c r="B1617" s="26" t="n"/>
      <ns0:c r="C1617" s="27" t="n"/>
      <ns0:c r="D1617" s="27" t="n"/>
      <ns0:c r="E1617" s="28" t="str">
        <ns0:f>IF(A1617="","",YEAR(A1617)&amp;"-"&amp;RIGHT("0"&amp;MONTH(A1617),2))</ns0:f>
        <ns0:v/>
      </ns0:c>
      <ns0:c r="F1617" s="28" t="str">
        <ns0:f>IF(OR(A1617="",B1617="",C1617&lt;=0),"",IF(SUMPRODUCT(('Müşteriler'!$B$2:$B$101&lt;&gt;"")*ISNUMBER(SEARCH('Müşteriler'!$B$2:$B$101,B1617)))=1,IFERROR(INDEX('Müşteriler'!$A$2:$A$101,SUMPRODUCT(('Müşteriler'!$B$2:$B$101&lt;&gt;"")*ISNUMBER(SEARCH('Müşteriler'!$B$2:$B$101,B1617)),ROW('Müşteriler'!$B$2:$B$101)-ROW('Müşteriler'!$B$2)+1)),""),""))</ns0:f>
        <ns0:v/>
      </ns0:c>
      <ns0:c r="G1617" s="28" t="str">
        <ns0:f>IF(F1617="","",IFERROR(INDEX('Müşteriler'!$C$2:$C$101,MATCH(F1617,'Müşteriler'!$A$2:$A$101,0)),""))</ns0:f>
        <ns0:v/>
      </ns0:c>
      <ns0:c r="H1617" s="28" t="str">
        <ns0:f>IF(A1617="","",IF(C1617&lt;=0,"Satış dışı",IF(OR(F1617="",G1617=""),"Eşleşmedi","Eşleşti")))</ns0:f>
        <ns0:v/>
      </ns0:c>
      <ns0:c r="I1617" s="28">
        <ns0:f>I1616+IF(AND(H1617="Eşleşmedi",E1617='Panel'!$B$4),1,0)</ns0:f>
        <ns0:v>3.0</ns0:v>
      </ns0:c>
    </ns0:row>
    <ns0:row r="1618" ht="21" customHeight="1">
      <ns0:c r="A1618" s="25" t="n"/>
      <ns0:c r="B1618" s="26" t="n"/>
      <ns0:c r="C1618" s="27" t="n"/>
      <ns0:c r="D1618" s="27" t="n"/>
      <ns0:c r="E1618" s="28" t="str">
        <ns0:f>IF(A1618="","",YEAR(A1618)&amp;"-"&amp;RIGHT("0"&amp;MONTH(A1618),2))</ns0:f>
        <ns0:v/>
      </ns0:c>
      <ns0:c r="F1618" s="28" t="str">
        <ns0:f>IF(OR(A1618="",B1618="",C1618&lt;=0),"",IF(SUMPRODUCT(('Müşteriler'!$B$2:$B$101&lt;&gt;"")*ISNUMBER(SEARCH('Müşteriler'!$B$2:$B$101,B1618)))=1,IFERROR(INDEX('Müşteriler'!$A$2:$A$101,SUMPRODUCT(('Müşteriler'!$B$2:$B$101&lt;&gt;"")*ISNUMBER(SEARCH('Müşteriler'!$B$2:$B$101,B1618)),ROW('Müşteriler'!$B$2:$B$101)-ROW('Müşteriler'!$B$2)+1)),""),""))</ns0:f>
        <ns0:v/>
      </ns0:c>
      <ns0:c r="G1618" s="28" t="str">
        <ns0:f>IF(F1618="","",IFERROR(INDEX('Müşteriler'!$C$2:$C$101,MATCH(F1618,'Müşteriler'!$A$2:$A$101,0)),""))</ns0:f>
        <ns0:v/>
      </ns0:c>
      <ns0:c r="H1618" s="28" t="str">
        <ns0:f>IF(A1618="","",IF(C1618&lt;=0,"Satış dışı",IF(OR(F1618="",G1618=""),"Eşleşmedi","Eşleşti")))</ns0:f>
        <ns0:v/>
      </ns0:c>
      <ns0:c r="I1618" s="28">
        <ns0:f>I1617+IF(AND(H1618="Eşleşmedi",E1618='Panel'!$B$4),1,0)</ns0:f>
        <ns0:v>3.0</ns0:v>
      </ns0:c>
    </ns0:row>
    <ns0:row r="1619" ht="21" customHeight="1">
      <ns0:c r="A1619" s="25" t="n"/>
      <ns0:c r="B1619" s="26" t="n"/>
      <ns0:c r="C1619" s="27" t="n"/>
      <ns0:c r="D1619" s="27" t="n"/>
      <ns0:c r="E1619" s="28" t="str">
        <ns0:f>IF(A1619="","",YEAR(A1619)&amp;"-"&amp;RIGHT("0"&amp;MONTH(A1619),2))</ns0:f>
        <ns0:v/>
      </ns0:c>
      <ns0:c r="F1619" s="28" t="str">
        <ns0:f>IF(OR(A1619="",B1619="",C1619&lt;=0),"",IF(SUMPRODUCT(('Müşteriler'!$B$2:$B$101&lt;&gt;"")*ISNUMBER(SEARCH('Müşteriler'!$B$2:$B$101,B1619)))=1,IFERROR(INDEX('Müşteriler'!$A$2:$A$101,SUMPRODUCT(('Müşteriler'!$B$2:$B$101&lt;&gt;"")*ISNUMBER(SEARCH('Müşteriler'!$B$2:$B$101,B1619)),ROW('Müşteriler'!$B$2:$B$101)-ROW('Müşteriler'!$B$2)+1)),""),""))</ns0:f>
        <ns0:v/>
      </ns0:c>
      <ns0:c r="G1619" s="28" t="str">
        <ns0:f>IF(F1619="","",IFERROR(INDEX('Müşteriler'!$C$2:$C$101,MATCH(F1619,'Müşteriler'!$A$2:$A$101,0)),""))</ns0:f>
        <ns0:v/>
      </ns0:c>
      <ns0:c r="H1619" s="28" t="str">
        <ns0:f>IF(A1619="","",IF(C1619&lt;=0,"Satış dışı",IF(OR(F1619="",G1619=""),"Eşleşmedi","Eşleşti")))</ns0:f>
        <ns0:v/>
      </ns0:c>
      <ns0:c r="I1619" s="28">
        <ns0:f>I1618+IF(AND(H1619="Eşleşmedi",E1619='Panel'!$B$4),1,0)</ns0:f>
        <ns0:v>3.0</ns0:v>
      </ns0:c>
    </ns0:row>
    <ns0:row r="1620" ht="21" customHeight="1">
      <ns0:c r="A1620" s="25" t="n"/>
      <ns0:c r="B1620" s="26" t="n"/>
      <ns0:c r="C1620" s="27" t="n"/>
      <ns0:c r="D1620" s="27" t="n"/>
      <ns0:c r="E1620" s="28" t="str">
        <ns0:f>IF(A1620="","",YEAR(A1620)&amp;"-"&amp;RIGHT("0"&amp;MONTH(A1620),2))</ns0:f>
        <ns0:v/>
      </ns0:c>
      <ns0:c r="F1620" s="28" t="str">
        <ns0:f>IF(OR(A1620="",B1620="",C1620&lt;=0),"",IF(SUMPRODUCT(('Müşteriler'!$B$2:$B$101&lt;&gt;"")*ISNUMBER(SEARCH('Müşteriler'!$B$2:$B$101,B1620)))=1,IFERROR(INDEX('Müşteriler'!$A$2:$A$101,SUMPRODUCT(('Müşteriler'!$B$2:$B$101&lt;&gt;"")*ISNUMBER(SEARCH('Müşteriler'!$B$2:$B$101,B1620)),ROW('Müşteriler'!$B$2:$B$101)-ROW('Müşteriler'!$B$2)+1)),""),""))</ns0:f>
        <ns0:v/>
      </ns0:c>
      <ns0:c r="G1620" s="28" t="str">
        <ns0:f>IF(F1620="","",IFERROR(INDEX('Müşteriler'!$C$2:$C$101,MATCH(F1620,'Müşteriler'!$A$2:$A$101,0)),""))</ns0:f>
        <ns0:v/>
      </ns0:c>
      <ns0:c r="H1620" s="28" t="str">
        <ns0:f>IF(A1620="","",IF(C1620&lt;=0,"Satış dışı",IF(OR(F1620="",G1620=""),"Eşleşmedi","Eşleşti")))</ns0:f>
        <ns0:v/>
      </ns0:c>
      <ns0:c r="I1620" s="28">
        <ns0:f>I1619+IF(AND(H1620="Eşleşmedi",E1620='Panel'!$B$4),1,0)</ns0:f>
        <ns0:v>3.0</ns0:v>
      </ns0:c>
    </ns0:row>
    <ns0:row r="1621" ht="21" customHeight="1">
      <ns0:c r="A1621" s="25" t="n"/>
      <ns0:c r="B1621" s="26" t="n"/>
      <ns0:c r="C1621" s="27" t="n"/>
      <ns0:c r="D1621" s="27" t="n"/>
      <ns0:c r="E1621" s="28" t="str">
        <ns0:f>IF(A1621="","",YEAR(A1621)&amp;"-"&amp;RIGHT("0"&amp;MONTH(A1621),2))</ns0:f>
        <ns0:v/>
      </ns0:c>
      <ns0:c r="F1621" s="28" t="str">
        <ns0:f>IF(OR(A1621="",B1621="",C1621&lt;=0),"",IF(SUMPRODUCT(('Müşteriler'!$B$2:$B$101&lt;&gt;"")*ISNUMBER(SEARCH('Müşteriler'!$B$2:$B$101,B1621)))=1,IFERROR(INDEX('Müşteriler'!$A$2:$A$101,SUMPRODUCT(('Müşteriler'!$B$2:$B$101&lt;&gt;"")*ISNUMBER(SEARCH('Müşteriler'!$B$2:$B$101,B1621)),ROW('Müşteriler'!$B$2:$B$101)-ROW('Müşteriler'!$B$2)+1)),""),""))</ns0:f>
        <ns0:v/>
      </ns0:c>
      <ns0:c r="G1621" s="28" t="str">
        <ns0:f>IF(F1621="","",IFERROR(INDEX('Müşteriler'!$C$2:$C$101,MATCH(F1621,'Müşteriler'!$A$2:$A$101,0)),""))</ns0:f>
        <ns0:v/>
      </ns0:c>
      <ns0:c r="H1621" s="28" t="str">
        <ns0:f>IF(A1621="","",IF(C1621&lt;=0,"Satış dışı",IF(OR(F1621="",G1621=""),"Eşleşmedi","Eşleşti")))</ns0:f>
        <ns0:v/>
      </ns0:c>
      <ns0:c r="I1621" s="28">
        <ns0:f>I1620+IF(AND(H1621="Eşleşmedi",E1621='Panel'!$B$4),1,0)</ns0:f>
        <ns0:v>3.0</ns0:v>
      </ns0:c>
    </ns0:row>
    <ns0:row r="1622" ht="21" customHeight="1">
      <ns0:c r="A1622" s="25" t="n"/>
      <ns0:c r="B1622" s="26" t="n"/>
      <ns0:c r="C1622" s="27" t="n"/>
      <ns0:c r="D1622" s="27" t="n"/>
      <ns0:c r="E1622" s="28" t="str">
        <ns0:f>IF(A1622="","",YEAR(A1622)&amp;"-"&amp;RIGHT("0"&amp;MONTH(A1622),2))</ns0:f>
        <ns0:v/>
      </ns0:c>
      <ns0:c r="F1622" s="28" t="str">
        <ns0:f>IF(OR(A1622="",B1622="",C1622&lt;=0),"",IF(SUMPRODUCT(('Müşteriler'!$B$2:$B$101&lt;&gt;"")*ISNUMBER(SEARCH('Müşteriler'!$B$2:$B$101,B1622)))=1,IFERROR(INDEX('Müşteriler'!$A$2:$A$101,SUMPRODUCT(('Müşteriler'!$B$2:$B$101&lt;&gt;"")*ISNUMBER(SEARCH('Müşteriler'!$B$2:$B$101,B1622)),ROW('Müşteriler'!$B$2:$B$101)-ROW('Müşteriler'!$B$2)+1)),""),""))</ns0:f>
        <ns0:v/>
      </ns0:c>
      <ns0:c r="G1622" s="28" t="str">
        <ns0:f>IF(F1622="","",IFERROR(INDEX('Müşteriler'!$C$2:$C$101,MATCH(F1622,'Müşteriler'!$A$2:$A$101,0)),""))</ns0:f>
        <ns0:v/>
      </ns0:c>
      <ns0:c r="H1622" s="28" t="str">
        <ns0:f>IF(A1622="","",IF(C1622&lt;=0,"Satış dışı",IF(OR(F1622="",G1622=""),"Eşleşmedi","Eşleşti")))</ns0:f>
        <ns0:v/>
      </ns0:c>
      <ns0:c r="I1622" s="28">
        <ns0:f>I1621+IF(AND(H1622="Eşleşmedi",E1622='Panel'!$B$4),1,0)</ns0:f>
        <ns0:v>3.0</ns0:v>
      </ns0:c>
    </ns0:row>
    <ns0:row r="1623" ht="21" customHeight="1">
      <ns0:c r="A1623" s="25" t="n"/>
      <ns0:c r="B1623" s="26" t="n"/>
      <ns0:c r="C1623" s="27" t="n"/>
      <ns0:c r="D1623" s="27" t="n"/>
      <ns0:c r="E1623" s="28" t="str">
        <ns0:f>IF(A1623="","",YEAR(A1623)&amp;"-"&amp;RIGHT("0"&amp;MONTH(A1623),2))</ns0:f>
        <ns0:v/>
      </ns0:c>
      <ns0:c r="F1623" s="28" t="str">
        <ns0:f>IF(OR(A1623="",B1623="",C1623&lt;=0),"",IF(SUMPRODUCT(('Müşteriler'!$B$2:$B$101&lt;&gt;"")*ISNUMBER(SEARCH('Müşteriler'!$B$2:$B$101,B1623)))=1,IFERROR(INDEX('Müşteriler'!$A$2:$A$101,SUMPRODUCT(('Müşteriler'!$B$2:$B$101&lt;&gt;"")*ISNUMBER(SEARCH('Müşteriler'!$B$2:$B$101,B1623)),ROW('Müşteriler'!$B$2:$B$101)-ROW('Müşteriler'!$B$2)+1)),""),""))</ns0:f>
        <ns0:v/>
      </ns0:c>
      <ns0:c r="G1623" s="28" t="str">
        <ns0:f>IF(F1623="","",IFERROR(INDEX('Müşteriler'!$C$2:$C$101,MATCH(F1623,'Müşteriler'!$A$2:$A$101,0)),""))</ns0:f>
        <ns0:v/>
      </ns0:c>
      <ns0:c r="H1623" s="28" t="str">
        <ns0:f>IF(A1623="","",IF(C1623&lt;=0,"Satış dışı",IF(OR(F1623="",G1623=""),"Eşleşmedi","Eşleşti")))</ns0:f>
        <ns0:v/>
      </ns0:c>
      <ns0:c r="I1623" s="28">
        <ns0:f>I1622+IF(AND(H1623="Eşleşmedi",E1623='Panel'!$B$4),1,0)</ns0:f>
        <ns0:v>3.0</ns0:v>
      </ns0:c>
    </ns0:row>
    <ns0:row r="1624" ht="21" customHeight="1">
      <ns0:c r="A1624" s="25" t="n"/>
      <ns0:c r="B1624" s="26" t="n"/>
      <ns0:c r="C1624" s="27" t="n"/>
      <ns0:c r="D1624" s="27" t="n"/>
      <ns0:c r="E1624" s="28" t="str">
        <ns0:f>IF(A1624="","",YEAR(A1624)&amp;"-"&amp;RIGHT("0"&amp;MONTH(A1624),2))</ns0:f>
        <ns0:v/>
      </ns0:c>
      <ns0:c r="F1624" s="28" t="str">
        <ns0:f>IF(OR(A1624="",B1624="",C1624&lt;=0),"",IF(SUMPRODUCT(('Müşteriler'!$B$2:$B$101&lt;&gt;"")*ISNUMBER(SEARCH('Müşteriler'!$B$2:$B$101,B1624)))=1,IFERROR(INDEX('Müşteriler'!$A$2:$A$101,SUMPRODUCT(('Müşteriler'!$B$2:$B$101&lt;&gt;"")*ISNUMBER(SEARCH('Müşteriler'!$B$2:$B$101,B1624)),ROW('Müşteriler'!$B$2:$B$101)-ROW('Müşteriler'!$B$2)+1)),""),""))</ns0:f>
        <ns0:v/>
      </ns0:c>
      <ns0:c r="G1624" s="28" t="str">
        <ns0:f>IF(F1624="","",IFERROR(INDEX('Müşteriler'!$C$2:$C$101,MATCH(F1624,'Müşteriler'!$A$2:$A$101,0)),""))</ns0:f>
        <ns0:v/>
      </ns0:c>
      <ns0:c r="H1624" s="28" t="str">
        <ns0:f>IF(A1624="","",IF(C1624&lt;=0,"Satış dışı",IF(OR(F1624="",G1624=""),"Eşleşmedi","Eşleşti")))</ns0:f>
        <ns0:v/>
      </ns0:c>
      <ns0:c r="I1624" s="28">
        <ns0:f>I1623+IF(AND(H1624="Eşleşmedi",E1624='Panel'!$B$4),1,0)</ns0:f>
        <ns0:v>3.0</ns0:v>
      </ns0:c>
    </ns0:row>
    <ns0:row r="1625" ht="21" customHeight="1">
      <ns0:c r="A1625" s="25" t="n"/>
      <ns0:c r="B1625" s="26" t="n"/>
      <ns0:c r="C1625" s="27" t="n"/>
      <ns0:c r="D1625" s="27" t="n"/>
      <ns0:c r="E1625" s="28" t="str">
        <ns0:f>IF(A1625="","",YEAR(A1625)&amp;"-"&amp;RIGHT("0"&amp;MONTH(A1625),2))</ns0:f>
        <ns0:v/>
      </ns0:c>
      <ns0:c r="F1625" s="28" t="str">
        <ns0:f>IF(OR(A1625="",B1625="",C1625&lt;=0),"",IF(SUMPRODUCT(('Müşteriler'!$B$2:$B$101&lt;&gt;"")*ISNUMBER(SEARCH('Müşteriler'!$B$2:$B$101,B1625)))=1,IFERROR(INDEX('Müşteriler'!$A$2:$A$101,SUMPRODUCT(('Müşteriler'!$B$2:$B$101&lt;&gt;"")*ISNUMBER(SEARCH('Müşteriler'!$B$2:$B$101,B1625)),ROW('Müşteriler'!$B$2:$B$101)-ROW('Müşteriler'!$B$2)+1)),""),""))</ns0:f>
        <ns0:v/>
      </ns0:c>
      <ns0:c r="G1625" s="28" t="str">
        <ns0:f>IF(F1625="","",IFERROR(INDEX('Müşteriler'!$C$2:$C$101,MATCH(F1625,'Müşteriler'!$A$2:$A$101,0)),""))</ns0:f>
        <ns0:v/>
      </ns0:c>
      <ns0:c r="H1625" s="28" t="str">
        <ns0:f>IF(A1625="","",IF(C1625&lt;=0,"Satış dışı",IF(OR(F1625="",G1625=""),"Eşleşmedi","Eşleşti")))</ns0:f>
        <ns0:v/>
      </ns0:c>
      <ns0:c r="I1625" s="28">
        <ns0:f>I1624+IF(AND(H1625="Eşleşmedi",E1625='Panel'!$B$4),1,0)</ns0:f>
        <ns0:v>3.0</ns0:v>
      </ns0:c>
    </ns0:row>
    <ns0:row r="1626" ht="21" customHeight="1">
      <ns0:c r="A1626" s="25" t="n"/>
      <ns0:c r="B1626" s="26" t="n"/>
      <ns0:c r="C1626" s="27" t="n"/>
      <ns0:c r="D1626" s="27" t="n"/>
      <ns0:c r="E1626" s="28" t="str">
        <ns0:f>IF(A1626="","",YEAR(A1626)&amp;"-"&amp;RIGHT("0"&amp;MONTH(A1626),2))</ns0:f>
        <ns0:v/>
      </ns0:c>
      <ns0:c r="F1626" s="28" t="str">
        <ns0:f>IF(OR(A1626="",B1626="",C1626&lt;=0),"",IF(SUMPRODUCT(('Müşteriler'!$B$2:$B$101&lt;&gt;"")*ISNUMBER(SEARCH('Müşteriler'!$B$2:$B$101,B1626)))=1,IFERROR(INDEX('Müşteriler'!$A$2:$A$101,SUMPRODUCT(('Müşteriler'!$B$2:$B$101&lt;&gt;"")*ISNUMBER(SEARCH('Müşteriler'!$B$2:$B$101,B1626)),ROW('Müşteriler'!$B$2:$B$101)-ROW('Müşteriler'!$B$2)+1)),""),""))</ns0:f>
        <ns0:v/>
      </ns0:c>
      <ns0:c r="G1626" s="28" t="str">
        <ns0:f>IF(F1626="","",IFERROR(INDEX('Müşteriler'!$C$2:$C$101,MATCH(F1626,'Müşteriler'!$A$2:$A$101,0)),""))</ns0:f>
        <ns0:v/>
      </ns0:c>
      <ns0:c r="H1626" s="28" t="str">
        <ns0:f>IF(A1626="","",IF(C1626&lt;=0,"Satış dışı",IF(OR(F1626="",G1626=""),"Eşleşmedi","Eşleşti")))</ns0:f>
        <ns0:v/>
      </ns0:c>
      <ns0:c r="I1626" s="28">
        <ns0:f>I1625+IF(AND(H1626="Eşleşmedi",E1626='Panel'!$B$4),1,0)</ns0:f>
        <ns0:v>3.0</ns0:v>
      </ns0:c>
    </ns0:row>
    <ns0:row r="1627" ht="21" customHeight="1">
      <ns0:c r="A1627" s="25" t="n"/>
      <ns0:c r="B1627" s="26" t="n"/>
      <ns0:c r="C1627" s="27" t="n"/>
      <ns0:c r="D1627" s="27" t="n"/>
      <ns0:c r="E1627" s="28" t="str">
        <ns0:f>IF(A1627="","",YEAR(A1627)&amp;"-"&amp;RIGHT("0"&amp;MONTH(A1627),2))</ns0:f>
        <ns0:v/>
      </ns0:c>
      <ns0:c r="F1627" s="28" t="str">
        <ns0:f>IF(OR(A1627="",B1627="",C1627&lt;=0),"",IF(SUMPRODUCT(('Müşteriler'!$B$2:$B$101&lt;&gt;"")*ISNUMBER(SEARCH('Müşteriler'!$B$2:$B$101,B1627)))=1,IFERROR(INDEX('Müşteriler'!$A$2:$A$101,SUMPRODUCT(('Müşteriler'!$B$2:$B$101&lt;&gt;"")*ISNUMBER(SEARCH('Müşteriler'!$B$2:$B$101,B1627)),ROW('Müşteriler'!$B$2:$B$101)-ROW('Müşteriler'!$B$2)+1)),""),""))</ns0:f>
        <ns0:v/>
      </ns0:c>
      <ns0:c r="G1627" s="28" t="str">
        <ns0:f>IF(F1627="","",IFERROR(INDEX('Müşteriler'!$C$2:$C$101,MATCH(F1627,'Müşteriler'!$A$2:$A$101,0)),""))</ns0:f>
        <ns0:v/>
      </ns0:c>
      <ns0:c r="H1627" s="28" t="str">
        <ns0:f>IF(A1627="","",IF(C1627&lt;=0,"Satış dışı",IF(OR(F1627="",G1627=""),"Eşleşmedi","Eşleşti")))</ns0:f>
        <ns0:v/>
      </ns0:c>
      <ns0:c r="I1627" s="28">
        <ns0:f>I1626+IF(AND(H1627="Eşleşmedi",E1627='Panel'!$B$4),1,0)</ns0:f>
        <ns0:v>3.0</ns0:v>
      </ns0:c>
    </ns0:row>
    <ns0:row r="1628" ht="21" customHeight="1">
      <ns0:c r="A1628" s="25" t="n"/>
      <ns0:c r="B1628" s="26" t="n"/>
      <ns0:c r="C1628" s="27" t="n"/>
      <ns0:c r="D1628" s="27" t="n"/>
      <ns0:c r="E1628" s="28" t="str">
        <ns0:f>IF(A1628="","",YEAR(A1628)&amp;"-"&amp;RIGHT("0"&amp;MONTH(A1628),2))</ns0:f>
        <ns0:v/>
      </ns0:c>
      <ns0:c r="F1628" s="28" t="str">
        <ns0:f>IF(OR(A1628="",B1628="",C1628&lt;=0),"",IF(SUMPRODUCT(('Müşteriler'!$B$2:$B$101&lt;&gt;"")*ISNUMBER(SEARCH('Müşteriler'!$B$2:$B$101,B1628)))=1,IFERROR(INDEX('Müşteriler'!$A$2:$A$101,SUMPRODUCT(('Müşteriler'!$B$2:$B$101&lt;&gt;"")*ISNUMBER(SEARCH('Müşteriler'!$B$2:$B$101,B1628)),ROW('Müşteriler'!$B$2:$B$101)-ROW('Müşteriler'!$B$2)+1)),""),""))</ns0:f>
        <ns0:v/>
      </ns0:c>
      <ns0:c r="G1628" s="28" t="str">
        <ns0:f>IF(F1628="","",IFERROR(INDEX('Müşteriler'!$C$2:$C$101,MATCH(F1628,'Müşteriler'!$A$2:$A$101,0)),""))</ns0:f>
        <ns0:v/>
      </ns0:c>
      <ns0:c r="H1628" s="28" t="str">
        <ns0:f>IF(A1628="","",IF(C1628&lt;=0,"Satış dışı",IF(OR(F1628="",G1628=""),"Eşleşmedi","Eşleşti")))</ns0:f>
        <ns0:v/>
      </ns0:c>
      <ns0:c r="I1628" s="28">
        <ns0:f>I1627+IF(AND(H1628="Eşleşmedi",E1628='Panel'!$B$4),1,0)</ns0:f>
        <ns0:v>3.0</ns0:v>
      </ns0:c>
    </ns0:row>
    <ns0:row r="1629" ht="21" customHeight="1">
      <ns0:c r="A1629" s="25" t="n"/>
      <ns0:c r="B1629" s="26" t="n"/>
      <ns0:c r="C1629" s="27" t="n"/>
      <ns0:c r="D1629" s="27" t="n"/>
      <ns0:c r="E1629" s="28" t="str">
        <ns0:f>IF(A1629="","",YEAR(A1629)&amp;"-"&amp;RIGHT("0"&amp;MONTH(A1629),2))</ns0:f>
        <ns0:v/>
      </ns0:c>
      <ns0:c r="F1629" s="28" t="str">
        <ns0:f>IF(OR(A1629="",B1629="",C1629&lt;=0),"",IF(SUMPRODUCT(('Müşteriler'!$B$2:$B$101&lt;&gt;"")*ISNUMBER(SEARCH('Müşteriler'!$B$2:$B$101,B1629)))=1,IFERROR(INDEX('Müşteriler'!$A$2:$A$101,SUMPRODUCT(('Müşteriler'!$B$2:$B$101&lt;&gt;"")*ISNUMBER(SEARCH('Müşteriler'!$B$2:$B$101,B1629)),ROW('Müşteriler'!$B$2:$B$101)-ROW('Müşteriler'!$B$2)+1)),""),""))</ns0:f>
        <ns0:v/>
      </ns0:c>
      <ns0:c r="G1629" s="28" t="str">
        <ns0:f>IF(F1629="","",IFERROR(INDEX('Müşteriler'!$C$2:$C$101,MATCH(F1629,'Müşteriler'!$A$2:$A$101,0)),""))</ns0:f>
        <ns0:v/>
      </ns0:c>
      <ns0:c r="H1629" s="28" t="str">
        <ns0:f>IF(A1629="","",IF(C1629&lt;=0,"Satış dışı",IF(OR(F1629="",G1629=""),"Eşleşmedi","Eşleşti")))</ns0:f>
        <ns0:v/>
      </ns0:c>
      <ns0:c r="I1629" s="28">
        <ns0:f>I1628+IF(AND(H1629="Eşleşmedi",E1629='Panel'!$B$4),1,0)</ns0:f>
        <ns0:v>3.0</ns0:v>
      </ns0:c>
    </ns0:row>
    <ns0:row r="1630" ht="21" customHeight="1">
      <ns0:c r="A1630" s="25" t="n"/>
      <ns0:c r="B1630" s="26" t="n"/>
      <ns0:c r="C1630" s="27" t="n"/>
      <ns0:c r="D1630" s="27" t="n"/>
      <ns0:c r="E1630" s="28" t="str">
        <ns0:f>IF(A1630="","",YEAR(A1630)&amp;"-"&amp;RIGHT("0"&amp;MONTH(A1630),2))</ns0:f>
        <ns0:v/>
      </ns0:c>
      <ns0:c r="F1630" s="28" t="str">
        <ns0:f>IF(OR(A1630="",B1630="",C1630&lt;=0),"",IF(SUMPRODUCT(('Müşteriler'!$B$2:$B$101&lt;&gt;"")*ISNUMBER(SEARCH('Müşteriler'!$B$2:$B$101,B1630)))=1,IFERROR(INDEX('Müşteriler'!$A$2:$A$101,SUMPRODUCT(('Müşteriler'!$B$2:$B$101&lt;&gt;"")*ISNUMBER(SEARCH('Müşteriler'!$B$2:$B$101,B1630)),ROW('Müşteriler'!$B$2:$B$101)-ROW('Müşteriler'!$B$2)+1)),""),""))</ns0:f>
        <ns0:v/>
      </ns0:c>
      <ns0:c r="G1630" s="28" t="str">
        <ns0:f>IF(F1630="","",IFERROR(INDEX('Müşteriler'!$C$2:$C$101,MATCH(F1630,'Müşteriler'!$A$2:$A$101,0)),""))</ns0:f>
        <ns0:v/>
      </ns0:c>
      <ns0:c r="H1630" s="28" t="str">
        <ns0:f>IF(A1630="","",IF(C1630&lt;=0,"Satış dışı",IF(OR(F1630="",G1630=""),"Eşleşmedi","Eşleşti")))</ns0:f>
        <ns0:v/>
      </ns0:c>
      <ns0:c r="I1630" s="28">
        <ns0:f>I1629+IF(AND(H1630="Eşleşmedi",E1630='Panel'!$B$4),1,0)</ns0:f>
        <ns0:v>3.0</ns0:v>
      </ns0:c>
    </ns0:row>
    <ns0:row r="1631" ht="21" customHeight="1">
      <ns0:c r="A1631" s="25" t="n"/>
      <ns0:c r="B1631" s="26" t="n"/>
      <ns0:c r="C1631" s="27" t="n"/>
      <ns0:c r="D1631" s="27" t="n"/>
      <ns0:c r="E1631" s="28" t="str">
        <ns0:f>IF(A1631="","",YEAR(A1631)&amp;"-"&amp;RIGHT("0"&amp;MONTH(A1631),2))</ns0:f>
        <ns0:v/>
      </ns0:c>
      <ns0:c r="F1631" s="28" t="str">
        <ns0:f>IF(OR(A1631="",B1631="",C1631&lt;=0),"",IF(SUMPRODUCT(('Müşteriler'!$B$2:$B$101&lt;&gt;"")*ISNUMBER(SEARCH('Müşteriler'!$B$2:$B$101,B1631)))=1,IFERROR(INDEX('Müşteriler'!$A$2:$A$101,SUMPRODUCT(('Müşteriler'!$B$2:$B$101&lt;&gt;"")*ISNUMBER(SEARCH('Müşteriler'!$B$2:$B$101,B1631)),ROW('Müşteriler'!$B$2:$B$101)-ROW('Müşteriler'!$B$2)+1)),""),""))</ns0:f>
        <ns0:v/>
      </ns0:c>
      <ns0:c r="G1631" s="28" t="str">
        <ns0:f>IF(F1631="","",IFERROR(INDEX('Müşteriler'!$C$2:$C$101,MATCH(F1631,'Müşteriler'!$A$2:$A$101,0)),""))</ns0:f>
        <ns0:v/>
      </ns0:c>
      <ns0:c r="H1631" s="28" t="str">
        <ns0:f>IF(A1631="","",IF(C1631&lt;=0,"Satış dışı",IF(OR(F1631="",G1631=""),"Eşleşmedi","Eşleşti")))</ns0:f>
        <ns0:v/>
      </ns0:c>
      <ns0:c r="I1631" s="28">
        <ns0:f>I1630+IF(AND(H1631="Eşleşmedi",E1631='Panel'!$B$4),1,0)</ns0:f>
        <ns0:v>3.0</ns0:v>
      </ns0:c>
    </ns0:row>
    <ns0:row r="1632" ht="21" customHeight="1">
      <ns0:c r="A1632" s="25" t="n"/>
      <ns0:c r="B1632" s="26" t="n"/>
      <ns0:c r="C1632" s="27" t="n"/>
      <ns0:c r="D1632" s="27" t="n"/>
      <ns0:c r="E1632" s="28" t="str">
        <ns0:f>IF(A1632="","",YEAR(A1632)&amp;"-"&amp;RIGHT("0"&amp;MONTH(A1632),2))</ns0:f>
        <ns0:v/>
      </ns0:c>
      <ns0:c r="F1632" s="28" t="str">
        <ns0:f>IF(OR(A1632="",B1632="",C1632&lt;=0),"",IF(SUMPRODUCT(('Müşteriler'!$B$2:$B$101&lt;&gt;"")*ISNUMBER(SEARCH('Müşteriler'!$B$2:$B$101,B1632)))=1,IFERROR(INDEX('Müşteriler'!$A$2:$A$101,SUMPRODUCT(('Müşteriler'!$B$2:$B$101&lt;&gt;"")*ISNUMBER(SEARCH('Müşteriler'!$B$2:$B$101,B1632)),ROW('Müşteriler'!$B$2:$B$101)-ROW('Müşteriler'!$B$2)+1)),""),""))</ns0:f>
        <ns0:v/>
      </ns0:c>
      <ns0:c r="G1632" s="28" t="str">
        <ns0:f>IF(F1632="","",IFERROR(INDEX('Müşteriler'!$C$2:$C$101,MATCH(F1632,'Müşteriler'!$A$2:$A$101,0)),""))</ns0:f>
        <ns0:v/>
      </ns0:c>
      <ns0:c r="H1632" s="28" t="str">
        <ns0:f>IF(A1632="","",IF(C1632&lt;=0,"Satış dışı",IF(OR(F1632="",G1632=""),"Eşleşmedi","Eşleşti")))</ns0:f>
        <ns0:v/>
      </ns0:c>
      <ns0:c r="I1632" s="28">
        <ns0:f>I1631+IF(AND(H1632="Eşleşmedi",E1632='Panel'!$B$4),1,0)</ns0:f>
        <ns0:v>3.0</ns0:v>
      </ns0:c>
    </ns0:row>
    <ns0:row r="1633" ht="21" customHeight="1">
      <ns0:c r="A1633" s="25" t="n"/>
      <ns0:c r="B1633" s="26" t="n"/>
      <ns0:c r="C1633" s="27" t="n"/>
      <ns0:c r="D1633" s="27" t="n"/>
      <ns0:c r="E1633" s="28" t="str">
        <ns0:f>IF(A1633="","",YEAR(A1633)&amp;"-"&amp;RIGHT("0"&amp;MONTH(A1633),2))</ns0:f>
        <ns0:v/>
      </ns0:c>
      <ns0:c r="F1633" s="28" t="str">
        <ns0:f>IF(OR(A1633="",B1633="",C1633&lt;=0),"",IF(SUMPRODUCT(('Müşteriler'!$B$2:$B$101&lt;&gt;"")*ISNUMBER(SEARCH('Müşteriler'!$B$2:$B$101,B1633)))=1,IFERROR(INDEX('Müşteriler'!$A$2:$A$101,SUMPRODUCT(('Müşteriler'!$B$2:$B$101&lt;&gt;"")*ISNUMBER(SEARCH('Müşteriler'!$B$2:$B$101,B1633)),ROW('Müşteriler'!$B$2:$B$101)-ROW('Müşteriler'!$B$2)+1)),""),""))</ns0:f>
        <ns0:v/>
      </ns0:c>
      <ns0:c r="G1633" s="28" t="str">
        <ns0:f>IF(F1633="","",IFERROR(INDEX('Müşteriler'!$C$2:$C$101,MATCH(F1633,'Müşteriler'!$A$2:$A$101,0)),""))</ns0:f>
        <ns0:v/>
      </ns0:c>
      <ns0:c r="H1633" s="28" t="str">
        <ns0:f>IF(A1633="","",IF(C1633&lt;=0,"Satış dışı",IF(OR(F1633="",G1633=""),"Eşleşmedi","Eşleşti")))</ns0:f>
        <ns0:v/>
      </ns0:c>
      <ns0:c r="I1633" s="28">
        <ns0:f>I1632+IF(AND(H1633="Eşleşmedi",E1633='Panel'!$B$4),1,0)</ns0:f>
        <ns0:v>3.0</ns0:v>
      </ns0:c>
    </ns0:row>
    <ns0:row r="1634" ht="21" customHeight="1">
      <ns0:c r="A1634" s="25" t="n"/>
      <ns0:c r="B1634" s="26" t="n"/>
      <ns0:c r="C1634" s="27" t="n"/>
      <ns0:c r="D1634" s="27" t="n"/>
      <ns0:c r="E1634" s="28" t="str">
        <ns0:f>IF(A1634="","",YEAR(A1634)&amp;"-"&amp;RIGHT("0"&amp;MONTH(A1634),2))</ns0:f>
        <ns0:v/>
      </ns0:c>
      <ns0:c r="F1634" s="28" t="str">
        <ns0:f>IF(OR(A1634="",B1634="",C1634&lt;=0),"",IF(SUMPRODUCT(('Müşteriler'!$B$2:$B$101&lt;&gt;"")*ISNUMBER(SEARCH('Müşteriler'!$B$2:$B$101,B1634)))=1,IFERROR(INDEX('Müşteriler'!$A$2:$A$101,SUMPRODUCT(('Müşteriler'!$B$2:$B$101&lt;&gt;"")*ISNUMBER(SEARCH('Müşteriler'!$B$2:$B$101,B1634)),ROW('Müşteriler'!$B$2:$B$101)-ROW('Müşteriler'!$B$2)+1)),""),""))</ns0:f>
        <ns0:v/>
      </ns0:c>
      <ns0:c r="G1634" s="28" t="str">
        <ns0:f>IF(F1634="","",IFERROR(INDEX('Müşteriler'!$C$2:$C$101,MATCH(F1634,'Müşteriler'!$A$2:$A$101,0)),""))</ns0:f>
        <ns0:v/>
      </ns0:c>
      <ns0:c r="H1634" s="28" t="str">
        <ns0:f>IF(A1634="","",IF(C1634&lt;=0,"Satış dışı",IF(OR(F1634="",G1634=""),"Eşleşmedi","Eşleşti")))</ns0:f>
        <ns0:v/>
      </ns0:c>
      <ns0:c r="I1634" s="28">
        <ns0:f>I1633+IF(AND(H1634="Eşleşmedi",E1634='Panel'!$B$4),1,0)</ns0:f>
        <ns0:v>3.0</ns0:v>
      </ns0:c>
    </ns0:row>
    <ns0:row r="1635" ht="21" customHeight="1">
      <ns0:c r="A1635" s="25" t="n"/>
      <ns0:c r="B1635" s="26" t="n"/>
      <ns0:c r="C1635" s="27" t="n"/>
      <ns0:c r="D1635" s="27" t="n"/>
      <ns0:c r="E1635" s="28" t="str">
        <ns0:f>IF(A1635="","",YEAR(A1635)&amp;"-"&amp;RIGHT("0"&amp;MONTH(A1635),2))</ns0:f>
        <ns0:v/>
      </ns0:c>
      <ns0:c r="F1635" s="28" t="str">
        <ns0:f>IF(OR(A1635="",B1635="",C1635&lt;=0),"",IF(SUMPRODUCT(('Müşteriler'!$B$2:$B$101&lt;&gt;"")*ISNUMBER(SEARCH('Müşteriler'!$B$2:$B$101,B1635)))=1,IFERROR(INDEX('Müşteriler'!$A$2:$A$101,SUMPRODUCT(('Müşteriler'!$B$2:$B$101&lt;&gt;"")*ISNUMBER(SEARCH('Müşteriler'!$B$2:$B$101,B1635)),ROW('Müşteriler'!$B$2:$B$101)-ROW('Müşteriler'!$B$2)+1)),""),""))</ns0:f>
        <ns0:v/>
      </ns0:c>
      <ns0:c r="G1635" s="28" t="str">
        <ns0:f>IF(F1635="","",IFERROR(INDEX('Müşteriler'!$C$2:$C$101,MATCH(F1635,'Müşteriler'!$A$2:$A$101,0)),""))</ns0:f>
        <ns0:v/>
      </ns0:c>
      <ns0:c r="H1635" s="28" t="str">
        <ns0:f>IF(A1635="","",IF(C1635&lt;=0,"Satış dışı",IF(OR(F1635="",G1635=""),"Eşleşmedi","Eşleşti")))</ns0:f>
        <ns0:v/>
      </ns0:c>
      <ns0:c r="I1635" s="28">
        <ns0:f>I1634+IF(AND(H1635="Eşleşmedi",E1635='Panel'!$B$4),1,0)</ns0:f>
        <ns0:v>3.0</ns0:v>
      </ns0:c>
    </ns0:row>
    <ns0:row r="1636" ht="21" customHeight="1">
      <ns0:c r="A1636" s="25" t="n"/>
      <ns0:c r="B1636" s="26" t="n"/>
      <ns0:c r="C1636" s="27" t="n"/>
      <ns0:c r="D1636" s="27" t="n"/>
      <ns0:c r="E1636" s="28" t="str">
        <ns0:f>IF(A1636="","",YEAR(A1636)&amp;"-"&amp;RIGHT("0"&amp;MONTH(A1636),2))</ns0:f>
        <ns0:v/>
      </ns0:c>
      <ns0:c r="F1636" s="28" t="str">
        <ns0:f>IF(OR(A1636="",B1636="",C1636&lt;=0),"",IF(SUMPRODUCT(('Müşteriler'!$B$2:$B$101&lt;&gt;"")*ISNUMBER(SEARCH('Müşteriler'!$B$2:$B$101,B1636)))=1,IFERROR(INDEX('Müşteriler'!$A$2:$A$101,SUMPRODUCT(('Müşteriler'!$B$2:$B$101&lt;&gt;"")*ISNUMBER(SEARCH('Müşteriler'!$B$2:$B$101,B1636)),ROW('Müşteriler'!$B$2:$B$101)-ROW('Müşteriler'!$B$2)+1)),""),""))</ns0:f>
        <ns0:v/>
      </ns0:c>
      <ns0:c r="G1636" s="28" t="str">
        <ns0:f>IF(F1636="","",IFERROR(INDEX('Müşteriler'!$C$2:$C$101,MATCH(F1636,'Müşteriler'!$A$2:$A$101,0)),""))</ns0:f>
        <ns0:v/>
      </ns0:c>
      <ns0:c r="H1636" s="28" t="str">
        <ns0:f>IF(A1636="","",IF(C1636&lt;=0,"Satış dışı",IF(OR(F1636="",G1636=""),"Eşleşmedi","Eşleşti")))</ns0:f>
        <ns0:v/>
      </ns0:c>
      <ns0:c r="I1636" s="28">
        <ns0:f>I1635+IF(AND(H1636="Eşleşmedi",E1636='Panel'!$B$4),1,0)</ns0:f>
        <ns0:v>3.0</ns0:v>
      </ns0:c>
    </ns0:row>
    <ns0:row r="1637" ht="21" customHeight="1">
      <ns0:c r="A1637" s="25" t="n"/>
      <ns0:c r="B1637" s="26" t="n"/>
      <ns0:c r="C1637" s="27" t="n"/>
      <ns0:c r="D1637" s="27" t="n"/>
      <ns0:c r="E1637" s="28" t="str">
        <ns0:f>IF(A1637="","",YEAR(A1637)&amp;"-"&amp;RIGHT("0"&amp;MONTH(A1637),2))</ns0:f>
        <ns0:v/>
      </ns0:c>
      <ns0:c r="F1637" s="28" t="str">
        <ns0:f>IF(OR(A1637="",B1637="",C1637&lt;=0),"",IF(SUMPRODUCT(('Müşteriler'!$B$2:$B$101&lt;&gt;"")*ISNUMBER(SEARCH('Müşteriler'!$B$2:$B$101,B1637)))=1,IFERROR(INDEX('Müşteriler'!$A$2:$A$101,SUMPRODUCT(('Müşteriler'!$B$2:$B$101&lt;&gt;"")*ISNUMBER(SEARCH('Müşteriler'!$B$2:$B$101,B1637)),ROW('Müşteriler'!$B$2:$B$101)-ROW('Müşteriler'!$B$2)+1)),""),""))</ns0:f>
        <ns0:v/>
      </ns0:c>
      <ns0:c r="G1637" s="28" t="str">
        <ns0:f>IF(F1637="","",IFERROR(INDEX('Müşteriler'!$C$2:$C$101,MATCH(F1637,'Müşteriler'!$A$2:$A$101,0)),""))</ns0:f>
        <ns0:v/>
      </ns0:c>
      <ns0:c r="H1637" s="28" t="str">
        <ns0:f>IF(A1637="","",IF(C1637&lt;=0,"Satış dışı",IF(OR(F1637="",G1637=""),"Eşleşmedi","Eşleşti")))</ns0:f>
        <ns0:v/>
      </ns0:c>
      <ns0:c r="I1637" s="28">
        <ns0:f>I1636+IF(AND(H1637="Eşleşmedi",E1637='Panel'!$B$4),1,0)</ns0:f>
        <ns0:v>3.0</ns0:v>
      </ns0:c>
    </ns0:row>
    <ns0:row r="1638" ht="21" customHeight="1">
      <ns0:c r="A1638" s="25" t="n"/>
      <ns0:c r="B1638" s="26" t="n"/>
      <ns0:c r="C1638" s="27" t="n"/>
      <ns0:c r="D1638" s="27" t="n"/>
      <ns0:c r="E1638" s="28" t="str">
        <ns0:f>IF(A1638="","",YEAR(A1638)&amp;"-"&amp;RIGHT("0"&amp;MONTH(A1638),2))</ns0:f>
        <ns0:v/>
      </ns0:c>
      <ns0:c r="F1638" s="28" t="str">
        <ns0:f>IF(OR(A1638="",B1638="",C1638&lt;=0),"",IF(SUMPRODUCT(('Müşteriler'!$B$2:$B$101&lt;&gt;"")*ISNUMBER(SEARCH('Müşteriler'!$B$2:$B$101,B1638)))=1,IFERROR(INDEX('Müşteriler'!$A$2:$A$101,SUMPRODUCT(('Müşteriler'!$B$2:$B$101&lt;&gt;"")*ISNUMBER(SEARCH('Müşteriler'!$B$2:$B$101,B1638)),ROW('Müşteriler'!$B$2:$B$101)-ROW('Müşteriler'!$B$2)+1)),""),""))</ns0:f>
        <ns0:v/>
      </ns0:c>
      <ns0:c r="G1638" s="28" t="str">
        <ns0:f>IF(F1638="","",IFERROR(INDEX('Müşteriler'!$C$2:$C$101,MATCH(F1638,'Müşteriler'!$A$2:$A$101,0)),""))</ns0:f>
        <ns0:v/>
      </ns0:c>
      <ns0:c r="H1638" s="28" t="str">
        <ns0:f>IF(A1638="","",IF(C1638&lt;=0,"Satış dışı",IF(OR(F1638="",G1638=""),"Eşleşmedi","Eşleşti")))</ns0:f>
        <ns0:v/>
      </ns0:c>
      <ns0:c r="I1638" s="28">
        <ns0:f>I1637+IF(AND(H1638="Eşleşmedi",E1638='Panel'!$B$4),1,0)</ns0:f>
        <ns0:v>3.0</ns0:v>
      </ns0:c>
    </ns0:row>
    <ns0:row r="1639" ht="21" customHeight="1">
      <ns0:c r="A1639" s="25" t="n"/>
      <ns0:c r="B1639" s="26" t="n"/>
      <ns0:c r="C1639" s="27" t="n"/>
      <ns0:c r="D1639" s="27" t="n"/>
      <ns0:c r="E1639" s="28" t="str">
        <ns0:f>IF(A1639="","",YEAR(A1639)&amp;"-"&amp;RIGHT("0"&amp;MONTH(A1639),2))</ns0:f>
        <ns0:v/>
      </ns0:c>
      <ns0:c r="F1639" s="28" t="str">
        <ns0:f>IF(OR(A1639="",B1639="",C1639&lt;=0),"",IF(SUMPRODUCT(('Müşteriler'!$B$2:$B$101&lt;&gt;"")*ISNUMBER(SEARCH('Müşteriler'!$B$2:$B$101,B1639)))=1,IFERROR(INDEX('Müşteriler'!$A$2:$A$101,SUMPRODUCT(('Müşteriler'!$B$2:$B$101&lt;&gt;"")*ISNUMBER(SEARCH('Müşteriler'!$B$2:$B$101,B1639)),ROW('Müşteriler'!$B$2:$B$101)-ROW('Müşteriler'!$B$2)+1)),""),""))</ns0:f>
        <ns0:v/>
      </ns0:c>
      <ns0:c r="G1639" s="28" t="str">
        <ns0:f>IF(F1639="","",IFERROR(INDEX('Müşteriler'!$C$2:$C$101,MATCH(F1639,'Müşteriler'!$A$2:$A$101,0)),""))</ns0:f>
        <ns0:v/>
      </ns0:c>
      <ns0:c r="H1639" s="28" t="str">
        <ns0:f>IF(A1639="","",IF(C1639&lt;=0,"Satış dışı",IF(OR(F1639="",G1639=""),"Eşleşmedi","Eşleşti")))</ns0:f>
        <ns0:v/>
      </ns0:c>
      <ns0:c r="I1639" s="28">
        <ns0:f>I1638+IF(AND(H1639="Eşleşmedi",E1639='Panel'!$B$4),1,0)</ns0:f>
        <ns0:v>3.0</ns0:v>
      </ns0:c>
    </ns0:row>
    <ns0:row r="1640" ht="21" customHeight="1">
      <ns0:c r="A1640" s="25" t="n"/>
      <ns0:c r="B1640" s="26" t="n"/>
      <ns0:c r="C1640" s="27" t="n"/>
      <ns0:c r="D1640" s="27" t="n"/>
      <ns0:c r="E1640" s="28" t="str">
        <ns0:f>IF(A1640="","",YEAR(A1640)&amp;"-"&amp;RIGHT("0"&amp;MONTH(A1640),2))</ns0:f>
        <ns0:v/>
      </ns0:c>
      <ns0:c r="F1640" s="28" t="str">
        <ns0:f>IF(OR(A1640="",B1640="",C1640&lt;=0),"",IF(SUMPRODUCT(('Müşteriler'!$B$2:$B$101&lt;&gt;"")*ISNUMBER(SEARCH('Müşteriler'!$B$2:$B$101,B1640)))=1,IFERROR(INDEX('Müşteriler'!$A$2:$A$101,SUMPRODUCT(('Müşteriler'!$B$2:$B$101&lt;&gt;"")*ISNUMBER(SEARCH('Müşteriler'!$B$2:$B$101,B1640)),ROW('Müşteriler'!$B$2:$B$101)-ROW('Müşteriler'!$B$2)+1)),""),""))</ns0:f>
        <ns0:v/>
      </ns0:c>
      <ns0:c r="G1640" s="28" t="str">
        <ns0:f>IF(F1640="","",IFERROR(INDEX('Müşteriler'!$C$2:$C$101,MATCH(F1640,'Müşteriler'!$A$2:$A$101,0)),""))</ns0:f>
        <ns0:v/>
      </ns0:c>
      <ns0:c r="H1640" s="28" t="str">
        <ns0:f>IF(A1640="","",IF(C1640&lt;=0,"Satış dışı",IF(OR(F1640="",G1640=""),"Eşleşmedi","Eşleşti")))</ns0:f>
        <ns0:v/>
      </ns0:c>
      <ns0:c r="I1640" s="28">
        <ns0:f>I1639+IF(AND(H1640="Eşleşmedi",E1640='Panel'!$B$4),1,0)</ns0:f>
        <ns0:v>3.0</ns0:v>
      </ns0:c>
    </ns0:row>
    <ns0:row r="1641" ht="21" customHeight="1">
      <ns0:c r="A1641" s="25" t="n"/>
      <ns0:c r="B1641" s="26" t="n"/>
      <ns0:c r="C1641" s="27" t="n"/>
      <ns0:c r="D1641" s="27" t="n"/>
      <ns0:c r="E1641" s="28" t="str">
        <ns0:f>IF(A1641="","",YEAR(A1641)&amp;"-"&amp;RIGHT("0"&amp;MONTH(A1641),2))</ns0:f>
        <ns0:v/>
      </ns0:c>
      <ns0:c r="F1641" s="28" t="str">
        <ns0:f>IF(OR(A1641="",B1641="",C1641&lt;=0),"",IF(SUMPRODUCT(('Müşteriler'!$B$2:$B$101&lt;&gt;"")*ISNUMBER(SEARCH('Müşteriler'!$B$2:$B$101,B1641)))=1,IFERROR(INDEX('Müşteriler'!$A$2:$A$101,SUMPRODUCT(('Müşteriler'!$B$2:$B$101&lt;&gt;"")*ISNUMBER(SEARCH('Müşteriler'!$B$2:$B$101,B1641)),ROW('Müşteriler'!$B$2:$B$101)-ROW('Müşteriler'!$B$2)+1)),""),""))</ns0:f>
        <ns0:v/>
      </ns0:c>
      <ns0:c r="G1641" s="28" t="str">
        <ns0:f>IF(F1641="","",IFERROR(INDEX('Müşteriler'!$C$2:$C$101,MATCH(F1641,'Müşteriler'!$A$2:$A$101,0)),""))</ns0:f>
        <ns0:v/>
      </ns0:c>
      <ns0:c r="H1641" s="28" t="str">
        <ns0:f>IF(A1641="","",IF(C1641&lt;=0,"Satış dışı",IF(OR(F1641="",G1641=""),"Eşleşmedi","Eşleşti")))</ns0:f>
        <ns0:v/>
      </ns0:c>
      <ns0:c r="I1641" s="28">
        <ns0:f>I1640+IF(AND(H1641="Eşleşmedi",E1641='Panel'!$B$4),1,0)</ns0:f>
        <ns0:v>3.0</ns0:v>
      </ns0:c>
    </ns0:row>
    <ns0:row r="1642" ht="21" customHeight="1">
      <ns0:c r="A1642" s="25" t="n"/>
      <ns0:c r="B1642" s="26" t="n"/>
      <ns0:c r="C1642" s="27" t="n"/>
      <ns0:c r="D1642" s="27" t="n"/>
      <ns0:c r="E1642" s="28" t="str">
        <ns0:f>IF(A1642="","",YEAR(A1642)&amp;"-"&amp;RIGHT("0"&amp;MONTH(A1642),2))</ns0:f>
        <ns0:v/>
      </ns0:c>
      <ns0:c r="F1642" s="28" t="str">
        <ns0:f>IF(OR(A1642="",B1642="",C1642&lt;=0),"",IF(SUMPRODUCT(('Müşteriler'!$B$2:$B$101&lt;&gt;"")*ISNUMBER(SEARCH('Müşteriler'!$B$2:$B$101,B1642)))=1,IFERROR(INDEX('Müşteriler'!$A$2:$A$101,SUMPRODUCT(('Müşteriler'!$B$2:$B$101&lt;&gt;"")*ISNUMBER(SEARCH('Müşteriler'!$B$2:$B$101,B1642)),ROW('Müşteriler'!$B$2:$B$101)-ROW('Müşteriler'!$B$2)+1)),""),""))</ns0:f>
        <ns0:v/>
      </ns0:c>
      <ns0:c r="G1642" s="28" t="str">
        <ns0:f>IF(F1642="","",IFERROR(INDEX('Müşteriler'!$C$2:$C$101,MATCH(F1642,'Müşteriler'!$A$2:$A$101,0)),""))</ns0:f>
        <ns0:v/>
      </ns0:c>
      <ns0:c r="H1642" s="28" t="str">
        <ns0:f>IF(A1642="","",IF(C1642&lt;=0,"Satış dışı",IF(OR(F1642="",G1642=""),"Eşleşmedi","Eşleşti")))</ns0:f>
        <ns0:v/>
      </ns0:c>
      <ns0:c r="I1642" s="28">
        <ns0:f>I1641+IF(AND(H1642="Eşleşmedi",E1642='Panel'!$B$4),1,0)</ns0:f>
        <ns0:v>3.0</ns0:v>
      </ns0:c>
    </ns0:row>
    <ns0:row r="1643" ht="21" customHeight="1">
      <ns0:c r="A1643" s="25" t="n"/>
      <ns0:c r="B1643" s="26" t="n"/>
      <ns0:c r="C1643" s="27" t="n"/>
      <ns0:c r="D1643" s="27" t="n"/>
      <ns0:c r="E1643" s="28" t="str">
        <ns0:f>IF(A1643="","",YEAR(A1643)&amp;"-"&amp;RIGHT("0"&amp;MONTH(A1643),2))</ns0:f>
        <ns0:v/>
      </ns0:c>
      <ns0:c r="F1643" s="28" t="str">
        <ns0:f>IF(OR(A1643="",B1643="",C1643&lt;=0),"",IF(SUMPRODUCT(('Müşteriler'!$B$2:$B$101&lt;&gt;"")*ISNUMBER(SEARCH('Müşteriler'!$B$2:$B$101,B1643)))=1,IFERROR(INDEX('Müşteriler'!$A$2:$A$101,SUMPRODUCT(('Müşteriler'!$B$2:$B$101&lt;&gt;"")*ISNUMBER(SEARCH('Müşteriler'!$B$2:$B$101,B1643)),ROW('Müşteriler'!$B$2:$B$101)-ROW('Müşteriler'!$B$2)+1)),""),""))</ns0:f>
        <ns0:v/>
      </ns0:c>
      <ns0:c r="G1643" s="28" t="str">
        <ns0:f>IF(F1643="","",IFERROR(INDEX('Müşteriler'!$C$2:$C$101,MATCH(F1643,'Müşteriler'!$A$2:$A$101,0)),""))</ns0:f>
        <ns0:v/>
      </ns0:c>
      <ns0:c r="H1643" s="28" t="str">
        <ns0:f>IF(A1643="","",IF(C1643&lt;=0,"Satış dışı",IF(OR(F1643="",G1643=""),"Eşleşmedi","Eşleşti")))</ns0:f>
        <ns0:v/>
      </ns0:c>
      <ns0:c r="I1643" s="28">
        <ns0:f>I1642+IF(AND(H1643="Eşleşmedi",E1643='Panel'!$B$4),1,0)</ns0:f>
        <ns0:v>3.0</ns0:v>
      </ns0:c>
    </ns0:row>
    <ns0:row r="1644" ht="21" customHeight="1">
      <ns0:c r="A1644" s="25" t="n"/>
      <ns0:c r="B1644" s="26" t="n"/>
      <ns0:c r="C1644" s="27" t="n"/>
      <ns0:c r="D1644" s="27" t="n"/>
      <ns0:c r="E1644" s="28" t="str">
        <ns0:f>IF(A1644="","",YEAR(A1644)&amp;"-"&amp;RIGHT("0"&amp;MONTH(A1644),2))</ns0:f>
        <ns0:v/>
      </ns0:c>
      <ns0:c r="F1644" s="28" t="str">
        <ns0:f>IF(OR(A1644="",B1644="",C1644&lt;=0),"",IF(SUMPRODUCT(('Müşteriler'!$B$2:$B$101&lt;&gt;"")*ISNUMBER(SEARCH('Müşteriler'!$B$2:$B$101,B1644)))=1,IFERROR(INDEX('Müşteriler'!$A$2:$A$101,SUMPRODUCT(('Müşteriler'!$B$2:$B$101&lt;&gt;"")*ISNUMBER(SEARCH('Müşteriler'!$B$2:$B$101,B1644)),ROW('Müşteriler'!$B$2:$B$101)-ROW('Müşteriler'!$B$2)+1)),""),""))</ns0:f>
        <ns0:v/>
      </ns0:c>
      <ns0:c r="G1644" s="28" t="str">
        <ns0:f>IF(F1644="","",IFERROR(INDEX('Müşteriler'!$C$2:$C$101,MATCH(F1644,'Müşteriler'!$A$2:$A$101,0)),""))</ns0:f>
        <ns0:v/>
      </ns0:c>
      <ns0:c r="H1644" s="28" t="str">
        <ns0:f>IF(A1644="","",IF(C1644&lt;=0,"Satış dışı",IF(OR(F1644="",G1644=""),"Eşleşmedi","Eşleşti")))</ns0:f>
        <ns0:v/>
      </ns0:c>
      <ns0:c r="I1644" s="28">
        <ns0:f>I1643+IF(AND(H1644="Eşleşmedi",E1644='Panel'!$B$4),1,0)</ns0:f>
        <ns0:v>3.0</ns0:v>
      </ns0:c>
    </ns0:row>
    <ns0:row r="1645" ht="21" customHeight="1">
      <ns0:c r="A1645" s="25" t="n"/>
      <ns0:c r="B1645" s="26" t="n"/>
      <ns0:c r="C1645" s="27" t="n"/>
      <ns0:c r="D1645" s="27" t="n"/>
      <ns0:c r="E1645" s="28" t="str">
        <ns0:f>IF(A1645="","",YEAR(A1645)&amp;"-"&amp;RIGHT("0"&amp;MONTH(A1645),2))</ns0:f>
        <ns0:v/>
      </ns0:c>
      <ns0:c r="F1645" s="28" t="str">
        <ns0:f>IF(OR(A1645="",B1645="",C1645&lt;=0),"",IF(SUMPRODUCT(('Müşteriler'!$B$2:$B$101&lt;&gt;"")*ISNUMBER(SEARCH('Müşteriler'!$B$2:$B$101,B1645)))=1,IFERROR(INDEX('Müşteriler'!$A$2:$A$101,SUMPRODUCT(('Müşteriler'!$B$2:$B$101&lt;&gt;"")*ISNUMBER(SEARCH('Müşteriler'!$B$2:$B$101,B1645)),ROW('Müşteriler'!$B$2:$B$101)-ROW('Müşteriler'!$B$2)+1)),""),""))</ns0:f>
        <ns0:v/>
      </ns0:c>
      <ns0:c r="G1645" s="28" t="str">
        <ns0:f>IF(F1645="","",IFERROR(INDEX('Müşteriler'!$C$2:$C$101,MATCH(F1645,'Müşteriler'!$A$2:$A$101,0)),""))</ns0:f>
        <ns0:v/>
      </ns0:c>
      <ns0:c r="H1645" s="28" t="str">
        <ns0:f>IF(A1645="","",IF(C1645&lt;=0,"Satış dışı",IF(OR(F1645="",G1645=""),"Eşleşmedi","Eşleşti")))</ns0:f>
        <ns0:v/>
      </ns0:c>
      <ns0:c r="I1645" s="28">
        <ns0:f>I1644+IF(AND(H1645="Eşleşmedi",E1645='Panel'!$B$4),1,0)</ns0:f>
        <ns0:v>3.0</ns0:v>
      </ns0:c>
    </ns0:row>
    <ns0:row r="1646" ht="21" customHeight="1">
      <ns0:c r="A1646" s="25" t="n"/>
      <ns0:c r="B1646" s="26" t="n"/>
      <ns0:c r="C1646" s="27" t="n"/>
      <ns0:c r="D1646" s="27" t="n"/>
      <ns0:c r="E1646" s="28" t="str">
        <ns0:f>IF(A1646="","",YEAR(A1646)&amp;"-"&amp;RIGHT("0"&amp;MONTH(A1646),2))</ns0:f>
        <ns0:v/>
      </ns0:c>
      <ns0:c r="F1646" s="28" t="str">
        <ns0:f>IF(OR(A1646="",B1646="",C1646&lt;=0),"",IF(SUMPRODUCT(('Müşteriler'!$B$2:$B$101&lt;&gt;"")*ISNUMBER(SEARCH('Müşteriler'!$B$2:$B$101,B1646)))=1,IFERROR(INDEX('Müşteriler'!$A$2:$A$101,SUMPRODUCT(('Müşteriler'!$B$2:$B$101&lt;&gt;"")*ISNUMBER(SEARCH('Müşteriler'!$B$2:$B$101,B1646)),ROW('Müşteriler'!$B$2:$B$101)-ROW('Müşteriler'!$B$2)+1)),""),""))</ns0:f>
        <ns0:v/>
      </ns0:c>
      <ns0:c r="G1646" s="28" t="str">
        <ns0:f>IF(F1646="","",IFERROR(INDEX('Müşteriler'!$C$2:$C$101,MATCH(F1646,'Müşteriler'!$A$2:$A$101,0)),""))</ns0:f>
        <ns0:v/>
      </ns0:c>
      <ns0:c r="H1646" s="28" t="str">
        <ns0:f>IF(A1646="","",IF(C1646&lt;=0,"Satış dışı",IF(OR(F1646="",G1646=""),"Eşleşmedi","Eşleşti")))</ns0:f>
        <ns0:v/>
      </ns0:c>
      <ns0:c r="I1646" s="28">
        <ns0:f>I1645+IF(AND(H1646="Eşleşmedi",E1646='Panel'!$B$4),1,0)</ns0:f>
        <ns0:v>3.0</ns0:v>
      </ns0:c>
    </ns0:row>
    <ns0:row r="1647" ht="21" customHeight="1">
      <ns0:c r="A1647" s="25" t="n"/>
      <ns0:c r="B1647" s="26" t="n"/>
      <ns0:c r="C1647" s="27" t="n"/>
      <ns0:c r="D1647" s="27" t="n"/>
      <ns0:c r="E1647" s="28" t="str">
        <ns0:f>IF(A1647="","",YEAR(A1647)&amp;"-"&amp;RIGHT("0"&amp;MONTH(A1647),2))</ns0:f>
        <ns0:v/>
      </ns0:c>
      <ns0:c r="F1647" s="28" t="str">
        <ns0:f>IF(OR(A1647="",B1647="",C1647&lt;=0),"",IF(SUMPRODUCT(('Müşteriler'!$B$2:$B$101&lt;&gt;"")*ISNUMBER(SEARCH('Müşteriler'!$B$2:$B$101,B1647)))=1,IFERROR(INDEX('Müşteriler'!$A$2:$A$101,SUMPRODUCT(('Müşteriler'!$B$2:$B$101&lt;&gt;"")*ISNUMBER(SEARCH('Müşteriler'!$B$2:$B$101,B1647)),ROW('Müşteriler'!$B$2:$B$101)-ROW('Müşteriler'!$B$2)+1)),""),""))</ns0:f>
        <ns0:v/>
      </ns0:c>
      <ns0:c r="G1647" s="28" t="str">
        <ns0:f>IF(F1647="","",IFERROR(INDEX('Müşteriler'!$C$2:$C$101,MATCH(F1647,'Müşteriler'!$A$2:$A$101,0)),""))</ns0:f>
        <ns0:v/>
      </ns0:c>
      <ns0:c r="H1647" s="28" t="str">
        <ns0:f>IF(A1647="","",IF(C1647&lt;=0,"Satış dışı",IF(OR(F1647="",G1647=""),"Eşleşmedi","Eşleşti")))</ns0:f>
        <ns0:v/>
      </ns0:c>
      <ns0:c r="I1647" s="28">
        <ns0:f>I1646+IF(AND(H1647="Eşleşmedi",E1647='Panel'!$B$4),1,0)</ns0:f>
        <ns0:v>3.0</ns0:v>
      </ns0:c>
    </ns0:row>
    <ns0:row r="1648" ht="21" customHeight="1">
      <ns0:c r="A1648" s="25" t="n"/>
      <ns0:c r="B1648" s="26" t="n"/>
      <ns0:c r="C1648" s="27" t="n"/>
      <ns0:c r="D1648" s="27" t="n"/>
      <ns0:c r="E1648" s="28" t="str">
        <ns0:f>IF(A1648="","",YEAR(A1648)&amp;"-"&amp;RIGHT("0"&amp;MONTH(A1648),2))</ns0:f>
        <ns0:v/>
      </ns0:c>
      <ns0:c r="F1648" s="28" t="str">
        <ns0:f>IF(OR(A1648="",B1648="",C1648&lt;=0),"",IF(SUMPRODUCT(('Müşteriler'!$B$2:$B$101&lt;&gt;"")*ISNUMBER(SEARCH('Müşteriler'!$B$2:$B$101,B1648)))=1,IFERROR(INDEX('Müşteriler'!$A$2:$A$101,SUMPRODUCT(('Müşteriler'!$B$2:$B$101&lt;&gt;"")*ISNUMBER(SEARCH('Müşteriler'!$B$2:$B$101,B1648)),ROW('Müşteriler'!$B$2:$B$101)-ROW('Müşteriler'!$B$2)+1)),""),""))</ns0:f>
        <ns0:v/>
      </ns0:c>
      <ns0:c r="G1648" s="28" t="str">
        <ns0:f>IF(F1648="","",IFERROR(INDEX('Müşteriler'!$C$2:$C$101,MATCH(F1648,'Müşteriler'!$A$2:$A$101,0)),""))</ns0:f>
        <ns0:v/>
      </ns0:c>
      <ns0:c r="H1648" s="28" t="str">
        <ns0:f>IF(A1648="","",IF(C1648&lt;=0,"Satış dışı",IF(OR(F1648="",G1648=""),"Eşleşmedi","Eşleşti")))</ns0:f>
        <ns0:v/>
      </ns0:c>
      <ns0:c r="I1648" s="28">
        <ns0:f>I1647+IF(AND(H1648="Eşleşmedi",E1648='Panel'!$B$4),1,0)</ns0:f>
        <ns0:v>3.0</ns0:v>
      </ns0:c>
    </ns0:row>
    <ns0:row r="1649" ht="21" customHeight="1">
      <ns0:c r="A1649" s="25" t="n"/>
      <ns0:c r="B1649" s="26" t="n"/>
      <ns0:c r="C1649" s="27" t="n"/>
      <ns0:c r="D1649" s="27" t="n"/>
      <ns0:c r="E1649" s="28" t="str">
        <ns0:f>IF(A1649="","",YEAR(A1649)&amp;"-"&amp;RIGHT("0"&amp;MONTH(A1649),2))</ns0:f>
        <ns0:v/>
      </ns0:c>
      <ns0:c r="F1649" s="28" t="str">
        <ns0:f>IF(OR(A1649="",B1649="",C1649&lt;=0),"",IF(SUMPRODUCT(('Müşteriler'!$B$2:$B$101&lt;&gt;"")*ISNUMBER(SEARCH('Müşteriler'!$B$2:$B$101,B1649)))=1,IFERROR(INDEX('Müşteriler'!$A$2:$A$101,SUMPRODUCT(('Müşteriler'!$B$2:$B$101&lt;&gt;"")*ISNUMBER(SEARCH('Müşteriler'!$B$2:$B$101,B1649)),ROW('Müşteriler'!$B$2:$B$101)-ROW('Müşteriler'!$B$2)+1)),""),""))</ns0:f>
        <ns0:v/>
      </ns0:c>
      <ns0:c r="G1649" s="28" t="str">
        <ns0:f>IF(F1649="","",IFERROR(INDEX('Müşteriler'!$C$2:$C$101,MATCH(F1649,'Müşteriler'!$A$2:$A$101,0)),""))</ns0:f>
        <ns0:v/>
      </ns0:c>
      <ns0:c r="H1649" s="28" t="str">
        <ns0:f>IF(A1649="","",IF(C1649&lt;=0,"Satış dışı",IF(OR(F1649="",G1649=""),"Eşleşmedi","Eşleşti")))</ns0:f>
        <ns0:v/>
      </ns0:c>
      <ns0:c r="I1649" s="28">
        <ns0:f>I1648+IF(AND(H1649="Eşleşmedi",E1649='Panel'!$B$4),1,0)</ns0:f>
        <ns0:v>3.0</ns0:v>
      </ns0:c>
    </ns0:row>
    <ns0:row r="1650" ht="21" customHeight="1">
      <ns0:c r="A1650" s="25" t="n"/>
      <ns0:c r="B1650" s="26" t="n"/>
      <ns0:c r="C1650" s="27" t="n"/>
      <ns0:c r="D1650" s="27" t="n"/>
      <ns0:c r="E1650" s="28" t="str">
        <ns0:f>IF(A1650="","",YEAR(A1650)&amp;"-"&amp;RIGHT("0"&amp;MONTH(A1650),2))</ns0:f>
        <ns0:v/>
      </ns0:c>
      <ns0:c r="F1650" s="28" t="str">
        <ns0:f>IF(OR(A1650="",B1650="",C1650&lt;=0),"",IF(SUMPRODUCT(('Müşteriler'!$B$2:$B$101&lt;&gt;"")*ISNUMBER(SEARCH('Müşteriler'!$B$2:$B$101,B1650)))=1,IFERROR(INDEX('Müşteriler'!$A$2:$A$101,SUMPRODUCT(('Müşteriler'!$B$2:$B$101&lt;&gt;"")*ISNUMBER(SEARCH('Müşteriler'!$B$2:$B$101,B1650)),ROW('Müşteriler'!$B$2:$B$101)-ROW('Müşteriler'!$B$2)+1)),""),""))</ns0:f>
        <ns0:v/>
      </ns0:c>
      <ns0:c r="G1650" s="28" t="str">
        <ns0:f>IF(F1650="","",IFERROR(INDEX('Müşteriler'!$C$2:$C$101,MATCH(F1650,'Müşteriler'!$A$2:$A$101,0)),""))</ns0:f>
        <ns0:v/>
      </ns0:c>
      <ns0:c r="H1650" s="28" t="str">
        <ns0:f>IF(A1650="","",IF(C1650&lt;=0,"Satış dışı",IF(OR(F1650="",G1650=""),"Eşleşmedi","Eşleşti")))</ns0:f>
        <ns0:v/>
      </ns0:c>
      <ns0:c r="I1650" s="28">
        <ns0:f>I1649+IF(AND(H1650="Eşleşmedi",E1650='Panel'!$B$4),1,0)</ns0:f>
        <ns0:v>3.0</ns0:v>
      </ns0:c>
    </ns0:row>
    <ns0:row r="1651" ht="21" customHeight="1">
      <ns0:c r="A1651" s="25" t="n"/>
      <ns0:c r="B1651" s="26" t="n"/>
      <ns0:c r="C1651" s="27" t="n"/>
      <ns0:c r="D1651" s="27" t="n"/>
      <ns0:c r="E1651" s="28" t="str">
        <ns0:f>IF(A1651="","",YEAR(A1651)&amp;"-"&amp;RIGHT("0"&amp;MONTH(A1651),2))</ns0:f>
        <ns0:v/>
      </ns0:c>
      <ns0:c r="F1651" s="28" t="str">
        <ns0:f>IF(OR(A1651="",B1651="",C1651&lt;=0),"",IF(SUMPRODUCT(('Müşteriler'!$B$2:$B$101&lt;&gt;"")*ISNUMBER(SEARCH('Müşteriler'!$B$2:$B$101,B1651)))=1,IFERROR(INDEX('Müşteriler'!$A$2:$A$101,SUMPRODUCT(('Müşteriler'!$B$2:$B$101&lt;&gt;"")*ISNUMBER(SEARCH('Müşteriler'!$B$2:$B$101,B1651)),ROW('Müşteriler'!$B$2:$B$101)-ROW('Müşteriler'!$B$2)+1)),""),""))</ns0:f>
        <ns0:v/>
      </ns0:c>
      <ns0:c r="G1651" s="28" t="str">
        <ns0:f>IF(F1651="","",IFERROR(INDEX('Müşteriler'!$C$2:$C$101,MATCH(F1651,'Müşteriler'!$A$2:$A$101,0)),""))</ns0:f>
        <ns0:v/>
      </ns0:c>
      <ns0:c r="H1651" s="28" t="str">
        <ns0:f>IF(A1651="","",IF(C1651&lt;=0,"Satış dışı",IF(OR(F1651="",G1651=""),"Eşleşmedi","Eşleşti")))</ns0:f>
        <ns0:v/>
      </ns0:c>
      <ns0:c r="I1651" s="28">
        <ns0:f>I1650+IF(AND(H1651="Eşleşmedi",E1651='Panel'!$B$4),1,0)</ns0:f>
        <ns0:v>3.0</ns0:v>
      </ns0:c>
    </ns0:row>
    <ns0:row r="1652" ht="21" customHeight="1">
      <ns0:c r="A1652" s="25" t="n"/>
      <ns0:c r="B1652" s="26" t="n"/>
      <ns0:c r="C1652" s="27" t="n"/>
      <ns0:c r="D1652" s="27" t="n"/>
      <ns0:c r="E1652" s="28" t="str">
        <ns0:f>IF(A1652="","",YEAR(A1652)&amp;"-"&amp;RIGHT("0"&amp;MONTH(A1652),2))</ns0:f>
        <ns0:v/>
      </ns0:c>
      <ns0:c r="F1652" s="28" t="str">
        <ns0:f>IF(OR(A1652="",B1652="",C1652&lt;=0),"",IF(SUMPRODUCT(('Müşteriler'!$B$2:$B$101&lt;&gt;"")*ISNUMBER(SEARCH('Müşteriler'!$B$2:$B$101,B1652)))=1,IFERROR(INDEX('Müşteriler'!$A$2:$A$101,SUMPRODUCT(('Müşteriler'!$B$2:$B$101&lt;&gt;"")*ISNUMBER(SEARCH('Müşteriler'!$B$2:$B$101,B1652)),ROW('Müşteriler'!$B$2:$B$101)-ROW('Müşteriler'!$B$2)+1)),""),""))</ns0:f>
        <ns0:v/>
      </ns0:c>
      <ns0:c r="G1652" s="28" t="str">
        <ns0:f>IF(F1652="","",IFERROR(INDEX('Müşteriler'!$C$2:$C$101,MATCH(F1652,'Müşteriler'!$A$2:$A$101,0)),""))</ns0:f>
        <ns0:v/>
      </ns0:c>
      <ns0:c r="H1652" s="28" t="str">
        <ns0:f>IF(A1652="","",IF(C1652&lt;=0,"Satış dışı",IF(OR(F1652="",G1652=""),"Eşleşmedi","Eşleşti")))</ns0:f>
        <ns0:v/>
      </ns0:c>
      <ns0:c r="I1652" s="28">
        <ns0:f>I1651+IF(AND(H1652="Eşleşmedi",E1652='Panel'!$B$4),1,0)</ns0:f>
        <ns0:v>3.0</ns0:v>
      </ns0:c>
    </ns0:row>
    <ns0:row r="1653" ht="21" customHeight="1">
      <ns0:c r="A1653" s="25" t="n"/>
      <ns0:c r="B1653" s="26" t="n"/>
      <ns0:c r="C1653" s="27" t="n"/>
      <ns0:c r="D1653" s="27" t="n"/>
      <ns0:c r="E1653" s="28" t="str">
        <ns0:f>IF(A1653="","",YEAR(A1653)&amp;"-"&amp;RIGHT("0"&amp;MONTH(A1653),2))</ns0:f>
        <ns0:v/>
      </ns0:c>
      <ns0:c r="F1653" s="28" t="str">
        <ns0:f>IF(OR(A1653="",B1653="",C1653&lt;=0),"",IF(SUMPRODUCT(('Müşteriler'!$B$2:$B$101&lt;&gt;"")*ISNUMBER(SEARCH('Müşteriler'!$B$2:$B$101,B1653)))=1,IFERROR(INDEX('Müşteriler'!$A$2:$A$101,SUMPRODUCT(('Müşteriler'!$B$2:$B$101&lt;&gt;"")*ISNUMBER(SEARCH('Müşteriler'!$B$2:$B$101,B1653)),ROW('Müşteriler'!$B$2:$B$101)-ROW('Müşteriler'!$B$2)+1)),""),""))</ns0:f>
        <ns0:v/>
      </ns0:c>
      <ns0:c r="G1653" s="28" t="str">
        <ns0:f>IF(F1653="","",IFERROR(INDEX('Müşteriler'!$C$2:$C$101,MATCH(F1653,'Müşteriler'!$A$2:$A$101,0)),""))</ns0:f>
        <ns0:v/>
      </ns0:c>
      <ns0:c r="H1653" s="28" t="str">
        <ns0:f>IF(A1653="","",IF(C1653&lt;=0,"Satış dışı",IF(OR(F1653="",G1653=""),"Eşleşmedi","Eşleşti")))</ns0:f>
        <ns0:v/>
      </ns0:c>
      <ns0:c r="I1653" s="28">
        <ns0:f>I1652+IF(AND(H1653="Eşleşmedi",E1653='Panel'!$B$4),1,0)</ns0:f>
        <ns0:v>3.0</ns0:v>
      </ns0:c>
    </ns0:row>
    <ns0:row r="1654" ht="21" customHeight="1">
      <ns0:c r="A1654" s="25" t="n"/>
      <ns0:c r="B1654" s="26" t="n"/>
      <ns0:c r="C1654" s="27" t="n"/>
      <ns0:c r="D1654" s="27" t="n"/>
      <ns0:c r="E1654" s="28" t="str">
        <ns0:f>IF(A1654="","",YEAR(A1654)&amp;"-"&amp;RIGHT("0"&amp;MONTH(A1654),2))</ns0:f>
        <ns0:v/>
      </ns0:c>
      <ns0:c r="F1654" s="28" t="str">
        <ns0:f>IF(OR(A1654="",B1654="",C1654&lt;=0),"",IF(SUMPRODUCT(('Müşteriler'!$B$2:$B$101&lt;&gt;"")*ISNUMBER(SEARCH('Müşteriler'!$B$2:$B$101,B1654)))=1,IFERROR(INDEX('Müşteriler'!$A$2:$A$101,SUMPRODUCT(('Müşteriler'!$B$2:$B$101&lt;&gt;"")*ISNUMBER(SEARCH('Müşteriler'!$B$2:$B$101,B1654)),ROW('Müşteriler'!$B$2:$B$101)-ROW('Müşteriler'!$B$2)+1)),""),""))</ns0:f>
        <ns0:v/>
      </ns0:c>
      <ns0:c r="G1654" s="28" t="str">
        <ns0:f>IF(F1654="","",IFERROR(INDEX('Müşteriler'!$C$2:$C$101,MATCH(F1654,'Müşteriler'!$A$2:$A$101,0)),""))</ns0:f>
        <ns0:v/>
      </ns0:c>
      <ns0:c r="H1654" s="28" t="str">
        <ns0:f>IF(A1654="","",IF(C1654&lt;=0,"Satış dışı",IF(OR(F1654="",G1654=""),"Eşleşmedi","Eşleşti")))</ns0:f>
        <ns0:v/>
      </ns0:c>
      <ns0:c r="I1654" s="28">
        <ns0:f>I1653+IF(AND(H1654="Eşleşmedi",E1654='Panel'!$B$4),1,0)</ns0:f>
        <ns0:v>3.0</ns0:v>
      </ns0:c>
    </ns0:row>
    <ns0:row r="1655" ht="21" customHeight="1">
      <ns0:c r="A1655" s="25" t="n"/>
      <ns0:c r="B1655" s="26" t="n"/>
      <ns0:c r="C1655" s="27" t="n"/>
      <ns0:c r="D1655" s="27" t="n"/>
      <ns0:c r="E1655" s="28" t="str">
        <ns0:f>IF(A1655="","",YEAR(A1655)&amp;"-"&amp;RIGHT("0"&amp;MONTH(A1655),2))</ns0:f>
        <ns0:v/>
      </ns0:c>
      <ns0:c r="F1655" s="28" t="str">
        <ns0:f>IF(OR(A1655="",B1655="",C1655&lt;=0),"",IF(SUMPRODUCT(('Müşteriler'!$B$2:$B$101&lt;&gt;"")*ISNUMBER(SEARCH('Müşteriler'!$B$2:$B$101,B1655)))=1,IFERROR(INDEX('Müşteriler'!$A$2:$A$101,SUMPRODUCT(('Müşteriler'!$B$2:$B$101&lt;&gt;"")*ISNUMBER(SEARCH('Müşteriler'!$B$2:$B$101,B1655)),ROW('Müşteriler'!$B$2:$B$101)-ROW('Müşteriler'!$B$2)+1)),""),""))</ns0:f>
        <ns0:v/>
      </ns0:c>
      <ns0:c r="G1655" s="28" t="str">
        <ns0:f>IF(F1655="","",IFERROR(INDEX('Müşteriler'!$C$2:$C$101,MATCH(F1655,'Müşteriler'!$A$2:$A$101,0)),""))</ns0:f>
        <ns0:v/>
      </ns0:c>
      <ns0:c r="H1655" s="28" t="str">
        <ns0:f>IF(A1655="","",IF(C1655&lt;=0,"Satış dışı",IF(OR(F1655="",G1655=""),"Eşleşmedi","Eşleşti")))</ns0:f>
        <ns0:v/>
      </ns0:c>
      <ns0:c r="I1655" s="28">
        <ns0:f>I1654+IF(AND(H1655="Eşleşmedi",E1655='Panel'!$B$4),1,0)</ns0:f>
        <ns0:v>3.0</ns0:v>
      </ns0:c>
    </ns0:row>
    <ns0:row r="1656" ht="21" customHeight="1">
      <ns0:c r="A1656" s="25" t="n"/>
      <ns0:c r="B1656" s="26" t="n"/>
      <ns0:c r="C1656" s="27" t="n"/>
      <ns0:c r="D1656" s="27" t="n"/>
      <ns0:c r="E1656" s="28" t="str">
        <ns0:f>IF(A1656="","",YEAR(A1656)&amp;"-"&amp;RIGHT("0"&amp;MONTH(A1656),2))</ns0:f>
        <ns0:v/>
      </ns0:c>
      <ns0:c r="F1656" s="28" t="str">
        <ns0:f>IF(OR(A1656="",B1656="",C1656&lt;=0),"",IF(SUMPRODUCT(('Müşteriler'!$B$2:$B$101&lt;&gt;"")*ISNUMBER(SEARCH('Müşteriler'!$B$2:$B$101,B1656)))=1,IFERROR(INDEX('Müşteriler'!$A$2:$A$101,SUMPRODUCT(('Müşteriler'!$B$2:$B$101&lt;&gt;"")*ISNUMBER(SEARCH('Müşteriler'!$B$2:$B$101,B1656)),ROW('Müşteriler'!$B$2:$B$101)-ROW('Müşteriler'!$B$2)+1)),""),""))</ns0:f>
        <ns0:v/>
      </ns0:c>
      <ns0:c r="G1656" s="28" t="str">
        <ns0:f>IF(F1656="","",IFERROR(INDEX('Müşteriler'!$C$2:$C$101,MATCH(F1656,'Müşteriler'!$A$2:$A$101,0)),""))</ns0:f>
        <ns0:v/>
      </ns0:c>
      <ns0:c r="H1656" s="28" t="str">
        <ns0:f>IF(A1656="","",IF(C1656&lt;=0,"Satış dışı",IF(OR(F1656="",G1656=""),"Eşleşmedi","Eşleşti")))</ns0:f>
        <ns0:v/>
      </ns0:c>
      <ns0:c r="I1656" s="28">
        <ns0:f>I1655+IF(AND(H1656="Eşleşmedi",E1656='Panel'!$B$4),1,0)</ns0:f>
        <ns0:v>3.0</ns0:v>
      </ns0:c>
    </ns0:row>
    <ns0:row r="1657" ht="21" customHeight="1">
      <ns0:c r="A1657" s="25" t="n"/>
      <ns0:c r="B1657" s="26" t="n"/>
      <ns0:c r="C1657" s="27" t="n"/>
      <ns0:c r="D1657" s="27" t="n"/>
      <ns0:c r="E1657" s="28" t="str">
        <ns0:f>IF(A1657="","",YEAR(A1657)&amp;"-"&amp;RIGHT("0"&amp;MONTH(A1657),2))</ns0:f>
        <ns0:v/>
      </ns0:c>
      <ns0:c r="F1657" s="28" t="str">
        <ns0:f>IF(OR(A1657="",B1657="",C1657&lt;=0),"",IF(SUMPRODUCT(('Müşteriler'!$B$2:$B$101&lt;&gt;"")*ISNUMBER(SEARCH('Müşteriler'!$B$2:$B$101,B1657)))=1,IFERROR(INDEX('Müşteriler'!$A$2:$A$101,SUMPRODUCT(('Müşteriler'!$B$2:$B$101&lt;&gt;"")*ISNUMBER(SEARCH('Müşteriler'!$B$2:$B$101,B1657)),ROW('Müşteriler'!$B$2:$B$101)-ROW('Müşteriler'!$B$2)+1)),""),""))</ns0:f>
        <ns0:v/>
      </ns0:c>
      <ns0:c r="G1657" s="28" t="str">
        <ns0:f>IF(F1657="","",IFERROR(INDEX('Müşteriler'!$C$2:$C$101,MATCH(F1657,'Müşteriler'!$A$2:$A$101,0)),""))</ns0:f>
        <ns0:v/>
      </ns0:c>
      <ns0:c r="H1657" s="28" t="str">
        <ns0:f>IF(A1657="","",IF(C1657&lt;=0,"Satış dışı",IF(OR(F1657="",G1657=""),"Eşleşmedi","Eşleşti")))</ns0:f>
        <ns0:v/>
      </ns0:c>
      <ns0:c r="I1657" s="28">
        <ns0:f>I1656+IF(AND(H1657="Eşleşmedi",E1657='Panel'!$B$4),1,0)</ns0:f>
        <ns0:v>3.0</ns0:v>
      </ns0:c>
    </ns0:row>
    <ns0:row r="1658" ht="21" customHeight="1">
      <ns0:c r="A1658" s="25" t="n"/>
      <ns0:c r="B1658" s="26" t="n"/>
      <ns0:c r="C1658" s="27" t="n"/>
      <ns0:c r="D1658" s="27" t="n"/>
      <ns0:c r="E1658" s="28" t="str">
        <ns0:f>IF(A1658="","",YEAR(A1658)&amp;"-"&amp;RIGHT("0"&amp;MONTH(A1658),2))</ns0:f>
        <ns0:v/>
      </ns0:c>
      <ns0:c r="F1658" s="28" t="str">
        <ns0:f>IF(OR(A1658="",B1658="",C1658&lt;=0),"",IF(SUMPRODUCT(('Müşteriler'!$B$2:$B$101&lt;&gt;"")*ISNUMBER(SEARCH('Müşteriler'!$B$2:$B$101,B1658)))=1,IFERROR(INDEX('Müşteriler'!$A$2:$A$101,SUMPRODUCT(('Müşteriler'!$B$2:$B$101&lt;&gt;"")*ISNUMBER(SEARCH('Müşteriler'!$B$2:$B$101,B1658)),ROW('Müşteriler'!$B$2:$B$101)-ROW('Müşteriler'!$B$2)+1)),""),""))</ns0:f>
        <ns0:v/>
      </ns0:c>
      <ns0:c r="G1658" s="28" t="str">
        <ns0:f>IF(F1658="","",IFERROR(INDEX('Müşteriler'!$C$2:$C$101,MATCH(F1658,'Müşteriler'!$A$2:$A$101,0)),""))</ns0:f>
        <ns0:v/>
      </ns0:c>
      <ns0:c r="H1658" s="28" t="str">
        <ns0:f>IF(A1658="","",IF(C1658&lt;=0,"Satış dışı",IF(OR(F1658="",G1658=""),"Eşleşmedi","Eşleşti")))</ns0:f>
        <ns0:v/>
      </ns0:c>
      <ns0:c r="I1658" s="28">
        <ns0:f>I1657+IF(AND(H1658="Eşleşmedi",E1658='Panel'!$B$4),1,0)</ns0:f>
        <ns0:v>3.0</ns0:v>
      </ns0:c>
    </ns0:row>
    <ns0:row r="1659" ht="21" customHeight="1">
      <ns0:c r="A1659" s="25" t="n"/>
      <ns0:c r="B1659" s="26" t="n"/>
      <ns0:c r="C1659" s="27" t="n"/>
      <ns0:c r="D1659" s="27" t="n"/>
      <ns0:c r="E1659" s="28" t="str">
        <ns0:f>IF(A1659="","",YEAR(A1659)&amp;"-"&amp;RIGHT("0"&amp;MONTH(A1659),2))</ns0:f>
        <ns0:v/>
      </ns0:c>
      <ns0:c r="F1659" s="28" t="str">
        <ns0:f>IF(OR(A1659="",B1659="",C1659&lt;=0),"",IF(SUMPRODUCT(('Müşteriler'!$B$2:$B$101&lt;&gt;"")*ISNUMBER(SEARCH('Müşteriler'!$B$2:$B$101,B1659)))=1,IFERROR(INDEX('Müşteriler'!$A$2:$A$101,SUMPRODUCT(('Müşteriler'!$B$2:$B$101&lt;&gt;"")*ISNUMBER(SEARCH('Müşteriler'!$B$2:$B$101,B1659)),ROW('Müşteriler'!$B$2:$B$101)-ROW('Müşteriler'!$B$2)+1)),""),""))</ns0:f>
        <ns0:v/>
      </ns0:c>
      <ns0:c r="G1659" s="28" t="str">
        <ns0:f>IF(F1659="","",IFERROR(INDEX('Müşteriler'!$C$2:$C$101,MATCH(F1659,'Müşteriler'!$A$2:$A$101,0)),""))</ns0:f>
        <ns0:v/>
      </ns0:c>
      <ns0:c r="H1659" s="28" t="str">
        <ns0:f>IF(A1659="","",IF(C1659&lt;=0,"Satış dışı",IF(OR(F1659="",G1659=""),"Eşleşmedi","Eşleşti")))</ns0:f>
        <ns0:v/>
      </ns0:c>
      <ns0:c r="I1659" s="28">
        <ns0:f>I1658+IF(AND(H1659="Eşleşmedi",E1659='Panel'!$B$4),1,0)</ns0:f>
        <ns0:v>3.0</ns0:v>
      </ns0:c>
    </ns0:row>
    <ns0:row r="1660" ht="21" customHeight="1">
      <ns0:c r="A1660" s="25" t="n"/>
      <ns0:c r="B1660" s="26" t="n"/>
      <ns0:c r="C1660" s="27" t="n"/>
      <ns0:c r="D1660" s="27" t="n"/>
      <ns0:c r="E1660" s="28" t="str">
        <ns0:f>IF(A1660="","",YEAR(A1660)&amp;"-"&amp;RIGHT("0"&amp;MONTH(A1660),2))</ns0:f>
        <ns0:v/>
      </ns0:c>
      <ns0:c r="F1660" s="28" t="str">
        <ns0:f>IF(OR(A1660="",B1660="",C1660&lt;=0),"",IF(SUMPRODUCT(('Müşteriler'!$B$2:$B$101&lt;&gt;"")*ISNUMBER(SEARCH('Müşteriler'!$B$2:$B$101,B1660)))=1,IFERROR(INDEX('Müşteriler'!$A$2:$A$101,SUMPRODUCT(('Müşteriler'!$B$2:$B$101&lt;&gt;"")*ISNUMBER(SEARCH('Müşteriler'!$B$2:$B$101,B1660)),ROW('Müşteriler'!$B$2:$B$101)-ROW('Müşteriler'!$B$2)+1)),""),""))</ns0:f>
        <ns0:v/>
      </ns0:c>
      <ns0:c r="G1660" s="28" t="str">
        <ns0:f>IF(F1660="","",IFERROR(INDEX('Müşteriler'!$C$2:$C$101,MATCH(F1660,'Müşteriler'!$A$2:$A$101,0)),""))</ns0:f>
        <ns0:v/>
      </ns0:c>
      <ns0:c r="H1660" s="28" t="str">
        <ns0:f>IF(A1660="","",IF(C1660&lt;=0,"Satış dışı",IF(OR(F1660="",G1660=""),"Eşleşmedi","Eşleşti")))</ns0:f>
        <ns0:v/>
      </ns0:c>
      <ns0:c r="I1660" s="28">
        <ns0:f>I1659+IF(AND(H1660="Eşleşmedi",E1660='Panel'!$B$4),1,0)</ns0:f>
        <ns0:v>3.0</ns0:v>
      </ns0:c>
    </ns0:row>
    <ns0:row r="1661" ht="21" customHeight="1">
      <ns0:c r="A1661" s="25" t="n"/>
      <ns0:c r="B1661" s="26" t="n"/>
      <ns0:c r="C1661" s="27" t="n"/>
      <ns0:c r="D1661" s="27" t="n"/>
      <ns0:c r="E1661" s="28" t="str">
        <ns0:f>IF(A1661="","",YEAR(A1661)&amp;"-"&amp;RIGHT("0"&amp;MONTH(A1661),2))</ns0:f>
        <ns0:v/>
      </ns0:c>
      <ns0:c r="F1661" s="28" t="str">
        <ns0:f>IF(OR(A1661="",B1661="",C1661&lt;=0),"",IF(SUMPRODUCT(('Müşteriler'!$B$2:$B$101&lt;&gt;"")*ISNUMBER(SEARCH('Müşteriler'!$B$2:$B$101,B1661)))=1,IFERROR(INDEX('Müşteriler'!$A$2:$A$101,SUMPRODUCT(('Müşteriler'!$B$2:$B$101&lt;&gt;"")*ISNUMBER(SEARCH('Müşteriler'!$B$2:$B$101,B1661)),ROW('Müşteriler'!$B$2:$B$101)-ROW('Müşteriler'!$B$2)+1)),""),""))</ns0:f>
        <ns0:v/>
      </ns0:c>
      <ns0:c r="G1661" s="28" t="str">
        <ns0:f>IF(F1661="","",IFERROR(INDEX('Müşteriler'!$C$2:$C$101,MATCH(F1661,'Müşteriler'!$A$2:$A$101,0)),""))</ns0:f>
        <ns0:v/>
      </ns0:c>
      <ns0:c r="H1661" s="28" t="str">
        <ns0:f>IF(A1661="","",IF(C1661&lt;=0,"Satış dışı",IF(OR(F1661="",G1661=""),"Eşleşmedi","Eşleşti")))</ns0:f>
        <ns0:v/>
      </ns0:c>
      <ns0:c r="I1661" s="28">
        <ns0:f>I1660+IF(AND(H1661="Eşleşmedi",E1661='Panel'!$B$4),1,0)</ns0:f>
        <ns0:v>3.0</ns0:v>
      </ns0:c>
    </ns0:row>
    <ns0:row r="1662" ht="21" customHeight="1">
      <ns0:c r="A1662" s="25" t="n"/>
      <ns0:c r="B1662" s="26" t="n"/>
      <ns0:c r="C1662" s="27" t="n"/>
      <ns0:c r="D1662" s="27" t="n"/>
      <ns0:c r="E1662" s="28" t="str">
        <ns0:f>IF(A1662="","",YEAR(A1662)&amp;"-"&amp;RIGHT("0"&amp;MONTH(A1662),2))</ns0:f>
        <ns0:v/>
      </ns0:c>
      <ns0:c r="F1662" s="28" t="str">
        <ns0:f>IF(OR(A1662="",B1662="",C1662&lt;=0),"",IF(SUMPRODUCT(('Müşteriler'!$B$2:$B$101&lt;&gt;"")*ISNUMBER(SEARCH('Müşteriler'!$B$2:$B$101,B1662)))=1,IFERROR(INDEX('Müşteriler'!$A$2:$A$101,SUMPRODUCT(('Müşteriler'!$B$2:$B$101&lt;&gt;"")*ISNUMBER(SEARCH('Müşteriler'!$B$2:$B$101,B1662)),ROW('Müşteriler'!$B$2:$B$101)-ROW('Müşteriler'!$B$2)+1)),""),""))</ns0:f>
        <ns0:v/>
      </ns0:c>
      <ns0:c r="G1662" s="28" t="str">
        <ns0:f>IF(F1662="","",IFERROR(INDEX('Müşteriler'!$C$2:$C$101,MATCH(F1662,'Müşteriler'!$A$2:$A$101,0)),""))</ns0:f>
        <ns0:v/>
      </ns0:c>
      <ns0:c r="H1662" s="28" t="str">
        <ns0:f>IF(A1662="","",IF(C1662&lt;=0,"Satış dışı",IF(OR(F1662="",G1662=""),"Eşleşmedi","Eşleşti")))</ns0:f>
        <ns0:v/>
      </ns0:c>
      <ns0:c r="I1662" s="28">
        <ns0:f>I1661+IF(AND(H1662="Eşleşmedi",E1662='Panel'!$B$4),1,0)</ns0:f>
        <ns0:v>3.0</ns0:v>
      </ns0:c>
    </ns0:row>
    <ns0:row r="1663" ht="21" customHeight="1">
      <ns0:c r="A1663" s="25" t="n"/>
      <ns0:c r="B1663" s="26" t="n"/>
      <ns0:c r="C1663" s="27" t="n"/>
      <ns0:c r="D1663" s="27" t="n"/>
      <ns0:c r="E1663" s="28" t="str">
        <ns0:f>IF(A1663="","",YEAR(A1663)&amp;"-"&amp;RIGHT("0"&amp;MONTH(A1663),2))</ns0:f>
        <ns0:v/>
      </ns0:c>
      <ns0:c r="F1663" s="28" t="str">
        <ns0:f>IF(OR(A1663="",B1663="",C1663&lt;=0),"",IF(SUMPRODUCT(('Müşteriler'!$B$2:$B$101&lt;&gt;"")*ISNUMBER(SEARCH('Müşteriler'!$B$2:$B$101,B1663)))=1,IFERROR(INDEX('Müşteriler'!$A$2:$A$101,SUMPRODUCT(('Müşteriler'!$B$2:$B$101&lt;&gt;"")*ISNUMBER(SEARCH('Müşteriler'!$B$2:$B$101,B1663)),ROW('Müşteriler'!$B$2:$B$101)-ROW('Müşteriler'!$B$2)+1)),""),""))</ns0:f>
        <ns0:v/>
      </ns0:c>
      <ns0:c r="G1663" s="28" t="str">
        <ns0:f>IF(F1663="","",IFERROR(INDEX('Müşteriler'!$C$2:$C$101,MATCH(F1663,'Müşteriler'!$A$2:$A$101,0)),""))</ns0:f>
        <ns0:v/>
      </ns0:c>
      <ns0:c r="H1663" s="28" t="str">
        <ns0:f>IF(A1663="","",IF(C1663&lt;=0,"Satış dışı",IF(OR(F1663="",G1663=""),"Eşleşmedi","Eşleşti")))</ns0:f>
        <ns0:v/>
      </ns0:c>
      <ns0:c r="I1663" s="28">
        <ns0:f>I1662+IF(AND(H1663="Eşleşmedi",E1663='Panel'!$B$4),1,0)</ns0:f>
        <ns0:v>3.0</ns0:v>
      </ns0:c>
    </ns0:row>
    <ns0:row r="1664" ht="21" customHeight="1">
      <ns0:c r="A1664" s="25" t="n"/>
      <ns0:c r="B1664" s="26" t="n"/>
      <ns0:c r="C1664" s="27" t="n"/>
      <ns0:c r="D1664" s="27" t="n"/>
      <ns0:c r="E1664" s="28" t="str">
        <ns0:f>IF(A1664="","",YEAR(A1664)&amp;"-"&amp;RIGHT("0"&amp;MONTH(A1664),2))</ns0:f>
        <ns0:v/>
      </ns0:c>
      <ns0:c r="F1664" s="28" t="str">
        <ns0:f>IF(OR(A1664="",B1664="",C1664&lt;=0),"",IF(SUMPRODUCT(('Müşteriler'!$B$2:$B$101&lt;&gt;"")*ISNUMBER(SEARCH('Müşteriler'!$B$2:$B$101,B1664)))=1,IFERROR(INDEX('Müşteriler'!$A$2:$A$101,SUMPRODUCT(('Müşteriler'!$B$2:$B$101&lt;&gt;"")*ISNUMBER(SEARCH('Müşteriler'!$B$2:$B$101,B1664)),ROW('Müşteriler'!$B$2:$B$101)-ROW('Müşteriler'!$B$2)+1)),""),""))</ns0:f>
        <ns0:v/>
      </ns0:c>
      <ns0:c r="G1664" s="28" t="str">
        <ns0:f>IF(F1664="","",IFERROR(INDEX('Müşteriler'!$C$2:$C$101,MATCH(F1664,'Müşteriler'!$A$2:$A$101,0)),""))</ns0:f>
        <ns0:v/>
      </ns0:c>
      <ns0:c r="H1664" s="28" t="str">
        <ns0:f>IF(A1664="","",IF(C1664&lt;=0,"Satış dışı",IF(OR(F1664="",G1664=""),"Eşleşmedi","Eşleşti")))</ns0:f>
        <ns0:v/>
      </ns0:c>
      <ns0:c r="I1664" s="28">
        <ns0:f>I1663+IF(AND(H1664="Eşleşmedi",E1664='Panel'!$B$4),1,0)</ns0:f>
        <ns0:v>3.0</ns0:v>
      </ns0:c>
    </ns0:row>
    <ns0:row r="1665" ht="21" customHeight="1">
      <ns0:c r="A1665" s="25" t="n"/>
      <ns0:c r="B1665" s="26" t="n"/>
      <ns0:c r="C1665" s="27" t="n"/>
      <ns0:c r="D1665" s="27" t="n"/>
      <ns0:c r="E1665" s="28" t="str">
        <ns0:f>IF(A1665="","",YEAR(A1665)&amp;"-"&amp;RIGHT("0"&amp;MONTH(A1665),2))</ns0:f>
        <ns0:v/>
      </ns0:c>
      <ns0:c r="F1665" s="28" t="str">
        <ns0:f>IF(OR(A1665="",B1665="",C1665&lt;=0),"",IF(SUMPRODUCT(('Müşteriler'!$B$2:$B$101&lt;&gt;"")*ISNUMBER(SEARCH('Müşteriler'!$B$2:$B$101,B1665)))=1,IFERROR(INDEX('Müşteriler'!$A$2:$A$101,SUMPRODUCT(('Müşteriler'!$B$2:$B$101&lt;&gt;"")*ISNUMBER(SEARCH('Müşteriler'!$B$2:$B$101,B1665)),ROW('Müşteriler'!$B$2:$B$101)-ROW('Müşteriler'!$B$2)+1)),""),""))</ns0:f>
        <ns0:v/>
      </ns0:c>
      <ns0:c r="G1665" s="28" t="str">
        <ns0:f>IF(F1665="","",IFERROR(INDEX('Müşteriler'!$C$2:$C$101,MATCH(F1665,'Müşteriler'!$A$2:$A$101,0)),""))</ns0:f>
        <ns0:v/>
      </ns0:c>
      <ns0:c r="H1665" s="28" t="str">
        <ns0:f>IF(A1665="","",IF(C1665&lt;=0,"Satış dışı",IF(OR(F1665="",G1665=""),"Eşleşmedi","Eşleşti")))</ns0:f>
        <ns0:v/>
      </ns0:c>
      <ns0:c r="I1665" s="28">
        <ns0:f>I1664+IF(AND(H1665="Eşleşmedi",E1665='Panel'!$B$4),1,0)</ns0:f>
        <ns0:v>3.0</ns0:v>
      </ns0:c>
    </ns0:row>
    <ns0:row r="1666" ht="21" customHeight="1">
      <ns0:c r="A1666" s="25" t="n"/>
      <ns0:c r="B1666" s="26" t="n"/>
      <ns0:c r="C1666" s="27" t="n"/>
      <ns0:c r="D1666" s="27" t="n"/>
      <ns0:c r="E1666" s="28" t="str">
        <ns0:f>IF(A1666="","",YEAR(A1666)&amp;"-"&amp;RIGHT("0"&amp;MONTH(A1666),2))</ns0:f>
        <ns0:v/>
      </ns0:c>
      <ns0:c r="F1666" s="28" t="str">
        <ns0:f>IF(OR(A1666="",B1666="",C1666&lt;=0),"",IF(SUMPRODUCT(('Müşteriler'!$B$2:$B$101&lt;&gt;"")*ISNUMBER(SEARCH('Müşteriler'!$B$2:$B$101,B1666)))=1,IFERROR(INDEX('Müşteriler'!$A$2:$A$101,SUMPRODUCT(('Müşteriler'!$B$2:$B$101&lt;&gt;"")*ISNUMBER(SEARCH('Müşteriler'!$B$2:$B$101,B1666)),ROW('Müşteriler'!$B$2:$B$101)-ROW('Müşteriler'!$B$2)+1)),""),""))</ns0:f>
        <ns0:v/>
      </ns0:c>
      <ns0:c r="G1666" s="28" t="str">
        <ns0:f>IF(F1666="","",IFERROR(INDEX('Müşteriler'!$C$2:$C$101,MATCH(F1666,'Müşteriler'!$A$2:$A$101,0)),""))</ns0:f>
        <ns0:v/>
      </ns0:c>
      <ns0:c r="H1666" s="28" t="str">
        <ns0:f>IF(A1666="","",IF(C1666&lt;=0,"Satış dışı",IF(OR(F1666="",G1666=""),"Eşleşmedi","Eşleşti")))</ns0:f>
        <ns0:v/>
      </ns0:c>
      <ns0:c r="I1666" s="28">
        <ns0:f>I1665+IF(AND(H1666="Eşleşmedi",E1666='Panel'!$B$4),1,0)</ns0:f>
        <ns0:v>3.0</ns0:v>
      </ns0:c>
    </ns0:row>
    <ns0:row r="1667" ht="21" customHeight="1">
      <ns0:c r="A1667" s="25" t="n"/>
      <ns0:c r="B1667" s="26" t="n"/>
      <ns0:c r="C1667" s="27" t="n"/>
      <ns0:c r="D1667" s="27" t="n"/>
      <ns0:c r="E1667" s="28" t="str">
        <ns0:f>IF(A1667="","",YEAR(A1667)&amp;"-"&amp;RIGHT("0"&amp;MONTH(A1667),2))</ns0:f>
        <ns0:v/>
      </ns0:c>
      <ns0:c r="F1667" s="28" t="str">
        <ns0:f>IF(OR(A1667="",B1667="",C1667&lt;=0),"",IF(SUMPRODUCT(('Müşteriler'!$B$2:$B$101&lt;&gt;"")*ISNUMBER(SEARCH('Müşteriler'!$B$2:$B$101,B1667)))=1,IFERROR(INDEX('Müşteriler'!$A$2:$A$101,SUMPRODUCT(('Müşteriler'!$B$2:$B$101&lt;&gt;"")*ISNUMBER(SEARCH('Müşteriler'!$B$2:$B$101,B1667)),ROW('Müşteriler'!$B$2:$B$101)-ROW('Müşteriler'!$B$2)+1)),""),""))</ns0:f>
        <ns0:v/>
      </ns0:c>
      <ns0:c r="G1667" s="28" t="str">
        <ns0:f>IF(F1667="","",IFERROR(INDEX('Müşteriler'!$C$2:$C$101,MATCH(F1667,'Müşteriler'!$A$2:$A$101,0)),""))</ns0:f>
        <ns0:v/>
      </ns0:c>
      <ns0:c r="H1667" s="28" t="str">
        <ns0:f>IF(A1667="","",IF(C1667&lt;=0,"Satış dışı",IF(OR(F1667="",G1667=""),"Eşleşmedi","Eşleşti")))</ns0:f>
        <ns0:v/>
      </ns0:c>
      <ns0:c r="I1667" s="28">
        <ns0:f>I1666+IF(AND(H1667="Eşleşmedi",E1667='Panel'!$B$4),1,0)</ns0:f>
        <ns0:v>3.0</ns0:v>
      </ns0:c>
    </ns0:row>
    <ns0:row r="1668" ht="21" customHeight="1">
      <ns0:c r="A1668" s="25" t="n"/>
      <ns0:c r="B1668" s="26" t="n"/>
      <ns0:c r="C1668" s="27" t="n"/>
      <ns0:c r="D1668" s="27" t="n"/>
      <ns0:c r="E1668" s="28" t="str">
        <ns0:f>IF(A1668="","",YEAR(A1668)&amp;"-"&amp;RIGHT("0"&amp;MONTH(A1668),2))</ns0:f>
        <ns0:v/>
      </ns0:c>
      <ns0:c r="F1668" s="28" t="str">
        <ns0:f>IF(OR(A1668="",B1668="",C1668&lt;=0),"",IF(SUMPRODUCT(('Müşteriler'!$B$2:$B$101&lt;&gt;"")*ISNUMBER(SEARCH('Müşteriler'!$B$2:$B$101,B1668)))=1,IFERROR(INDEX('Müşteriler'!$A$2:$A$101,SUMPRODUCT(('Müşteriler'!$B$2:$B$101&lt;&gt;"")*ISNUMBER(SEARCH('Müşteriler'!$B$2:$B$101,B1668)),ROW('Müşteriler'!$B$2:$B$101)-ROW('Müşteriler'!$B$2)+1)),""),""))</ns0:f>
        <ns0:v/>
      </ns0:c>
      <ns0:c r="G1668" s="28" t="str">
        <ns0:f>IF(F1668="","",IFERROR(INDEX('Müşteriler'!$C$2:$C$101,MATCH(F1668,'Müşteriler'!$A$2:$A$101,0)),""))</ns0:f>
        <ns0:v/>
      </ns0:c>
      <ns0:c r="H1668" s="28" t="str">
        <ns0:f>IF(A1668="","",IF(C1668&lt;=0,"Satış dışı",IF(OR(F1668="",G1668=""),"Eşleşmedi","Eşleşti")))</ns0:f>
        <ns0:v/>
      </ns0:c>
      <ns0:c r="I1668" s="28">
        <ns0:f>I1667+IF(AND(H1668="Eşleşmedi",E1668='Panel'!$B$4),1,0)</ns0:f>
        <ns0:v>3.0</ns0:v>
      </ns0:c>
    </ns0:row>
    <ns0:row r="1669" ht="21" customHeight="1">
      <ns0:c r="A1669" s="25" t="n"/>
      <ns0:c r="B1669" s="26" t="n"/>
      <ns0:c r="C1669" s="27" t="n"/>
      <ns0:c r="D1669" s="27" t="n"/>
      <ns0:c r="E1669" s="28" t="str">
        <ns0:f>IF(A1669="","",YEAR(A1669)&amp;"-"&amp;RIGHT("0"&amp;MONTH(A1669),2))</ns0:f>
        <ns0:v/>
      </ns0:c>
      <ns0:c r="F1669" s="28" t="str">
        <ns0:f>IF(OR(A1669="",B1669="",C1669&lt;=0),"",IF(SUMPRODUCT(('Müşteriler'!$B$2:$B$101&lt;&gt;"")*ISNUMBER(SEARCH('Müşteriler'!$B$2:$B$101,B1669)))=1,IFERROR(INDEX('Müşteriler'!$A$2:$A$101,SUMPRODUCT(('Müşteriler'!$B$2:$B$101&lt;&gt;"")*ISNUMBER(SEARCH('Müşteriler'!$B$2:$B$101,B1669)),ROW('Müşteriler'!$B$2:$B$101)-ROW('Müşteriler'!$B$2)+1)),""),""))</ns0:f>
        <ns0:v/>
      </ns0:c>
      <ns0:c r="G1669" s="28" t="str">
        <ns0:f>IF(F1669="","",IFERROR(INDEX('Müşteriler'!$C$2:$C$101,MATCH(F1669,'Müşteriler'!$A$2:$A$101,0)),""))</ns0:f>
        <ns0:v/>
      </ns0:c>
      <ns0:c r="H1669" s="28" t="str">
        <ns0:f>IF(A1669="","",IF(C1669&lt;=0,"Satış dışı",IF(OR(F1669="",G1669=""),"Eşleşmedi","Eşleşti")))</ns0:f>
        <ns0:v/>
      </ns0:c>
      <ns0:c r="I1669" s="28">
        <ns0:f>I1668+IF(AND(H1669="Eşleşmedi",E1669='Panel'!$B$4),1,0)</ns0:f>
        <ns0:v>3.0</ns0:v>
      </ns0:c>
    </ns0:row>
    <ns0:row r="1670" ht="21" customHeight="1">
      <ns0:c r="A1670" s="25" t="n"/>
      <ns0:c r="B1670" s="26" t="n"/>
      <ns0:c r="C1670" s="27" t="n"/>
      <ns0:c r="D1670" s="27" t="n"/>
      <ns0:c r="E1670" s="28" t="str">
        <ns0:f>IF(A1670="","",YEAR(A1670)&amp;"-"&amp;RIGHT("0"&amp;MONTH(A1670),2))</ns0:f>
        <ns0:v/>
      </ns0:c>
      <ns0:c r="F1670" s="28" t="str">
        <ns0:f>IF(OR(A1670="",B1670="",C1670&lt;=0),"",IF(SUMPRODUCT(('Müşteriler'!$B$2:$B$101&lt;&gt;"")*ISNUMBER(SEARCH('Müşteriler'!$B$2:$B$101,B1670)))=1,IFERROR(INDEX('Müşteriler'!$A$2:$A$101,SUMPRODUCT(('Müşteriler'!$B$2:$B$101&lt;&gt;"")*ISNUMBER(SEARCH('Müşteriler'!$B$2:$B$101,B1670)),ROW('Müşteriler'!$B$2:$B$101)-ROW('Müşteriler'!$B$2)+1)),""),""))</ns0:f>
        <ns0:v/>
      </ns0:c>
      <ns0:c r="G1670" s="28" t="str">
        <ns0:f>IF(F1670="","",IFERROR(INDEX('Müşteriler'!$C$2:$C$101,MATCH(F1670,'Müşteriler'!$A$2:$A$101,0)),""))</ns0:f>
        <ns0:v/>
      </ns0:c>
      <ns0:c r="H1670" s="28" t="str">
        <ns0:f>IF(A1670="","",IF(C1670&lt;=0,"Satış dışı",IF(OR(F1670="",G1670=""),"Eşleşmedi","Eşleşti")))</ns0:f>
        <ns0:v/>
      </ns0:c>
      <ns0:c r="I1670" s="28">
        <ns0:f>I1669+IF(AND(H1670="Eşleşmedi",E1670='Panel'!$B$4),1,0)</ns0:f>
        <ns0:v>3.0</ns0:v>
      </ns0:c>
    </ns0:row>
    <ns0:row r="1671" ht="21" customHeight="1">
      <ns0:c r="A1671" s="25" t="n"/>
      <ns0:c r="B1671" s="26" t="n"/>
      <ns0:c r="C1671" s="27" t="n"/>
      <ns0:c r="D1671" s="27" t="n"/>
      <ns0:c r="E1671" s="28" t="str">
        <ns0:f>IF(A1671="","",YEAR(A1671)&amp;"-"&amp;RIGHT("0"&amp;MONTH(A1671),2))</ns0:f>
        <ns0:v/>
      </ns0:c>
      <ns0:c r="F1671" s="28" t="str">
        <ns0:f>IF(OR(A1671="",B1671="",C1671&lt;=0),"",IF(SUMPRODUCT(('Müşteriler'!$B$2:$B$101&lt;&gt;"")*ISNUMBER(SEARCH('Müşteriler'!$B$2:$B$101,B1671)))=1,IFERROR(INDEX('Müşteriler'!$A$2:$A$101,SUMPRODUCT(('Müşteriler'!$B$2:$B$101&lt;&gt;"")*ISNUMBER(SEARCH('Müşteriler'!$B$2:$B$101,B1671)),ROW('Müşteriler'!$B$2:$B$101)-ROW('Müşteriler'!$B$2)+1)),""),""))</ns0:f>
        <ns0:v/>
      </ns0:c>
      <ns0:c r="G1671" s="28" t="str">
        <ns0:f>IF(F1671="","",IFERROR(INDEX('Müşteriler'!$C$2:$C$101,MATCH(F1671,'Müşteriler'!$A$2:$A$101,0)),""))</ns0:f>
        <ns0:v/>
      </ns0:c>
      <ns0:c r="H1671" s="28" t="str">
        <ns0:f>IF(A1671="","",IF(C1671&lt;=0,"Satış dışı",IF(OR(F1671="",G1671=""),"Eşleşmedi","Eşleşti")))</ns0:f>
        <ns0:v/>
      </ns0:c>
      <ns0:c r="I1671" s="28">
        <ns0:f>I1670+IF(AND(H1671="Eşleşmedi",E1671='Panel'!$B$4),1,0)</ns0:f>
        <ns0:v>3.0</ns0:v>
      </ns0:c>
    </ns0:row>
    <ns0:row r="1672" ht="21" customHeight="1">
      <ns0:c r="A1672" s="25" t="n"/>
      <ns0:c r="B1672" s="26" t="n"/>
      <ns0:c r="C1672" s="27" t="n"/>
      <ns0:c r="D1672" s="27" t="n"/>
      <ns0:c r="E1672" s="28" t="str">
        <ns0:f>IF(A1672="","",YEAR(A1672)&amp;"-"&amp;RIGHT("0"&amp;MONTH(A1672),2))</ns0:f>
        <ns0:v/>
      </ns0:c>
      <ns0:c r="F1672" s="28" t="str">
        <ns0:f>IF(OR(A1672="",B1672="",C1672&lt;=0),"",IF(SUMPRODUCT(('Müşteriler'!$B$2:$B$101&lt;&gt;"")*ISNUMBER(SEARCH('Müşteriler'!$B$2:$B$101,B1672)))=1,IFERROR(INDEX('Müşteriler'!$A$2:$A$101,SUMPRODUCT(('Müşteriler'!$B$2:$B$101&lt;&gt;"")*ISNUMBER(SEARCH('Müşteriler'!$B$2:$B$101,B1672)),ROW('Müşteriler'!$B$2:$B$101)-ROW('Müşteriler'!$B$2)+1)),""),""))</ns0:f>
        <ns0:v/>
      </ns0:c>
      <ns0:c r="G1672" s="28" t="str">
        <ns0:f>IF(F1672="","",IFERROR(INDEX('Müşteriler'!$C$2:$C$101,MATCH(F1672,'Müşteriler'!$A$2:$A$101,0)),""))</ns0:f>
        <ns0:v/>
      </ns0:c>
      <ns0:c r="H1672" s="28" t="str">
        <ns0:f>IF(A1672="","",IF(C1672&lt;=0,"Satış dışı",IF(OR(F1672="",G1672=""),"Eşleşmedi","Eşleşti")))</ns0:f>
        <ns0:v/>
      </ns0:c>
      <ns0:c r="I1672" s="28">
        <ns0:f>I1671+IF(AND(H1672="Eşleşmedi",E1672='Panel'!$B$4),1,0)</ns0:f>
        <ns0:v>3.0</ns0:v>
      </ns0:c>
    </ns0:row>
    <ns0:row r="1673" ht="21" customHeight="1">
      <ns0:c r="A1673" s="25" t="n"/>
      <ns0:c r="B1673" s="26" t="n"/>
      <ns0:c r="C1673" s="27" t="n"/>
      <ns0:c r="D1673" s="27" t="n"/>
      <ns0:c r="E1673" s="28" t="str">
        <ns0:f>IF(A1673="","",YEAR(A1673)&amp;"-"&amp;RIGHT("0"&amp;MONTH(A1673),2))</ns0:f>
        <ns0:v/>
      </ns0:c>
      <ns0:c r="F1673" s="28" t="str">
        <ns0:f>IF(OR(A1673="",B1673="",C1673&lt;=0),"",IF(SUMPRODUCT(('Müşteriler'!$B$2:$B$101&lt;&gt;"")*ISNUMBER(SEARCH('Müşteriler'!$B$2:$B$101,B1673)))=1,IFERROR(INDEX('Müşteriler'!$A$2:$A$101,SUMPRODUCT(('Müşteriler'!$B$2:$B$101&lt;&gt;"")*ISNUMBER(SEARCH('Müşteriler'!$B$2:$B$101,B1673)),ROW('Müşteriler'!$B$2:$B$101)-ROW('Müşteriler'!$B$2)+1)),""),""))</ns0:f>
        <ns0:v/>
      </ns0:c>
      <ns0:c r="G1673" s="28" t="str">
        <ns0:f>IF(F1673="","",IFERROR(INDEX('Müşteriler'!$C$2:$C$101,MATCH(F1673,'Müşteriler'!$A$2:$A$101,0)),""))</ns0:f>
        <ns0:v/>
      </ns0:c>
      <ns0:c r="H1673" s="28" t="str">
        <ns0:f>IF(A1673="","",IF(C1673&lt;=0,"Satış dışı",IF(OR(F1673="",G1673=""),"Eşleşmedi","Eşleşti")))</ns0:f>
        <ns0:v/>
      </ns0:c>
      <ns0:c r="I1673" s="28">
        <ns0:f>I1672+IF(AND(H1673="Eşleşmedi",E1673='Panel'!$B$4),1,0)</ns0:f>
        <ns0:v>3.0</ns0:v>
      </ns0:c>
    </ns0:row>
    <ns0:row r="1674" ht="21" customHeight="1">
      <ns0:c r="A1674" s="25" t="n"/>
      <ns0:c r="B1674" s="26" t="n"/>
      <ns0:c r="C1674" s="27" t="n"/>
      <ns0:c r="D1674" s="27" t="n"/>
      <ns0:c r="E1674" s="28" t="str">
        <ns0:f>IF(A1674="","",YEAR(A1674)&amp;"-"&amp;RIGHT("0"&amp;MONTH(A1674),2))</ns0:f>
        <ns0:v/>
      </ns0:c>
      <ns0:c r="F1674" s="28" t="str">
        <ns0:f>IF(OR(A1674="",B1674="",C1674&lt;=0),"",IF(SUMPRODUCT(('Müşteriler'!$B$2:$B$101&lt;&gt;"")*ISNUMBER(SEARCH('Müşteriler'!$B$2:$B$101,B1674)))=1,IFERROR(INDEX('Müşteriler'!$A$2:$A$101,SUMPRODUCT(('Müşteriler'!$B$2:$B$101&lt;&gt;"")*ISNUMBER(SEARCH('Müşteriler'!$B$2:$B$101,B1674)),ROW('Müşteriler'!$B$2:$B$101)-ROW('Müşteriler'!$B$2)+1)),""),""))</ns0:f>
        <ns0:v/>
      </ns0:c>
      <ns0:c r="G1674" s="28" t="str">
        <ns0:f>IF(F1674="","",IFERROR(INDEX('Müşteriler'!$C$2:$C$101,MATCH(F1674,'Müşteriler'!$A$2:$A$101,0)),""))</ns0:f>
        <ns0:v/>
      </ns0:c>
      <ns0:c r="H1674" s="28" t="str">
        <ns0:f>IF(A1674="","",IF(C1674&lt;=0,"Satış dışı",IF(OR(F1674="",G1674=""),"Eşleşmedi","Eşleşti")))</ns0:f>
        <ns0:v/>
      </ns0:c>
      <ns0:c r="I1674" s="28">
        <ns0:f>I1673+IF(AND(H1674="Eşleşmedi",E1674='Panel'!$B$4),1,0)</ns0:f>
        <ns0:v>3.0</ns0:v>
      </ns0:c>
    </ns0:row>
    <ns0:row r="1675" ht="21" customHeight="1">
      <ns0:c r="A1675" s="25" t="n"/>
      <ns0:c r="B1675" s="26" t="n"/>
      <ns0:c r="C1675" s="27" t="n"/>
      <ns0:c r="D1675" s="27" t="n"/>
      <ns0:c r="E1675" s="28" t="str">
        <ns0:f>IF(A1675="","",YEAR(A1675)&amp;"-"&amp;RIGHT("0"&amp;MONTH(A1675),2))</ns0:f>
        <ns0:v/>
      </ns0:c>
      <ns0:c r="F1675" s="28" t="str">
        <ns0:f>IF(OR(A1675="",B1675="",C1675&lt;=0),"",IF(SUMPRODUCT(('Müşteriler'!$B$2:$B$101&lt;&gt;"")*ISNUMBER(SEARCH('Müşteriler'!$B$2:$B$101,B1675)))=1,IFERROR(INDEX('Müşteriler'!$A$2:$A$101,SUMPRODUCT(('Müşteriler'!$B$2:$B$101&lt;&gt;"")*ISNUMBER(SEARCH('Müşteriler'!$B$2:$B$101,B1675)),ROW('Müşteriler'!$B$2:$B$101)-ROW('Müşteriler'!$B$2)+1)),""),""))</ns0:f>
        <ns0:v/>
      </ns0:c>
      <ns0:c r="G1675" s="28" t="str">
        <ns0:f>IF(F1675="","",IFERROR(INDEX('Müşteriler'!$C$2:$C$101,MATCH(F1675,'Müşteriler'!$A$2:$A$101,0)),""))</ns0:f>
        <ns0:v/>
      </ns0:c>
      <ns0:c r="H1675" s="28" t="str">
        <ns0:f>IF(A1675="","",IF(C1675&lt;=0,"Satış dışı",IF(OR(F1675="",G1675=""),"Eşleşmedi","Eşleşti")))</ns0:f>
        <ns0:v/>
      </ns0:c>
      <ns0:c r="I1675" s="28">
        <ns0:f>I1674+IF(AND(H1675="Eşleşmedi",E1675='Panel'!$B$4),1,0)</ns0:f>
        <ns0:v>3.0</ns0:v>
      </ns0:c>
    </ns0:row>
    <ns0:row r="1676" ht="21" customHeight="1">
      <ns0:c r="A1676" s="25" t="n"/>
      <ns0:c r="B1676" s="26" t="n"/>
      <ns0:c r="C1676" s="27" t="n"/>
      <ns0:c r="D1676" s="27" t="n"/>
      <ns0:c r="E1676" s="28" t="str">
        <ns0:f>IF(A1676="","",YEAR(A1676)&amp;"-"&amp;RIGHT("0"&amp;MONTH(A1676),2))</ns0:f>
        <ns0:v/>
      </ns0:c>
      <ns0:c r="F1676" s="28" t="str">
        <ns0:f>IF(OR(A1676="",B1676="",C1676&lt;=0),"",IF(SUMPRODUCT(('Müşteriler'!$B$2:$B$101&lt;&gt;"")*ISNUMBER(SEARCH('Müşteriler'!$B$2:$B$101,B1676)))=1,IFERROR(INDEX('Müşteriler'!$A$2:$A$101,SUMPRODUCT(('Müşteriler'!$B$2:$B$101&lt;&gt;"")*ISNUMBER(SEARCH('Müşteriler'!$B$2:$B$101,B1676)),ROW('Müşteriler'!$B$2:$B$101)-ROW('Müşteriler'!$B$2)+1)),""),""))</ns0:f>
        <ns0:v/>
      </ns0:c>
      <ns0:c r="G1676" s="28" t="str">
        <ns0:f>IF(F1676="","",IFERROR(INDEX('Müşteriler'!$C$2:$C$101,MATCH(F1676,'Müşteriler'!$A$2:$A$101,0)),""))</ns0:f>
        <ns0:v/>
      </ns0:c>
      <ns0:c r="H1676" s="28" t="str">
        <ns0:f>IF(A1676="","",IF(C1676&lt;=0,"Satış dışı",IF(OR(F1676="",G1676=""),"Eşleşmedi","Eşleşti")))</ns0:f>
        <ns0:v/>
      </ns0:c>
      <ns0:c r="I1676" s="28">
        <ns0:f>I1675+IF(AND(H1676="Eşleşmedi",E1676='Panel'!$B$4),1,0)</ns0:f>
        <ns0:v>3.0</ns0:v>
      </ns0:c>
    </ns0:row>
    <ns0:row r="1677" ht="21" customHeight="1">
      <ns0:c r="A1677" s="25" t="n"/>
      <ns0:c r="B1677" s="26" t="n"/>
      <ns0:c r="C1677" s="27" t="n"/>
      <ns0:c r="D1677" s="27" t="n"/>
      <ns0:c r="E1677" s="28" t="str">
        <ns0:f>IF(A1677="","",YEAR(A1677)&amp;"-"&amp;RIGHT("0"&amp;MONTH(A1677),2))</ns0:f>
        <ns0:v/>
      </ns0:c>
      <ns0:c r="F1677" s="28" t="str">
        <ns0:f>IF(OR(A1677="",B1677="",C1677&lt;=0),"",IF(SUMPRODUCT(('Müşteriler'!$B$2:$B$101&lt;&gt;"")*ISNUMBER(SEARCH('Müşteriler'!$B$2:$B$101,B1677)))=1,IFERROR(INDEX('Müşteriler'!$A$2:$A$101,SUMPRODUCT(('Müşteriler'!$B$2:$B$101&lt;&gt;"")*ISNUMBER(SEARCH('Müşteriler'!$B$2:$B$101,B1677)),ROW('Müşteriler'!$B$2:$B$101)-ROW('Müşteriler'!$B$2)+1)),""),""))</ns0:f>
        <ns0:v/>
      </ns0:c>
      <ns0:c r="G1677" s="28" t="str">
        <ns0:f>IF(F1677="","",IFERROR(INDEX('Müşteriler'!$C$2:$C$101,MATCH(F1677,'Müşteriler'!$A$2:$A$101,0)),""))</ns0:f>
        <ns0:v/>
      </ns0:c>
      <ns0:c r="H1677" s="28" t="str">
        <ns0:f>IF(A1677="","",IF(C1677&lt;=0,"Satış dışı",IF(OR(F1677="",G1677=""),"Eşleşmedi","Eşleşti")))</ns0:f>
        <ns0:v/>
      </ns0:c>
      <ns0:c r="I1677" s="28">
        <ns0:f>I1676+IF(AND(H1677="Eşleşmedi",E1677='Panel'!$B$4),1,0)</ns0:f>
        <ns0:v>3.0</ns0:v>
      </ns0:c>
    </ns0:row>
    <ns0:row r="1678" ht="21" customHeight="1">
      <ns0:c r="A1678" s="25" t="n"/>
      <ns0:c r="B1678" s="26" t="n"/>
      <ns0:c r="C1678" s="27" t="n"/>
      <ns0:c r="D1678" s="27" t="n"/>
      <ns0:c r="E1678" s="28" t="str">
        <ns0:f>IF(A1678="","",YEAR(A1678)&amp;"-"&amp;RIGHT("0"&amp;MONTH(A1678),2))</ns0:f>
        <ns0:v/>
      </ns0:c>
      <ns0:c r="F1678" s="28" t="str">
        <ns0:f>IF(OR(A1678="",B1678="",C1678&lt;=0),"",IF(SUMPRODUCT(('Müşteriler'!$B$2:$B$101&lt;&gt;"")*ISNUMBER(SEARCH('Müşteriler'!$B$2:$B$101,B1678)))=1,IFERROR(INDEX('Müşteriler'!$A$2:$A$101,SUMPRODUCT(('Müşteriler'!$B$2:$B$101&lt;&gt;"")*ISNUMBER(SEARCH('Müşteriler'!$B$2:$B$101,B1678)),ROW('Müşteriler'!$B$2:$B$101)-ROW('Müşteriler'!$B$2)+1)),""),""))</ns0:f>
        <ns0:v/>
      </ns0:c>
      <ns0:c r="G1678" s="28" t="str">
        <ns0:f>IF(F1678="","",IFERROR(INDEX('Müşteriler'!$C$2:$C$101,MATCH(F1678,'Müşteriler'!$A$2:$A$101,0)),""))</ns0:f>
        <ns0:v/>
      </ns0:c>
      <ns0:c r="H1678" s="28" t="str">
        <ns0:f>IF(A1678="","",IF(C1678&lt;=0,"Satış dışı",IF(OR(F1678="",G1678=""),"Eşleşmedi","Eşleşti")))</ns0:f>
        <ns0:v/>
      </ns0:c>
      <ns0:c r="I1678" s="28">
        <ns0:f>I1677+IF(AND(H1678="Eşleşmedi",E1678='Panel'!$B$4),1,0)</ns0:f>
        <ns0:v>3.0</ns0:v>
      </ns0:c>
    </ns0:row>
    <ns0:row r="1679" ht="21" customHeight="1">
      <ns0:c r="A1679" s="25" t="n"/>
      <ns0:c r="B1679" s="26" t="n"/>
      <ns0:c r="C1679" s="27" t="n"/>
      <ns0:c r="D1679" s="27" t="n"/>
      <ns0:c r="E1679" s="28" t="str">
        <ns0:f>IF(A1679="","",YEAR(A1679)&amp;"-"&amp;RIGHT("0"&amp;MONTH(A1679),2))</ns0:f>
        <ns0:v/>
      </ns0:c>
      <ns0:c r="F1679" s="28" t="str">
        <ns0:f>IF(OR(A1679="",B1679="",C1679&lt;=0),"",IF(SUMPRODUCT(('Müşteriler'!$B$2:$B$101&lt;&gt;"")*ISNUMBER(SEARCH('Müşteriler'!$B$2:$B$101,B1679)))=1,IFERROR(INDEX('Müşteriler'!$A$2:$A$101,SUMPRODUCT(('Müşteriler'!$B$2:$B$101&lt;&gt;"")*ISNUMBER(SEARCH('Müşteriler'!$B$2:$B$101,B1679)),ROW('Müşteriler'!$B$2:$B$101)-ROW('Müşteriler'!$B$2)+1)),""),""))</ns0:f>
        <ns0:v/>
      </ns0:c>
      <ns0:c r="G1679" s="28" t="str">
        <ns0:f>IF(F1679="","",IFERROR(INDEX('Müşteriler'!$C$2:$C$101,MATCH(F1679,'Müşteriler'!$A$2:$A$101,0)),""))</ns0:f>
        <ns0:v/>
      </ns0:c>
      <ns0:c r="H1679" s="28" t="str">
        <ns0:f>IF(A1679="","",IF(C1679&lt;=0,"Satış dışı",IF(OR(F1679="",G1679=""),"Eşleşmedi","Eşleşti")))</ns0:f>
        <ns0:v/>
      </ns0:c>
      <ns0:c r="I1679" s="28">
        <ns0:f>I1678+IF(AND(H1679="Eşleşmedi",E1679='Panel'!$B$4),1,0)</ns0:f>
        <ns0:v>3.0</ns0:v>
      </ns0:c>
    </ns0:row>
    <ns0:row r="1680" ht="21" customHeight="1">
      <ns0:c r="A1680" s="25" t="n"/>
      <ns0:c r="B1680" s="26" t="n"/>
      <ns0:c r="C1680" s="27" t="n"/>
      <ns0:c r="D1680" s="27" t="n"/>
      <ns0:c r="E1680" s="28" t="str">
        <ns0:f>IF(A1680="","",YEAR(A1680)&amp;"-"&amp;RIGHT("0"&amp;MONTH(A1680),2))</ns0:f>
        <ns0:v/>
      </ns0:c>
      <ns0:c r="F1680" s="28" t="str">
        <ns0:f>IF(OR(A1680="",B1680="",C1680&lt;=0),"",IF(SUMPRODUCT(('Müşteriler'!$B$2:$B$101&lt;&gt;"")*ISNUMBER(SEARCH('Müşteriler'!$B$2:$B$101,B1680)))=1,IFERROR(INDEX('Müşteriler'!$A$2:$A$101,SUMPRODUCT(('Müşteriler'!$B$2:$B$101&lt;&gt;"")*ISNUMBER(SEARCH('Müşteriler'!$B$2:$B$101,B1680)),ROW('Müşteriler'!$B$2:$B$101)-ROW('Müşteriler'!$B$2)+1)),""),""))</ns0:f>
        <ns0:v/>
      </ns0:c>
      <ns0:c r="G1680" s="28" t="str">
        <ns0:f>IF(F1680="","",IFERROR(INDEX('Müşteriler'!$C$2:$C$101,MATCH(F1680,'Müşteriler'!$A$2:$A$101,0)),""))</ns0:f>
        <ns0:v/>
      </ns0:c>
      <ns0:c r="H1680" s="28" t="str">
        <ns0:f>IF(A1680="","",IF(C1680&lt;=0,"Satış dışı",IF(OR(F1680="",G1680=""),"Eşleşmedi","Eşleşti")))</ns0:f>
        <ns0:v/>
      </ns0:c>
      <ns0:c r="I1680" s="28">
        <ns0:f>I1679+IF(AND(H1680="Eşleşmedi",E1680='Panel'!$B$4),1,0)</ns0:f>
        <ns0:v>3.0</ns0:v>
      </ns0:c>
    </ns0:row>
    <ns0:row r="1681" ht="21" customHeight="1">
      <ns0:c r="A1681" s="25" t="n"/>
      <ns0:c r="B1681" s="26" t="n"/>
      <ns0:c r="C1681" s="27" t="n"/>
      <ns0:c r="D1681" s="27" t="n"/>
      <ns0:c r="E1681" s="28" t="str">
        <ns0:f>IF(A1681="","",YEAR(A1681)&amp;"-"&amp;RIGHT("0"&amp;MONTH(A1681),2))</ns0:f>
        <ns0:v/>
      </ns0:c>
      <ns0:c r="F1681" s="28" t="str">
        <ns0:f>IF(OR(A1681="",B1681="",C1681&lt;=0),"",IF(SUMPRODUCT(('Müşteriler'!$B$2:$B$101&lt;&gt;"")*ISNUMBER(SEARCH('Müşteriler'!$B$2:$B$101,B1681)))=1,IFERROR(INDEX('Müşteriler'!$A$2:$A$101,SUMPRODUCT(('Müşteriler'!$B$2:$B$101&lt;&gt;"")*ISNUMBER(SEARCH('Müşteriler'!$B$2:$B$101,B1681)),ROW('Müşteriler'!$B$2:$B$101)-ROW('Müşteriler'!$B$2)+1)),""),""))</ns0:f>
        <ns0:v/>
      </ns0:c>
      <ns0:c r="G1681" s="28" t="str">
        <ns0:f>IF(F1681="","",IFERROR(INDEX('Müşteriler'!$C$2:$C$101,MATCH(F1681,'Müşteriler'!$A$2:$A$101,0)),""))</ns0:f>
        <ns0:v/>
      </ns0:c>
      <ns0:c r="H1681" s="28" t="str">
        <ns0:f>IF(A1681="","",IF(C1681&lt;=0,"Satış dışı",IF(OR(F1681="",G1681=""),"Eşleşmedi","Eşleşti")))</ns0:f>
        <ns0:v/>
      </ns0:c>
      <ns0:c r="I1681" s="28">
        <ns0:f>I1680+IF(AND(H1681="Eşleşmedi",E1681='Panel'!$B$4),1,0)</ns0:f>
        <ns0:v>3.0</ns0:v>
      </ns0:c>
    </ns0:row>
    <ns0:row r="1682" ht="21" customHeight="1">
      <ns0:c r="A1682" s="25" t="n"/>
      <ns0:c r="B1682" s="26" t="n"/>
      <ns0:c r="C1682" s="27" t="n"/>
      <ns0:c r="D1682" s="27" t="n"/>
      <ns0:c r="E1682" s="28" t="str">
        <ns0:f>IF(A1682="","",YEAR(A1682)&amp;"-"&amp;RIGHT("0"&amp;MONTH(A1682),2))</ns0:f>
        <ns0:v/>
      </ns0:c>
      <ns0:c r="F1682" s="28" t="str">
        <ns0:f>IF(OR(A1682="",B1682="",C1682&lt;=0),"",IF(SUMPRODUCT(('Müşteriler'!$B$2:$B$101&lt;&gt;"")*ISNUMBER(SEARCH('Müşteriler'!$B$2:$B$101,B1682)))=1,IFERROR(INDEX('Müşteriler'!$A$2:$A$101,SUMPRODUCT(('Müşteriler'!$B$2:$B$101&lt;&gt;"")*ISNUMBER(SEARCH('Müşteriler'!$B$2:$B$101,B1682)),ROW('Müşteriler'!$B$2:$B$101)-ROW('Müşteriler'!$B$2)+1)),""),""))</ns0:f>
        <ns0:v/>
      </ns0:c>
      <ns0:c r="G1682" s="28" t="str">
        <ns0:f>IF(F1682="","",IFERROR(INDEX('Müşteriler'!$C$2:$C$101,MATCH(F1682,'Müşteriler'!$A$2:$A$101,0)),""))</ns0:f>
        <ns0:v/>
      </ns0:c>
      <ns0:c r="H1682" s="28" t="str">
        <ns0:f>IF(A1682="","",IF(C1682&lt;=0,"Satış dışı",IF(OR(F1682="",G1682=""),"Eşleşmedi","Eşleşti")))</ns0:f>
        <ns0:v/>
      </ns0:c>
      <ns0:c r="I1682" s="28">
        <ns0:f>I1681+IF(AND(H1682="Eşleşmedi",E1682='Panel'!$B$4),1,0)</ns0:f>
        <ns0:v>3.0</ns0:v>
      </ns0:c>
    </ns0:row>
    <ns0:row r="1683" ht="21" customHeight="1">
      <ns0:c r="A1683" s="25" t="n"/>
      <ns0:c r="B1683" s="26" t="n"/>
      <ns0:c r="C1683" s="27" t="n"/>
      <ns0:c r="D1683" s="27" t="n"/>
      <ns0:c r="E1683" s="28" t="str">
        <ns0:f>IF(A1683="","",YEAR(A1683)&amp;"-"&amp;RIGHT("0"&amp;MONTH(A1683),2))</ns0:f>
        <ns0:v/>
      </ns0:c>
      <ns0:c r="F1683" s="28" t="str">
        <ns0:f>IF(OR(A1683="",B1683="",C1683&lt;=0),"",IF(SUMPRODUCT(('Müşteriler'!$B$2:$B$101&lt;&gt;"")*ISNUMBER(SEARCH('Müşteriler'!$B$2:$B$101,B1683)))=1,IFERROR(INDEX('Müşteriler'!$A$2:$A$101,SUMPRODUCT(('Müşteriler'!$B$2:$B$101&lt;&gt;"")*ISNUMBER(SEARCH('Müşteriler'!$B$2:$B$101,B1683)),ROW('Müşteriler'!$B$2:$B$101)-ROW('Müşteriler'!$B$2)+1)),""),""))</ns0:f>
        <ns0:v/>
      </ns0:c>
      <ns0:c r="G1683" s="28" t="str">
        <ns0:f>IF(F1683="","",IFERROR(INDEX('Müşteriler'!$C$2:$C$101,MATCH(F1683,'Müşteriler'!$A$2:$A$101,0)),""))</ns0:f>
        <ns0:v/>
      </ns0:c>
      <ns0:c r="H1683" s="28" t="str">
        <ns0:f>IF(A1683="","",IF(C1683&lt;=0,"Satış dışı",IF(OR(F1683="",G1683=""),"Eşleşmedi","Eşleşti")))</ns0:f>
        <ns0:v/>
      </ns0:c>
      <ns0:c r="I1683" s="28">
        <ns0:f>I1682+IF(AND(H1683="Eşleşmedi",E1683='Panel'!$B$4),1,0)</ns0:f>
        <ns0:v>3.0</ns0:v>
      </ns0:c>
    </ns0:row>
    <ns0:row r="1684" ht="21" customHeight="1">
      <ns0:c r="A1684" s="25" t="n"/>
      <ns0:c r="B1684" s="26" t="n"/>
      <ns0:c r="C1684" s="27" t="n"/>
      <ns0:c r="D1684" s="27" t="n"/>
      <ns0:c r="E1684" s="28" t="str">
        <ns0:f>IF(A1684="","",YEAR(A1684)&amp;"-"&amp;RIGHT("0"&amp;MONTH(A1684),2))</ns0:f>
        <ns0:v/>
      </ns0:c>
      <ns0:c r="F1684" s="28" t="str">
        <ns0:f>IF(OR(A1684="",B1684="",C1684&lt;=0),"",IF(SUMPRODUCT(('Müşteriler'!$B$2:$B$101&lt;&gt;"")*ISNUMBER(SEARCH('Müşteriler'!$B$2:$B$101,B1684)))=1,IFERROR(INDEX('Müşteriler'!$A$2:$A$101,SUMPRODUCT(('Müşteriler'!$B$2:$B$101&lt;&gt;"")*ISNUMBER(SEARCH('Müşteriler'!$B$2:$B$101,B1684)),ROW('Müşteriler'!$B$2:$B$101)-ROW('Müşteriler'!$B$2)+1)),""),""))</ns0:f>
        <ns0:v/>
      </ns0:c>
      <ns0:c r="G1684" s="28" t="str">
        <ns0:f>IF(F1684="","",IFERROR(INDEX('Müşteriler'!$C$2:$C$101,MATCH(F1684,'Müşteriler'!$A$2:$A$101,0)),""))</ns0:f>
        <ns0:v/>
      </ns0:c>
      <ns0:c r="H1684" s="28" t="str">
        <ns0:f>IF(A1684="","",IF(C1684&lt;=0,"Satış dışı",IF(OR(F1684="",G1684=""),"Eşleşmedi","Eşleşti")))</ns0:f>
        <ns0:v/>
      </ns0:c>
      <ns0:c r="I1684" s="28">
        <ns0:f>I1683+IF(AND(H1684="Eşleşmedi",E1684='Panel'!$B$4),1,0)</ns0:f>
        <ns0:v>3.0</ns0:v>
      </ns0:c>
    </ns0:row>
    <ns0:row r="1685" ht="21" customHeight="1">
      <ns0:c r="A1685" s="25" t="n"/>
      <ns0:c r="B1685" s="26" t="n"/>
      <ns0:c r="C1685" s="27" t="n"/>
      <ns0:c r="D1685" s="27" t="n"/>
      <ns0:c r="E1685" s="28" t="str">
        <ns0:f>IF(A1685="","",YEAR(A1685)&amp;"-"&amp;RIGHT("0"&amp;MONTH(A1685),2))</ns0:f>
        <ns0:v/>
      </ns0:c>
      <ns0:c r="F1685" s="28" t="str">
        <ns0:f>IF(OR(A1685="",B1685="",C1685&lt;=0),"",IF(SUMPRODUCT(('Müşteriler'!$B$2:$B$101&lt;&gt;"")*ISNUMBER(SEARCH('Müşteriler'!$B$2:$B$101,B1685)))=1,IFERROR(INDEX('Müşteriler'!$A$2:$A$101,SUMPRODUCT(('Müşteriler'!$B$2:$B$101&lt;&gt;"")*ISNUMBER(SEARCH('Müşteriler'!$B$2:$B$101,B1685)),ROW('Müşteriler'!$B$2:$B$101)-ROW('Müşteriler'!$B$2)+1)),""),""))</ns0:f>
        <ns0:v/>
      </ns0:c>
      <ns0:c r="G1685" s="28" t="str">
        <ns0:f>IF(F1685="","",IFERROR(INDEX('Müşteriler'!$C$2:$C$101,MATCH(F1685,'Müşteriler'!$A$2:$A$101,0)),""))</ns0:f>
        <ns0:v/>
      </ns0:c>
      <ns0:c r="H1685" s="28" t="str">
        <ns0:f>IF(A1685="","",IF(C1685&lt;=0,"Satış dışı",IF(OR(F1685="",G1685=""),"Eşleşmedi","Eşleşti")))</ns0:f>
        <ns0:v/>
      </ns0:c>
      <ns0:c r="I1685" s="28">
        <ns0:f>I1684+IF(AND(H1685="Eşleşmedi",E1685='Panel'!$B$4),1,0)</ns0:f>
        <ns0:v>3.0</ns0:v>
      </ns0:c>
    </ns0:row>
    <ns0:row r="1686" ht="21" customHeight="1">
      <ns0:c r="A1686" s="25" t="n"/>
      <ns0:c r="B1686" s="26" t="n"/>
      <ns0:c r="C1686" s="27" t="n"/>
      <ns0:c r="D1686" s="27" t="n"/>
      <ns0:c r="E1686" s="28" t="str">
        <ns0:f>IF(A1686="","",YEAR(A1686)&amp;"-"&amp;RIGHT("0"&amp;MONTH(A1686),2))</ns0:f>
        <ns0:v/>
      </ns0:c>
      <ns0:c r="F1686" s="28" t="str">
        <ns0:f>IF(OR(A1686="",B1686="",C1686&lt;=0),"",IF(SUMPRODUCT(('Müşteriler'!$B$2:$B$101&lt;&gt;"")*ISNUMBER(SEARCH('Müşteriler'!$B$2:$B$101,B1686)))=1,IFERROR(INDEX('Müşteriler'!$A$2:$A$101,SUMPRODUCT(('Müşteriler'!$B$2:$B$101&lt;&gt;"")*ISNUMBER(SEARCH('Müşteriler'!$B$2:$B$101,B1686)),ROW('Müşteriler'!$B$2:$B$101)-ROW('Müşteriler'!$B$2)+1)),""),""))</ns0:f>
        <ns0:v/>
      </ns0:c>
      <ns0:c r="G1686" s="28" t="str">
        <ns0:f>IF(F1686="","",IFERROR(INDEX('Müşteriler'!$C$2:$C$101,MATCH(F1686,'Müşteriler'!$A$2:$A$101,0)),""))</ns0:f>
        <ns0:v/>
      </ns0:c>
      <ns0:c r="H1686" s="28" t="str">
        <ns0:f>IF(A1686="","",IF(C1686&lt;=0,"Satış dışı",IF(OR(F1686="",G1686=""),"Eşleşmedi","Eşleşti")))</ns0:f>
        <ns0:v/>
      </ns0:c>
      <ns0:c r="I1686" s="28">
        <ns0:f>I1685+IF(AND(H1686="Eşleşmedi",E1686='Panel'!$B$4),1,0)</ns0:f>
        <ns0:v>3.0</ns0:v>
      </ns0:c>
    </ns0:row>
    <ns0:row r="1687" ht="21" customHeight="1">
      <ns0:c r="A1687" s="25" t="n"/>
      <ns0:c r="B1687" s="26" t="n"/>
      <ns0:c r="C1687" s="27" t="n"/>
      <ns0:c r="D1687" s="27" t="n"/>
      <ns0:c r="E1687" s="28" t="str">
        <ns0:f>IF(A1687="","",YEAR(A1687)&amp;"-"&amp;RIGHT("0"&amp;MONTH(A1687),2))</ns0:f>
        <ns0:v/>
      </ns0:c>
      <ns0:c r="F1687" s="28" t="str">
        <ns0:f>IF(OR(A1687="",B1687="",C1687&lt;=0),"",IF(SUMPRODUCT(('Müşteriler'!$B$2:$B$101&lt;&gt;"")*ISNUMBER(SEARCH('Müşteriler'!$B$2:$B$101,B1687)))=1,IFERROR(INDEX('Müşteriler'!$A$2:$A$101,SUMPRODUCT(('Müşteriler'!$B$2:$B$101&lt;&gt;"")*ISNUMBER(SEARCH('Müşteriler'!$B$2:$B$101,B1687)),ROW('Müşteriler'!$B$2:$B$101)-ROW('Müşteriler'!$B$2)+1)),""),""))</ns0:f>
        <ns0:v/>
      </ns0:c>
      <ns0:c r="G1687" s="28" t="str">
        <ns0:f>IF(F1687="","",IFERROR(INDEX('Müşteriler'!$C$2:$C$101,MATCH(F1687,'Müşteriler'!$A$2:$A$101,0)),""))</ns0:f>
        <ns0:v/>
      </ns0:c>
      <ns0:c r="H1687" s="28" t="str">
        <ns0:f>IF(A1687="","",IF(C1687&lt;=0,"Satış dışı",IF(OR(F1687="",G1687=""),"Eşleşmedi","Eşleşti")))</ns0:f>
        <ns0:v/>
      </ns0:c>
      <ns0:c r="I1687" s="28">
        <ns0:f>I1686+IF(AND(H1687="Eşleşmedi",E1687='Panel'!$B$4),1,0)</ns0:f>
        <ns0:v>3.0</ns0:v>
      </ns0:c>
    </ns0:row>
    <ns0:row r="1688" ht="21" customHeight="1">
      <ns0:c r="A1688" s="25" t="n"/>
      <ns0:c r="B1688" s="26" t="n"/>
      <ns0:c r="C1688" s="27" t="n"/>
      <ns0:c r="D1688" s="27" t="n"/>
      <ns0:c r="E1688" s="28" t="str">
        <ns0:f>IF(A1688="","",YEAR(A1688)&amp;"-"&amp;RIGHT("0"&amp;MONTH(A1688),2))</ns0:f>
        <ns0:v/>
      </ns0:c>
      <ns0:c r="F1688" s="28" t="str">
        <ns0:f>IF(OR(A1688="",B1688="",C1688&lt;=0),"",IF(SUMPRODUCT(('Müşteriler'!$B$2:$B$101&lt;&gt;"")*ISNUMBER(SEARCH('Müşteriler'!$B$2:$B$101,B1688)))=1,IFERROR(INDEX('Müşteriler'!$A$2:$A$101,SUMPRODUCT(('Müşteriler'!$B$2:$B$101&lt;&gt;"")*ISNUMBER(SEARCH('Müşteriler'!$B$2:$B$101,B1688)),ROW('Müşteriler'!$B$2:$B$101)-ROW('Müşteriler'!$B$2)+1)),""),""))</ns0:f>
        <ns0:v/>
      </ns0:c>
      <ns0:c r="G1688" s="28" t="str">
        <ns0:f>IF(F1688="","",IFERROR(INDEX('Müşteriler'!$C$2:$C$101,MATCH(F1688,'Müşteriler'!$A$2:$A$101,0)),""))</ns0:f>
        <ns0:v/>
      </ns0:c>
      <ns0:c r="H1688" s="28" t="str">
        <ns0:f>IF(A1688="","",IF(C1688&lt;=0,"Satış dışı",IF(OR(F1688="",G1688=""),"Eşleşmedi","Eşleşti")))</ns0:f>
        <ns0:v/>
      </ns0:c>
      <ns0:c r="I1688" s="28">
        <ns0:f>I1687+IF(AND(H1688="Eşleşmedi",E1688='Panel'!$B$4),1,0)</ns0:f>
        <ns0:v>3.0</ns0:v>
      </ns0:c>
    </ns0:row>
    <ns0:row r="1689" ht="21" customHeight="1">
      <ns0:c r="A1689" s="25" t="n"/>
      <ns0:c r="B1689" s="26" t="n"/>
      <ns0:c r="C1689" s="27" t="n"/>
      <ns0:c r="D1689" s="27" t="n"/>
      <ns0:c r="E1689" s="28" t="str">
        <ns0:f>IF(A1689="","",YEAR(A1689)&amp;"-"&amp;RIGHT("0"&amp;MONTH(A1689),2))</ns0:f>
        <ns0:v/>
      </ns0:c>
      <ns0:c r="F1689" s="28" t="str">
        <ns0:f>IF(OR(A1689="",B1689="",C1689&lt;=0),"",IF(SUMPRODUCT(('Müşteriler'!$B$2:$B$101&lt;&gt;"")*ISNUMBER(SEARCH('Müşteriler'!$B$2:$B$101,B1689)))=1,IFERROR(INDEX('Müşteriler'!$A$2:$A$101,SUMPRODUCT(('Müşteriler'!$B$2:$B$101&lt;&gt;"")*ISNUMBER(SEARCH('Müşteriler'!$B$2:$B$101,B1689)),ROW('Müşteriler'!$B$2:$B$101)-ROW('Müşteriler'!$B$2)+1)),""),""))</ns0:f>
        <ns0:v/>
      </ns0:c>
      <ns0:c r="G1689" s="28" t="str">
        <ns0:f>IF(F1689="","",IFERROR(INDEX('Müşteriler'!$C$2:$C$101,MATCH(F1689,'Müşteriler'!$A$2:$A$101,0)),""))</ns0:f>
        <ns0:v/>
      </ns0:c>
      <ns0:c r="H1689" s="28" t="str">
        <ns0:f>IF(A1689="","",IF(C1689&lt;=0,"Satış dışı",IF(OR(F1689="",G1689=""),"Eşleşmedi","Eşleşti")))</ns0:f>
        <ns0:v/>
      </ns0:c>
      <ns0:c r="I1689" s="28">
        <ns0:f>I1688+IF(AND(H1689="Eşleşmedi",E1689='Panel'!$B$4),1,0)</ns0:f>
        <ns0:v>3.0</ns0:v>
      </ns0:c>
    </ns0:row>
    <ns0:row r="1690" ht="21" customHeight="1">
      <ns0:c r="A1690" s="25" t="n"/>
      <ns0:c r="B1690" s="26" t="n"/>
      <ns0:c r="C1690" s="27" t="n"/>
      <ns0:c r="D1690" s="27" t="n"/>
      <ns0:c r="E1690" s="28" t="str">
        <ns0:f>IF(A1690="","",YEAR(A1690)&amp;"-"&amp;RIGHT("0"&amp;MONTH(A1690),2))</ns0:f>
        <ns0:v/>
      </ns0:c>
      <ns0:c r="F1690" s="28" t="str">
        <ns0:f>IF(OR(A1690="",B1690="",C1690&lt;=0),"",IF(SUMPRODUCT(('Müşteriler'!$B$2:$B$101&lt;&gt;"")*ISNUMBER(SEARCH('Müşteriler'!$B$2:$B$101,B1690)))=1,IFERROR(INDEX('Müşteriler'!$A$2:$A$101,SUMPRODUCT(('Müşteriler'!$B$2:$B$101&lt;&gt;"")*ISNUMBER(SEARCH('Müşteriler'!$B$2:$B$101,B1690)),ROW('Müşteriler'!$B$2:$B$101)-ROW('Müşteriler'!$B$2)+1)),""),""))</ns0:f>
        <ns0:v/>
      </ns0:c>
      <ns0:c r="G1690" s="28" t="str">
        <ns0:f>IF(F1690="","",IFERROR(INDEX('Müşteriler'!$C$2:$C$101,MATCH(F1690,'Müşteriler'!$A$2:$A$101,0)),""))</ns0:f>
        <ns0:v/>
      </ns0:c>
      <ns0:c r="H1690" s="28" t="str">
        <ns0:f>IF(A1690="","",IF(C1690&lt;=0,"Satış dışı",IF(OR(F1690="",G1690=""),"Eşleşmedi","Eşleşti")))</ns0:f>
        <ns0:v/>
      </ns0:c>
      <ns0:c r="I1690" s="28">
        <ns0:f>I1689+IF(AND(H1690="Eşleşmedi",E1690='Panel'!$B$4),1,0)</ns0:f>
        <ns0:v>3.0</ns0:v>
      </ns0:c>
    </ns0:row>
    <ns0:row r="1691" ht="21" customHeight="1">
      <ns0:c r="A1691" s="25" t="n"/>
      <ns0:c r="B1691" s="26" t="n"/>
      <ns0:c r="C1691" s="27" t="n"/>
      <ns0:c r="D1691" s="27" t="n"/>
      <ns0:c r="E1691" s="28" t="str">
        <ns0:f>IF(A1691="","",YEAR(A1691)&amp;"-"&amp;RIGHT("0"&amp;MONTH(A1691),2))</ns0:f>
        <ns0:v/>
      </ns0:c>
      <ns0:c r="F1691" s="28" t="str">
        <ns0:f>IF(OR(A1691="",B1691="",C1691&lt;=0),"",IF(SUMPRODUCT(('Müşteriler'!$B$2:$B$101&lt;&gt;"")*ISNUMBER(SEARCH('Müşteriler'!$B$2:$B$101,B1691)))=1,IFERROR(INDEX('Müşteriler'!$A$2:$A$101,SUMPRODUCT(('Müşteriler'!$B$2:$B$101&lt;&gt;"")*ISNUMBER(SEARCH('Müşteriler'!$B$2:$B$101,B1691)),ROW('Müşteriler'!$B$2:$B$101)-ROW('Müşteriler'!$B$2)+1)),""),""))</ns0:f>
        <ns0:v/>
      </ns0:c>
      <ns0:c r="G1691" s="28" t="str">
        <ns0:f>IF(F1691="","",IFERROR(INDEX('Müşteriler'!$C$2:$C$101,MATCH(F1691,'Müşteriler'!$A$2:$A$101,0)),""))</ns0:f>
        <ns0:v/>
      </ns0:c>
      <ns0:c r="H1691" s="28" t="str">
        <ns0:f>IF(A1691="","",IF(C1691&lt;=0,"Satış dışı",IF(OR(F1691="",G1691=""),"Eşleşmedi","Eşleşti")))</ns0:f>
        <ns0:v/>
      </ns0:c>
      <ns0:c r="I1691" s="28">
        <ns0:f>I1690+IF(AND(H1691="Eşleşmedi",E1691='Panel'!$B$4),1,0)</ns0:f>
        <ns0:v>3.0</ns0:v>
      </ns0:c>
    </ns0:row>
    <ns0:row r="1692" ht="21" customHeight="1">
      <ns0:c r="A1692" s="25" t="n"/>
      <ns0:c r="B1692" s="26" t="n"/>
      <ns0:c r="C1692" s="27" t="n"/>
      <ns0:c r="D1692" s="27" t="n"/>
      <ns0:c r="E1692" s="28" t="str">
        <ns0:f>IF(A1692="","",YEAR(A1692)&amp;"-"&amp;RIGHT("0"&amp;MONTH(A1692),2))</ns0:f>
        <ns0:v/>
      </ns0:c>
      <ns0:c r="F1692" s="28" t="str">
        <ns0:f>IF(OR(A1692="",B1692="",C1692&lt;=0),"",IF(SUMPRODUCT(('Müşteriler'!$B$2:$B$101&lt;&gt;"")*ISNUMBER(SEARCH('Müşteriler'!$B$2:$B$101,B1692)))=1,IFERROR(INDEX('Müşteriler'!$A$2:$A$101,SUMPRODUCT(('Müşteriler'!$B$2:$B$101&lt;&gt;"")*ISNUMBER(SEARCH('Müşteriler'!$B$2:$B$101,B1692)),ROW('Müşteriler'!$B$2:$B$101)-ROW('Müşteriler'!$B$2)+1)),""),""))</ns0:f>
        <ns0:v/>
      </ns0:c>
      <ns0:c r="G1692" s="28" t="str">
        <ns0:f>IF(F1692="","",IFERROR(INDEX('Müşteriler'!$C$2:$C$101,MATCH(F1692,'Müşteriler'!$A$2:$A$101,0)),""))</ns0:f>
        <ns0:v/>
      </ns0:c>
      <ns0:c r="H1692" s="28" t="str">
        <ns0:f>IF(A1692="","",IF(C1692&lt;=0,"Satış dışı",IF(OR(F1692="",G1692=""),"Eşleşmedi","Eşleşti")))</ns0:f>
        <ns0:v/>
      </ns0:c>
      <ns0:c r="I1692" s="28">
        <ns0:f>I1691+IF(AND(H1692="Eşleşmedi",E1692='Panel'!$B$4),1,0)</ns0:f>
        <ns0:v>3.0</ns0:v>
      </ns0:c>
    </ns0:row>
    <ns0:row r="1693" ht="21" customHeight="1">
      <ns0:c r="A1693" s="25" t="n"/>
      <ns0:c r="B1693" s="26" t="n"/>
      <ns0:c r="C1693" s="27" t="n"/>
      <ns0:c r="D1693" s="27" t="n"/>
      <ns0:c r="E1693" s="28" t="str">
        <ns0:f>IF(A1693="","",YEAR(A1693)&amp;"-"&amp;RIGHT("0"&amp;MONTH(A1693),2))</ns0:f>
        <ns0:v/>
      </ns0:c>
      <ns0:c r="F1693" s="28" t="str">
        <ns0:f>IF(OR(A1693="",B1693="",C1693&lt;=0),"",IF(SUMPRODUCT(('Müşteriler'!$B$2:$B$101&lt;&gt;"")*ISNUMBER(SEARCH('Müşteriler'!$B$2:$B$101,B1693)))=1,IFERROR(INDEX('Müşteriler'!$A$2:$A$101,SUMPRODUCT(('Müşteriler'!$B$2:$B$101&lt;&gt;"")*ISNUMBER(SEARCH('Müşteriler'!$B$2:$B$101,B1693)),ROW('Müşteriler'!$B$2:$B$101)-ROW('Müşteriler'!$B$2)+1)),""),""))</ns0:f>
        <ns0:v/>
      </ns0:c>
      <ns0:c r="G1693" s="28" t="str">
        <ns0:f>IF(F1693="","",IFERROR(INDEX('Müşteriler'!$C$2:$C$101,MATCH(F1693,'Müşteriler'!$A$2:$A$101,0)),""))</ns0:f>
        <ns0:v/>
      </ns0:c>
      <ns0:c r="H1693" s="28" t="str">
        <ns0:f>IF(A1693="","",IF(C1693&lt;=0,"Satış dışı",IF(OR(F1693="",G1693=""),"Eşleşmedi","Eşleşti")))</ns0:f>
        <ns0:v/>
      </ns0:c>
      <ns0:c r="I1693" s="28">
        <ns0:f>I1692+IF(AND(H1693="Eşleşmedi",E1693='Panel'!$B$4),1,0)</ns0:f>
        <ns0:v>3.0</ns0:v>
      </ns0:c>
    </ns0:row>
    <ns0:row r="1694" ht="21" customHeight="1">
      <ns0:c r="A1694" s="25" t="n"/>
      <ns0:c r="B1694" s="26" t="n"/>
      <ns0:c r="C1694" s="27" t="n"/>
      <ns0:c r="D1694" s="27" t="n"/>
      <ns0:c r="E1694" s="28" t="str">
        <ns0:f>IF(A1694="","",YEAR(A1694)&amp;"-"&amp;RIGHT("0"&amp;MONTH(A1694),2))</ns0:f>
        <ns0:v/>
      </ns0:c>
      <ns0:c r="F1694" s="28" t="str">
        <ns0:f>IF(OR(A1694="",B1694="",C1694&lt;=0),"",IF(SUMPRODUCT(('Müşteriler'!$B$2:$B$101&lt;&gt;"")*ISNUMBER(SEARCH('Müşteriler'!$B$2:$B$101,B1694)))=1,IFERROR(INDEX('Müşteriler'!$A$2:$A$101,SUMPRODUCT(('Müşteriler'!$B$2:$B$101&lt;&gt;"")*ISNUMBER(SEARCH('Müşteriler'!$B$2:$B$101,B1694)),ROW('Müşteriler'!$B$2:$B$101)-ROW('Müşteriler'!$B$2)+1)),""),""))</ns0:f>
        <ns0:v/>
      </ns0:c>
      <ns0:c r="G1694" s="28" t="str">
        <ns0:f>IF(F1694="","",IFERROR(INDEX('Müşteriler'!$C$2:$C$101,MATCH(F1694,'Müşteriler'!$A$2:$A$101,0)),""))</ns0:f>
        <ns0:v/>
      </ns0:c>
      <ns0:c r="H1694" s="28" t="str">
        <ns0:f>IF(A1694="","",IF(C1694&lt;=0,"Satış dışı",IF(OR(F1694="",G1694=""),"Eşleşmedi","Eşleşti")))</ns0:f>
        <ns0:v/>
      </ns0:c>
      <ns0:c r="I1694" s="28">
        <ns0:f>I1693+IF(AND(H1694="Eşleşmedi",E1694='Panel'!$B$4),1,0)</ns0:f>
        <ns0:v>3.0</ns0:v>
      </ns0:c>
    </ns0:row>
    <ns0:row r="1695" ht="21" customHeight="1">
      <ns0:c r="A1695" s="25" t="n"/>
      <ns0:c r="B1695" s="26" t="n"/>
      <ns0:c r="C1695" s="27" t="n"/>
      <ns0:c r="D1695" s="27" t="n"/>
      <ns0:c r="E1695" s="28" t="str">
        <ns0:f>IF(A1695="","",YEAR(A1695)&amp;"-"&amp;RIGHT("0"&amp;MONTH(A1695),2))</ns0:f>
        <ns0:v/>
      </ns0:c>
      <ns0:c r="F1695" s="28" t="str">
        <ns0:f>IF(OR(A1695="",B1695="",C1695&lt;=0),"",IF(SUMPRODUCT(('Müşteriler'!$B$2:$B$101&lt;&gt;"")*ISNUMBER(SEARCH('Müşteriler'!$B$2:$B$101,B1695)))=1,IFERROR(INDEX('Müşteriler'!$A$2:$A$101,SUMPRODUCT(('Müşteriler'!$B$2:$B$101&lt;&gt;"")*ISNUMBER(SEARCH('Müşteriler'!$B$2:$B$101,B1695)),ROW('Müşteriler'!$B$2:$B$101)-ROW('Müşteriler'!$B$2)+1)),""),""))</ns0:f>
        <ns0:v/>
      </ns0:c>
      <ns0:c r="G1695" s="28" t="str">
        <ns0:f>IF(F1695="","",IFERROR(INDEX('Müşteriler'!$C$2:$C$101,MATCH(F1695,'Müşteriler'!$A$2:$A$101,0)),""))</ns0:f>
        <ns0:v/>
      </ns0:c>
      <ns0:c r="H1695" s="28" t="str">
        <ns0:f>IF(A1695="","",IF(C1695&lt;=0,"Satış dışı",IF(OR(F1695="",G1695=""),"Eşleşmedi","Eşleşti")))</ns0:f>
        <ns0:v/>
      </ns0:c>
      <ns0:c r="I1695" s="28">
        <ns0:f>I1694+IF(AND(H1695="Eşleşmedi",E1695='Panel'!$B$4),1,0)</ns0:f>
        <ns0:v>3.0</ns0:v>
      </ns0:c>
    </ns0:row>
    <ns0:row r="1696" ht="21" customHeight="1">
      <ns0:c r="A1696" s="25" t="n"/>
      <ns0:c r="B1696" s="26" t="n"/>
      <ns0:c r="C1696" s="27" t="n"/>
      <ns0:c r="D1696" s="27" t="n"/>
      <ns0:c r="E1696" s="28" t="str">
        <ns0:f>IF(A1696="","",YEAR(A1696)&amp;"-"&amp;RIGHT("0"&amp;MONTH(A1696),2))</ns0:f>
        <ns0:v/>
      </ns0:c>
      <ns0:c r="F1696" s="28" t="str">
        <ns0:f>IF(OR(A1696="",B1696="",C1696&lt;=0),"",IF(SUMPRODUCT(('Müşteriler'!$B$2:$B$101&lt;&gt;"")*ISNUMBER(SEARCH('Müşteriler'!$B$2:$B$101,B1696)))=1,IFERROR(INDEX('Müşteriler'!$A$2:$A$101,SUMPRODUCT(('Müşteriler'!$B$2:$B$101&lt;&gt;"")*ISNUMBER(SEARCH('Müşteriler'!$B$2:$B$101,B1696)),ROW('Müşteriler'!$B$2:$B$101)-ROW('Müşteriler'!$B$2)+1)),""),""))</ns0:f>
        <ns0:v/>
      </ns0:c>
      <ns0:c r="G1696" s="28" t="str">
        <ns0:f>IF(F1696="","",IFERROR(INDEX('Müşteriler'!$C$2:$C$101,MATCH(F1696,'Müşteriler'!$A$2:$A$101,0)),""))</ns0:f>
        <ns0:v/>
      </ns0:c>
      <ns0:c r="H1696" s="28" t="str">
        <ns0:f>IF(A1696="","",IF(C1696&lt;=0,"Satış dışı",IF(OR(F1696="",G1696=""),"Eşleşmedi","Eşleşti")))</ns0:f>
        <ns0:v/>
      </ns0:c>
      <ns0:c r="I1696" s="28">
        <ns0:f>I1695+IF(AND(H1696="Eşleşmedi",E1696='Panel'!$B$4),1,0)</ns0:f>
        <ns0:v>3.0</ns0:v>
      </ns0:c>
    </ns0:row>
    <ns0:row r="1697" ht="21" customHeight="1">
      <ns0:c r="A1697" s="25" t="n"/>
      <ns0:c r="B1697" s="26" t="n"/>
      <ns0:c r="C1697" s="27" t="n"/>
      <ns0:c r="D1697" s="27" t="n"/>
      <ns0:c r="E1697" s="28" t="str">
        <ns0:f>IF(A1697="","",YEAR(A1697)&amp;"-"&amp;RIGHT("0"&amp;MONTH(A1697),2))</ns0:f>
        <ns0:v/>
      </ns0:c>
      <ns0:c r="F1697" s="28" t="str">
        <ns0:f>IF(OR(A1697="",B1697="",C1697&lt;=0),"",IF(SUMPRODUCT(('Müşteriler'!$B$2:$B$101&lt;&gt;"")*ISNUMBER(SEARCH('Müşteriler'!$B$2:$B$101,B1697)))=1,IFERROR(INDEX('Müşteriler'!$A$2:$A$101,SUMPRODUCT(('Müşteriler'!$B$2:$B$101&lt;&gt;"")*ISNUMBER(SEARCH('Müşteriler'!$B$2:$B$101,B1697)),ROW('Müşteriler'!$B$2:$B$101)-ROW('Müşteriler'!$B$2)+1)),""),""))</ns0:f>
        <ns0:v/>
      </ns0:c>
      <ns0:c r="G1697" s="28" t="str">
        <ns0:f>IF(F1697="","",IFERROR(INDEX('Müşteriler'!$C$2:$C$101,MATCH(F1697,'Müşteriler'!$A$2:$A$101,0)),""))</ns0:f>
        <ns0:v/>
      </ns0:c>
      <ns0:c r="H1697" s="28" t="str">
        <ns0:f>IF(A1697="","",IF(C1697&lt;=0,"Satış dışı",IF(OR(F1697="",G1697=""),"Eşleşmedi","Eşleşti")))</ns0:f>
        <ns0:v/>
      </ns0:c>
      <ns0:c r="I1697" s="28">
        <ns0:f>I1696+IF(AND(H1697="Eşleşmedi",E1697='Panel'!$B$4),1,0)</ns0:f>
        <ns0:v>3.0</ns0:v>
      </ns0:c>
    </ns0:row>
    <ns0:row r="1698" ht="21" customHeight="1">
      <ns0:c r="A1698" s="25" t="n"/>
      <ns0:c r="B1698" s="26" t="n"/>
      <ns0:c r="C1698" s="27" t="n"/>
      <ns0:c r="D1698" s="27" t="n"/>
      <ns0:c r="E1698" s="28" t="str">
        <ns0:f>IF(A1698="","",YEAR(A1698)&amp;"-"&amp;RIGHT("0"&amp;MONTH(A1698),2))</ns0:f>
        <ns0:v/>
      </ns0:c>
      <ns0:c r="F1698" s="28" t="str">
        <ns0:f>IF(OR(A1698="",B1698="",C1698&lt;=0),"",IF(SUMPRODUCT(('Müşteriler'!$B$2:$B$101&lt;&gt;"")*ISNUMBER(SEARCH('Müşteriler'!$B$2:$B$101,B1698)))=1,IFERROR(INDEX('Müşteriler'!$A$2:$A$101,SUMPRODUCT(('Müşteriler'!$B$2:$B$101&lt;&gt;"")*ISNUMBER(SEARCH('Müşteriler'!$B$2:$B$101,B1698)),ROW('Müşteriler'!$B$2:$B$101)-ROW('Müşteriler'!$B$2)+1)),""),""))</ns0:f>
        <ns0:v/>
      </ns0:c>
      <ns0:c r="G1698" s="28" t="str">
        <ns0:f>IF(F1698="","",IFERROR(INDEX('Müşteriler'!$C$2:$C$101,MATCH(F1698,'Müşteriler'!$A$2:$A$101,0)),""))</ns0:f>
        <ns0:v/>
      </ns0:c>
      <ns0:c r="H1698" s="28" t="str">
        <ns0:f>IF(A1698="","",IF(C1698&lt;=0,"Satış dışı",IF(OR(F1698="",G1698=""),"Eşleşmedi","Eşleşti")))</ns0:f>
        <ns0:v/>
      </ns0:c>
      <ns0:c r="I1698" s="28">
        <ns0:f>I1697+IF(AND(H1698="Eşleşmedi",E1698='Panel'!$B$4),1,0)</ns0:f>
        <ns0:v>3.0</ns0:v>
      </ns0:c>
    </ns0:row>
    <ns0:row r="1699" ht="21" customHeight="1">
      <ns0:c r="A1699" s="25" t="n"/>
      <ns0:c r="B1699" s="26" t="n"/>
      <ns0:c r="C1699" s="27" t="n"/>
      <ns0:c r="D1699" s="27" t="n"/>
      <ns0:c r="E1699" s="28" t="str">
        <ns0:f>IF(A1699="","",YEAR(A1699)&amp;"-"&amp;RIGHT("0"&amp;MONTH(A1699),2))</ns0:f>
        <ns0:v/>
      </ns0:c>
      <ns0:c r="F1699" s="28" t="str">
        <ns0:f>IF(OR(A1699="",B1699="",C1699&lt;=0),"",IF(SUMPRODUCT(('Müşteriler'!$B$2:$B$101&lt;&gt;"")*ISNUMBER(SEARCH('Müşteriler'!$B$2:$B$101,B1699)))=1,IFERROR(INDEX('Müşteriler'!$A$2:$A$101,SUMPRODUCT(('Müşteriler'!$B$2:$B$101&lt;&gt;"")*ISNUMBER(SEARCH('Müşteriler'!$B$2:$B$101,B1699)),ROW('Müşteriler'!$B$2:$B$101)-ROW('Müşteriler'!$B$2)+1)),""),""))</ns0:f>
        <ns0:v/>
      </ns0:c>
      <ns0:c r="G1699" s="28" t="str">
        <ns0:f>IF(F1699="","",IFERROR(INDEX('Müşteriler'!$C$2:$C$101,MATCH(F1699,'Müşteriler'!$A$2:$A$101,0)),""))</ns0:f>
        <ns0:v/>
      </ns0:c>
      <ns0:c r="H1699" s="28" t="str">
        <ns0:f>IF(A1699="","",IF(C1699&lt;=0,"Satış dışı",IF(OR(F1699="",G1699=""),"Eşleşmedi","Eşleşti")))</ns0:f>
        <ns0:v/>
      </ns0:c>
      <ns0:c r="I1699" s="28">
        <ns0:f>I1698+IF(AND(H1699="Eşleşmedi",E1699='Panel'!$B$4),1,0)</ns0:f>
        <ns0:v>3.0</ns0:v>
      </ns0:c>
    </ns0:row>
    <ns0:row r="1700" ht="21" customHeight="1">
      <ns0:c r="A1700" s="25" t="n"/>
      <ns0:c r="B1700" s="26" t="n"/>
      <ns0:c r="C1700" s="27" t="n"/>
      <ns0:c r="D1700" s="27" t="n"/>
      <ns0:c r="E1700" s="28" t="str">
        <ns0:f>IF(A1700="","",YEAR(A1700)&amp;"-"&amp;RIGHT("0"&amp;MONTH(A1700),2))</ns0:f>
        <ns0:v/>
      </ns0:c>
      <ns0:c r="F1700" s="28" t="str">
        <ns0:f>IF(OR(A1700="",B1700="",C1700&lt;=0),"",IF(SUMPRODUCT(('Müşteriler'!$B$2:$B$101&lt;&gt;"")*ISNUMBER(SEARCH('Müşteriler'!$B$2:$B$101,B1700)))=1,IFERROR(INDEX('Müşteriler'!$A$2:$A$101,SUMPRODUCT(('Müşteriler'!$B$2:$B$101&lt;&gt;"")*ISNUMBER(SEARCH('Müşteriler'!$B$2:$B$101,B1700)),ROW('Müşteriler'!$B$2:$B$101)-ROW('Müşteriler'!$B$2)+1)),""),""))</ns0:f>
        <ns0:v/>
      </ns0:c>
      <ns0:c r="G1700" s="28" t="str">
        <ns0:f>IF(F1700="","",IFERROR(INDEX('Müşteriler'!$C$2:$C$101,MATCH(F1700,'Müşteriler'!$A$2:$A$101,0)),""))</ns0:f>
        <ns0:v/>
      </ns0:c>
      <ns0:c r="H1700" s="28" t="str">
        <ns0:f>IF(A1700="","",IF(C1700&lt;=0,"Satış dışı",IF(OR(F1700="",G1700=""),"Eşleşmedi","Eşleşti")))</ns0:f>
        <ns0:v/>
      </ns0:c>
      <ns0:c r="I1700" s="28">
        <ns0:f>I1699+IF(AND(H1700="Eşleşmedi",E1700='Panel'!$B$4),1,0)</ns0:f>
        <ns0:v>3.0</ns0:v>
      </ns0:c>
    </ns0:row>
    <ns0:row r="1701" ht="21" customHeight="1">
      <ns0:c r="A1701" s="25" t="n"/>
      <ns0:c r="B1701" s="26" t="n"/>
      <ns0:c r="C1701" s="27" t="n"/>
      <ns0:c r="D1701" s="27" t="n"/>
      <ns0:c r="E1701" s="28" t="str">
        <ns0:f>IF(A1701="","",YEAR(A1701)&amp;"-"&amp;RIGHT("0"&amp;MONTH(A1701),2))</ns0:f>
        <ns0:v/>
      </ns0:c>
      <ns0:c r="F1701" s="28" t="str">
        <ns0:f>IF(OR(A1701="",B1701="",C1701&lt;=0),"",IF(SUMPRODUCT(('Müşteriler'!$B$2:$B$101&lt;&gt;"")*ISNUMBER(SEARCH('Müşteriler'!$B$2:$B$101,B1701)))=1,IFERROR(INDEX('Müşteriler'!$A$2:$A$101,SUMPRODUCT(('Müşteriler'!$B$2:$B$101&lt;&gt;"")*ISNUMBER(SEARCH('Müşteriler'!$B$2:$B$101,B1701)),ROW('Müşteriler'!$B$2:$B$101)-ROW('Müşteriler'!$B$2)+1)),""),""))</ns0:f>
        <ns0:v/>
      </ns0:c>
      <ns0:c r="G1701" s="28" t="str">
        <ns0:f>IF(F1701="","",IFERROR(INDEX('Müşteriler'!$C$2:$C$101,MATCH(F1701,'Müşteriler'!$A$2:$A$101,0)),""))</ns0:f>
        <ns0:v/>
      </ns0:c>
      <ns0:c r="H1701" s="28" t="str">
        <ns0:f>IF(A1701="","",IF(C1701&lt;=0,"Satış dışı",IF(OR(F1701="",G1701=""),"Eşleşmedi","Eşleşti")))</ns0:f>
        <ns0:v/>
      </ns0:c>
      <ns0:c r="I1701" s="28">
        <ns0:f>I1700+IF(AND(H1701="Eşleşmedi",E1701='Panel'!$B$4),1,0)</ns0:f>
        <ns0:v>3.0</ns0:v>
      </ns0:c>
    </ns0:row>
    <ns0:row r="1702" ht="21" customHeight="1">
      <ns0:c r="A1702" s="25" t="n"/>
      <ns0:c r="B1702" s="26" t="n"/>
      <ns0:c r="C1702" s="27" t="n"/>
      <ns0:c r="D1702" s="27" t="n"/>
      <ns0:c r="E1702" s="28" t="str">
        <ns0:f>IF(A1702="","",YEAR(A1702)&amp;"-"&amp;RIGHT("0"&amp;MONTH(A1702),2))</ns0:f>
        <ns0:v/>
      </ns0:c>
      <ns0:c r="F1702" s="28" t="str">
        <ns0:f>IF(OR(A1702="",B1702="",C1702&lt;=0),"",IF(SUMPRODUCT(('Müşteriler'!$B$2:$B$101&lt;&gt;"")*ISNUMBER(SEARCH('Müşteriler'!$B$2:$B$101,B1702)))=1,IFERROR(INDEX('Müşteriler'!$A$2:$A$101,SUMPRODUCT(('Müşteriler'!$B$2:$B$101&lt;&gt;"")*ISNUMBER(SEARCH('Müşteriler'!$B$2:$B$101,B1702)),ROW('Müşteriler'!$B$2:$B$101)-ROW('Müşteriler'!$B$2)+1)),""),""))</ns0:f>
        <ns0:v/>
      </ns0:c>
      <ns0:c r="G1702" s="28" t="str">
        <ns0:f>IF(F1702="","",IFERROR(INDEX('Müşteriler'!$C$2:$C$101,MATCH(F1702,'Müşteriler'!$A$2:$A$101,0)),""))</ns0:f>
        <ns0:v/>
      </ns0:c>
      <ns0:c r="H1702" s="28" t="str">
        <ns0:f>IF(A1702="","",IF(C1702&lt;=0,"Satış dışı",IF(OR(F1702="",G1702=""),"Eşleşmedi","Eşleşti")))</ns0:f>
        <ns0:v/>
      </ns0:c>
      <ns0:c r="I1702" s="28">
        <ns0:f>I1701+IF(AND(H1702="Eşleşmedi",E1702='Panel'!$B$4),1,0)</ns0:f>
        <ns0:v>3.0</ns0:v>
      </ns0:c>
    </ns0:row>
    <ns0:row r="1703" ht="21" customHeight="1">
      <ns0:c r="A1703" s="25" t="n"/>
      <ns0:c r="B1703" s="26" t="n"/>
      <ns0:c r="C1703" s="27" t="n"/>
      <ns0:c r="D1703" s="27" t="n"/>
      <ns0:c r="E1703" s="28" t="str">
        <ns0:f>IF(A1703="","",YEAR(A1703)&amp;"-"&amp;RIGHT("0"&amp;MONTH(A1703),2))</ns0:f>
        <ns0:v/>
      </ns0:c>
      <ns0:c r="F1703" s="28" t="str">
        <ns0:f>IF(OR(A1703="",B1703="",C1703&lt;=0),"",IF(SUMPRODUCT(('Müşteriler'!$B$2:$B$101&lt;&gt;"")*ISNUMBER(SEARCH('Müşteriler'!$B$2:$B$101,B1703)))=1,IFERROR(INDEX('Müşteriler'!$A$2:$A$101,SUMPRODUCT(('Müşteriler'!$B$2:$B$101&lt;&gt;"")*ISNUMBER(SEARCH('Müşteriler'!$B$2:$B$101,B1703)),ROW('Müşteriler'!$B$2:$B$101)-ROW('Müşteriler'!$B$2)+1)),""),""))</ns0:f>
        <ns0:v/>
      </ns0:c>
      <ns0:c r="G1703" s="28" t="str">
        <ns0:f>IF(F1703="","",IFERROR(INDEX('Müşteriler'!$C$2:$C$101,MATCH(F1703,'Müşteriler'!$A$2:$A$101,0)),""))</ns0:f>
        <ns0:v/>
      </ns0:c>
      <ns0:c r="H1703" s="28" t="str">
        <ns0:f>IF(A1703="","",IF(C1703&lt;=0,"Satış dışı",IF(OR(F1703="",G1703=""),"Eşleşmedi","Eşleşti")))</ns0:f>
        <ns0:v/>
      </ns0:c>
      <ns0:c r="I1703" s="28">
        <ns0:f>I1702+IF(AND(H1703="Eşleşmedi",E1703='Panel'!$B$4),1,0)</ns0:f>
        <ns0:v>3.0</ns0:v>
      </ns0:c>
    </ns0:row>
    <ns0:row r="1704" ht="21" customHeight="1">
      <ns0:c r="A1704" s="25" t="n"/>
      <ns0:c r="B1704" s="26" t="n"/>
      <ns0:c r="C1704" s="27" t="n"/>
      <ns0:c r="D1704" s="27" t="n"/>
      <ns0:c r="E1704" s="28" t="str">
        <ns0:f>IF(A1704="","",YEAR(A1704)&amp;"-"&amp;RIGHT("0"&amp;MONTH(A1704),2))</ns0:f>
        <ns0:v/>
      </ns0:c>
      <ns0:c r="F1704" s="28" t="str">
        <ns0:f>IF(OR(A1704="",B1704="",C1704&lt;=0),"",IF(SUMPRODUCT(('Müşteriler'!$B$2:$B$101&lt;&gt;"")*ISNUMBER(SEARCH('Müşteriler'!$B$2:$B$101,B1704)))=1,IFERROR(INDEX('Müşteriler'!$A$2:$A$101,SUMPRODUCT(('Müşteriler'!$B$2:$B$101&lt;&gt;"")*ISNUMBER(SEARCH('Müşteriler'!$B$2:$B$101,B1704)),ROW('Müşteriler'!$B$2:$B$101)-ROW('Müşteriler'!$B$2)+1)),""),""))</ns0:f>
        <ns0:v/>
      </ns0:c>
      <ns0:c r="G1704" s="28" t="str">
        <ns0:f>IF(F1704="","",IFERROR(INDEX('Müşteriler'!$C$2:$C$101,MATCH(F1704,'Müşteriler'!$A$2:$A$101,0)),""))</ns0:f>
        <ns0:v/>
      </ns0:c>
      <ns0:c r="H1704" s="28" t="str">
        <ns0:f>IF(A1704="","",IF(C1704&lt;=0,"Satış dışı",IF(OR(F1704="",G1704=""),"Eşleşmedi","Eşleşti")))</ns0:f>
        <ns0:v/>
      </ns0:c>
      <ns0:c r="I1704" s="28">
        <ns0:f>I1703+IF(AND(H1704="Eşleşmedi",E1704='Panel'!$B$4),1,0)</ns0:f>
        <ns0:v>3.0</ns0:v>
      </ns0:c>
    </ns0:row>
    <ns0:row r="1705" ht="21" customHeight="1">
      <ns0:c r="A1705" s="25" t="n"/>
      <ns0:c r="B1705" s="26" t="n"/>
      <ns0:c r="C1705" s="27" t="n"/>
      <ns0:c r="D1705" s="27" t="n"/>
      <ns0:c r="E1705" s="28" t="str">
        <ns0:f>IF(A1705="","",YEAR(A1705)&amp;"-"&amp;RIGHT("0"&amp;MONTH(A1705),2))</ns0:f>
        <ns0:v/>
      </ns0:c>
      <ns0:c r="F1705" s="28" t="str">
        <ns0:f>IF(OR(A1705="",B1705="",C1705&lt;=0),"",IF(SUMPRODUCT(('Müşteriler'!$B$2:$B$101&lt;&gt;"")*ISNUMBER(SEARCH('Müşteriler'!$B$2:$B$101,B1705)))=1,IFERROR(INDEX('Müşteriler'!$A$2:$A$101,SUMPRODUCT(('Müşteriler'!$B$2:$B$101&lt;&gt;"")*ISNUMBER(SEARCH('Müşteriler'!$B$2:$B$101,B1705)),ROW('Müşteriler'!$B$2:$B$101)-ROW('Müşteriler'!$B$2)+1)),""),""))</ns0:f>
        <ns0:v/>
      </ns0:c>
      <ns0:c r="G1705" s="28" t="str">
        <ns0:f>IF(F1705="","",IFERROR(INDEX('Müşteriler'!$C$2:$C$101,MATCH(F1705,'Müşteriler'!$A$2:$A$101,0)),""))</ns0:f>
        <ns0:v/>
      </ns0:c>
      <ns0:c r="H1705" s="28" t="str">
        <ns0:f>IF(A1705="","",IF(C1705&lt;=0,"Satış dışı",IF(OR(F1705="",G1705=""),"Eşleşmedi","Eşleşti")))</ns0:f>
        <ns0:v/>
      </ns0:c>
      <ns0:c r="I1705" s="28">
        <ns0:f>I1704+IF(AND(H1705="Eşleşmedi",E1705='Panel'!$B$4),1,0)</ns0:f>
        <ns0:v>3.0</ns0:v>
      </ns0:c>
    </ns0:row>
    <ns0:row r="1706" ht="21" customHeight="1">
      <ns0:c r="A1706" s="25" t="n"/>
      <ns0:c r="B1706" s="26" t="n"/>
      <ns0:c r="C1706" s="27" t="n"/>
      <ns0:c r="D1706" s="27" t="n"/>
      <ns0:c r="E1706" s="28" t="str">
        <ns0:f>IF(A1706="","",YEAR(A1706)&amp;"-"&amp;RIGHT("0"&amp;MONTH(A1706),2))</ns0:f>
        <ns0:v/>
      </ns0:c>
      <ns0:c r="F1706" s="28" t="str">
        <ns0:f>IF(OR(A1706="",B1706="",C1706&lt;=0),"",IF(SUMPRODUCT(('Müşteriler'!$B$2:$B$101&lt;&gt;"")*ISNUMBER(SEARCH('Müşteriler'!$B$2:$B$101,B1706)))=1,IFERROR(INDEX('Müşteriler'!$A$2:$A$101,SUMPRODUCT(('Müşteriler'!$B$2:$B$101&lt;&gt;"")*ISNUMBER(SEARCH('Müşteriler'!$B$2:$B$101,B1706)),ROW('Müşteriler'!$B$2:$B$101)-ROW('Müşteriler'!$B$2)+1)),""),""))</ns0:f>
        <ns0:v/>
      </ns0:c>
      <ns0:c r="G1706" s="28" t="str">
        <ns0:f>IF(F1706="","",IFERROR(INDEX('Müşteriler'!$C$2:$C$101,MATCH(F1706,'Müşteriler'!$A$2:$A$101,0)),""))</ns0:f>
        <ns0:v/>
      </ns0:c>
      <ns0:c r="H1706" s="28" t="str">
        <ns0:f>IF(A1706="","",IF(C1706&lt;=0,"Satış dışı",IF(OR(F1706="",G1706=""),"Eşleşmedi","Eşleşti")))</ns0:f>
        <ns0:v/>
      </ns0:c>
      <ns0:c r="I1706" s="28">
        <ns0:f>I1705+IF(AND(H1706="Eşleşmedi",E1706='Panel'!$B$4),1,0)</ns0:f>
        <ns0:v>3.0</ns0:v>
      </ns0:c>
    </ns0:row>
    <ns0:row r="1707" ht="21" customHeight="1">
      <ns0:c r="A1707" s="25" t="n"/>
      <ns0:c r="B1707" s="26" t="n"/>
      <ns0:c r="C1707" s="27" t="n"/>
      <ns0:c r="D1707" s="27" t="n"/>
      <ns0:c r="E1707" s="28" t="str">
        <ns0:f>IF(A1707="","",YEAR(A1707)&amp;"-"&amp;RIGHT("0"&amp;MONTH(A1707),2))</ns0:f>
        <ns0:v/>
      </ns0:c>
      <ns0:c r="F1707" s="28" t="str">
        <ns0:f>IF(OR(A1707="",B1707="",C1707&lt;=0),"",IF(SUMPRODUCT(('Müşteriler'!$B$2:$B$101&lt;&gt;"")*ISNUMBER(SEARCH('Müşteriler'!$B$2:$B$101,B1707)))=1,IFERROR(INDEX('Müşteriler'!$A$2:$A$101,SUMPRODUCT(('Müşteriler'!$B$2:$B$101&lt;&gt;"")*ISNUMBER(SEARCH('Müşteriler'!$B$2:$B$101,B1707)),ROW('Müşteriler'!$B$2:$B$101)-ROW('Müşteriler'!$B$2)+1)),""),""))</ns0:f>
        <ns0:v/>
      </ns0:c>
      <ns0:c r="G1707" s="28" t="str">
        <ns0:f>IF(F1707="","",IFERROR(INDEX('Müşteriler'!$C$2:$C$101,MATCH(F1707,'Müşteriler'!$A$2:$A$101,0)),""))</ns0:f>
        <ns0:v/>
      </ns0:c>
      <ns0:c r="H1707" s="28" t="str">
        <ns0:f>IF(A1707="","",IF(C1707&lt;=0,"Satış dışı",IF(OR(F1707="",G1707=""),"Eşleşmedi","Eşleşti")))</ns0:f>
        <ns0:v/>
      </ns0:c>
      <ns0:c r="I1707" s="28">
        <ns0:f>I1706+IF(AND(H1707="Eşleşmedi",E1707='Panel'!$B$4),1,0)</ns0:f>
        <ns0:v>3.0</ns0:v>
      </ns0:c>
    </ns0:row>
    <ns0:row r="1708" ht="21" customHeight="1">
      <ns0:c r="A1708" s="25" t="n"/>
      <ns0:c r="B1708" s="26" t="n"/>
      <ns0:c r="C1708" s="27" t="n"/>
      <ns0:c r="D1708" s="27" t="n"/>
      <ns0:c r="E1708" s="28" t="str">
        <ns0:f>IF(A1708="","",YEAR(A1708)&amp;"-"&amp;RIGHT("0"&amp;MONTH(A1708),2))</ns0:f>
        <ns0:v/>
      </ns0:c>
      <ns0:c r="F1708" s="28" t="str">
        <ns0:f>IF(OR(A1708="",B1708="",C1708&lt;=0),"",IF(SUMPRODUCT(('Müşteriler'!$B$2:$B$101&lt;&gt;"")*ISNUMBER(SEARCH('Müşteriler'!$B$2:$B$101,B1708)))=1,IFERROR(INDEX('Müşteriler'!$A$2:$A$101,SUMPRODUCT(('Müşteriler'!$B$2:$B$101&lt;&gt;"")*ISNUMBER(SEARCH('Müşteriler'!$B$2:$B$101,B1708)),ROW('Müşteriler'!$B$2:$B$101)-ROW('Müşteriler'!$B$2)+1)),""),""))</ns0:f>
        <ns0:v/>
      </ns0:c>
      <ns0:c r="G1708" s="28" t="str">
        <ns0:f>IF(F1708="","",IFERROR(INDEX('Müşteriler'!$C$2:$C$101,MATCH(F1708,'Müşteriler'!$A$2:$A$101,0)),""))</ns0:f>
        <ns0:v/>
      </ns0:c>
      <ns0:c r="H1708" s="28" t="str">
        <ns0:f>IF(A1708="","",IF(C1708&lt;=0,"Satış dışı",IF(OR(F1708="",G1708=""),"Eşleşmedi","Eşleşti")))</ns0:f>
        <ns0:v/>
      </ns0:c>
      <ns0:c r="I1708" s="28">
        <ns0:f>I1707+IF(AND(H1708="Eşleşmedi",E1708='Panel'!$B$4),1,0)</ns0:f>
        <ns0:v>3.0</ns0:v>
      </ns0:c>
    </ns0:row>
    <ns0:row r="1709" ht="21" customHeight="1">
      <ns0:c r="A1709" s="25" t="n"/>
      <ns0:c r="B1709" s="26" t="n"/>
      <ns0:c r="C1709" s="27" t="n"/>
      <ns0:c r="D1709" s="27" t="n"/>
      <ns0:c r="E1709" s="28" t="str">
        <ns0:f>IF(A1709="","",YEAR(A1709)&amp;"-"&amp;RIGHT("0"&amp;MONTH(A1709),2))</ns0:f>
        <ns0:v/>
      </ns0:c>
      <ns0:c r="F1709" s="28" t="str">
        <ns0:f>IF(OR(A1709="",B1709="",C1709&lt;=0),"",IF(SUMPRODUCT(('Müşteriler'!$B$2:$B$101&lt;&gt;"")*ISNUMBER(SEARCH('Müşteriler'!$B$2:$B$101,B1709)))=1,IFERROR(INDEX('Müşteriler'!$A$2:$A$101,SUMPRODUCT(('Müşteriler'!$B$2:$B$101&lt;&gt;"")*ISNUMBER(SEARCH('Müşteriler'!$B$2:$B$101,B1709)),ROW('Müşteriler'!$B$2:$B$101)-ROW('Müşteriler'!$B$2)+1)),""),""))</ns0:f>
        <ns0:v/>
      </ns0:c>
      <ns0:c r="G1709" s="28" t="str">
        <ns0:f>IF(F1709="","",IFERROR(INDEX('Müşteriler'!$C$2:$C$101,MATCH(F1709,'Müşteriler'!$A$2:$A$101,0)),""))</ns0:f>
        <ns0:v/>
      </ns0:c>
      <ns0:c r="H1709" s="28" t="str">
        <ns0:f>IF(A1709="","",IF(C1709&lt;=0,"Satış dışı",IF(OR(F1709="",G1709=""),"Eşleşmedi","Eşleşti")))</ns0:f>
        <ns0:v/>
      </ns0:c>
      <ns0:c r="I1709" s="28">
        <ns0:f>I1708+IF(AND(H1709="Eşleşmedi",E1709='Panel'!$B$4),1,0)</ns0:f>
        <ns0:v>3.0</ns0:v>
      </ns0:c>
    </ns0:row>
    <ns0:row r="1710" ht="21" customHeight="1">
      <ns0:c r="A1710" s="25" t="n"/>
      <ns0:c r="B1710" s="26" t="n"/>
      <ns0:c r="C1710" s="27" t="n"/>
      <ns0:c r="D1710" s="27" t="n"/>
      <ns0:c r="E1710" s="28" t="str">
        <ns0:f>IF(A1710="","",YEAR(A1710)&amp;"-"&amp;RIGHT("0"&amp;MONTH(A1710),2))</ns0:f>
        <ns0:v/>
      </ns0:c>
      <ns0:c r="F1710" s="28" t="str">
        <ns0:f>IF(OR(A1710="",B1710="",C1710&lt;=0),"",IF(SUMPRODUCT(('Müşteriler'!$B$2:$B$101&lt;&gt;"")*ISNUMBER(SEARCH('Müşteriler'!$B$2:$B$101,B1710)))=1,IFERROR(INDEX('Müşteriler'!$A$2:$A$101,SUMPRODUCT(('Müşteriler'!$B$2:$B$101&lt;&gt;"")*ISNUMBER(SEARCH('Müşteriler'!$B$2:$B$101,B1710)),ROW('Müşteriler'!$B$2:$B$101)-ROW('Müşteriler'!$B$2)+1)),""),""))</ns0:f>
        <ns0:v/>
      </ns0:c>
      <ns0:c r="G1710" s="28" t="str">
        <ns0:f>IF(F1710="","",IFERROR(INDEX('Müşteriler'!$C$2:$C$101,MATCH(F1710,'Müşteriler'!$A$2:$A$101,0)),""))</ns0:f>
        <ns0:v/>
      </ns0:c>
      <ns0:c r="H1710" s="28" t="str">
        <ns0:f>IF(A1710="","",IF(C1710&lt;=0,"Satış dışı",IF(OR(F1710="",G1710=""),"Eşleşmedi","Eşleşti")))</ns0:f>
        <ns0:v/>
      </ns0:c>
      <ns0:c r="I1710" s="28">
        <ns0:f>I1709+IF(AND(H1710="Eşleşmedi",E1710='Panel'!$B$4),1,0)</ns0:f>
        <ns0:v>3.0</ns0:v>
      </ns0:c>
    </ns0:row>
    <ns0:row r="1711" ht="21" customHeight="1">
      <ns0:c r="A1711" s="25" t="n"/>
      <ns0:c r="B1711" s="26" t="n"/>
      <ns0:c r="C1711" s="27" t="n"/>
      <ns0:c r="D1711" s="27" t="n"/>
      <ns0:c r="E1711" s="28" t="str">
        <ns0:f>IF(A1711="","",YEAR(A1711)&amp;"-"&amp;RIGHT("0"&amp;MONTH(A1711),2))</ns0:f>
        <ns0:v/>
      </ns0:c>
      <ns0:c r="F1711" s="28" t="str">
        <ns0:f>IF(OR(A1711="",B1711="",C1711&lt;=0),"",IF(SUMPRODUCT(('Müşteriler'!$B$2:$B$101&lt;&gt;"")*ISNUMBER(SEARCH('Müşteriler'!$B$2:$B$101,B1711)))=1,IFERROR(INDEX('Müşteriler'!$A$2:$A$101,SUMPRODUCT(('Müşteriler'!$B$2:$B$101&lt;&gt;"")*ISNUMBER(SEARCH('Müşteriler'!$B$2:$B$101,B1711)),ROW('Müşteriler'!$B$2:$B$101)-ROW('Müşteriler'!$B$2)+1)),""),""))</ns0:f>
        <ns0:v/>
      </ns0:c>
      <ns0:c r="G1711" s="28" t="str">
        <ns0:f>IF(F1711="","",IFERROR(INDEX('Müşteriler'!$C$2:$C$101,MATCH(F1711,'Müşteriler'!$A$2:$A$101,0)),""))</ns0:f>
        <ns0:v/>
      </ns0:c>
      <ns0:c r="H1711" s="28" t="str">
        <ns0:f>IF(A1711="","",IF(C1711&lt;=0,"Satış dışı",IF(OR(F1711="",G1711=""),"Eşleşmedi","Eşleşti")))</ns0:f>
        <ns0:v/>
      </ns0:c>
      <ns0:c r="I1711" s="28">
        <ns0:f>I1710+IF(AND(H1711="Eşleşmedi",E1711='Panel'!$B$4),1,0)</ns0:f>
        <ns0:v>3.0</ns0:v>
      </ns0:c>
    </ns0:row>
    <ns0:row r="1712" ht="21" customHeight="1">
      <ns0:c r="A1712" s="25" t="n"/>
      <ns0:c r="B1712" s="26" t="n"/>
      <ns0:c r="C1712" s="27" t="n"/>
      <ns0:c r="D1712" s="27" t="n"/>
      <ns0:c r="E1712" s="28" t="str">
        <ns0:f>IF(A1712="","",YEAR(A1712)&amp;"-"&amp;RIGHT("0"&amp;MONTH(A1712),2))</ns0:f>
        <ns0:v/>
      </ns0:c>
      <ns0:c r="F1712" s="28" t="str">
        <ns0:f>IF(OR(A1712="",B1712="",C1712&lt;=0),"",IF(SUMPRODUCT(('Müşteriler'!$B$2:$B$101&lt;&gt;"")*ISNUMBER(SEARCH('Müşteriler'!$B$2:$B$101,B1712)))=1,IFERROR(INDEX('Müşteriler'!$A$2:$A$101,SUMPRODUCT(('Müşteriler'!$B$2:$B$101&lt;&gt;"")*ISNUMBER(SEARCH('Müşteriler'!$B$2:$B$101,B1712)),ROW('Müşteriler'!$B$2:$B$101)-ROW('Müşteriler'!$B$2)+1)),""),""))</ns0:f>
        <ns0:v/>
      </ns0:c>
      <ns0:c r="G1712" s="28" t="str">
        <ns0:f>IF(F1712="","",IFERROR(INDEX('Müşteriler'!$C$2:$C$101,MATCH(F1712,'Müşteriler'!$A$2:$A$101,0)),""))</ns0:f>
        <ns0:v/>
      </ns0:c>
      <ns0:c r="H1712" s="28" t="str">
        <ns0:f>IF(A1712="","",IF(C1712&lt;=0,"Satış dışı",IF(OR(F1712="",G1712=""),"Eşleşmedi","Eşleşti")))</ns0:f>
        <ns0:v/>
      </ns0:c>
      <ns0:c r="I1712" s="28">
        <ns0:f>I1711+IF(AND(H1712="Eşleşmedi",E1712='Panel'!$B$4),1,0)</ns0:f>
        <ns0:v>3.0</ns0:v>
      </ns0:c>
    </ns0:row>
    <ns0:row r="1713" ht="21" customHeight="1">
      <ns0:c r="A1713" s="25" t="n"/>
      <ns0:c r="B1713" s="26" t="n"/>
      <ns0:c r="C1713" s="27" t="n"/>
      <ns0:c r="D1713" s="27" t="n"/>
      <ns0:c r="E1713" s="28" t="str">
        <ns0:f>IF(A1713="","",YEAR(A1713)&amp;"-"&amp;RIGHT("0"&amp;MONTH(A1713),2))</ns0:f>
        <ns0:v/>
      </ns0:c>
      <ns0:c r="F1713" s="28" t="str">
        <ns0:f>IF(OR(A1713="",B1713="",C1713&lt;=0),"",IF(SUMPRODUCT(('Müşteriler'!$B$2:$B$101&lt;&gt;"")*ISNUMBER(SEARCH('Müşteriler'!$B$2:$B$101,B1713)))=1,IFERROR(INDEX('Müşteriler'!$A$2:$A$101,SUMPRODUCT(('Müşteriler'!$B$2:$B$101&lt;&gt;"")*ISNUMBER(SEARCH('Müşteriler'!$B$2:$B$101,B1713)),ROW('Müşteriler'!$B$2:$B$101)-ROW('Müşteriler'!$B$2)+1)),""),""))</ns0:f>
        <ns0:v/>
      </ns0:c>
      <ns0:c r="G1713" s="28" t="str">
        <ns0:f>IF(F1713="","",IFERROR(INDEX('Müşteriler'!$C$2:$C$101,MATCH(F1713,'Müşteriler'!$A$2:$A$101,0)),""))</ns0:f>
        <ns0:v/>
      </ns0:c>
      <ns0:c r="H1713" s="28" t="str">
        <ns0:f>IF(A1713="","",IF(C1713&lt;=0,"Satış dışı",IF(OR(F1713="",G1713=""),"Eşleşmedi","Eşleşti")))</ns0:f>
        <ns0:v/>
      </ns0:c>
      <ns0:c r="I1713" s="28">
        <ns0:f>I1712+IF(AND(H1713="Eşleşmedi",E1713='Panel'!$B$4),1,0)</ns0:f>
        <ns0:v>3.0</ns0:v>
      </ns0:c>
    </ns0:row>
    <ns0:row r="1714" ht="21" customHeight="1">
      <ns0:c r="A1714" s="25" t="n"/>
      <ns0:c r="B1714" s="26" t="n"/>
      <ns0:c r="C1714" s="27" t="n"/>
      <ns0:c r="D1714" s="27" t="n"/>
      <ns0:c r="E1714" s="28" t="str">
        <ns0:f>IF(A1714="","",YEAR(A1714)&amp;"-"&amp;RIGHT("0"&amp;MONTH(A1714),2))</ns0:f>
        <ns0:v/>
      </ns0:c>
      <ns0:c r="F1714" s="28" t="str">
        <ns0:f>IF(OR(A1714="",B1714="",C1714&lt;=0),"",IF(SUMPRODUCT(('Müşteriler'!$B$2:$B$101&lt;&gt;"")*ISNUMBER(SEARCH('Müşteriler'!$B$2:$B$101,B1714)))=1,IFERROR(INDEX('Müşteriler'!$A$2:$A$101,SUMPRODUCT(('Müşteriler'!$B$2:$B$101&lt;&gt;"")*ISNUMBER(SEARCH('Müşteriler'!$B$2:$B$101,B1714)),ROW('Müşteriler'!$B$2:$B$101)-ROW('Müşteriler'!$B$2)+1)),""),""))</ns0:f>
        <ns0:v/>
      </ns0:c>
      <ns0:c r="G1714" s="28" t="str">
        <ns0:f>IF(F1714="","",IFERROR(INDEX('Müşteriler'!$C$2:$C$101,MATCH(F1714,'Müşteriler'!$A$2:$A$101,0)),""))</ns0:f>
        <ns0:v/>
      </ns0:c>
      <ns0:c r="H1714" s="28" t="str">
        <ns0:f>IF(A1714="","",IF(C1714&lt;=0,"Satış dışı",IF(OR(F1714="",G1714=""),"Eşleşmedi","Eşleşti")))</ns0:f>
        <ns0:v/>
      </ns0:c>
      <ns0:c r="I1714" s="28">
        <ns0:f>I1713+IF(AND(H1714="Eşleşmedi",E1714='Panel'!$B$4),1,0)</ns0:f>
        <ns0:v>3.0</ns0:v>
      </ns0:c>
    </ns0:row>
    <ns0:row r="1715" ht="21" customHeight="1">
      <ns0:c r="A1715" s="25" t="n"/>
      <ns0:c r="B1715" s="26" t="n"/>
      <ns0:c r="C1715" s="27" t="n"/>
      <ns0:c r="D1715" s="27" t="n"/>
      <ns0:c r="E1715" s="28" t="str">
        <ns0:f>IF(A1715="","",YEAR(A1715)&amp;"-"&amp;RIGHT("0"&amp;MONTH(A1715),2))</ns0:f>
        <ns0:v/>
      </ns0:c>
      <ns0:c r="F1715" s="28" t="str">
        <ns0:f>IF(OR(A1715="",B1715="",C1715&lt;=0),"",IF(SUMPRODUCT(('Müşteriler'!$B$2:$B$101&lt;&gt;"")*ISNUMBER(SEARCH('Müşteriler'!$B$2:$B$101,B1715)))=1,IFERROR(INDEX('Müşteriler'!$A$2:$A$101,SUMPRODUCT(('Müşteriler'!$B$2:$B$101&lt;&gt;"")*ISNUMBER(SEARCH('Müşteriler'!$B$2:$B$101,B1715)),ROW('Müşteriler'!$B$2:$B$101)-ROW('Müşteriler'!$B$2)+1)),""),""))</ns0:f>
        <ns0:v/>
      </ns0:c>
      <ns0:c r="G1715" s="28" t="str">
        <ns0:f>IF(F1715="","",IFERROR(INDEX('Müşteriler'!$C$2:$C$101,MATCH(F1715,'Müşteriler'!$A$2:$A$101,0)),""))</ns0:f>
        <ns0:v/>
      </ns0:c>
      <ns0:c r="H1715" s="28" t="str">
        <ns0:f>IF(A1715="","",IF(C1715&lt;=0,"Satış dışı",IF(OR(F1715="",G1715=""),"Eşleşmedi","Eşleşti")))</ns0:f>
        <ns0:v/>
      </ns0:c>
      <ns0:c r="I1715" s="28">
        <ns0:f>I1714+IF(AND(H1715="Eşleşmedi",E1715='Panel'!$B$4),1,0)</ns0:f>
        <ns0:v>3.0</ns0:v>
      </ns0:c>
    </ns0:row>
    <ns0:row r="1716" ht="21" customHeight="1">
      <ns0:c r="A1716" s="25" t="n"/>
      <ns0:c r="B1716" s="26" t="n"/>
      <ns0:c r="C1716" s="27" t="n"/>
      <ns0:c r="D1716" s="27" t="n"/>
      <ns0:c r="E1716" s="28" t="str">
        <ns0:f>IF(A1716="","",YEAR(A1716)&amp;"-"&amp;RIGHT("0"&amp;MONTH(A1716),2))</ns0:f>
        <ns0:v/>
      </ns0:c>
      <ns0:c r="F1716" s="28" t="str">
        <ns0:f>IF(OR(A1716="",B1716="",C1716&lt;=0),"",IF(SUMPRODUCT(('Müşteriler'!$B$2:$B$101&lt;&gt;"")*ISNUMBER(SEARCH('Müşteriler'!$B$2:$B$101,B1716)))=1,IFERROR(INDEX('Müşteriler'!$A$2:$A$101,SUMPRODUCT(('Müşteriler'!$B$2:$B$101&lt;&gt;"")*ISNUMBER(SEARCH('Müşteriler'!$B$2:$B$101,B1716)),ROW('Müşteriler'!$B$2:$B$101)-ROW('Müşteriler'!$B$2)+1)),""),""))</ns0:f>
        <ns0:v/>
      </ns0:c>
      <ns0:c r="G1716" s="28" t="str">
        <ns0:f>IF(F1716="","",IFERROR(INDEX('Müşteriler'!$C$2:$C$101,MATCH(F1716,'Müşteriler'!$A$2:$A$101,0)),""))</ns0:f>
        <ns0:v/>
      </ns0:c>
      <ns0:c r="H1716" s="28" t="str">
        <ns0:f>IF(A1716="","",IF(C1716&lt;=0,"Satış dışı",IF(OR(F1716="",G1716=""),"Eşleşmedi","Eşleşti")))</ns0:f>
        <ns0:v/>
      </ns0:c>
      <ns0:c r="I1716" s="28">
        <ns0:f>I1715+IF(AND(H1716="Eşleşmedi",E1716='Panel'!$B$4),1,0)</ns0:f>
        <ns0:v>3.0</ns0:v>
      </ns0:c>
    </ns0:row>
    <ns0:row r="1717" ht="21" customHeight="1">
      <ns0:c r="A1717" s="25" t="n"/>
      <ns0:c r="B1717" s="26" t="n"/>
      <ns0:c r="C1717" s="27" t="n"/>
      <ns0:c r="D1717" s="27" t="n"/>
      <ns0:c r="E1717" s="28" t="str">
        <ns0:f>IF(A1717="","",YEAR(A1717)&amp;"-"&amp;RIGHT("0"&amp;MONTH(A1717),2))</ns0:f>
        <ns0:v/>
      </ns0:c>
      <ns0:c r="F1717" s="28" t="str">
        <ns0:f>IF(OR(A1717="",B1717="",C1717&lt;=0),"",IF(SUMPRODUCT(('Müşteriler'!$B$2:$B$101&lt;&gt;"")*ISNUMBER(SEARCH('Müşteriler'!$B$2:$B$101,B1717)))=1,IFERROR(INDEX('Müşteriler'!$A$2:$A$101,SUMPRODUCT(('Müşteriler'!$B$2:$B$101&lt;&gt;"")*ISNUMBER(SEARCH('Müşteriler'!$B$2:$B$101,B1717)),ROW('Müşteriler'!$B$2:$B$101)-ROW('Müşteriler'!$B$2)+1)),""),""))</ns0:f>
        <ns0:v/>
      </ns0:c>
      <ns0:c r="G1717" s="28" t="str">
        <ns0:f>IF(F1717="","",IFERROR(INDEX('Müşteriler'!$C$2:$C$101,MATCH(F1717,'Müşteriler'!$A$2:$A$101,0)),""))</ns0:f>
        <ns0:v/>
      </ns0:c>
      <ns0:c r="H1717" s="28" t="str">
        <ns0:f>IF(A1717="","",IF(C1717&lt;=0,"Satış dışı",IF(OR(F1717="",G1717=""),"Eşleşmedi","Eşleşti")))</ns0:f>
        <ns0:v/>
      </ns0:c>
      <ns0:c r="I1717" s="28">
        <ns0:f>I1716+IF(AND(H1717="Eşleşmedi",E1717='Panel'!$B$4),1,0)</ns0:f>
        <ns0:v>3.0</ns0:v>
      </ns0:c>
    </ns0:row>
    <ns0:row r="1718" ht="21" customHeight="1">
      <ns0:c r="A1718" s="25" t="n"/>
      <ns0:c r="B1718" s="26" t="n"/>
      <ns0:c r="C1718" s="27" t="n"/>
      <ns0:c r="D1718" s="27" t="n"/>
      <ns0:c r="E1718" s="28" t="str">
        <ns0:f>IF(A1718="","",YEAR(A1718)&amp;"-"&amp;RIGHT("0"&amp;MONTH(A1718),2))</ns0:f>
        <ns0:v/>
      </ns0:c>
      <ns0:c r="F1718" s="28" t="str">
        <ns0:f>IF(OR(A1718="",B1718="",C1718&lt;=0),"",IF(SUMPRODUCT(('Müşteriler'!$B$2:$B$101&lt;&gt;"")*ISNUMBER(SEARCH('Müşteriler'!$B$2:$B$101,B1718)))=1,IFERROR(INDEX('Müşteriler'!$A$2:$A$101,SUMPRODUCT(('Müşteriler'!$B$2:$B$101&lt;&gt;"")*ISNUMBER(SEARCH('Müşteriler'!$B$2:$B$101,B1718)),ROW('Müşteriler'!$B$2:$B$101)-ROW('Müşteriler'!$B$2)+1)),""),""))</ns0:f>
        <ns0:v/>
      </ns0:c>
      <ns0:c r="G1718" s="28" t="str">
        <ns0:f>IF(F1718="","",IFERROR(INDEX('Müşteriler'!$C$2:$C$101,MATCH(F1718,'Müşteriler'!$A$2:$A$101,0)),""))</ns0:f>
        <ns0:v/>
      </ns0:c>
      <ns0:c r="H1718" s="28" t="str">
        <ns0:f>IF(A1718="","",IF(C1718&lt;=0,"Satış dışı",IF(OR(F1718="",G1718=""),"Eşleşmedi","Eşleşti")))</ns0:f>
        <ns0:v/>
      </ns0:c>
      <ns0:c r="I1718" s="28">
        <ns0:f>I1717+IF(AND(H1718="Eşleşmedi",E1718='Panel'!$B$4),1,0)</ns0:f>
        <ns0:v>3.0</ns0:v>
      </ns0:c>
    </ns0:row>
    <ns0:row r="1719" ht="21" customHeight="1">
      <ns0:c r="A1719" s="25" t="n"/>
      <ns0:c r="B1719" s="26" t="n"/>
      <ns0:c r="C1719" s="27" t="n"/>
      <ns0:c r="D1719" s="27" t="n"/>
      <ns0:c r="E1719" s="28" t="str">
        <ns0:f>IF(A1719="","",YEAR(A1719)&amp;"-"&amp;RIGHT("0"&amp;MONTH(A1719),2))</ns0:f>
        <ns0:v/>
      </ns0:c>
      <ns0:c r="F1719" s="28" t="str">
        <ns0:f>IF(OR(A1719="",B1719="",C1719&lt;=0),"",IF(SUMPRODUCT(('Müşteriler'!$B$2:$B$101&lt;&gt;"")*ISNUMBER(SEARCH('Müşteriler'!$B$2:$B$101,B1719)))=1,IFERROR(INDEX('Müşteriler'!$A$2:$A$101,SUMPRODUCT(('Müşteriler'!$B$2:$B$101&lt;&gt;"")*ISNUMBER(SEARCH('Müşteriler'!$B$2:$B$101,B1719)),ROW('Müşteriler'!$B$2:$B$101)-ROW('Müşteriler'!$B$2)+1)),""),""))</ns0:f>
        <ns0:v/>
      </ns0:c>
      <ns0:c r="G1719" s="28" t="str">
        <ns0:f>IF(F1719="","",IFERROR(INDEX('Müşteriler'!$C$2:$C$101,MATCH(F1719,'Müşteriler'!$A$2:$A$101,0)),""))</ns0:f>
        <ns0:v/>
      </ns0:c>
      <ns0:c r="H1719" s="28" t="str">
        <ns0:f>IF(A1719="","",IF(C1719&lt;=0,"Satış dışı",IF(OR(F1719="",G1719=""),"Eşleşmedi","Eşleşti")))</ns0:f>
        <ns0:v/>
      </ns0:c>
      <ns0:c r="I1719" s="28">
        <ns0:f>I1718+IF(AND(H1719="Eşleşmedi",E1719='Panel'!$B$4),1,0)</ns0:f>
        <ns0:v>3.0</ns0:v>
      </ns0:c>
    </ns0:row>
    <ns0:row r="1720" ht="21" customHeight="1">
      <ns0:c r="A1720" s="25" t="n"/>
      <ns0:c r="B1720" s="26" t="n"/>
      <ns0:c r="C1720" s="27" t="n"/>
      <ns0:c r="D1720" s="27" t="n"/>
      <ns0:c r="E1720" s="28" t="str">
        <ns0:f>IF(A1720="","",YEAR(A1720)&amp;"-"&amp;RIGHT("0"&amp;MONTH(A1720),2))</ns0:f>
        <ns0:v/>
      </ns0:c>
      <ns0:c r="F1720" s="28" t="str">
        <ns0:f>IF(OR(A1720="",B1720="",C1720&lt;=0),"",IF(SUMPRODUCT(('Müşteriler'!$B$2:$B$101&lt;&gt;"")*ISNUMBER(SEARCH('Müşteriler'!$B$2:$B$101,B1720)))=1,IFERROR(INDEX('Müşteriler'!$A$2:$A$101,SUMPRODUCT(('Müşteriler'!$B$2:$B$101&lt;&gt;"")*ISNUMBER(SEARCH('Müşteriler'!$B$2:$B$101,B1720)),ROW('Müşteriler'!$B$2:$B$101)-ROW('Müşteriler'!$B$2)+1)),""),""))</ns0:f>
        <ns0:v/>
      </ns0:c>
      <ns0:c r="G1720" s="28" t="str">
        <ns0:f>IF(F1720="","",IFERROR(INDEX('Müşteriler'!$C$2:$C$101,MATCH(F1720,'Müşteriler'!$A$2:$A$101,0)),""))</ns0:f>
        <ns0:v/>
      </ns0:c>
      <ns0:c r="H1720" s="28" t="str">
        <ns0:f>IF(A1720="","",IF(C1720&lt;=0,"Satış dışı",IF(OR(F1720="",G1720=""),"Eşleşmedi","Eşleşti")))</ns0:f>
        <ns0:v/>
      </ns0:c>
      <ns0:c r="I1720" s="28">
        <ns0:f>I1719+IF(AND(H1720="Eşleşmedi",E1720='Panel'!$B$4),1,0)</ns0:f>
        <ns0:v>3.0</ns0:v>
      </ns0:c>
    </ns0:row>
    <ns0:row r="1721" ht="21" customHeight="1">
      <ns0:c r="A1721" s="25" t="n"/>
      <ns0:c r="B1721" s="26" t="n"/>
      <ns0:c r="C1721" s="27" t="n"/>
      <ns0:c r="D1721" s="27" t="n"/>
      <ns0:c r="E1721" s="28" t="str">
        <ns0:f>IF(A1721="","",YEAR(A1721)&amp;"-"&amp;RIGHT("0"&amp;MONTH(A1721),2))</ns0:f>
        <ns0:v/>
      </ns0:c>
      <ns0:c r="F1721" s="28" t="str">
        <ns0:f>IF(OR(A1721="",B1721="",C1721&lt;=0),"",IF(SUMPRODUCT(('Müşteriler'!$B$2:$B$101&lt;&gt;"")*ISNUMBER(SEARCH('Müşteriler'!$B$2:$B$101,B1721)))=1,IFERROR(INDEX('Müşteriler'!$A$2:$A$101,SUMPRODUCT(('Müşteriler'!$B$2:$B$101&lt;&gt;"")*ISNUMBER(SEARCH('Müşteriler'!$B$2:$B$101,B1721)),ROW('Müşteriler'!$B$2:$B$101)-ROW('Müşteriler'!$B$2)+1)),""),""))</ns0:f>
        <ns0:v/>
      </ns0:c>
      <ns0:c r="G1721" s="28" t="str">
        <ns0:f>IF(F1721="","",IFERROR(INDEX('Müşteriler'!$C$2:$C$101,MATCH(F1721,'Müşteriler'!$A$2:$A$101,0)),""))</ns0:f>
        <ns0:v/>
      </ns0:c>
      <ns0:c r="H1721" s="28" t="str">
        <ns0:f>IF(A1721="","",IF(C1721&lt;=0,"Satış dışı",IF(OR(F1721="",G1721=""),"Eşleşmedi","Eşleşti")))</ns0:f>
        <ns0:v/>
      </ns0:c>
      <ns0:c r="I1721" s="28">
        <ns0:f>I1720+IF(AND(H1721="Eşleşmedi",E1721='Panel'!$B$4),1,0)</ns0:f>
        <ns0:v>3.0</ns0:v>
      </ns0:c>
    </ns0:row>
    <ns0:row r="1722" ht="21" customHeight="1">
      <ns0:c r="A1722" s="25" t="n"/>
      <ns0:c r="B1722" s="26" t="n"/>
      <ns0:c r="C1722" s="27" t="n"/>
      <ns0:c r="D1722" s="27" t="n"/>
      <ns0:c r="E1722" s="28" t="str">
        <ns0:f>IF(A1722="","",YEAR(A1722)&amp;"-"&amp;RIGHT("0"&amp;MONTH(A1722),2))</ns0:f>
        <ns0:v/>
      </ns0:c>
      <ns0:c r="F1722" s="28" t="str">
        <ns0:f>IF(OR(A1722="",B1722="",C1722&lt;=0),"",IF(SUMPRODUCT(('Müşteriler'!$B$2:$B$101&lt;&gt;"")*ISNUMBER(SEARCH('Müşteriler'!$B$2:$B$101,B1722)))=1,IFERROR(INDEX('Müşteriler'!$A$2:$A$101,SUMPRODUCT(('Müşteriler'!$B$2:$B$101&lt;&gt;"")*ISNUMBER(SEARCH('Müşteriler'!$B$2:$B$101,B1722)),ROW('Müşteriler'!$B$2:$B$101)-ROW('Müşteriler'!$B$2)+1)),""),""))</ns0:f>
        <ns0:v/>
      </ns0:c>
      <ns0:c r="G1722" s="28" t="str">
        <ns0:f>IF(F1722="","",IFERROR(INDEX('Müşteriler'!$C$2:$C$101,MATCH(F1722,'Müşteriler'!$A$2:$A$101,0)),""))</ns0:f>
        <ns0:v/>
      </ns0:c>
      <ns0:c r="H1722" s="28" t="str">
        <ns0:f>IF(A1722="","",IF(C1722&lt;=0,"Satış dışı",IF(OR(F1722="",G1722=""),"Eşleşmedi","Eşleşti")))</ns0:f>
        <ns0:v/>
      </ns0:c>
      <ns0:c r="I1722" s="28">
        <ns0:f>I1721+IF(AND(H1722="Eşleşmedi",E1722='Panel'!$B$4),1,0)</ns0:f>
        <ns0:v>3.0</ns0:v>
      </ns0:c>
    </ns0:row>
    <ns0:row r="1723" ht="21" customHeight="1">
      <ns0:c r="A1723" s="25" t="n"/>
      <ns0:c r="B1723" s="26" t="n"/>
      <ns0:c r="C1723" s="27" t="n"/>
      <ns0:c r="D1723" s="27" t="n"/>
      <ns0:c r="E1723" s="28" t="str">
        <ns0:f>IF(A1723="","",YEAR(A1723)&amp;"-"&amp;RIGHT("0"&amp;MONTH(A1723),2))</ns0:f>
        <ns0:v/>
      </ns0:c>
      <ns0:c r="F1723" s="28" t="str">
        <ns0:f>IF(OR(A1723="",B1723="",C1723&lt;=0),"",IF(SUMPRODUCT(('Müşteriler'!$B$2:$B$101&lt;&gt;"")*ISNUMBER(SEARCH('Müşteriler'!$B$2:$B$101,B1723)))=1,IFERROR(INDEX('Müşteriler'!$A$2:$A$101,SUMPRODUCT(('Müşteriler'!$B$2:$B$101&lt;&gt;"")*ISNUMBER(SEARCH('Müşteriler'!$B$2:$B$101,B1723)),ROW('Müşteriler'!$B$2:$B$101)-ROW('Müşteriler'!$B$2)+1)),""),""))</ns0:f>
        <ns0:v/>
      </ns0:c>
      <ns0:c r="G1723" s="28" t="str">
        <ns0:f>IF(F1723="","",IFERROR(INDEX('Müşteriler'!$C$2:$C$101,MATCH(F1723,'Müşteriler'!$A$2:$A$101,0)),""))</ns0:f>
        <ns0:v/>
      </ns0:c>
      <ns0:c r="H1723" s="28" t="str">
        <ns0:f>IF(A1723="","",IF(C1723&lt;=0,"Satış dışı",IF(OR(F1723="",G1723=""),"Eşleşmedi","Eşleşti")))</ns0:f>
        <ns0:v/>
      </ns0:c>
      <ns0:c r="I1723" s="28">
        <ns0:f>I1722+IF(AND(H1723="Eşleşmedi",E1723='Panel'!$B$4),1,0)</ns0:f>
        <ns0:v>3.0</ns0:v>
      </ns0:c>
    </ns0:row>
    <ns0:row r="1724" ht="21" customHeight="1">
      <ns0:c r="A1724" s="25" t="n"/>
      <ns0:c r="B1724" s="26" t="n"/>
      <ns0:c r="C1724" s="27" t="n"/>
      <ns0:c r="D1724" s="27" t="n"/>
      <ns0:c r="E1724" s="28" t="str">
        <ns0:f>IF(A1724="","",YEAR(A1724)&amp;"-"&amp;RIGHT("0"&amp;MONTH(A1724),2))</ns0:f>
        <ns0:v/>
      </ns0:c>
      <ns0:c r="F1724" s="28" t="str">
        <ns0:f>IF(OR(A1724="",B1724="",C1724&lt;=0),"",IF(SUMPRODUCT(('Müşteriler'!$B$2:$B$101&lt;&gt;"")*ISNUMBER(SEARCH('Müşteriler'!$B$2:$B$101,B1724)))=1,IFERROR(INDEX('Müşteriler'!$A$2:$A$101,SUMPRODUCT(('Müşteriler'!$B$2:$B$101&lt;&gt;"")*ISNUMBER(SEARCH('Müşteriler'!$B$2:$B$101,B1724)),ROW('Müşteriler'!$B$2:$B$101)-ROW('Müşteriler'!$B$2)+1)),""),""))</ns0:f>
        <ns0:v/>
      </ns0:c>
      <ns0:c r="G1724" s="28" t="str">
        <ns0:f>IF(F1724="","",IFERROR(INDEX('Müşteriler'!$C$2:$C$101,MATCH(F1724,'Müşteriler'!$A$2:$A$101,0)),""))</ns0:f>
        <ns0:v/>
      </ns0:c>
      <ns0:c r="H1724" s="28" t="str">
        <ns0:f>IF(A1724="","",IF(C1724&lt;=0,"Satış dışı",IF(OR(F1724="",G1724=""),"Eşleşmedi","Eşleşti")))</ns0:f>
        <ns0:v/>
      </ns0:c>
      <ns0:c r="I1724" s="28">
        <ns0:f>I1723+IF(AND(H1724="Eşleşmedi",E1724='Panel'!$B$4),1,0)</ns0:f>
        <ns0:v>3.0</ns0:v>
      </ns0:c>
    </ns0:row>
    <ns0:row r="1725" ht="21" customHeight="1">
      <ns0:c r="A1725" s="25" t="n"/>
      <ns0:c r="B1725" s="26" t="n"/>
      <ns0:c r="C1725" s="27" t="n"/>
      <ns0:c r="D1725" s="27" t="n"/>
      <ns0:c r="E1725" s="28" t="str">
        <ns0:f>IF(A1725="","",YEAR(A1725)&amp;"-"&amp;RIGHT("0"&amp;MONTH(A1725),2))</ns0:f>
        <ns0:v/>
      </ns0:c>
      <ns0:c r="F1725" s="28" t="str">
        <ns0:f>IF(OR(A1725="",B1725="",C1725&lt;=0),"",IF(SUMPRODUCT(('Müşteriler'!$B$2:$B$101&lt;&gt;"")*ISNUMBER(SEARCH('Müşteriler'!$B$2:$B$101,B1725)))=1,IFERROR(INDEX('Müşteriler'!$A$2:$A$101,SUMPRODUCT(('Müşteriler'!$B$2:$B$101&lt;&gt;"")*ISNUMBER(SEARCH('Müşteriler'!$B$2:$B$101,B1725)),ROW('Müşteriler'!$B$2:$B$101)-ROW('Müşteriler'!$B$2)+1)),""),""))</ns0:f>
        <ns0:v/>
      </ns0:c>
      <ns0:c r="G1725" s="28" t="str">
        <ns0:f>IF(F1725="","",IFERROR(INDEX('Müşteriler'!$C$2:$C$101,MATCH(F1725,'Müşteriler'!$A$2:$A$101,0)),""))</ns0:f>
        <ns0:v/>
      </ns0:c>
      <ns0:c r="H1725" s="28" t="str">
        <ns0:f>IF(A1725="","",IF(C1725&lt;=0,"Satış dışı",IF(OR(F1725="",G1725=""),"Eşleşmedi","Eşleşti")))</ns0:f>
        <ns0:v/>
      </ns0:c>
      <ns0:c r="I1725" s="28">
        <ns0:f>I1724+IF(AND(H1725="Eşleşmedi",E1725='Panel'!$B$4),1,0)</ns0:f>
        <ns0:v>3.0</ns0:v>
      </ns0:c>
    </ns0:row>
    <ns0:row r="1726" ht="21" customHeight="1">
      <ns0:c r="A1726" s="25" t="n"/>
      <ns0:c r="B1726" s="26" t="n"/>
      <ns0:c r="C1726" s="27" t="n"/>
      <ns0:c r="D1726" s="27" t="n"/>
      <ns0:c r="E1726" s="28" t="str">
        <ns0:f>IF(A1726="","",YEAR(A1726)&amp;"-"&amp;RIGHT("0"&amp;MONTH(A1726),2))</ns0:f>
        <ns0:v/>
      </ns0:c>
      <ns0:c r="F1726" s="28" t="str">
        <ns0:f>IF(OR(A1726="",B1726="",C1726&lt;=0),"",IF(SUMPRODUCT(('Müşteriler'!$B$2:$B$101&lt;&gt;"")*ISNUMBER(SEARCH('Müşteriler'!$B$2:$B$101,B1726)))=1,IFERROR(INDEX('Müşteriler'!$A$2:$A$101,SUMPRODUCT(('Müşteriler'!$B$2:$B$101&lt;&gt;"")*ISNUMBER(SEARCH('Müşteriler'!$B$2:$B$101,B1726)),ROW('Müşteriler'!$B$2:$B$101)-ROW('Müşteriler'!$B$2)+1)),""),""))</ns0:f>
        <ns0:v/>
      </ns0:c>
      <ns0:c r="G1726" s="28" t="str">
        <ns0:f>IF(F1726="","",IFERROR(INDEX('Müşteriler'!$C$2:$C$101,MATCH(F1726,'Müşteriler'!$A$2:$A$101,0)),""))</ns0:f>
        <ns0:v/>
      </ns0:c>
      <ns0:c r="H1726" s="28" t="str">
        <ns0:f>IF(A1726="","",IF(C1726&lt;=0,"Satış dışı",IF(OR(F1726="",G1726=""),"Eşleşmedi","Eşleşti")))</ns0:f>
        <ns0:v/>
      </ns0:c>
      <ns0:c r="I1726" s="28">
        <ns0:f>I1725+IF(AND(H1726="Eşleşmedi",E1726='Panel'!$B$4),1,0)</ns0:f>
        <ns0:v>3.0</ns0:v>
      </ns0:c>
    </ns0:row>
    <ns0:row r="1727" ht="21" customHeight="1">
      <ns0:c r="A1727" s="25" t="n"/>
      <ns0:c r="B1727" s="26" t="n"/>
      <ns0:c r="C1727" s="27" t="n"/>
      <ns0:c r="D1727" s="27" t="n"/>
      <ns0:c r="E1727" s="28" t="str">
        <ns0:f>IF(A1727="","",YEAR(A1727)&amp;"-"&amp;RIGHT("0"&amp;MONTH(A1727),2))</ns0:f>
        <ns0:v/>
      </ns0:c>
      <ns0:c r="F1727" s="28" t="str">
        <ns0:f>IF(OR(A1727="",B1727="",C1727&lt;=0),"",IF(SUMPRODUCT(('Müşteriler'!$B$2:$B$101&lt;&gt;"")*ISNUMBER(SEARCH('Müşteriler'!$B$2:$B$101,B1727)))=1,IFERROR(INDEX('Müşteriler'!$A$2:$A$101,SUMPRODUCT(('Müşteriler'!$B$2:$B$101&lt;&gt;"")*ISNUMBER(SEARCH('Müşteriler'!$B$2:$B$101,B1727)),ROW('Müşteriler'!$B$2:$B$101)-ROW('Müşteriler'!$B$2)+1)),""),""))</ns0:f>
        <ns0:v/>
      </ns0:c>
      <ns0:c r="G1727" s="28" t="str">
        <ns0:f>IF(F1727="","",IFERROR(INDEX('Müşteriler'!$C$2:$C$101,MATCH(F1727,'Müşteriler'!$A$2:$A$101,0)),""))</ns0:f>
        <ns0:v/>
      </ns0:c>
      <ns0:c r="H1727" s="28" t="str">
        <ns0:f>IF(A1727="","",IF(C1727&lt;=0,"Satış dışı",IF(OR(F1727="",G1727=""),"Eşleşmedi","Eşleşti")))</ns0:f>
        <ns0:v/>
      </ns0:c>
      <ns0:c r="I1727" s="28">
        <ns0:f>I1726+IF(AND(H1727="Eşleşmedi",E1727='Panel'!$B$4),1,0)</ns0:f>
        <ns0:v>3.0</ns0:v>
      </ns0:c>
    </ns0:row>
    <ns0:row r="1728" ht="21" customHeight="1">
      <ns0:c r="A1728" s="25" t="n"/>
      <ns0:c r="B1728" s="26" t="n"/>
      <ns0:c r="C1728" s="27" t="n"/>
      <ns0:c r="D1728" s="27" t="n"/>
      <ns0:c r="E1728" s="28" t="str">
        <ns0:f>IF(A1728="","",YEAR(A1728)&amp;"-"&amp;RIGHT("0"&amp;MONTH(A1728),2))</ns0:f>
        <ns0:v/>
      </ns0:c>
      <ns0:c r="F1728" s="28" t="str">
        <ns0:f>IF(OR(A1728="",B1728="",C1728&lt;=0),"",IF(SUMPRODUCT(('Müşteriler'!$B$2:$B$101&lt;&gt;"")*ISNUMBER(SEARCH('Müşteriler'!$B$2:$B$101,B1728)))=1,IFERROR(INDEX('Müşteriler'!$A$2:$A$101,SUMPRODUCT(('Müşteriler'!$B$2:$B$101&lt;&gt;"")*ISNUMBER(SEARCH('Müşteriler'!$B$2:$B$101,B1728)),ROW('Müşteriler'!$B$2:$B$101)-ROW('Müşteriler'!$B$2)+1)),""),""))</ns0:f>
        <ns0:v/>
      </ns0:c>
      <ns0:c r="G1728" s="28" t="str">
        <ns0:f>IF(F1728="","",IFERROR(INDEX('Müşteriler'!$C$2:$C$101,MATCH(F1728,'Müşteriler'!$A$2:$A$101,0)),""))</ns0:f>
        <ns0:v/>
      </ns0:c>
      <ns0:c r="H1728" s="28" t="str">
        <ns0:f>IF(A1728="","",IF(C1728&lt;=0,"Satış dışı",IF(OR(F1728="",G1728=""),"Eşleşmedi","Eşleşti")))</ns0:f>
        <ns0:v/>
      </ns0:c>
      <ns0:c r="I1728" s="28">
        <ns0:f>I1727+IF(AND(H1728="Eşleşmedi",E1728='Panel'!$B$4),1,0)</ns0:f>
        <ns0:v>3.0</ns0:v>
      </ns0:c>
    </ns0:row>
    <ns0:row r="1729" ht="21" customHeight="1">
      <ns0:c r="A1729" s="25" t="n"/>
      <ns0:c r="B1729" s="26" t="n"/>
      <ns0:c r="C1729" s="27" t="n"/>
      <ns0:c r="D1729" s="27" t="n"/>
      <ns0:c r="E1729" s="28" t="str">
        <ns0:f>IF(A1729="","",YEAR(A1729)&amp;"-"&amp;RIGHT("0"&amp;MONTH(A1729),2))</ns0:f>
        <ns0:v/>
      </ns0:c>
      <ns0:c r="F1729" s="28" t="str">
        <ns0:f>IF(OR(A1729="",B1729="",C1729&lt;=0),"",IF(SUMPRODUCT(('Müşteriler'!$B$2:$B$101&lt;&gt;"")*ISNUMBER(SEARCH('Müşteriler'!$B$2:$B$101,B1729)))=1,IFERROR(INDEX('Müşteriler'!$A$2:$A$101,SUMPRODUCT(('Müşteriler'!$B$2:$B$101&lt;&gt;"")*ISNUMBER(SEARCH('Müşteriler'!$B$2:$B$101,B1729)),ROW('Müşteriler'!$B$2:$B$101)-ROW('Müşteriler'!$B$2)+1)),""),""))</ns0:f>
        <ns0:v/>
      </ns0:c>
      <ns0:c r="G1729" s="28" t="str">
        <ns0:f>IF(F1729="","",IFERROR(INDEX('Müşteriler'!$C$2:$C$101,MATCH(F1729,'Müşteriler'!$A$2:$A$101,0)),""))</ns0:f>
        <ns0:v/>
      </ns0:c>
      <ns0:c r="H1729" s="28" t="str">
        <ns0:f>IF(A1729="","",IF(C1729&lt;=0,"Satış dışı",IF(OR(F1729="",G1729=""),"Eşleşmedi","Eşleşti")))</ns0:f>
        <ns0:v/>
      </ns0:c>
      <ns0:c r="I1729" s="28">
        <ns0:f>I1728+IF(AND(H1729="Eşleşmedi",E1729='Panel'!$B$4),1,0)</ns0:f>
        <ns0:v>3.0</ns0:v>
      </ns0:c>
    </ns0:row>
    <ns0:row r="1730" ht="21" customHeight="1">
      <ns0:c r="A1730" s="25" t="n"/>
      <ns0:c r="B1730" s="26" t="n"/>
      <ns0:c r="C1730" s="27" t="n"/>
      <ns0:c r="D1730" s="27" t="n"/>
      <ns0:c r="E1730" s="28" t="str">
        <ns0:f>IF(A1730="","",YEAR(A1730)&amp;"-"&amp;RIGHT("0"&amp;MONTH(A1730),2))</ns0:f>
        <ns0:v/>
      </ns0:c>
      <ns0:c r="F1730" s="28" t="str">
        <ns0:f>IF(OR(A1730="",B1730="",C1730&lt;=0),"",IF(SUMPRODUCT(('Müşteriler'!$B$2:$B$101&lt;&gt;"")*ISNUMBER(SEARCH('Müşteriler'!$B$2:$B$101,B1730)))=1,IFERROR(INDEX('Müşteriler'!$A$2:$A$101,SUMPRODUCT(('Müşteriler'!$B$2:$B$101&lt;&gt;"")*ISNUMBER(SEARCH('Müşteriler'!$B$2:$B$101,B1730)),ROW('Müşteriler'!$B$2:$B$101)-ROW('Müşteriler'!$B$2)+1)),""),""))</ns0:f>
        <ns0:v/>
      </ns0:c>
      <ns0:c r="G1730" s="28" t="str">
        <ns0:f>IF(F1730="","",IFERROR(INDEX('Müşteriler'!$C$2:$C$101,MATCH(F1730,'Müşteriler'!$A$2:$A$101,0)),""))</ns0:f>
        <ns0:v/>
      </ns0:c>
      <ns0:c r="H1730" s="28" t="str">
        <ns0:f>IF(A1730="","",IF(C1730&lt;=0,"Satış dışı",IF(OR(F1730="",G1730=""),"Eşleşmedi","Eşleşti")))</ns0:f>
        <ns0:v/>
      </ns0:c>
      <ns0:c r="I1730" s="28">
        <ns0:f>I1729+IF(AND(H1730="Eşleşmedi",E1730='Panel'!$B$4),1,0)</ns0:f>
        <ns0:v>3.0</ns0:v>
      </ns0:c>
    </ns0:row>
    <ns0:row r="1731" ht="21" customHeight="1">
      <ns0:c r="A1731" s="25" t="n"/>
      <ns0:c r="B1731" s="26" t="n"/>
      <ns0:c r="C1731" s="27" t="n"/>
      <ns0:c r="D1731" s="27" t="n"/>
      <ns0:c r="E1731" s="28" t="str">
        <ns0:f>IF(A1731="","",YEAR(A1731)&amp;"-"&amp;RIGHT("0"&amp;MONTH(A1731),2))</ns0:f>
        <ns0:v/>
      </ns0:c>
      <ns0:c r="F1731" s="28" t="str">
        <ns0:f>IF(OR(A1731="",B1731="",C1731&lt;=0),"",IF(SUMPRODUCT(('Müşteriler'!$B$2:$B$101&lt;&gt;"")*ISNUMBER(SEARCH('Müşteriler'!$B$2:$B$101,B1731)))=1,IFERROR(INDEX('Müşteriler'!$A$2:$A$101,SUMPRODUCT(('Müşteriler'!$B$2:$B$101&lt;&gt;"")*ISNUMBER(SEARCH('Müşteriler'!$B$2:$B$101,B1731)),ROW('Müşteriler'!$B$2:$B$101)-ROW('Müşteriler'!$B$2)+1)),""),""))</ns0:f>
        <ns0:v/>
      </ns0:c>
      <ns0:c r="G1731" s="28" t="str">
        <ns0:f>IF(F1731="","",IFERROR(INDEX('Müşteriler'!$C$2:$C$101,MATCH(F1731,'Müşteriler'!$A$2:$A$101,0)),""))</ns0:f>
        <ns0:v/>
      </ns0:c>
      <ns0:c r="H1731" s="28" t="str">
        <ns0:f>IF(A1731="","",IF(C1731&lt;=0,"Satış dışı",IF(OR(F1731="",G1731=""),"Eşleşmedi","Eşleşti")))</ns0:f>
        <ns0:v/>
      </ns0:c>
      <ns0:c r="I1731" s="28">
        <ns0:f>I1730+IF(AND(H1731="Eşleşmedi",E1731='Panel'!$B$4),1,0)</ns0:f>
        <ns0:v>3.0</ns0:v>
      </ns0:c>
    </ns0:row>
    <ns0:row r="1732" ht="21" customHeight="1">
      <ns0:c r="A1732" s="25" t="n"/>
      <ns0:c r="B1732" s="26" t="n"/>
      <ns0:c r="C1732" s="27" t="n"/>
      <ns0:c r="D1732" s="27" t="n"/>
      <ns0:c r="E1732" s="28" t="str">
        <ns0:f>IF(A1732="","",YEAR(A1732)&amp;"-"&amp;RIGHT("0"&amp;MONTH(A1732),2))</ns0:f>
        <ns0:v/>
      </ns0:c>
      <ns0:c r="F1732" s="28" t="str">
        <ns0:f>IF(OR(A1732="",B1732="",C1732&lt;=0),"",IF(SUMPRODUCT(('Müşteriler'!$B$2:$B$101&lt;&gt;"")*ISNUMBER(SEARCH('Müşteriler'!$B$2:$B$101,B1732)))=1,IFERROR(INDEX('Müşteriler'!$A$2:$A$101,SUMPRODUCT(('Müşteriler'!$B$2:$B$101&lt;&gt;"")*ISNUMBER(SEARCH('Müşteriler'!$B$2:$B$101,B1732)),ROW('Müşteriler'!$B$2:$B$101)-ROW('Müşteriler'!$B$2)+1)),""),""))</ns0:f>
        <ns0:v/>
      </ns0:c>
      <ns0:c r="G1732" s="28" t="str">
        <ns0:f>IF(F1732="","",IFERROR(INDEX('Müşteriler'!$C$2:$C$101,MATCH(F1732,'Müşteriler'!$A$2:$A$101,0)),""))</ns0:f>
        <ns0:v/>
      </ns0:c>
      <ns0:c r="H1732" s="28" t="str">
        <ns0:f>IF(A1732="","",IF(C1732&lt;=0,"Satış dışı",IF(OR(F1732="",G1732=""),"Eşleşmedi","Eşleşti")))</ns0:f>
        <ns0:v/>
      </ns0:c>
      <ns0:c r="I1732" s="28">
        <ns0:f>I1731+IF(AND(H1732="Eşleşmedi",E1732='Panel'!$B$4),1,0)</ns0:f>
        <ns0:v>3.0</ns0:v>
      </ns0:c>
    </ns0:row>
    <ns0:row r="1733" ht="21" customHeight="1">
      <ns0:c r="A1733" s="25" t="n"/>
      <ns0:c r="B1733" s="26" t="n"/>
      <ns0:c r="C1733" s="27" t="n"/>
      <ns0:c r="D1733" s="27" t="n"/>
      <ns0:c r="E1733" s="28" t="str">
        <ns0:f>IF(A1733="","",YEAR(A1733)&amp;"-"&amp;RIGHT("0"&amp;MONTH(A1733),2))</ns0:f>
        <ns0:v/>
      </ns0:c>
      <ns0:c r="F1733" s="28" t="str">
        <ns0:f>IF(OR(A1733="",B1733="",C1733&lt;=0),"",IF(SUMPRODUCT(('Müşteriler'!$B$2:$B$101&lt;&gt;"")*ISNUMBER(SEARCH('Müşteriler'!$B$2:$B$101,B1733)))=1,IFERROR(INDEX('Müşteriler'!$A$2:$A$101,SUMPRODUCT(('Müşteriler'!$B$2:$B$101&lt;&gt;"")*ISNUMBER(SEARCH('Müşteriler'!$B$2:$B$101,B1733)),ROW('Müşteriler'!$B$2:$B$101)-ROW('Müşteriler'!$B$2)+1)),""),""))</ns0:f>
        <ns0:v/>
      </ns0:c>
      <ns0:c r="G1733" s="28" t="str">
        <ns0:f>IF(F1733="","",IFERROR(INDEX('Müşteriler'!$C$2:$C$101,MATCH(F1733,'Müşteriler'!$A$2:$A$101,0)),""))</ns0:f>
        <ns0:v/>
      </ns0:c>
      <ns0:c r="H1733" s="28" t="str">
        <ns0:f>IF(A1733="","",IF(C1733&lt;=0,"Satış dışı",IF(OR(F1733="",G1733=""),"Eşleşmedi","Eşleşti")))</ns0:f>
        <ns0:v/>
      </ns0:c>
      <ns0:c r="I1733" s="28">
        <ns0:f>I1732+IF(AND(H1733="Eşleşmedi",E1733='Panel'!$B$4),1,0)</ns0:f>
        <ns0:v>3.0</ns0:v>
      </ns0:c>
    </ns0:row>
    <ns0:row r="1734" ht="21" customHeight="1">
      <ns0:c r="A1734" s="25" t="n"/>
      <ns0:c r="B1734" s="26" t="n"/>
      <ns0:c r="C1734" s="27" t="n"/>
      <ns0:c r="D1734" s="27" t="n"/>
      <ns0:c r="E1734" s="28" t="str">
        <ns0:f>IF(A1734="","",YEAR(A1734)&amp;"-"&amp;RIGHT("0"&amp;MONTH(A1734),2))</ns0:f>
        <ns0:v/>
      </ns0:c>
      <ns0:c r="F1734" s="28" t="str">
        <ns0:f>IF(OR(A1734="",B1734="",C1734&lt;=0),"",IF(SUMPRODUCT(('Müşteriler'!$B$2:$B$101&lt;&gt;"")*ISNUMBER(SEARCH('Müşteriler'!$B$2:$B$101,B1734)))=1,IFERROR(INDEX('Müşteriler'!$A$2:$A$101,SUMPRODUCT(('Müşteriler'!$B$2:$B$101&lt;&gt;"")*ISNUMBER(SEARCH('Müşteriler'!$B$2:$B$101,B1734)),ROW('Müşteriler'!$B$2:$B$101)-ROW('Müşteriler'!$B$2)+1)),""),""))</ns0:f>
        <ns0:v/>
      </ns0:c>
      <ns0:c r="G1734" s="28" t="str">
        <ns0:f>IF(F1734="","",IFERROR(INDEX('Müşteriler'!$C$2:$C$101,MATCH(F1734,'Müşteriler'!$A$2:$A$101,0)),""))</ns0:f>
        <ns0:v/>
      </ns0:c>
      <ns0:c r="H1734" s="28" t="str">
        <ns0:f>IF(A1734="","",IF(C1734&lt;=0,"Satış dışı",IF(OR(F1734="",G1734=""),"Eşleşmedi","Eşleşti")))</ns0:f>
        <ns0:v/>
      </ns0:c>
      <ns0:c r="I1734" s="28">
        <ns0:f>I1733+IF(AND(H1734="Eşleşmedi",E1734='Panel'!$B$4),1,0)</ns0:f>
        <ns0:v>3.0</ns0:v>
      </ns0:c>
    </ns0:row>
    <ns0:row r="1735" ht="21" customHeight="1">
      <ns0:c r="A1735" s="25" t="n"/>
      <ns0:c r="B1735" s="26" t="n"/>
      <ns0:c r="C1735" s="27" t="n"/>
      <ns0:c r="D1735" s="27" t="n"/>
      <ns0:c r="E1735" s="28" t="str">
        <ns0:f>IF(A1735="","",YEAR(A1735)&amp;"-"&amp;RIGHT("0"&amp;MONTH(A1735),2))</ns0:f>
        <ns0:v/>
      </ns0:c>
      <ns0:c r="F1735" s="28" t="str">
        <ns0:f>IF(OR(A1735="",B1735="",C1735&lt;=0),"",IF(SUMPRODUCT(('Müşteriler'!$B$2:$B$101&lt;&gt;"")*ISNUMBER(SEARCH('Müşteriler'!$B$2:$B$101,B1735)))=1,IFERROR(INDEX('Müşteriler'!$A$2:$A$101,SUMPRODUCT(('Müşteriler'!$B$2:$B$101&lt;&gt;"")*ISNUMBER(SEARCH('Müşteriler'!$B$2:$B$101,B1735)),ROW('Müşteriler'!$B$2:$B$101)-ROW('Müşteriler'!$B$2)+1)),""),""))</ns0:f>
        <ns0:v/>
      </ns0:c>
      <ns0:c r="G1735" s="28" t="str">
        <ns0:f>IF(F1735="","",IFERROR(INDEX('Müşteriler'!$C$2:$C$101,MATCH(F1735,'Müşteriler'!$A$2:$A$101,0)),""))</ns0:f>
        <ns0:v/>
      </ns0:c>
      <ns0:c r="H1735" s="28" t="str">
        <ns0:f>IF(A1735="","",IF(C1735&lt;=0,"Satış dışı",IF(OR(F1735="",G1735=""),"Eşleşmedi","Eşleşti")))</ns0:f>
        <ns0:v/>
      </ns0:c>
      <ns0:c r="I1735" s="28">
        <ns0:f>I1734+IF(AND(H1735="Eşleşmedi",E1735='Panel'!$B$4),1,0)</ns0:f>
        <ns0:v>3.0</ns0:v>
      </ns0:c>
    </ns0:row>
    <ns0:row r="1736" ht="21" customHeight="1">
      <ns0:c r="A1736" s="25" t="n"/>
      <ns0:c r="B1736" s="26" t="n"/>
      <ns0:c r="C1736" s="27" t="n"/>
      <ns0:c r="D1736" s="27" t="n"/>
      <ns0:c r="E1736" s="28" t="str">
        <ns0:f>IF(A1736="","",YEAR(A1736)&amp;"-"&amp;RIGHT("0"&amp;MONTH(A1736),2))</ns0:f>
        <ns0:v/>
      </ns0:c>
      <ns0:c r="F1736" s="28" t="str">
        <ns0:f>IF(OR(A1736="",B1736="",C1736&lt;=0),"",IF(SUMPRODUCT(('Müşteriler'!$B$2:$B$101&lt;&gt;"")*ISNUMBER(SEARCH('Müşteriler'!$B$2:$B$101,B1736)))=1,IFERROR(INDEX('Müşteriler'!$A$2:$A$101,SUMPRODUCT(('Müşteriler'!$B$2:$B$101&lt;&gt;"")*ISNUMBER(SEARCH('Müşteriler'!$B$2:$B$101,B1736)),ROW('Müşteriler'!$B$2:$B$101)-ROW('Müşteriler'!$B$2)+1)),""),""))</ns0:f>
        <ns0:v/>
      </ns0:c>
      <ns0:c r="G1736" s="28" t="str">
        <ns0:f>IF(F1736="","",IFERROR(INDEX('Müşteriler'!$C$2:$C$101,MATCH(F1736,'Müşteriler'!$A$2:$A$101,0)),""))</ns0:f>
        <ns0:v/>
      </ns0:c>
      <ns0:c r="H1736" s="28" t="str">
        <ns0:f>IF(A1736="","",IF(C1736&lt;=0,"Satış dışı",IF(OR(F1736="",G1736=""),"Eşleşmedi","Eşleşti")))</ns0:f>
        <ns0:v/>
      </ns0:c>
      <ns0:c r="I1736" s="28">
        <ns0:f>I1735+IF(AND(H1736="Eşleşmedi",E1736='Panel'!$B$4),1,0)</ns0:f>
        <ns0:v>3.0</ns0:v>
      </ns0:c>
    </ns0:row>
    <ns0:row r="1737" ht="21" customHeight="1">
      <ns0:c r="A1737" s="25" t="n"/>
      <ns0:c r="B1737" s="26" t="n"/>
      <ns0:c r="C1737" s="27" t="n"/>
      <ns0:c r="D1737" s="27" t="n"/>
      <ns0:c r="E1737" s="28" t="str">
        <ns0:f>IF(A1737="","",YEAR(A1737)&amp;"-"&amp;RIGHT("0"&amp;MONTH(A1737),2))</ns0:f>
        <ns0:v/>
      </ns0:c>
      <ns0:c r="F1737" s="28" t="str">
        <ns0:f>IF(OR(A1737="",B1737="",C1737&lt;=0),"",IF(SUMPRODUCT(('Müşteriler'!$B$2:$B$101&lt;&gt;"")*ISNUMBER(SEARCH('Müşteriler'!$B$2:$B$101,B1737)))=1,IFERROR(INDEX('Müşteriler'!$A$2:$A$101,SUMPRODUCT(('Müşteriler'!$B$2:$B$101&lt;&gt;"")*ISNUMBER(SEARCH('Müşteriler'!$B$2:$B$101,B1737)),ROW('Müşteriler'!$B$2:$B$101)-ROW('Müşteriler'!$B$2)+1)),""),""))</ns0:f>
        <ns0:v/>
      </ns0:c>
      <ns0:c r="G1737" s="28" t="str">
        <ns0:f>IF(F1737="","",IFERROR(INDEX('Müşteriler'!$C$2:$C$101,MATCH(F1737,'Müşteriler'!$A$2:$A$101,0)),""))</ns0:f>
        <ns0:v/>
      </ns0:c>
      <ns0:c r="H1737" s="28" t="str">
        <ns0:f>IF(A1737="","",IF(C1737&lt;=0,"Satış dışı",IF(OR(F1737="",G1737=""),"Eşleşmedi","Eşleşti")))</ns0:f>
        <ns0:v/>
      </ns0:c>
      <ns0:c r="I1737" s="28">
        <ns0:f>I1736+IF(AND(H1737="Eşleşmedi",E1737='Panel'!$B$4),1,0)</ns0:f>
        <ns0:v>3.0</ns0:v>
      </ns0:c>
    </ns0:row>
    <ns0:row r="1738" ht="21" customHeight="1">
      <ns0:c r="A1738" s="25" t="n"/>
      <ns0:c r="B1738" s="26" t="n"/>
      <ns0:c r="C1738" s="27" t="n"/>
      <ns0:c r="D1738" s="27" t="n"/>
      <ns0:c r="E1738" s="28" t="str">
        <ns0:f>IF(A1738="","",YEAR(A1738)&amp;"-"&amp;RIGHT("0"&amp;MONTH(A1738),2))</ns0:f>
        <ns0:v/>
      </ns0:c>
      <ns0:c r="F1738" s="28" t="str">
        <ns0:f>IF(OR(A1738="",B1738="",C1738&lt;=0),"",IF(SUMPRODUCT(('Müşteriler'!$B$2:$B$101&lt;&gt;"")*ISNUMBER(SEARCH('Müşteriler'!$B$2:$B$101,B1738)))=1,IFERROR(INDEX('Müşteriler'!$A$2:$A$101,SUMPRODUCT(('Müşteriler'!$B$2:$B$101&lt;&gt;"")*ISNUMBER(SEARCH('Müşteriler'!$B$2:$B$101,B1738)),ROW('Müşteriler'!$B$2:$B$101)-ROW('Müşteriler'!$B$2)+1)),""),""))</ns0:f>
        <ns0:v/>
      </ns0:c>
      <ns0:c r="G1738" s="28" t="str">
        <ns0:f>IF(F1738="","",IFERROR(INDEX('Müşteriler'!$C$2:$C$101,MATCH(F1738,'Müşteriler'!$A$2:$A$101,0)),""))</ns0:f>
        <ns0:v/>
      </ns0:c>
      <ns0:c r="H1738" s="28" t="str">
        <ns0:f>IF(A1738="","",IF(C1738&lt;=0,"Satış dışı",IF(OR(F1738="",G1738=""),"Eşleşmedi","Eşleşti")))</ns0:f>
        <ns0:v/>
      </ns0:c>
      <ns0:c r="I1738" s="28">
        <ns0:f>I1737+IF(AND(H1738="Eşleşmedi",E1738='Panel'!$B$4),1,0)</ns0:f>
        <ns0:v>3.0</ns0:v>
      </ns0:c>
    </ns0:row>
    <ns0:row r="1739" ht="21" customHeight="1">
      <ns0:c r="A1739" s="25" t="n"/>
      <ns0:c r="B1739" s="26" t="n"/>
      <ns0:c r="C1739" s="27" t="n"/>
      <ns0:c r="D1739" s="27" t="n"/>
      <ns0:c r="E1739" s="28" t="str">
        <ns0:f>IF(A1739="","",YEAR(A1739)&amp;"-"&amp;RIGHT("0"&amp;MONTH(A1739),2))</ns0:f>
        <ns0:v/>
      </ns0:c>
      <ns0:c r="F1739" s="28" t="str">
        <ns0:f>IF(OR(A1739="",B1739="",C1739&lt;=0),"",IF(SUMPRODUCT(('Müşteriler'!$B$2:$B$101&lt;&gt;"")*ISNUMBER(SEARCH('Müşteriler'!$B$2:$B$101,B1739)))=1,IFERROR(INDEX('Müşteriler'!$A$2:$A$101,SUMPRODUCT(('Müşteriler'!$B$2:$B$101&lt;&gt;"")*ISNUMBER(SEARCH('Müşteriler'!$B$2:$B$101,B1739)),ROW('Müşteriler'!$B$2:$B$101)-ROW('Müşteriler'!$B$2)+1)),""),""))</ns0:f>
        <ns0:v/>
      </ns0:c>
      <ns0:c r="G1739" s="28" t="str">
        <ns0:f>IF(F1739="","",IFERROR(INDEX('Müşteriler'!$C$2:$C$101,MATCH(F1739,'Müşteriler'!$A$2:$A$101,0)),""))</ns0:f>
        <ns0:v/>
      </ns0:c>
      <ns0:c r="H1739" s="28" t="str">
        <ns0:f>IF(A1739="","",IF(C1739&lt;=0,"Satış dışı",IF(OR(F1739="",G1739=""),"Eşleşmedi","Eşleşti")))</ns0:f>
        <ns0:v/>
      </ns0:c>
      <ns0:c r="I1739" s="28">
        <ns0:f>I1738+IF(AND(H1739="Eşleşmedi",E1739='Panel'!$B$4),1,0)</ns0:f>
        <ns0:v>3.0</ns0:v>
      </ns0:c>
    </ns0:row>
    <ns0:row r="1740" ht="21" customHeight="1">
      <ns0:c r="A1740" s="25" t="n"/>
      <ns0:c r="B1740" s="26" t="n"/>
      <ns0:c r="C1740" s="27" t="n"/>
      <ns0:c r="D1740" s="27" t="n"/>
      <ns0:c r="E1740" s="28" t="str">
        <ns0:f>IF(A1740="","",YEAR(A1740)&amp;"-"&amp;RIGHT("0"&amp;MONTH(A1740),2))</ns0:f>
        <ns0:v/>
      </ns0:c>
      <ns0:c r="F1740" s="28" t="str">
        <ns0:f>IF(OR(A1740="",B1740="",C1740&lt;=0),"",IF(SUMPRODUCT(('Müşteriler'!$B$2:$B$101&lt;&gt;"")*ISNUMBER(SEARCH('Müşteriler'!$B$2:$B$101,B1740)))=1,IFERROR(INDEX('Müşteriler'!$A$2:$A$101,SUMPRODUCT(('Müşteriler'!$B$2:$B$101&lt;&gt;"")*ISNUMBER(SEARCH('Müşteriler'!$B$2:$B$101,B1740)),ROW('Müşteriler'!$B$2:$B$101)-ROW('Müşteriler'!$B$2)+1)),""),""))</ns0:f>
        <ns0:v/>
      </ns0:c>
      <ns0:c r="G1740" s="28" t="str">
        <ns0:f>IF(F1740="","",IFERROR(INDEX('Müşteriler'!$C$2:$C$101,MATCH(F1740,'Müşteriler'!$A$2:$A$101,0)),""))</ns0:f>
        <ns0:v/>
      </ns0:c>
      <ns0:c r="H1740" s="28" t="str">
        <ns0:f>IF(A1740="","",IF(C1740&lt;=0,"Satış dışı",IF(OR(F1740="",G1740=""),"Eşleşmedi","Eşleşti")))</ns0:f>
        <ns0:v/>
      </ns0:c>
      <ns0:c r="I1740" s="28">
        <ns0:f>I1739+IF(AND(H1740="Eşleşmedi",E1740='Panel'!$B$4),1,0)</ns0:f>
        <ns0:v>3.0</ns0:v>
      </ns0:c>
    </ns0:row>
    <ns0:row r="1741" ht="21" customHeight="1">
      <ns0:c r="A1741" s="25" t="n"/>
      <ns0:c r="B1741" s="26" t="n"/>
      <ns0:c r="C1741" s="27" t="n"/>
      <ns0:c r="D1741" s="27" t="n"/>
      <ns0:c r="E1741" s="28" t="str">
        <ns0:f>IF(A1741="","",YEAR(A1741)&amp;"-"&amp;RIGHT("0"&amp;MONTH(A1741),2))</ns0:f>
        <ns0:v/>
      </ns0:c>
      <ns0:c r="F1741" s="28" t="str">
        <ns0:f>IF(OR(A1741="",B1741="",C1741&lt;=0),"",IF(SUMPRODUCT(('Müşteriler'!$B$2:$B$101&lt;&gt;"")*ISNUMBER(SEARCH('Müşteriler'!$B$2:$B$101,B1741)))=1,IFERROR(INDEX('Müşteriler'!$A$2:$A$101,SUMPRODUCT(('Müşteriler'!$B$2:$B$101&lt;&gt;"")*ISNUMBER(SEARCH('Müşteriler'!$B$2:$B$101,B1741)),ROW('Müşteriler'!$B$2:$B$101)-ROW('Müşteriler'!$B$2)+1)),""),""))</ns0:f>
        <ns0:v/>
      </ns0:c>
      <ns0:c r="G1741" s="28" t="str">
        <ns0:f>IF(F1741="","",IFERROR(INDEX('Müşteriler'!$C$2:$C$101,MATCH(F1741,'Müşteriler'!$A$2:$A$101,0)),""))</ns0:f>
        <ns0:v/>
      </ns0:c>
      <ns0:c r="H1741" s="28" t="str">
        <ns0:f>IF(A1741="","",IF(C1741&lt;=0,"Satış dışı",IF(OR(F1741="",G1741=""),"Eşleşmedi","Eşleşti")))</ns0:f>
        <ns0:v/>
      </ns0:c>
      <ns0:c r="I1741" s="28">
        <ns0:f>I1740+IF(AND(H1741="Eşleşmedi",E1741='Panel'!$B$4),1,0)</ns0:f>
        <ns0:v>3.0</ns0:v>
      </ns0:c>
    </ns0:row>
    <ns0:row r="1742" ht="21" customHeight="1">
      <ns0:c r="A1742" s="25" t="n"/>
      <ns0:c r="B1742" s="26" t="n"/>
      <ns0:c r="C1742" s="27" t="n"/>
      <ns0:c r="D1742" s="27" t="n"/>
      <ns0:c r="E1742" s="28" t="str">
        <ns0:f>IF(A1742="","",YEAR(A1742)&amp;"-"&amp;RIGHT("0"&amp;MONTH(A1742),2))</ns0:f>
        <ns0:v/>
      </ns0:c>
      <ns0:c r="F1742" s="28" t="str">
        <ns0:f>IF(OR(A1742="",B1742="",C1742&lt;=0),"",IF(SUMPRODUCT(('Müşteriler'!$B$2:$B$101&lt;&gt;"")*ISNUMBER(SEARCH('Müşteriler'!$B$2:$B$101,B1742)))=1,IFERROR(INDEX('Müşteriler'!$A$2:$A$101,SUMPRODUCT(('Müşteriler'!$B$2:$B$101&lt;&gt;"")*ISNUMBER(SEARCH('Müşteriler'!$B$2:$B$101,B1742)),ROW('Müşteriler'!$B$2:$B$101)-ROW('Müşteriler'!$B$2)+1)),""),""))</ns0:f>
        <ns0:v/>
      </ns0:c>
      <ns0:c r="G1742" s="28" t="str">
        <ns0:f>IF(F1742="","",IFERROR(INDEX('Müşteriler'!$C$2:$C$101,MATCH(F1742,'Müşteriler'!$A$2:$A$101,0)),""))</ns0:f>
        <ns0:v/>
      </ns0:c>
      <ns0:c r="H1742" s="28" t="str">
        <ns0:f>IF(A1742="","",IF(C1742&lt;=0,"Satış dışı",IF(OR(F1742="",G1742=""),"Eşleşmedi","Eşleşti")))</ns0:f>
        <ns0:v/>
      </ns0:c>
      <ns0:c r="I1742" s="28">
        <ns0:f>I1741+IF(AND(H1742="Eşleşmedi",E1742='Panel'!$B$4),1,0)</ns0:f>
        <ns0:v>3.0</ns0:v>
      </ns0:c>
    </ns0:row>
    <ns0:row r="1743" ht="21" customHeight="1">
      <ns0:c r="A1743" s="25" t="n"/>
      <ns0:c r="B1743" s="26" t="n"/>
      <ns0:c r="C1743" s="27" t="n"/>
      <ns0:c r="D1743" s="27" t="n"/>
      <ns0:c r="E1743" s="28" t="str">
        <ns0:f>IF(A1743="","",YEAR(A1743)&amp;"-"&amp;RIGHT("0"&amp;MONTH(A1743),2))</ns0:f>
        <ns0:v/>
      </ns0:c>
      <ns0:c r="F1743" s="28" t="str">
        <ns0:f>IF(OR(A1743="",B1743="",C1743&lt;=0),"",IF(SUMPRODUCT(('Müşteriler'!$B$2:$B$101&lt;&gt;"")*ISNUMBER(SEARCH('Müşteriler'!$B$2:$B$101,B1743)))=1,IFERROR(INDEX('Müşteriler'!$A$2:$A$101,SUMPRODUCT(('Müşteriler'!$B$2:$B$101&lt;&gt;"")*ISNUMBER(SEARCH('Müşteriler'!$B$2:$B$101,B1743)),ROW('Müşteriler'!$B$2:$B$101)-ROW('Müşteriler'!$B$2)+1)),""),""))</ns0:f>
        <ns0:v/>
      </ns0:c>
      <ns0:c r="G1743" s="28" t="str">
        <ns0:f>IF(F1743="","",IFERROR(INDEX('Müşteriler'!$C$2:$C$101,MATCH(F1743,'Müşteriler'!$A$2:$A$101,0)),""))</ns0:f>
        <ns0:v/>
      </ns0:c>
      <ns0:c r="H1743" s="28" t="str">
        <ns0:f>IF(A1743="","",IF(C1743&lt;=0,"Satış dışı",IF(OR(F1743="",G1743=""),"Eşleşmedi","Eşleşti")))</ns0:f>
        <ns0:v/>
      </ns0:c>
      <ns0:c r="I1743" s="28">
        <ns0:f>I1742+IF(AND(H1743="Eşleşmedi",E1743='Panel'!$B$4),1,0)</ns0:f>
        <ns0:v>3.0</ns0:v>
      </ns0:c>
    </ns0:row>
    <ns0:row r="1744" ht="21" customHeight="1">
      <ns0:c r="A1744" s="25" t="n"/>
      <ns0:c r="B1744" s="26" t="n"/>
      <ns0:c r="C1744" s="27" t="n"/>
      <ns0:c r="D1744" s="27" t="n"/>
      <ns0:c r="E1744" s="28" t="str">
        <ns0:f>IF(A1744="","",YEAR(A1744)&amp;"-"&amp;RIGHT("0"&amp;MONTH(A1744),2))</ns0:f>
        <ns0:v/>
      </ns0:c>
      <ns0:c r="F1744" s="28" t="str">
        <ns0:f>IF(OR(A1744="",B1744="",C1744&lt;=0),"",IF(SUMPRODUCT(('Müşteriler'!$B$2:$B$101&lt;&gt;"")*ISNUMBER(SEARCH('Müşteriler'!$B$2:$B$101,B1744)))=1,IFERROR(INDEX('Müşteriler'!$A$2:$A$101,SUMPRODUCT(('Müşteriler'!$B$2:$B$101&lt;&gt;"")*ISNUMBER(SEARCH('Müşteriler'!$B$2:$B$101,B1744)),ROW('Müşteriler'!$B$2:$B$101)-ROW('Müşteriler'!$B$2)+1)),""),""))</ns0:f>
        <ns0:v/>
      </ns0:c>
      <ns0:c r="G1744" s="28" t="str">
        <ns0:f>IF(F1744="","",IFERROR(INDEX('Müşteriler'!$C$2:$C$101,MATCH(F1744,'Müşteriler'!$A$2:$A$101,0)),""))</ns0:f>
        <ns0:v/>
      </ns0:c>
      <ns0:c r="H1744" s="28" t="str">
        <ns0:f>IF(A1744="","",IF(C1744&lt;=0,"Satış dışı",IF(OR(F1744="",G1744=""),"Eşleşmedi","Eşleşti")))</ns0:f>
        <ns0:v/>
      </ns0:c>
      <ns0:c r="I1744" s="28">
        <ns0:f>I1743+IF(AND(H1744="Eşleşmedi",E1744='Panel'!$B$4),1,0)</ns0:f>
        <ns0:v>3.0</ns0:v>
      </ns0:c>
    </ns0:row>
    <ns0:row r="1745" ht="21" customHeight="1">
      <ns0:c r="A1745" s="25" t="n"/>
      <ns0:c r="B1745" s="26" t="n"/>
      <ns0:c r="C1745" s="27" t="n"/>
      <ns0:c r="D1745" s="27" t="n"/>
      <ns0:c r="E1745" s="28" t="str">
        <ns0:f>IF(A1745="","",YEAR(A1745)&amp;"-"&amp;RIGHT("0"&amp;MONTH(A1745),2))</ns0:f>
        <ns0:v/>
      </ns0:c>
      <ns0:c r="F1745" s="28" t="str">
        <ns0:f>IF(OR(A1745="",B1745="",C1745&lt;=0),"",IF(SUMPRODUCT(('Müşteriler'!$B$2:$B$101&lt;&gt;"")*ISNUMBER(SEARCH('Müşteriler'!$B$2:$B$101,B1745)))=1,IFERROR(INDEX('Müşteriler'!$A$2:$A$101,SUMPRODUCT(('Müşteriler'!$B$2:$B$101&lt;&gt;"")*ISNUMBER(SEARCH('Müşteriler'!$B$2:$B$101,B1745)),ROW('Müşteriler'!$B$2:$B$101)-ROW('Müşteriler'!$B$2)+1)),""),""))</ns0:f>
        <ns0:v/>
      </ns0:c>
      <ns0:c r="G1745" s="28" t="str">
        <ns0:f>IF(F1745="","",IFERROR(INDEX('Müşteriler'!$C$2:$C$101,MATCH(F1745,'Müşteriler'!$A$2:$A$101,0)),""))</ns0:f>
        <ns0:v/>
      </ns0:c>
      <ns0:c r="H1745" s="28" t="str">
        <ns0:f>IF(A1745="","",IF(C1745&lt;=0,"Satış dışı",IF(OR(F1745="",G1745=""),"Eşleşmedi","Eşleşti")))</ns0:f>
        <ns0:v/>
      </ns0:c>
      <ns0:c r="I1745" s="28">
        <ns0:f>I1744+IF(AND(H1745="Eşleşmedi",E1745='Panel'!$B$4),1,0)</ns0:f>
        <ns0:v>3.0</ns0:v>
      </ns0:c>
    </ns0:row>
    <ns0:row r="1746" ht="21" customHeight="1">
      <ns0:c r="A1746" s="25" t="n"/>
      <ns0:c r="B1746" s="26" t="n"/>
      <ns0:c r="C1746" s="27" t="n"/>
      <ns0:c r="D1746" s="27" t="n"/>
      <ns0:c r="E1746" s="28" t="str">
        <ns0:f>IF(A1746="","",YEAR(A1746)&amp;"-"&amp;RIGHT("0"&amp;MONTH(A1746),2))</ns0:f>
        <ns0:v/>
      </ns0:c>
      <ns0:c r="F1746" s="28" t="str">
        <ns0:f>IF(OR(A1746="",B1746="",C1746&lt;=0),"",IF(SUMPRODUCT(('Müşteriler'!$B$2:$B$101&lt;&gt;"")*ISNUMBER(SEARCH('Müşteriler'!$B$2:$B$101,B1746)))=1,IFERROR(INDEX('Müşteriler'!$A$2:$A$101,SUMPRODUCT(('Müşteriler'!$B$2:$B$101&lt;&gt;"")*ISNUMBER(SEARCH('Müşteriler'!$B$2:$B$101,B1746)),ROW('Müşteriler'!$B$2:$B$101)-ROW('Müşteriler'!$B$2)+1)),""),""))</ns0:f>
        <ns0:v/>
      </ns0:c>
      <ns0:c r="G1746" s="28" t="str">
        <ns0:f>IF(F1746="","",IFERROR(INDEX('Müşteriler'!$C$2:$C$101,MATCH(F1746,'Müşteriler'!$A$2:$A$101,0)),""))</ns0:f>
        <ns0:v/>
      </ns0:c>
      <ns0:c r="H1746" s="28" t="str">
        <ns0:f>IF(A1746="","",IF(C1746&lt;=0,"Satış dışı",IF(OR(F1746="",G1746=""),"Eşleşmedi","Eşleşti")))</ns0:f>
        <ns0:v/>
      </ns0:c>
      <ns0:c r="I1746" s="28">
        <ns0:f>I1745+IF(AND(H1746="Eşleşmedi",E1746='Panel'!$B$4),1,0)</ns0:f>
        <ns0:v>3.0</ns0:v>
      </ns0:c>
    </ns0:row>
    <ns0:row r="1747" ht="21" customHeight="1">
      <ns0:c r="A1747" s="25" t="n"/>
      <ns0:c r="B1747" s="26" t="n"/>
      <ns0:c r="C1747" s="27" t="n"/>
      <ns0:c r="D1747" s="27" t="n"/>
      <ns0:c r="E1747" s="28" t="str">
        <ns0:f>IF(A1747="","",YEAR(A1747)&amp;"-"&amp;RIGHT("0"&amp;MONTH(A1747),2))</ns0:f>
        <ns0:v/>
      </ns0:c>
      <ns0:c r="F1747" s="28" t="str">
        <ns0:f>IF(OR(A1747="",B1747="",C1747&lt;=0),"",IF(SUMPRODUCT(('Müşteriler'!$B$2:$B$101&lt;&gt;"")*ISNUMBER(SEARCH('Müşteriler'!$B$2:$B$101,B1747)))=1,IFERROR(INDEX('Müşteriler'!$A$2:$A$101,SUMPRODUCT(('Müşteriler'!$B$2:$B$101&lt;&gt;"")*ISNUMBER(SEARCH('Müşteriler'!$B$2:$B$101,B1747)),ROW('Müşteriler'!$B$2:$B$101)-ROW('Müşteriler'!$B$2)+1)),""),""))</ns0:f>
        <ns0:v/>
      </ns0:c>
      <ns0:c r="G1747" s="28" t="str">
        <ns0:f>IF(F1747="","",IFERROR(INDEX('Müşteriler'!$C$2:$C$101,MATCH(F1747,'Müşteriler'!$A$2:$A$101,0)),""))</ns0:f>
        <ns0:v/>
      </ns0:c>
      <ns0:c r="H1747" s="28" t="str">
        <ns0:f>IF(A1747="","",IF(C1747&lt;=0,"Satış dışı",IF(OR(F1747="",G1747=""),"Eşleşmedi","Eşleşti")))</ns0:f>
        <ns0:v/>
      </ns0:c>
      <ns0:c r="I1747" s="28">
        <ns0:f>I1746+IF(AND(H1747="Eşleşmedi",E1747='Panel'!$B$4),1,0)</ns0:f>
        <ns0:v>3.0</ns0:v>
      </ns0:c>
    </ns0:row>
    <ns0:row r="1748" ht="21" customHeight="1">
      <ns0:c r="A1748" s="25" t="n"/>
      <ns0:c r="B1748" s="26" t="n"/>
      <ns0:c r="C1748" s="27" t="n"/>
      <ns0:c r="D1748" s="27" t="n"/>
      <ns0:c r="E1748" s="28" t="str">
        <ns0:f>IF(A1748="","",YEAR(A1748)&amp;"-"&amp;RIGHT("0"&amp;MONTH(A1748),2))</ns0:f>
        <ns0:v/>
      </ns0:c>
      <ns0:c r="F1748" s="28" t="str">
        <ns0:f>IF(OR(A1748="",B1748="",C1748&lt;=0),"",IF(SUMPRODUCT(('Müşteriler'!$B$2:$B$101&lt;&gt;"")*ISNUMBER(SEARCH('Müşteriler'!$B$2:$B$101,B1748)))=1,IFERROR(INDEX('Müşteriler'!$A$2:$A$101,SUMPRODUCT(('Müşteriler'!$B$2:$B$101&lt;&gt;"")*ISNUMBER(SEARCH('Müşteriler'!$B$2:$B$101,B1748)),ROW('Müşteriler'!$B$2:$B$101)-ROW('Müşteriler'!$B$2)+1)),""),""))</ns0:f>
        <ns0:v/>
      </ns0:c>
      <ns0:c r="G1748" s="28" t="str">
        <ns0:f>IF(F1748="","",IFERROR(INDEX('Müşteriler'!$C$2:$C$101,MATCH(F1748,'Müşteriler'!$A$2:$A$101,0)),""))</ns0:f>
        <ns0:v/>
      </ns0:c>
      <ns0:c r="H1748" s="28" t="str">
        <ns0:f>IF(A1748="","",IF(C1748&lt;=0,"Satış dışı",IF(OR(F1748="",G1748=""),"Eşleşmedi","Eşleşti")))</ns0:f>
        <ns0:v/>
      </ns0:c>
      <ns0:c r="I1748" s="28">
        <ns0:f>I1747+IF(AND(H1748="Eşleşmedi",E1748='Panel'!$B$4),1,0)</ns0:f>
        <ns0:v>3.0</ns0:v>
      </ns0:c>
    </ns0:row>
    <ns0:row r="1749" ht="21" customHeight="1">
      <ns0:c r="A1749" s="25" t="n"/>
      <ns0:c r="B1749" s="26" t="n"/>
      <ns0:c r="C1749" s="27" t="n"/>
      <ns0:c r="D1749" s="27" t="n"/>
      <ns0:c r="E1749" s="28" t="str">
        <ns0:f>IF(A1749="","",YEAR(A1749)&amp;"-"&amp;RIGHT("0"&amp;MONTH(A1749),2))</ns0:f>
        <ns0:v/>
      </ns0:c>
      <ns0:c r="F1749" s="28" t="str">
        <ns0:f>IF(OR(A1749="",B1749="",C1749&lt;=0),"",IF(SUMPRODUCT(('Müşteriler'!$B$2:$B$101&lt;&gt;"")*ISNUMBER(SEARCH('Müşteriler'!$B$2:$B$101,B1749)))=1,IFERROR(INDEX('Müşteriler'!$A$2:$A$101,SUMPRODUCT(('Müşteriler'!$B$2:$B$101&lt;&gt;"")*ISNUMBER(SEARCH('Müşteriler'!$B$2:$B$101,B1749)),ROW('Müşteriler'!$B$2:$B$101)-ROW('Müşteriler'!$B$2)+1)),""),""))</ns0:f>
        <ns0:v/>
      </ns0:c>
      <ns0:c r="G1749" s="28" t="str">
        <ns0:f>IF(F1749="","",IFERROR(INDEX('Müşteriler'!$C$2:$C$101,MATCH(F1749,'Müşteriler'!$A$2:$A$101,0)),""))</ns0:f>
        <ns0:v/>
      </ns0:c>
      <ns0:c r="H1749" s="28" t="str">
        <ns0:f>IF(A1749="","",IF(C1749&lt;=0,"Satış dışı",IF(OR(F1749="",G1749=""),"Eşleşmedi","Eşleşti")))</ns0:f>
        <ns0:v/>
      </ns0:c>
      <ns0:c r="I1749" s="28">
        <ns0:f>I1748+IF(AND(H1749="Eşleşmedi",E1749='Panel'!$B$4),1,0)</ns0:f>
        <ns0:v>3.0</ns0:v>
      </ns0:c>
    </ns0:row>
    <ns0:row r="1750" ht="21" customHeight="1">
      <ns0:c r="A1750" s="25" t="n"/>
      <ns0:c r="B1750" s="26" t="n"/>
      <ns0:c r="C1750" s="27" t="n"/>
      <ns0:c r="D1750" s="27" t="n"/>
      <ns0:c r="E1750" s="28" t="str">
        <ns0:f>IF(A1750="","",YEAR(A1750)&amp;"-"&amp;RIGHT("0"&amp;MONTH(A1750),2))</ns0:f>
        <ns0:v/>
      </ns0:c>
      <ns0:c r="F1750" s="28" t="str">
        <ns0:f>IF(OR(A1750="",B1750="",C1750&lt;=0),"",IF(SUMPRODUCT(('Müşteriler'!$B$2:$B$101&lt;&gt;"")*ISNUMBER(SEARCH('Müşteriler'!$B$2:$B$101,B1750)))=1,IFERROR(INDEX('Müşteriler'!$A$2:$A$101,SUMPRODUCT(('Müşteriler'!$B$2:$B$101&lt;&gt;"")*ISNUMBER(SEARCH('Müşteriler'!$B$2:$B$101,B1750)),ROW('Müşteriler'!$B$2:$B$101)-ROW('Müşteriler'!$B$2)+1)),""),""))</ns0:f>
        <ns0:v/>
      </ns0:c>
      <ns0:c r="G1750" s="28" t="str">
        <ns0:f>IF(F1750="","",IFERROR(INDEX('Müşteriler'!$C$2:$C$101,MATCH(F1750,'Müşteriler'!$A$2:$A$101,0)),""))</ns0:f>
        <ns0:v/>
      </ns0:c>
      <ns0:c r="H1750" s="28" t="str">
        <ns0:f>IF(A1750="","",IF(C1750&lt;=0,"Satış dışı",IF(OR(F1750="",G1750=""),"Eşleşmedi","Eşleşti")))</ns0:f>
        <ns0:v/>
      </ns0:c>
      <ns0:c r="I1750" s="28">
        <ns0:f>I1749+IF(AND(H1750="Eşleşmedi",E1750='Panel'!$B$4),1,0)</ns0:f>
        <ns0:v>3.0</ns0:v>
      </ns0:c>
    </ns0:row>
    <ns0:row r="1751" ht="21" customHeight="1">
      <ns0:c r="A1751" s="25" t="n"/>
      <ns0:c r="B1751" s="26" t="n"/>
      <ns0:c r="C1751" s="27" t="n"/>
      <ns0:c r="D1751" s="27" t="n"/>
      <ns0:c r="E1751" s="28" t="str">
        <ns0:f>IF(A1751="","",YEAR(A1751)&amp;"-"&amp;RIGHT("0"&amp;MONTH(A1751),2))</ns0:f>
        <ns0:v/>
      </ns0:c>
      <ns0:c r="F1751" s="28" t="str">
        <ns0:f>IF(OR(A1751="",B1751="",C1751&lt;=0),"",IF(SUMPRODUCT(('Müşteriler'!$B$2:$B$101&lt;&gt;"")*ISNUMBER(SEARCH('Müşteriler'!$B$2:$B$101,B1751)))=1,IFERROR(INDEX('Müşteriler'!$A$2:$A$101,SUMPRODUCT(('Müşteriler'!$B$2:$B$101&lt;&gt;"")*ISNUMBER(SEARCH('Müşteriler'!$B$2:$B$101,B1751)),ROW('Müşteriler'!$B$2:$B$101)-ROW('Müşteriler'!$B$2)+1)),""),""))</ns0:f>
        <ns0:v/>
      </ns0:c>
      <ns0:c r="G1751" s="28" t="str">
        <ns0:f>IF(F1751="","",IFERROR(INDEX('Müşteriler'!$C$2:$C$101,MATCH(F1751,'Müşteriler'!$A$2:$A$101,0)),""))</ns0:f>
        <ns0:v/>
      </ns0:c>
      <ns0:c r="H1751" s="28" t="str">
        <ns0:f>IF(A1751="","",IF(C1751&lt;=0,"Satış dışı",IF(OR(F1751="",G1751=""),"Eşleşmedi","Eşleşti")))</ns0:f>
        <ns0:v/>
      </ns0:c>
      <ns0:c r="I1751" s="28">
        <ns0:f>I1750+IF(AND(H1751="Eşleşmedi",E1751='Panel'!$B$4),1,0)</ns0:f>
        <ns0:v>3.0</ns0:v>
      </ns0:c>
    </ns0:row>
    <ns0:row r="1752" ht="21" customHeight="1">
      <ns0:c r="A1752" s="25" t="n"/>
      <ns0:c r="B1752" s="26" t="n"/>
      <ns0:c r="C1752" s="27" t="n"/>
      <ns0:c r="D1752" s="27" t="n"/>
      <ns0:c r="E1752" s="28" t="str">
        <ns0:f>IF(A1752="","",YEAR(A1752)&amp;"-"&amp;RIGHT("0"&amp;MONTH(A1752),2))</ns0:f>
        <ns0:v/>
      </ns0:c>
      <ns0:c r="F1752" s="28" t="str">
        <ns0:f>IF(OR(A1752="",B1752="",C1752&lt;=0),"",IF(SUMPRODUCT(('Müşteriler'!$B$2:$B$101&lt;&gt;"")*ISNUMBER(SEARCH('Müşteriler'!$B$2:$B$101,B1752)))=1,IFERROR(INDEX('Müşteriler'!$A$2:$A$101,SUMPRODUCT(('Müşteriler'!$B$2:$B$101&lt;&gt;"")*ISNUMBER(SEARCH('Müşteriler'!$B$2:$B$101,B1752)),ROW('Müşteriler'!$B$2:$B$101)-ROW('Müşteriler'!$B$2)+1)),""),""))</ns0:f>
        <ns0:v/>
      </ns0:c>
      <ns0:c r="G1752" s="28" t="str">
        <ns0:f>IF(F1752="","",IFERROR(INDEX('Müşteriler'!$C$2:$C$101,MATCH(F1752,'Müşteriler'!$A$2:$A$101,0)),""))</ns0:f>
        <ns0:v/>
      </ns0:c>
      <ns0:c r="H1752" s="28" t="str">
        <ns0:f>IF(A1752="","",IF(C1752&lt;=0,"Satış dışı",IF(OR(F1752="",G1752=""),"Eşleşmedi","Eşleşti")))</ns0:f>
        <ns0:v/>
      </ns0:c>
      <ns0:c r="I1752" s="28">
        <ns0:f>I1751+IF(AND(H1752="Eşleşmedi",E1752='Panel'!$B$4),1,0)</ns0:f>
        <ns0:v>3.0</ns0:v>
      </ns0:c>
    </ns0:row>
    <ns0:row r="1753" ht="21" customHeight="1">
      <ns0:c r="A1753" s="25" t="n"/>
      <ns0:c r="B1753" s="26" t="n"/>
      <ns0:c r="C1753" s="27" t="n"/>
      <ns0:c r="D1753" s="27" t="n"/>
      <ns0:c r="E1753" s="28" t="str">
        <ns0:f>IF(A1753="","",YEAR(A1753)&amp;"-"&amp;RIGHT("0"&amp;MONTH(A1753),2))</ns0:f>
        <ns0:v/>
      </ns0:c>
      <ns0:c r="F1753" s="28" t="str">
        <ns0:f>IF(OR(A1753="",B1753="",C1753&lt;=0),"",IF(SUMPRODUCT(('Müşteriler'!$B$2:$B$101&lt;&gt;"")*ISNUMBER(SEARCH('Müşteriler'!$B$2:$B$101,B1753)))=1,IFERROR(INDEX('Müşteriler'!$A$2:$A$101,SUMPRODUCT(('Müşteriler'!$B$2:$B$101&lt;&gt;"")*ISNUMBER(SEARCH('Müşteriler'!$B$2:$B$101,B1753)),ROW('Müşteriler'!$B$2:$B$101)-ROW('Müşteriler'!$B$2)+1)),""),""))</ns0:f>
        <ns0:v/>
      </ns0:c>
      <ns0:c r="G1753" s="28" t="str">
        <ns0:f>IF(F1753="","",IFERROR(INDEX('Müşteriler'!$C$2:$C$101,MATCH(F1753,'Müşteriler'!$A$2:$A$101,0)),""))</ns0:f>
        <ns0:v/>
      </ns0:c>
      <ns0:c r="H1753" s="28" t="str">
        <ns0:f>IF(A1753="","",IF(C1753&lt;=0,"Satış dışı",IF(OR(F1753="",G1753=""),"Eşleşmedi","Eşleşti")))</ns0:f>
        <ns0:v/>
      </ns0:c>
      <ns0:c r="I1753" s="28">
        <ns0:f>I1752+IF(AND(H1753="Eşleşmedi",E1753='Panel'!$B$4),1,0)</ns0:f>
        <ns0:v>3.0</ns0:v>
      </ns0:c>
    </ns0:row>
    <ns0:row r="1754" ht="21" customHeight="1">
      <ns0:c r="A1754" s="25" t="n"/>
      <ns0:c r="B1754" s="26" t="n"/>
      <ns0:c r="C1754" s="27" t="n"/>
      <ns0:c r="D1754" s="27" t="n"/>
      <ns0:c r="E1754" s="28" t="str">
        <ns0:f>IF(A1754="","",YEAR(A1754)&amp;"-"&amp;RIGHT("0"&amp;MONTH(A1754),2))</ns0:f>
        <ns0:v/>
      </ns0:c>
      <ns0:c r="F1754" s="28" t="str">
        <ns0:f>IF(OR(A1754="",B1754="",C1754&lt;=0),"",IF(SUMPRODUCT(('Müşteriler'!$B$2:$B$101&lt;&gt;"")*ISNUMBER(SEARCH('Müşteriler'!$B$2:$B$101,B1754)))=1,IFERROR(INDEX('Müşteriler'!$A$2:$A$101,SUMPRODUCT(('Müşteriler'!$B$2:$B$101&lt;&gt;"")*ISNUMBER(SEARCH('Müşteriler'!$B$2:$B$101,B1754)),ROW('Müşteriler'!$B$2:$B$101)-ROW('Müşteriler'!$B$2)+1)),""),""))</ns0:f>
        <ns0:v/>
      </ns0:c>
      <ns0:c r="G1754" s="28" t="str">
        <ns0:f>IF(F1754="","",IFERROR(INDEX('Müşteriler'!$C$2:$C$101,MATCH(F1754,'Müşteriler'!$A$2:$A$101,0)),""))</ns0:f>
        <ns0:v/>
      </ns0:c>
      <ns0:c r="H1754" s="28" t="str">
        <ns0:f>IF(A1754="","",IF(C1754&lt;=0,"Satış dışı",IF(OR(F1754="",G1754=""),"Eşleşmedi","Eşleşti")))</ns0:f>
        <ns0:v/>
      </ns0:c>
      <ns0:c r="I1754" s="28">
        <ns0:f>I1753+IF(AND(H1754="Eşleşmedi",E1754='Panel'!$B$4),1,0)</ns0:f>
        <ns0:v>3.0</ns0:v>
      </ns0:c>
    </ns0:row>
    <ns0:row r="1755" ht="21" customHeight="1">
      <ns0:c r="A1755" s="25" t="n"/>
      <ns0:c r="B1755" s="26" t="n"/>
      <ns0:c r="C1755" s="27" t="n"/>
      <ns0:c r="D1755" s="27" t="n"/>
      <ns0:c r="E1755" s="28" t="str">
        <ns0:f>IF(A1755="","",YEAR(A1755)&amp;"-"&amp;RIGHT("0"&amp;MONTH(A1755),2))</ns0:f>
        <ns0:v/>
      </ns0:c>
      <ns0:c r="F1755" s="28" t="str">
        <ns0:f>IF(OR(A1755="",B1755="",C1755&lt;=0),"",IF(SUMPRODUCT(('Müşteriler'!$B$2:$B$101&lt;&gt;"")*ISNUMBER(SEARCH('Müşteriler'!$B$2:$B$101,B1755)))=1,IFERROR(INDEX('Müşteriler'!$A$2:$A$101,SUMPRODUCT(('Müşteriler'!$B$2:$B$101&lt;&gt;"")*ISNUMBER(SEARCH('Müşteriler'!$B$2:$B$101,B1755)),ROW('Müşteriler'!$B$2:$B$101)-ROW('Müşteriler'!$B$2)+1)),""),""))</ns0:f>
        <ns0:v/>
      </ns0:c>
      <ns0:c r="G1755" s="28" t="str">
        <ns0:f>IF(F1755="","",IFERROR(INDEX('Müşteriler'!$C$2:$C$101,MATCH(F1755,'Müşteriler'!$A$2:$A$101,0)),""))</ns0:f>
        <ns0:v/>
      </ns0:c>
      <ns0:c r="H1755" s="28" t="str">
        <ns0:f>IF(A1755="","",IF(C1755&lt;=0,"Satış dışı",IF(OR(F1755="",G1755=""),"Eşleşmedi","Eşleşti")))</ns0:f>
        <ns0:v/>
      </ns0:c>
      <ns0:c r="I1755" s="28">
        <ns0:f>I1754+IF(AND(H1755="Eşleşmedi",E1755='Panel'!$B$4),1,0)</ns0:f>
        <ns0:v>3.0</ns0:v>
      </ns0:c>
    </ns0:row>
    <ns0:row r="1756" ht="21" customHeight="1">
      <ns0:c r="A1756" s="25" t="n"/>
      <ns0:c r="B1756" s="26" t="n"/>
      <ns0:c r="C1756" s="27" t="n"/>
      <ns0:c r="D1756" s="27" t="n"/>
      <ns0:c r="E1756" s="28" t="str">
        <ns0:f>IF(A1756="","",YEAR(A1756)&amp;"-"&amp;RIGHT("0"&amp;MONTH(A1756),2))</ns0:f>
        <ns0:v/>
      </ns0:c>
      <ns0:c r="F1756" s="28" t="str">
        <ns0:f>IF(OR(A1756="",B1756="",C1756&lt;=0),"",IF(SUMPRODUCT(('Müşteriler'!$B$2:$B$101&lt;&gt;"")*ISNUMBER(SEARCH('Müşteriler'!$B$2:$B$101,B1756)))=1,IFERROR(INDEX('Müşteriler'!$A$2:$A$101,SUMPRODUCT(('Müşteriler'!$B$2:$B$101&lt;&gt;"")*ISNUMBER(SEARCH('Müşteriler'!$B$2:$B$101,B1756)),ROW('Müşteriler'!$B$2:$B$101)-ROW('Müşteriler'!$B$2)+1)),""),""))</ns0:f>
        <ns0:v/>
      </ns0:c>
      <ns0:c r="G1756" s="28" t="str">
        <ns0:f>IF(F1756="","",IFERROR(INDEX('Müşteriler'!$C$2:$C$101,MATCH(F1756,'Müşteriler'!$A$2:$A$101,0)),""))</ns0:f>
        <ns0:v/>
      </ns0:c>
      <ns0:c r="H1756" s="28" t="str">
        <ns0:f>IF(A1756="","",IF(C1756&lt;=0,"Satış dışı",IF(OR(F1756="",G1756=""),"Eşleşmedi","Eşleşti")))</ns0:f>
        <ns0:v/>
      </ns0:c>
      <ns0:c r="I1756" s="28">
        <ns0:f>I1755+IF(AND(H1756="Eşleşmedi",E1756='Panel'!$B$4),1,0)</ns0:f>
        <ns0:v>3.0</ns0:v>
      </ns0:c>
    </ns0:row>
    <ns0:row r="1757" ht="21" customHeight="1">
      <ns0:c r="A1757" s="25" t="n"/>
      <ns0:c r="B1757" s="26" t="n"/>
      <ns0:c r="C1757" s="27" t="n"/>
      <ns0:c r="D1757" s="27" t="n"/>
      <ns0:c r="E1757" s="28" t="str">
        <ns0:f>IF(A1757="","",YEAR(A1757)&amp;"-"&amp;RIGHT("0"&amp;MONTH(A1757),2))</ns0:f>
        <ns0:v/>
      </ns0:c>
      <ns0:c r="F1757" s="28" t="str">
        <ns0:f>IF(OR(A1757="",B1757="",C1757&lt;=0),"",IF(SUMPRODUCT(('Müşteriler'!$B$2:$B$101&lt;&gt;"")*ISNUMBER(SEARCH('Müşteriler'!$B$2:$B$101,B1757)))=1,IFERROR(INDEX('Müşteriler'!$A$2:$A$101,SUMPRODUCT(('Müşteriler'!$B$2:$B$101&lt;&gt;"")*ISNUMBER(SEARCH('Müşteriler'!$B$2:$B$101,B1757)),ROW('Müşteriler'!$B$2:$B$101)-ROW('Müşteriler'!$B$2)+1)),""),""))</ns0:f>
        <ns0:v/>
      </ns0:c>
      <ns0:c r="G1757" s="28" t="str">
        <ns0:f>IF(F1757="","",IFERROR(INDEX('Müşteriler'!$C$2:$C$101,MATCH(F1757,'Müşteriler'!$A$2:$A$101,0)),""))</ns0:f>
        <ns0:v/>
      </ns0:c>
      <ns0:c r="H1757" s="28" t="str">
        <ns0:f>IF(A1757="","",IF(C1757&lt;=0,"Satış dışı",IF(OR(F1757="",G1757=""),"Eşleşmedi","Eşleşti")))</ns0:f>
        <ns0:v/>
      </ns0:c>
      <ns0:c r="I1757" s="28">
        <ns0:f>I1756+IF(AND(H1757="Eşleşmedi",E1757='Panel'!$B$4),1,0)</ns0:f>
        <ns0:v>3.0</ns0:v>
      </ns0:c>
    </ns0:row>
    <ns0:row r="1758" ht="21" customHeight="1">
      <ns0:c r="A1758" s="25" t="n"/>
      <ns0:c r="B1758" s="26" t="n"/>
      <ns0:c r="C1758" s="27" t="n"/>
      <ns0:c r="D1758" s="27" t="n"/>
      <ns0:c r="E1758" s="28" t="str">
        <ns0:f>IF(A1758="","",YEAR(A1758)&amp;"-"&amp;RIGHT("0"&amp;MONTH(A1758),2))</ns0:f>
        <ns0:v/>
      </ns0:c>
      <ns0:c r="F1758" s="28" t="str">
        <ns0:f>IF(OR(A1758="",B1758="",C1758&lt;=0),"",IF(SUMPRODUCT(('Müşteriler'!$B$2:$B$101&lt;&gt;"")*ISNUMBER(SEARCH('Müşteriler'!$B$2:$B$101,B1758)))=1,IFERROR(INDEX('Müşteriler'!$A$2:$A$101,SUMPRODUCT(('Müşteriler'!$B$2:$B$101&lt;&gt;"")*ISNUMBER(SEARCH('Müşteriler'!$B$2:$B$101,B1758)),ROW('Müşteriler'!$B$2:$B$101)-ROW('Müşteriler'!$B$2)+1)),""),""))</ns0:f>
        <ns0:v/>
      </ns0:c>
      <ns0:c r="G1758" s="28" t="str">
        <ns0:f>IF(F1758="","",IFERROR(INDEX('Müşteriler'!$C$2:$C$101,MATCH(F1758,'Müşteriler'!$A$2:$A$101,0)),""))</ns0:f>
        <ns0:v/>
      </ns0:c>
      <ns0:c r="H1758" s="28" t="str">
        <ns0:f>IF(A1758="","",IF(C1758&lt;=0,"Satış dışı",IF(OR(F1758="",G1758=""),"Eşleşmedi","Eşleşti")))</ns0:f>
        <ns0:v/>
      </ns0:c>
      <ns0:c r="I1758" s="28">
        <ns0:f>I1757+IF(AND(H1758="Eşleşmedi",E1758='Panel'!$B$4),1,0)</ns0:f>
        <ns0:v>3.0</ns0:v>
      </ns0:c>
    </ns0:row>
    <ns0:row r="1759" ht="21" customHeight="1">
      <ns0:c r="A1759" s="25" t="n"/>
      <ns0:c r="B1759" s="26" t="n"/>
      <ns0:c r="C1759" s="27" t="n"/>
      <ns0:c r="D1759" s="27" t="n"/>
      <ns0:c r="E1759" s="28" t="str">
        <ns0:f>IF(A1759="","",YEAR(A1759)&amp;"-"&amp;RIGHT("0"&amp;MONTH(A1759),2))</ns0:f>
        <ns0:v/>
      </ns0:c>
      <ns0:c r="F1759" s="28" t="str">
        <ns0:f>IF(OR(A1759="",B1759="",C1759&lt;=0),"",IF(SUMPRODUCT(('Müşteriler'!$B$2:$B$101&lt;&gt;"")*ISNUMBER(SEARCH('Müşteriler'!$B$2:$B$101,B1759)))=1,IFERROR(INDEX('Müşteriler'!$A$2:$A$101,SUMPRODUCT(('Müşteriler'!$B$2:$B$101&lt;&gt;"")*ISNUMBER(SEARCH('Müşteriler'!$B$2:$B$101,B1759)),ROW('Müşteriler'!$B$2:$B$101)-ROW('Müşteriler'!$B$2)+1)),""),""))</ns0:f>
        <ns0:v/>
      </ns0:c>
      <ns0:c r="G1759" s="28" t="str">
        <ns0:f>IF(F1759="","",IFERROR(INDEX('Müşteriler'!$C$2:$C$101,MATCH(F1759,'Müşteriler'!$A$2:$A$101,0)),""))</ns0:f>
        <ns0:v/>
      </ns0:c>
      <ns0:c r="H1759" s="28" t="str">
        <ns0:f>IF(A1759="","",IF(C1759&lt;=0,"Satış dışı",IF(OR(F1759="",G1759=""),"Eşleşmedi","Eşleşti")))</ns0:f>
        <ns0:v/>
      </ns0:c>
      <ns0:c r="I1759" s="28">
        <ns0:f>I1758+IF(AND(H1759="Eşleşmedi",E1759='Panel'!$B$4),1,0)</ns0:f>
        <ns0:v>3.0</ns0:v>
      </ns0:c>
    </ns0:row>
    <ns0:row r="1760" ht="21" customHeight="1">
      <ns0:c r="A1760" s="25" t="n"/>
      <ns0:c r="B1760" s="26" t="n"/>
      <ns0:c r="C1760" s="27" t="n"/>
      <ns0:c r="D1760" s="27" t="n"/>
      <ns0:c r="E1760" s="28" t="str">
        <ns0:f>IF(A1760="","",YEAR(A1760)&amp;"-"&amp;RIGHT("0"&amp;MONTH(A1760),2))</ns0:f>
        <ns0:v/>
      </ns0:c>
      <ns0:c r="F1760" s="28" t="str">
        <ns0:f>IF(OR(A1760="",B1760="",C1760&lt;=0),"",IF(SUMPRODUCT(('Müşteriler'!$B$2:$B$101&lt;&gt;"")*ISNUMBER(SEARCH('Müşteriler'!$B$2:$B$101,B1760)))=1,IFERROR(INDEX('Müşteriler'!$A$2:$A$101,SUMPRODUCT(('Müşteriler'!$B$2:$B$101&lt;&gt;"")*ISNUMBER(SEARCH('Müşteriler'!$B$2:$B$101,B1760)),ROW('Müşteriler'!$B$2:$B$101)-ROW('Müşteriler'!$B$2)+1)),""),""))</ns0:f>
        <ns0:v/>
      </ns0:c>
      <ns0:c r="G1760" s="28" t="str">
        <ns0:f>IF(F1760="","",IFERROR(INDEX('Müşteriler'!$C$2:$C$101,MATCH(F1760,'Müşteriler'!$A$2:$A$101,0)),""))</ns0:f>
        <ns0:v/>
      </ns0:c>
      <ns0:c r="H1760" s="28" t="str">
        <ns0:f>IF(A1760="","",IF(C1760&lt;=0,"Satış dışı",IF(OR(F1760="",G1760=""),"Eşleşmedi","Eşleşti")))</ns0:f>
        <ns0:v/>
      </ns0:c>
      <ns0:c r="I1760" s="28">
        <ns0:f>I1759+IF(AND(H1760="Eşleşmedi",E1760='Panel'!$B$4),1,0)</ns0:f>
        <ns0:v>3.0</ns0:v>
      </ns0:c>
    </ns0:row>
    <ns0:row r="1761" ht="21" customHeight="1">
      <ns0:c r="A1761" s="25" t="n"/>
      <ns0:c r="B1761" s="26" t="n"/>
      <ns0:c r="C1761" s="27" t="n"/>
      <ns0:c r="D1761" s="27" t="n"/>
      <ns0:c r="E1761" s="28" t="str">
        <ns0:f>IF(A1761="","",YEAR(A1761)&amp;"-"&amp;RIGHT("0"&amp;MONTH(A1761),2))</ns0:f>
        <ns0:v/>
      </ns0:c>
      <ns0:c r="F1761" s="28" t="str">
        <ns0:f>IF(OR(A1761="",B1761="",C1761&lt;=0),"",IF(SUMPRODUCT(('Müşteriler'!$B$2:$B$101&lt;&gt;"")*ISNUMBER(SEARCH('Müşteriler'!$B$2:$B$101,B1761)))=1,IFERROR(INDEX('Müşteriler'!$A$2:$A$101,SUMPRODUCT(('Müşteriler'!$B$2:$B$101&lt;&gt;"")*ISNUMBER(SEARCH('Müşteriler'!$B$2:$B$101,B1761)),ROW('Müşteriler'!$B$2:$B$101)-ROW('Müşteriler'!$B$2)+1)),""),""))</ns0:f>
        <ns0:v/>
      </ns0:c>
      <ns0:c r="G1761" s="28" t="str">
        <ns0:f>IF(F1761="","",IFERROR(INDEX('Müşteriler'!$C$2:$C$101,MATCH(F1761,'Müşteriler'!$A$2:$A$101,0)),""))</ns0:f>
        <ns0:v/>
      </ns0:c>
      <ns0:c r="H1761" s="28" t="str">
        <ns0:f>IF(A1761="","",IF(C1761&lt;=0,"Satış dışı",IF(OR(F1761="",G1761=""),"Eşleşmedi","Eşleşti")))</ns0:f>
        <ns0:v/>
      </ns0:c>
      <ns0:c r="I1761" s="28">
        <ns0:f>I1760+IF(AND(H1761="Eşleşmedi",E1761='Panel'!$B$4),1,0)</ns0:f>
        <ns0:v>3.0</ns0:v>
      </ns0:c>
    </ns0:row>
    <ns0:row r="1762" ht="21" customHeight="1">
      <ns0:c r="A1762" s="25" t="n"/>
      <ns0:c r="B1762" s="26" t="n"/>
      <ns0:c r="C1762" s="27" t="n"/>
      <ns0:c r="D1762" s="27" t="n"/>
      <ns0:c r="E1762" s="28" t="str">
        <ns0:f>IF(A1762="","",YEAR(A1762)&amp;"-"&amp;RIGHT("0"&amp;MONTH(A1762),2))</ns0:f>
        <ns0:v/>
      </ns0:c>
      <ns0:c r="F1762" s="28" t="str">
        <ns0:f>IF(OR(A1762="",B1762="",C1762&lt;=0),"",IF(SUMPRODUCT(('Müşteriler'!$B$2:$B$101&lt;&gt;"")*ISNUMBER(SEARCH('Müşteriler'!$B$2:$B$101,B1762)))=1,IFERROR(INDEX('Müşteriler'!$A$2:$A$101,SUMPRODUCT(('Müşteriler'!$B$2:$B$101&lt;&gt;"")*ISNUMBER(SEARCH('Müşteriler'!$B$2:$B$101,B1762)),ROW('Müşteriler'!$B$2:$B$101)-ROW('Müşteriler'!$B$2)+1)),""),""))</ns0:f>
        <ns0:v/>
      </ns0:c>
      <ns0:c r="G1762" s="28" t="str">
        <ns0:f>IF(F1762="","",IFERROR(INDEX('Müşteriler'!$C$2:$C$101,MATCH(F1762,'Müşteriler'!$A$2:$A$101,0)),""))</ns0:f>
        <ns0:v/>
      </ns0:c>
      <ns0:c r="H1762" s="28" t="str">
        <ns0:f>IF(A1762="","",IF(C1762&lt;=0,"Satış dışı",IF(OR(F1762="",G1762=""),"Eşleşmedi","Eşleşti")))</ns0:f>
        <ns0:v/>
      </ns0:c>
      <ns0:c r="I1762" s="28">
        <ns0:f>I1761+IF(AND(H1762="Eşleşmedi",E1762='Panel'!$B$4),1,0)</ns0:f>
        <ns0:v>3.0</ns0:v>
      </ns0:c>
    </ns0:row>
    <ns0:row r="1763" ht="21" customHeight="1">
      <ns0:c r="A1763" s="25" t="n"/>
      <ns0:c r="B1763" s="26" t="n"/>
      <ns0:c r="C1763" s="27" t="n"/>
      <ns0:c r="D1763" s="27" t="n"/>
      <ns0:c r="E1763" s="28" t="str">
        <ns0:f>IF(A1763="","",YEAR(A1763)&amp;"-"&amp;RIGHT("0"&amp;MONTH(A1763),2))</ns0:f>
        <ns0:v/>
      </ns0:c>
      <ns0:c r="F1763" s="28" t="str">
        <ns0:f>IF(OR(A1763="",B1763="",C1763&lt;=0),"",IF(SUMPRODUCT(('Müşteriler'!$B$2:$B$101&lt;&gt;"")*ISNUMBER(SEARCH('Müşteriler'!$B$2:$B$101,B1763)))=1,IFERROR(INDEX('Müşteriler'!$A$2:$A$101,SUMPRODUCT(('Müşteriler'!$B$2:$B$101&lt;&gt;"")*ISNUMBER(SEARCH('Müşteriler'!$B$2:$B$101,B1763)),ROW('Müşteriler'!$B$2:$B$101)-ROW('Müşteriler'!$B$2)+1)),""),""))</ns0:f>
        <ns0:v/>
      </ns0:c>
      <ns0:c r="G1763" s="28" t="str">
        <ns0:f>IF(F1763="","",IFERROR(INDEX('Müşteriler'!$C$2:$C$101,MATCH(F1763,'Müşteriler'!$A$2:$A$101,0)),""))</ns0:f>
        <ns0:v/>
      </ns0:c>
      <ns0:c r="H1763" s="28" t="str">
        <ns0:f>IF(A1763="","",IF(C1763&lt;=0,"Satış dışı",IF(OR(F1763="",G1763=""),"Eşleşmedi","Eşleşti")))</ns0:f>
        <ns0:v/>
      </ns0:c>
      <ns0:c r="I1763" s="28">
        <ns0:f>I1762+IF(AND(H1763="Eşleşmedi",E1763='Panel'!$B$4),1,0)</ns0:f>
        <ns0:v>3.0</ns0:v>
      </ns0:c>
    </ns0:row>
    <ns0:row r="1764" ht="21" customHeight="1">
      <ns0:c r="A1764" s="25" t="n"/>
      <ns0:c r="B1764" s="26" t="n"/>
      <ns0:c r="C1764" s="27" t="n"/>
      <ns0:c r="D1764" s="27" t="n"/>
      <ns0:c r="E1764" s="28" t="str">
        <ns0:f>IF(A1764="","",YEAR(A1764)&amp;"-"&amp;RIGHT("0"&amp;MONTH(A1764),2))</ns0:f>
        <ns0:v/>
      </ns0:c>
      <ns0:c r="F1764" s="28" t="str">
        <ns0:f>IF(OR(A1764="",B1764="",C1764&lt;=0),"",IF(SUMPRODUCT(('Müşteriler'!$B$2:$B$101&lt;&gt;"")*ISNUMBER(SEARCH('Müşteriler'!$B$2:$B$101,B1764)))=1,IFERROR(INDEX('Müşteriler'!$A$2:$A$101,SUMPRODUCT(('Müşteriler'!$B$2:$B$101&lt;&gt;"")*ISNUMBER(SEARCH('Müşteriler'!$B$2:$B$101,B1764)),ROW('Müşteriler'!$B$2:$B$101)-ROW('Müşteriler'!$B$2)+1)),""),""))</ns0:f>
        <ns0:v/>
      </ns0:c>
      <ns0:c r="G1764" s="28" t="str">
        <ns0:f>IF(F1764="","",IFERROR(INDEX('Müşteriler'!$C$2:$C$101,MATCH(F1764,'Müşteriler'!$A$2:$A$101,0)),""))</ns0:f>
        <ns0:v/>
      </ns0:c>
      <ns0:c r="H1764" s="28" t="str">
        <ns0:f>IF(A1764="","",IF(C1764&lt;=0,"Satış dışı",IF(OR(F1764="",G1764=""),"Eşleşmedi","Eşleşti")))</ns0:f>
        <ns0:v/>
      </ns0:c>
      <ns0:c r="I1764" s="28">
        <ns0:f>I1763+IF(AND(H1764="Eşleşmedi",E1764='Panel'!$B$4),1,0)</ns0:f>
        <ns0:v>3.0</ns0:v>
      </ns0:c>
    </ns0:row>
    <ns0:row r="1765" ht="21" customHeight="1">
      <ns0:c r="A1765" s="25" t="n"/>
      <ns0:c r="B1765" s="26" t="n"/>
      <ns0:c r="C1765" s="27" t="n"/>
      <ns0:c r="D1765" s="27" t="n"/>
      <ns0:c r="E1765" s="28" t="str">
        <ns0:f>IF(A1765="","",YEAR(A1765)&amp;"-"&amp;RIGHT("0"&amp;MONTH(A1765),2))</ns0:f>
        <ns0:v/>
      </ns0:c>
      <ns0:c r="F1765" s="28" t="str">
        <ns0:f>IF(OR(A1765="",B1765="",C1765&lt;=0),"",IF(SUMPRODUCT(('Müşteriler'!$B$2:$B$101&lt;&gt;"")*ISNUMBER(SEARCH('Müşteriler'!$B$2:$B$101,B1765)))=1,IFERROR(INDEX('Müşteriler'!$A$2:$A$101,SUMPRODUCT(('Müşteriler'!$B$2:$B$101&lt;&gt;"")*ISNUMBER(SEARCH('Müşteriler'!$B$2:$B$101,B1765)),ROW('Müşteriler'!$B$2:$B$101)-ROW('Müşteriler'!$B$2)+1)),""),""))</ns0:f>
        <ns0:v/>
      </ns0:c>
      <ns0:c r="G1765" s="28" t="str">
        <ns0:f>IF(F1765="","",IFERROR(INDEX('Müşteriler'!$C$2:$C$101,MATCH(F1765,'Müşteriler'!$A$2:$A$101,0)),""))</ns0:f>
        <ns0:v/>
      </ns0:c>
      <ns0:c r="H1765" s="28" t="str">
        <ns0:f>IF(A1765="","",IF(C1765&lt;=0,"Satış dışı",IF(OR(F1765="",G1765=""),"Eşleşmedi","Eşleşti")))</ns0:f>
        <ns0:v/>
      </ns0:c>
      <ns0:c r="I1765" s="28">
        <ns0:f>I1764+IF(AND(H1765="Eşleşmedi",E1765='Panel'!$B$4),1,0)</ns0:f>
        <ns0:v>3.0</ns0:v>
      </ns0:c>
    </ns0:row>
    <ns0:row r="1766" ht="21" customHeight="1">
      <ns0:c r="A1766" s="25" t="n"/>
      <ns0:c r="B1766" s="26" t="n"/>
      <ns0:c r="C1766" s="27" t="n"/>
      <ns0:c r="D1766" s="27" t="n"/>
      <ns0:c r="E1766" s="28" t="str">
        <ns0:f>IF(A1766="","",YEAR(A1766)&amp;"-"&amp;RIGHT("0"&amp;MONTH(A1766),2))</ns0:f>
        <ns0:v/>
      </ns0:c>
      <ns0:c r="F1766" s="28" t="str">
        <ns0:f>IF(OR(A1766="",B1766="",C1766&lt;=0),"",IF(SUMPRODUCT(('Müşteriler'!$B$2:$B$101&lt;&gt;"")*ISNUMBER(SEARCH('Müşteriler'!$B$2:$B$101,B1766)))=1,IFERROR(INDEX('Müşteriler'!$A$2:$A$101,SUMPRODUCT(('Müşteriler'!$B$2:$B$101&lt;&gt;"")*ISNUMBER(SEARCH('Müşteriler'!$B$2:$B$101,B1766)),ROW('Müşteriler'!$B$2:$B$101)-ROW('Müşteriler'!$B$2)+1)),""),""))</ns0:f>
        <ns0:v/>
      </ns0:c>
      <ns0:c r="G1766" s="28" t="str">
        <ns0:f>IF(F1766="","",IFERROR(INDEX('Müşteriler'!$C$2:$C$101,MATCH(F1766,'Müşteriler'!$A$2:$A$101,0)),""))</ns0:f>
        <ns0:v/>
      </ns0:c>
      <ns0:c r="H1766" s="28" t="str">
        <ns0:f>IF(A1766="","",IF(C1766&lt;=0,"Satış dışı",IF(OR(F1766="",G1766=""),"Eşleşmedi","Eşleşti")))</ns0:f>
        <ns0:v/>
      </ns0:c>
      <ns0:c r="I1766" s="28">
        <ns0:f>I1765+IF(AND(H1766="Eşleşmedi",E1766='Panel'!$B$4),1,0)</ns0:f>
        <ns0:v>3.0</ns0:v>
      </ns0:c>
    </ns0:row>
    <ns0:row r="1767" ht="21" customHeight="1">
      <ns0:c r="A1767" s="25" t="n"/>
      <ns0:c r="B1767" s="26" t="n"/>
      <ns0:c r="C1767" s="27" t="n"/>
      <ns0:c r="D1767" s="27" t="n"/>
      <ns0:c r="E1767" s="28" t="str">
        <ns0:f>IF(A1767="","",YEAR(A1767)&amp;"-"&amp;RIGHT("0"&amp;MONTH(A1767),2))</ns0:f>
        <ns0:v/>
      </ns0:c>
      <ns0:c r="F1767" s="28" t="str">
        <ns0:f>IF(OR(A1767="",B1767="",C1767&lt;=0),"",IF(SUMPRODUCT(('Müşteriler'!$B$2:$B$101&lt;&gt;"")*ISNUMBER(SEARCH('Müşteriler'!$B$2:$B$101,B1767)))=1,IFERROR(INDEX('Müşteriler'!$A$2:$A$101,SUMPRODUCT(('Müşteriler'!$B$2:$B$101&lt;&gt;"")*ISNUMBER(SEARCH('Müşteriler'!$B$2:$B$101,B1767)),ROW('Müşteriler'!$B$2:$B$101)-ROW('Müşteriler'!$B$2)+1)),""),""))</ns0:f>
        <ns0:v/>
      </ns0:c>
      <ns0:c r="G1767" s="28" t="str">
        <ns0:f>IF(F1767="","",IFERROR(INDEX('Müşteriler'!$C$2:$C$101,MATCH(F1767,'Müşteriler'!$A$2:$A$101,0)),""))</ns0:f>
        <ns0:v/>
      </ns0:c>
      <ns0:c r="H1767" s="28" t="str">
        <ns0:f>IF(A1767="","",IF(C1767&lt;=0,"Satış dışı",IF(OR(F1767="",G1767=""),"Eşleşmedi","Eşleşti")))</ns0:f>
        <ns0:v/>
      </ns0:c>
      <ns0:c r="I1767" s="28">
        <ns0:f>I1766+IF(AND(H1767="Eşleşmedi",E1767='Panel'!$B$4),1,0)</ns0:f>
        <ns0:v>3.0</ns0:v>
      </ns0:c>
    </ns0:row>
    <ns0:row r="1768" ht="21" customHeight="1">
      <ns0:c r="A1768" s="25" t="n"/>
      <ns0:c r="B1768" s="26" t="n"/>
      <ns0:c r="C1768" s="27" t="n"/>
      <ns0:c r="D1768" s="27" t="n"/>
      <ns0:c r="E1768" s="28" t="str">
        <ns0:f>IF(A1768="","",YEAR(A1768)&amp;"-"&amp;RIGHT("0"&amp;MONTH(A1768),2))</ns0:f>
        <ns0:v/>
      </ns0:c>
      <ns0:c r="F1768" s="28" t="str">
        <ns0:f>IF(OR(A1768="",B1768="",C1768&lt;=0),"",IF(SUMPRODUCT(('Müşteriler'!$B$2:$B$101&lt;&gt;"")*ISNUMBER(SEARCH('Müşteriler'!$B$2:$B$101,B1768)))=1,IFERROR(INDEX('Müşteriler'!$A$2:$A$101,SUMPRODUCT(('Müşteriler'!$B$2:$B$101&lt;&gt;"")*ISNUMBER(SEARCH('Müşteriler'!$B$2:$B$101,B1768)),ROW('Müşteriler'!$B$2:$B$101)-ROW('Müşteriler'!$B$2)+1)),""),""))</ns0:f>
        <ns0:v/>
      </ns0:c>
      <ns0:c r="G1768" s="28" t="str">
        <ns0:f>IF(F1768="","",IFERROR(INDEX('Müşteriler'!$C$2:$C$101,MATCH(F1768,'Müşteriler'!$A$2:$A$101,0)),""))</ns0:f>
        <ns0:v/>
      </ns0:c>
      <ns0:c r="H1768" s="28" t="str">
        <ns0:f>IF(A1768="","",IF(C1768&lt;=0,"Satış dışı",IF(OR(F1768="",G1768=""),"Eşleşmedi","Eşleşti")))</ns0:f>
        <ns0:v/>
      </ns0:c>
      <ns0:c r="I1768" s="28">
        <ns0:f>I1767+IF(AND(H1768="Eşleşmedi",E1768='Panel'!$B$4),1,0)</ns0:f>
        <ns0:v>3.0</ns0:v>
      </ns0:c>
    </ns0:row>
    <ns0:row r="1769" ht="21" customHeight="1">
      <ns0:c r="A1769" s="25" t="n"/>
      <ns0:c r="B1769" s="26" t="n"/>
      <ns0:c r="C1769" s="27" t="n"/>
      <ns0:c r="D1769" s="27" t="n"/>
      <ns0:c r="E1769" s="28" t="str">
        <ns0:f>IF(A1769="","",YEAR(A1769)&amp;"-"&amp;RIGHT("0"&amp;MONTH(A1769),2))</ns0:f>
        <ns0:v/>
      </ns0:c>
      <ns0:c r="F1769" s="28" t="str">
        <ns0:f>IF(OR(A1769="",B1769="",C1769&lt;=0),"",IF(SUMPRODUCT(('Müşteriler'!$B$2:$B$101&lt;&gt;"")*ISNUMBER(SEARCH('Müşteriler'!$B$2:$B$101,B1769)))=1,IFERROR(INDEX('Müşteriler'!$A$2:$A$101,SUMPRODUCT(('Müşteriler'!$B$2:$B$101&lt;&gt;"")*ISNUMBER(SEARCH('Müşteriler'!$B$2:$B$101,B1769)),ROW('Müşteriler'!$B$2:$B$101)-ROW('Müşteriler'!$B$2)+1)),""),""))</ns0:f>
        <ns0:v/>
      </ns0:c>
      <ns0:c r="G1769" s="28" t="str">
        <ns0:f>IF(F1769="","",IFERROR(INDEX('Müşteriler'!$C$2:$C$101,MATCH(F1769,'Müşteriler'!$A$2:$A$101,0)),""))</ns0:f>
        <ns0:v/>
      </ns0:c>
      <ns0:c r="H1769" s="28" t="str">
        <ns0:f>IF(A1769="","",IF(C1769&lt;=0,"Satış dışı",IF(OR(F1769="",G1769=""),"Eşleşmedi","Eşleşti")))</ns0:f>
        <ns0:v/>
      </ns0:c>
      <ns0:c r="I1769" s="28">
        <ns0:f>I1768+IF(AND(H1769="Eşleşmedi",E1769='Panel'!$B$4),1,0)</ns0:f>
        <ns0:v>3.0</ns0:v>
      </ns0:c>
    </ns0:row>
    <ns0:row r="1770" ht="21" customHeight="1">
      <ns0:c r="A1770" s="25" t="n"/>
      <ns0:c r="B1770" s="26" t="n"/>
      <ns0:c r="C1770" s="27" t="n"/>
      <ns0:c r="D1770" s="27" t="n"/>
      <ns0:c r="E1770" s="28" t="str">
        <ns0:f>IF(A1770="","",YEAR(A1770)&amp;"-"&amp;RIGHT("0"&amp;MONTH(A1770),2))</ns0:f>
        <ns0:v/>
      </ns0:c>
      <ns0:c r="F1770" s="28" t="str">
        <ns0:f>IF(OR(A1770="",B1770="",C1770&lt;=0),"",IF(SUMPRODUCT(('Müşteriler'!$B$2:$B$101&lt;&gt;"")*ISNUMBER(SEARCH('Müşteriler'!$B$2:$B$101,B1770)))=1,IFERROR(INDEX('Müşteriler'!$A$2:$A$101,SUMPRODUCT(('Müşteriler'!$B$2:$B$101&lt;&gt;"")*ISNUMBER(SEARCH('Müşteriler'!$B$2:$B$101,B1770)),ROW('Müşteriler'!$B$2:$B$101)-ROW('Müşteriler'!$B$2)+1)),""),""))</ns0:f>
        <ns0:v/>
      </ns0:c>
      <ns0:c r="G1770" s="28" t="str">
        <ns0:f>IF(F1770="","",IFERROR(INDEX('Müşteriler'!$C$2:$C$101,MATCH(F1770,'Müşteriler'!$A$2:$A$101,0)),""))</ns0:f>
        <ns0:v/>
      </ns0:c>
      <ns0:c r="H1770" s="28" t="str">
        <ns0:f>IF(A1770="","",IF(C1770&lt;=0,"Satış dışı",IF(OR(F1770="",G1770=""),"Eşleşmedi","Eşleşti")))</ns0:f>
        <ns0:v/>
      </ns0:c>
      <ns0:c r="I1770" s="28">
        <ns0:f>I1769+IF(AND(H1770="Eşleşmedi",E1770='Panel'!$B$4),1,0)</ns0:f>
        <ns0:v>3.0</ns0:v>
      </ns0:c>
    </ns0:row>
    <ns0:row r="1771" ht="21" customHeight="1">
      <ns0:c r="A1771" s="25" t="n"/>
      <ns0:c r="B1771" s="26" t="n"/>
      <ns0:c r="C1771" s="27" t="n"/>
      <ns0:c r="D1771" s="27" t="n"/>
      <ns0:c r="E1771" s="28" t="str">
        <ns0:f>IF(A1771="","",YEAR(A1771)&amp;"-"&amp;RIGHT("0"&amp;MONTH(A1771),2))</ns0:f>
        <ns0:v/>
      </ns0:c>
      <ns0:c r="F1771" s="28" t="str">
        <ns0:f>IF(OR(A1771="",B1771="",C1771&lt;=0),"",IF(SUMPRODUCT(('Müşteriler'!$B$2:$B$101&lt;&gt;"")*ISNUMBER(SEARCH('Müşteriler'!$B$2:$B$101,B1771)))=1,IFERROR(INDEX('Müşteriler'!$A$2:$A$101,SUMPRODUCT(('Müşteriler'!$B$2:$B$101&lt;&gt;"")*ISNUMBER(SEARCH('Müşteriler'!$B$2:$B$101,B1771)),ROW('Müşteriler'!$B$2:$B$101)-ROW('Müşteriler'!$B$2)+1)),""),""))</ns0:f>
        <ns0:v/>
      </ns0:c>
      <ns0:c r="G1771" s="28" t="str">
        <ns0:f>IF(F1771="","",IFERROR(INDEX('Müşteriler'!$C$2:$C$101,MATCH(F1771,'Müşteriler'!$A$2:$A$101,0)),""))</ns0:f>
        <ns0:v/>
      </ns0:c>
      <ns0:c r="H1771" s="28" t="str">
        <ns0:f>IF(A1771="","",IF(C1771&lt;=0,"Satış dışı",IF(OR(F1771="",G1771=""),"Eşleşmedi","Eşleşti")))</ns0:f>
        <ns0:v/>
      </ns0:c>
      <ns0:c r="I1771" s="28">
        <ns0:f>I1770+IF(AND(H1771="Eşleşmedi",E1771='Panel'!$B$4),1,0)</ns0:f>
        <ns0:v>3.0</ns0:v>
      </ns0:c>
    </ns0:row>
    <ns0:row r="1772" ht="21" customHeight="1">
      <ns0:c r="A1772" s="25" t="n"/>
      <ns0:c r="B1772" s="26" t="n"/>
      <ns0:c r="C1772" s="27" t="n"/>
      <ns0:c r="D1772" s="27" t="n"/>
      <ns0:c r="E1772" s="28" t="str">
        <ns0:f>IF(A1772="","",YEAR(A1772)&amp;"-"&amp;RIGHT("0"&amp;MONTH(A1772),2))</ns0:f>
        <ns0:v/>
      </ns0:c>
      <ns0:c r="F1772" s="28" t="str">
        <ns0:f>IF(OR(A1772="",B1772="",C1772&lt;=0),"",IF(SUMPRODUCT(('Müşteriler'!$B$2:$B$101&lt;&gt;"")*ISNUMBER(SEARCH('Müşteriler'!$B$2:$B$101,B1772)))=1,IFERROR(INDEX('Müşteriler'!$A$2:$A$101,SUMPRODUCT(('Müşteriler'!$B$2:$B$101&lt;&gt;"")*ISNUMBER(SEARCH('Müşteriler'!$B$2:$B$101,B1772)),ROW('Müşteriler'!$B$2:$B$101)-ROW('Müşteriler'!$B$2)+1)),""),""))</ns0:f>
        <ns0:v/>
      </ns0:c>
      <ns0:c r="G1772" s="28" t="str">
        <ns0:f>IF(F1772="","",IFERROR(INDEX('Müşteriler'!$C$2:$C$101,MATCH(F1772,'Müşteriler'!$A$2:$A$101,0)),""))</ns0:f>
        <ns0:v/>
      </ns0:c>
      <ns0:c r="H1772" s="28" t="str">
        <ns0:f>IF(A1772="","",IF(C1772&lt;=0,"Satış dışı",IF(OR(F1772="",G1772=""),"Eşleşmedi","Eşleşti")))</ns0:f>
        <ns0:v/>
      </ns0:c>
      <ns0:c r="I1772" s="28">
        <ns0:f>I1771+IF(AND(H1772="Eşleşmedi",E1772='Panel'!$B$4),1,0)</ns0:f>
        <ns0:v>3.0</ns0:v>
      </ns0:c>
    </ns0:row>
    <ns0:row r="1773" ht="21" customHeight="1">
      <ns0:c r="A1773" s="25" t="n"/>
      <ns0:c r="B1773" s="26" t="n"/>
      <ns0:c r="C1773" s="27" t="n"/>
      <ns0:c r="D1773" s="27" t="n"/>
      <ns0:c r="E1773" s="28" t="str">
        <ns0:f>IF(A1773="","",YEAR(A1773)&amp;"-"&amp;RIGHT("0"&amp;MONTH(A1773),2))</ns0:f>
        <ns0:v/>
      </ns0:c>
      <ns0:c r="F1773" s="28" t="str">
        <ns0:f>IF(OR(A1773="",B1773="",C1773&lt;=0),"",IF(SUMPRODUCT(('Müşteriler'!$B$2:$B$101&lt;&gt;"")*ISNUMBER(SEARCH('Müşteriler'!$B$2:$B$101,B1773)))=1,IFERROR(INDEX('Müşteriler'!$A$2:$A$101,SUMPRODUCT(('Müşteriler'!$B$2:$B$101&lt;&gt;"")*ISNUMBER(SEARCH('Müşteriler'!$B$2:$B$101,B1773)),ROW('Müşteriler'!$B$2:$B$101)-ROW('Müşteriler'!$B$2)+1)),""),""))</ns0:f>
        <ns0:v/>
      </ns0:c>
      <ns0:c r="G1773" s="28" t="str">
        <ns0:f>IF(F1773="","",IFERROR(INDEX('Müşteriler'!$C$2:$C$101,MATCH(F1773,'Müşteriler'!$A$2:$A$101,0)),""))</ns0:f>
        <ns0:v/>
      </ns0:c>
      <ns0:c r="H1773" s="28" t="str">
        <ns0:f>IF(A1773="","",IF(C1773&lt;=0,"Satış dışı",IF(OR(F1773="",G1773=""),"Eşleşmedi","Eşleşti")))</ns0:f>
        <ns0:v/>
      </ns0:c>
      <ns0:c r="I1773" s="28">
        <ns0:f>I1772+IF(AND(H1773="Eşleşmedi",E1773='Panel'!$B$4),1,0)</ns0:f>
        <ns0:v>3.0</ns0:v>
      </ns0:c>
    </ns0:row>
    <ns0:row r="1774" ht="21" customHeight="1">
      <ns0:c r="A1774" s="25" t="n"/>
      <ns0:c r="B1774" s="26" t="n"/>
      <ns0:c r="C1774" s="27" t="n"/>
      <ns0:c r="D1774" s="27" t="n"/>
      <ns0:c r="E1774" s="28" t="str">
        <ns0:f>IF(A1774="","",YEAR(A1774)&amp;"-"&amp;RIGHT("0"&amp;MONTH(A1774),2))</ns0:f>
        <ns0:v/>
      </ns0:c>
      <ns0:c r="F1774" s="28" t="str">
        <ns0:f>IF(OR(A1774="",B1774="",C1774&lt;=0),"",IF(SUMPRODUCT(('Müşteriler'!$B$2:$B$101&lt;&gt;"")*ISNUMBER(SEARCH('Müşteriler'!$B$2:$B$101,B1774)))=1,IFERROR(INDEX('Müşteriler'!$A$2:$A$101,SUMPRODUCT(('Müşteriler'!$B$2:$B$101&lt;&gt;"")*ISNUMBER(SEARCH('Müşteriler'!$B$2:$B$101,B1774)),ROW('Müşteriler'!$B$2:$B$101)-ROW('Müşteriler'!$B$2)+1)),""),""))</ns0:f>
        <ns0:v/>
      </ns0:c>
      <ns0:c r="G1774" s="28" t="str">
        <ns0:f>IF(F1774="","",IFERROR(INDEX('Müşteriler'!$C$2:$C$101,MATCH(F1774,'Müşteriler'!$A$2:$A$101,0)),""))</ns0:f>
        <ns0:v/>
      </ns0:c>
      <ns0:c r="H1774" s="28" t="str">
        <ns0:f>IF(A1774="","",IF(C1774&lt;=0,"Satış dışı",IF(OR(F1774="",G1774=""),"Eşleşmedi","Eşleşti")))</ns0:f>
        <ns0:v/>
      </ns0:c>
      <ns0:c r="I1774" s="28">
        <ns0:f>I1773+IF(AND(H1774="Eşleşmedi",E1774='Panel'!$B$4),1,0)</ns0:f>
        <ns0:v>3.0</ns0:v>
      </ns0:c>
    </ns0:row>
    <ns0:row r="1775" ht="21" customHeight="1">
      <ns0:c r="A1775" s="25" t="n"/>
      <ns0:c r="B1775" s="26" t="n"/>
      <ns0:c r="C1775" s="27" t="n"/>
      <ns0:c r="D1775" s="27" t="n"/>
      <ns0:c r="E1775" s="28" t="str">
        <ns0:f>IF(A1775="","",YEAR(A1775)&amp;"-"&amp;RIGHT("0"&amp;MONTH(A1775),2))</ns0:f>
        <ns0:v/>
      </ns0:c>
      <ns0:c r="F1775" s="28" t="str">
        <ns0:f>IF(OR(A1775="",B1775="",C1775&lt;=0),"",IF(SUMPRODUCT(('Müşteriler'!$B$2:$B$101&lt;&gt;"")*ISNUMBER(SEARCH('Müşteriler'!$B$2:$B$101,B1775)))=1,IFERROR(INDEX('Müşteriler'!$A$2:$A$101,SUMPRODUCT(('Müşteriler'!$B$2:$B$101&lt;&gt;"")*ISNUMBER(SEARCH('Müşteriler'!$B$2:$B$101,B1775)),ROW('Müşteriler'!$B$2:$B$101)-ROW('Müşteriler'!$B$2)+1)),""),""))</ns0:f>
        <ns0:v/>
      </ns0:c>
      <ns0:c r="G1775" s="28" t="str">
        <ns0:f>IF(F1775="","",IFERROR(INDEX('Müşteriler'!$C$2:$C$101,MATCH(F1775,'Müşteriler'!$A$2:$A$101,0)),""))</ns0:f>
        <ns0:v/>
      </ns0:c>
      <ns0:c r="H1775" s="28" t="str">
        <ns0:f>IF(A1775="","",IF(C1775&lt;=0,"Satış dışı",IF(OR(F1775="",G1775=""),"Eşleşmedi","Eşleşti")))</ns0:f>
        <ns0:v/>
      </ns0:c>
      <ns0:c r="I1775" s="28">
        <ns0:f>I1774+IF(AND(H1775="Eşleşmedi",E1775='Panel'!$B$4),1,0)</ns0:f>
        <ns0:v>3.0</ns0:v>
      </ns0:c>
    </ns0:row>
    <ns0:row r="1776" ht="21" customHeight="1">
      <ns0:c r="A1776" s="25" t="n"/>
      <ns0:c r="B1776" s="26" t="n"/>
      <ns0:c r="C1776" s="27" t="n"/>
      <ns0:c r="D1776" s="27" t="n"/>
      <ns0:c r="E1776" s="28" t="str">
        <ns0:f>IF(A1776="","",YEAR(A1776)&amp;"-"&amp;RIGHT("0"&amp;MONTH(A1776),2))</ns0:f>
        <ns0:v/>
      </ns0:c>
      <ns0:c r="F1776" s="28" t="str">
        <ns0:f>IF(OR(A1776="",B1776="",C1776&lt;=0),"",IF(SUMPRODUCT(('Müşteriler'!$B$2:$B$101&lt;&gt;"")*ISNUMBER(SEARCH('Müşteriler'!$B$2:$B$101,B1776)))=1,IFERROR(INDEX('Müşteriler'!$A$2:$A$101,SUMPRODUCT(('Müşteriler'!$B$2:$B$101&lt;&gt;"")*ISNUMBER(SEARCH('Müşteriler'!$B$2:$B$101,B1776)),ROW('Müşteriler'!$B$2:$B$101)-ROW('Müşteriler'!$B$2)+1)),""),""))</ns0:f>
        <ns0:v/>
      </ns0:c>
      <ns0:c r="G1776" s="28" t="str">
        <ns0:f>IF(F1776="","",IFERROR(INDEX('Müşteriler'!$C$2:$C$101,MATCH(F1776,'Müşteriler'!$A$2:$A$101,0)),""))</ns0:f>
        <ns0:v/>
      </ns0:c>
      <ns0:c r="H1776" s="28" t="str">
        <ns0:f>IF(A1776="","",IF(C1776&lt;=0,"Satış dışı",IF(OR(F1776="",G1776=""),"Eşleşmedi","Eşleşti")))</ns0:f>
        <ns0:v/>
      </ns0:c>
      <ns0:c r="I1776" s="28">
        <ns0:f>I1775+IF(AND(H1776="Eşleşmedi",E1776='Panel'!$B$4),1,0)</ns0:f>
        <ns0:v>3.0</ns0:v>
      </ns0:c>
    </ns0:row>
    <ns0:row r="1777" ht="21" customHeight="1">
      <ns0:c r="A1777" s="25" t="n"/>
      <ns0:c r="B1777" s="26" t="n"/>
      <ns0:c r="C1777" s="27" t="n"/>
      <ns0:c r="D1777" s="27" t="n"/>
      <ns0:c r="E1777" s="28" t="str">
        <ns0:f>IF(A1777="","",YEAR(A1777)&amp;"-"&amp;RIGHT("0"&amp;MONTH(A1777),2))</ns0:f>
        <ns0:v/>
      </ns0:c>
      <ns0:c r="F1777" s="28" t="str">
        <ns0:f>IF(OR(A1777="",B1777="",C1777&lt;=0),"",IF(SUMPRODUCT(('Müşteriler'!$B$2:$B$101&lt;&gt;"")*ISNUMBER(SEARCH('Müşteriler'!$B$2:$B$101,B1777)))=1,IFERROR(INDEX('Müşteriler'!$A$2:$A$101,SUMPRODUCT(('Müşteriler'!$B$2:$B$101&lt;&gt;"")*ISNUMBER(SEARCH('Müşteriler'!$B$2:$B$101,B1777)),ROW('Müşteriler'!$B$2:$B$101)-ROW('Müşteriler'!$B$2)+1)),""),""))</ns0:f>
        <ns0:v/>
      </ns0:c>
      <ns0:c r="G1777" s="28" t="str">
        <ns0:f>IF(F1777="","",IFERROR(INDEX('Müşteriler'!$C$2:$C$101,MATCH(F1777,'Müşteriler'!$A$2:$A$101,0)),""))</ns0:f>
        <ns0:v/>
      </ns0:c>
      <ns0:c r="H1777" s="28" t="str">
        <ns0:f>IF(A1777="","",IF(C1777&lt;=0,"Satış dışı",IF(OR(F1777="",G1777=""),"Eşleşmedi","Eşleşti")))</ns0:f>
        <ns0:v/>
      </ns0:c>
      <ns0:c r="I1777" s="28">
        <ns0:f>I1776+IF(AND(H1777="Eşleşmedi",E1777='Panel'!$B$4),1,0)</ns0:f>
        <ns0:v>3.0</ns0:v>
      </ns0:c>
    </ns0:row>
    <ns0:row r="1778" ht="21" customHeight="1">
      <ns0:c r="A1778" s="25" t="n"/>
      <ns0:c r="B1778" s="26" t="n"/>
      <ns0:c r="C1778" s="27" t="n"/>
      <ns0:c r="D1778" s="27" t="n"/>
      <ns0:c r="E1778" s="28" t="str">
        <ns0:f>IF(A1778="","",YEAR(A1778)&amp;"-"&amp;RIGHT("0"&amp;MONTH(A1778),2))</ns0:f>
        <ns0:v/>
      </ns0:c>
      <ns0:c r="F1778" s="28" t="str">
        <ns0:f>IF(OR(A1778="",B1778="",C1778&lt;=0),"",IF(SUMPRODUCT(('Müşteriler'!$B$2:$B$101&lt;&gt;"")*ISNUMBER(SEARCH('Müşteriler'!$B$2:$B$101,B1778)))=1,IFERROR(INDEX('Müşteriler'!$A$2:$A$101,SUMPRODUCT(('Müşteriler'!$B$2:$B$101&lt;&gt;"")*ISNUMBER(SEARCH('Müşteriler'!$B$2:$B$101,B1778)),ROW('Müşteriler'!$B$2:$B$101)-ROW('Müşteriler'!$B$2)+1)),""),""))</ns0:f>
        <ns0:v/>
      </ns0:c>
      <ns0:c r="G1778" s="28" t="str">
        <ns0:f>IF(F1778="","",IFERROR(INDEX('Müşteriler'!$C$2:$C$101,MATCH(F1778,'Müşteriler'!$A$2:$A$101,0)),""))</ns0:f>
        <ns0:v/>
      </ns0:c>
      <ns0:c r="H1778" s="28" t="str">
        <ns0:f>IF(A1778="","",IF(C1778&lt;=0,"Satış dışı",IF(OR(F1778="",G1778=""),"Eşleşmedi","Eşleşti")))</ns0:f>
        <ns0:v/>
      </ns0:c>
      <ns0:c r="I1778" s="28">
        <ns0:f>I1777+IF(AND(H1778="Eşleşmedi",E1778='Panel'!$B$4),1,0)</ns0:f>
        <ns0:v>3.0</ns0:v>
      </ns0:c>
    </ns0:row>
    <ns0:row r="1779" ht="21" customHeight="1">
      <ns0:c r="A1779" s="25" t="n"/>
      <ns0:c r="B1779" s="26" t="n"/>
      <ns0:c r="C1779" s="27" t="n"/>
      <ns0:c r="D1779" s="27" t="n"/>
      <ns0:c r="E1779" s="28" t="str">
        <ns0:f>IF(A1779="","",YEAR(A1779)&amp;"-"&amp;RIGHT("0"&amp;MONTH(A1779),2))</ns0:f>
        <ns0:v/>
      </ns0:c>
      <ns0:c r="F1779" s="28" t="str">
        <ns0:f>IF(OR(A1779="",B1779="",C1779&lt;=0),"",IF(SUMPRODUCT(('Müşteriler'!$B$2:$B$101&lt;&gt;"")*ISNUMBER(SEARCH('Müşteriler'!$B$2:$B$101,B1779)))=1,IFERROR(INDEX('Müşteriler'!$A$2:$A$101,SUMPRODUCT(('Müşteriler'!$B$2:$B$101&lt;&gt;"")*ISNUMBER(SEARCH('Müşteriler'!$B$2:$B$101,B1779)),ROW('Müşteriler'!$B$2:$B$101)-ROW('Müşteriler'!$B$2)+1)),""),""))</ns0:f>
        <ns0:v/>
      </ns0:c>
      <ns0:c r="G1779" s="28" t="str">
        <ns0:f>IF(F1779="","",IFERROR(INDEX('Müşteriler'!$C$2:$C$101,MATCH(F1779,'Müşteriler'!$A$2:$A$101,0)),""))</ns0:f>
        <ns0:v/>
      </ns0:c>
      <ns0:c r="H1779" s="28" t="str">
        <ns0:f>IF(A1779="","",IF(C1779&lt;=0,"Satış dışı",IF(OR(F1779="",G1779=""),"Eşleşmedi","Eşleşti")))</ns0:f>
        <ns0:v/>
      </ns0:c>
      <ns0:c r="I1779" s="28">
        <ns0:f>I1778+IF(AND(H1779="Eşleşmedi",E1779='Panel'!$B$4),1,0)</ns0:f>
        <ns0:v>3.0</ns0:v>
      </ns0:c>
    </ns0:row>
    <ns0:row r="1780" ht="21" customHeight="1">
      <ns0:c r="A1780" s="25" t="n"/>
      <ns0:c r="B1780" s="26" t="n"/>
      <ns0:c r="C1780" s="27" t="n"/>
      <ns0:c r="D1780" s="27" t="n"/>
      <ns0:c r="E1780" s="28" t="str">
        <ns0:f>IF(A1780="","",YEAR(A1780)&amp;"-"&amp;RIGHT("0"&amp;MONTH(A1780),2))</ns0:f>
        <ns0:v/>
      </ns0:c>
      <ns0:c r="F1780" s="28" t="str">
        <ns0:f>IF(OR(A1780="",B1780="",C1780&lt;=0),"",IF(SUMPRODUCT(('Müşteriler'!$B$2:$B$101&lt;&gt;"")*ISNUMBER(SEARCH('Müşteriler'!$B$2:$B$101,B1780)))=1,IFERROR(INDEX('Müşteriler'!$A$2:$A$101,SUMPRODUCT(('Müşteriler'!$B$2:$B$101&lt;&gt;"")*ISNUMBER(SEARCH('Müşteriler'!$B$2:$B$101,B1780)),ROW('Müşteriler'!$B$2:$B$101)-ROW('Müşteriler'!$B$2)+1)),""),""))</ns0:f>
        <ns0:v/>
      </ns0:c>
      <ns0:c r="G1780" s="28" t="str">
        <ns0:f>IF(F1780="","",IFERROR(INDEX('Müşteriler'!$C$2:$C$101,MATCH(F1780,'Müşteriler'!$A$2:$A$101,0)),""))</ns0:f>
        <ns0:v/>
      </ns0:c>
      <ns0:c r="H1780" s="28" t="str">
        <ns0:f>IF(A1780="","",IF(C1780&lt;=0,"Satış dışı",IF(OR(F1780="",G1780=""),"Eşleşmedi","Eşleşti")))</ns0:f>
        <ns0:v/>
      </ns0:c>
      <ns0:c r="I1780" s="28">
        <ns0:f>I1779+IF(AND(H1780="Eşleşmedi",E1780='Panel'!$B$4),1,0)</ns0:f>
        <ns0:v>3.0</ns0:v>
      </ns0:c>
    </ns0:row>
    <ns0:row r="1781" ht="21" customHeight="1">
      <ns0:c r="A1781" s="25" t="n"/>
      <ns0:c r="B1781" s="26" t="n"/>
      <ns0:c r="C1781" s="27" t="n"/>
      <ns0:c r="D1781" s="27" t="n"/>
      <ns0:c r="E1781" s="28" t="str">
        <ns0:f>IF(A1781="","",YEAR(A1781)&amp;"-"&amp;RIGHT("0"&amp;MONTH(A1781),2))</ns0:f>
        <ns0:v/>
      </ns0:c>
      <ns0:c r="F1781" s="28" t="str">
        <ns0:f>IF(OR(A1781="",B1781="",C1781&lt;=0),"",IF(SUMPRODUCT(('Müşteriler'!$B$2:$B$101&lt;&gt;"")*ISNUMBER(SEARCH('Müşteriler'!$B$2:$B$101,B1781)))=1,IFERROR(INDEX('Müşteriler'!$A$2:$A$101,SUMPRODUCT(('Müşteriler'!$B$2:$B$101&lt;&gt;"")*ISNUMBER(SEARCH('Müşteriler'!$B$2:$B$101,B1781)),ROW('Müşteriler'!$B$2:$B$101)-ROW('Müşteriler'!$B$2)+1)),""),""))</ns0:f>
        <ns0:v/>
      </ns0:c>
      <ns0:c r="G1781" s="28" t="str">
        <ns0:f>IF(F1781="","",IFERROR(INDEX('Müşteriler'!$C$2:$C$101,MATCH(F1781,'Müşteriler'!$A$2:$A$101,0)),""))</ns0:f>
        <ns0:v/>
      </ns0:c>
      <ns0:c r="H1781" s="28" t="str">
        <ns0:f>IF(A1781="","",IF(C1781&lt;=0,"Satış dışı",IF(OR(F1781="",G1781=""),"Eşleşmedi","Eşleşti")))</ns0:f>
        <ns0:v/>
      </ns0:c>
      <ns0:c r="I1781" s="28">
        <ns0:f>I1780+IF(AND(H1781="Eşleşmedi",E1781='Panel'!$B$4),1,0)</ns0:f>
        <ns0:v>3.0</ns0:v>
      </ns0:c>
    </ns0:row>
    <ns0:row r="1782" ht="21" customHeight="1">
      <ns0:c r="A1782" s="25" t="n"/>
      <ns0:c r="B1782" s="26" t="n"/>
      <ns0:c r="C1782" s="27" t="n"/>
      <ns0:c r="D1782" s="27" t="n"/>
      <ns0:c r="E1782" s="28" t="str">
        <ns0:f>IF(A1782="","",YEAR(A1782)&amp;"-"&amp;RIGHT("0"&amp;MONTH(A1782),2))</ns0:f>
        <ns0:v/>
      </ns0:c>
      <ns0:c r="F1782" s="28" t="str">
        <ns0:f>IF(OR(A1782="",B1782="",C1782&lt;=0),"",IF(SUMPRODUCT(('Müşteriler'!$B$2:$B$101&lt;&gt;"")*ISNUMBER(SEARCH('Müşteriler'!$B$2:$B$101,B1782)))=1,IFERROR(INDEX('Müşteriler'!$A$2:$A$101,SUMPRODUCT(('Müşteriler'!$B$2:$B$101&lt;&gt;"")*ISNUMBER(SEARCH('Müşteriler'!$B$2:$B$101,B1782)),ROW('Müşteriler'!$B$2:$B$101)-ROW('Müşteriler'!$B$2)+1)),""),""))</ns0:f>
        <ns0:v/>
      </ns0:c>
      <ns0:c r="G1782" s="28" t="str">
        <ns0:f>IF(F1782="","",IFERROR(INDEX('Müşteriler'!$C$2:$C$101,MATCH(F1782,'Müşteriler'!$A$2:$A$101,0)),""))</ns0:f>
        <ns0:v/>
      </ns0:c>
      <ns0:c r="H1782" s="28" t="str">
        <ns0:f>IF(A1782="","",IF(C1782&lt;=0,"Satış dışı",IF(OR(F1782="",G1782=""),"Eşleşmedi","Eşleşti")))</ns0:f>
        <ns0:v/>
      </ns0:c>
      <ns0:c r="I1782" s="28">
        <ns0:f>I1781+IF(AND(H1782="Eşleşmedi",E1782='Panel'!$B$4),1,0)</ns0:f>
        <ns0:v>3.0</ns0:v>
      </ns0:c>
    </ns0:row>
    <ns0:row r="1783" ht="21" customHeight="1">
      <ns0:c r="A1783" s="25" t="n"/>
      <ns0:c r="B1783" s="26" t="n"/>
      <ns0:c r="C1783" s="27" t="n"/>
      <ns0:c r="D1783" s="27" t="n"/>
      <ns0:c r="E1783" s="28" t="str">
        <ns0:f>IF(A1783="","",YEAR(A1783)&amp;"-"&amp;RIGHT("0"&amp;MONTH(A1783),2))</ns0:f>
        <ns0:v/>
      </ns0:c>
      <ns0:c r="F1783" s="28" t="str">
        <ns0:f>IF(OR(A1783="",B1783="",C1783&lt;=0),"",IF(SUMPRODUCT(('Müşteriler'!$B$2:$B$101&lt;&gt;"")*ISNUMBER(SEARCH('Müşteriler'!$B$2:$B$101,B1783)))=1,IFERROR(INDEX('Müşteriler'!$A$2:$A$101,SUMPRODUCT(('Müşteriler'!$B$2:$B$101&lt;&gt;"")*ISNUMBER(SEARCH('Müşteriler'!$B$2:$B$101,B1783)),ROW('Müşteriler'!$B$2:$B$101)-ROW('Müşteriler'!$B$2)+1)),""),""))</ns0:f>
        <ns0:v/>
      </ns0:c>
      <ns0:c r="G1783" s="28" t="str">
        <ns0:f>IF(F1783="","",IFERROR(INDEX('Müşteriler'!$C$2:$C$101,MATCH(F1783,'Müşteriler'!$A$2:$A$101,0)),""))</ns0:f>
        <ns0:v/>
      </ns0:c>
      <ns0:c r="H1783" s="28" t="str">
        <ns0:f>IF(A1783="","",IF(C1783&lt;=0,"Satış dışı",IF(OR(F1783="",G1783=""),"Eşleşmedi","Eşleşti")))</ns0:f>
        <ns0:v/>
      </ns0:c>
      <ns0:c r="I1783" s="28">
        <ns0:f>I1782+IF(AND(H1783="Eşleşmedi",E1783='Panel'!$B$4),1,0)</ns0:f>
        <ns0:v>3.0</ns0:v>
      </ns0:c>
    </ns0:row>
    <ns0:row r="1784" ht="21" customHeight="1">
      <ns0:c r="A1784" s="25" t="n"/>
      <ns0:c r="B1784" s="26" t="n"/>
      <ns0:c r="C1784" s="27" t="n"/>
      <ns0:c r="D1784" s="27" t="n"/>
      <ns0:c r="E1784" s="28" t="str">
        <ns0:f>IF(A1784="","",YEAR(A1784)&amp;"-"&amp;RIGHT("0"&amp;MONTH(A1784),2))</ns0:f>
        <ns0:v/>
      </ns0:c>
      <ns0:c r="F1784" s="28" t="str">
        <ns0:f>IF(OR(A1784="",B1784="",C1784&lt;=0),"",IF(SUMPRODUCT(('Müşteriler'!$B$2:$B$101&lt;&gt;"")*ISNUMBER(SEARCH('Müşteriler'!$B$2:$B$101,B1784)))=1,IFERROR(INDEX('Müşteriler'!$A$2:$A$101,SUMPRODUCT(('Müşteriler'!$B$2:$B$101&lt;&gt;"")*ISNUMBER(SEARCH('Müşteriler'!$B$2:$B$101,B1784)),ROW('Müşteriler'!$B$2:$B$101)-ROW('Müşteriler'!$B$2)+1)),""),""))</ns0:f>
        <ns0:v/>
      </ns0:c>
      <ns0:c r="G1784" s="28" t="str">
        <ns0:f>IF(F1784="","",IFERROR(INDEX('Müşteriler'!$C$2:$C$101,MATCH(F1784,'Müşteriler'!$A$2:$A$101,0)),""))</ns0:f>
        <ns0:v/>
      </ns0:c>
      <ns0:c r="H1784" s="28" t="str">
        <ns0:f>IF(A1784="","",IF(C1784&lt;=0,"Satış dışı",IF(OR(F1784="",G1784=""),"Eşleşmedi","Eşleşti")))</ns0:f>
        <ns0:v/>
      </ns0:c>
      <ns0:c r="I1784" s="28">
        <ns0:f>I1783+IF(AND(H1784="Eşleşmedi",E1784='Panel'!$B$4),1,0)</ns0:f>
        <ns0:v>3.0</ns0:v>
      </ns0:c>
    </ns0:row>
    <ns0:row r="1785" ht="21" customHeight="1">
      <ns0:c r="A1785" s="25" t="n"/>
      <ns0:c r="B1785" s="26" t="n"/>
      <ns0:c r="C1785" s="27" t="n"/>
      <ns0:c r="D1785" s="27" t="n"/>
      <ns0:c r="E1785" s="28" t="str">
        <ns0:f>IF(A1785="","",YEAR(A1785)&amp;"-"&amp;RIGHT("0"&amp;MONTH(A1785),2))</ns0:f>
        <ns0:v/>
      </ns0:c>
      <ns0:c r="F1785" s="28" t="str">
        <ns0:f>IF(OR(A1785="",B1785="",C1785&lt;=0),"",IF(SUMPRODUCT(('Müşteriler'!$B$2:$B$101&lt;&gt;"")*ISNUMBER(SEARCH('Müşteriler'!$B$2:$B$101,B1785)))=1,IFERROR(INDEX('Müşteriler'!$A$2:$A$101,SUMPRODUCT(('Müşteriler'!$B$2:$B$101&lt;&gt;"")*ISNUMBER(SEARCH('Müşteriler'!$B$2:$B$101,B1785)),ROW('Müşteriler'!$B$2:$B$101)-ROW('Müşteriler'!$B$2)+1)),""),""))</ns0:f>
        <ns0:v/>
      </ns0:c>
      <ns0:c r="G1785" s="28" t="str">
        <ns0:f>IF(F1785="","",IFERROR(INDEX('Müşteriler'!$C$2:$C$101,MATCH(F1785,'Müşteriler'!$A$2:$A$101,0)),""))</ns0:f>
        <ns0:v/>
      </ns0:c>
      <ns0:c r="H1785" s="28" t="str">
        <ns0:f>IF(A1785="","",IF(C1785&lt;=0,"Satış dışı",IF(OR(F1785="",G1785=""),"Eşleşmedi","Eşleşti")))</ns0:f>
        <ns0:v/>
      </ns0:c>
      <ns0:c r="I1785" s="28">
        <ns0:f>I1784+IF(AND(H1785="Eşleşmedi",E1785='Panel'!$B$4),1,0)</ns0:f>
        <ns0:v>3.0</ns0:v>
      </ns0:c>
    </ns0:row>
    <ns0:row r="1786" ht="21" customHeight="1">
      <ns0:c r="A1786" s="25" t="n"/>
      <ns0:c r="B1786" s="26" t="n"/>
      <ns0:c r="C1786" s="27" t="n"/>
      <ns0:c r="D1786" s="27" t="n"/>
      <ns0:c r="E1786" s="28" t="str">
        <ns0:f>IF(A1786="","",YEAR(A1786)&amp;"-"&amp;RIGHT("0"&amp;MONTH(A1786),2))</ns0:f>
        <ns0:v/>
      </ns0:c>
      <ns0:c r="F1786" s="28" t="str">
        <ns0:f>IF(OR(A1786="",B1786="",C1786&lt;=0),"",IF(SUMPRODUCT(('Müşteriler'!$B$2:$B$101&lt;&gt;"")*ISNUMBER(SEARCH('Müşteriler'!$B$2:$B$101,B1786)))=1,IFERROR(INDEX('Müşteriler'!$A$2:$A$101,SUMPRODUCT(('Müşteriler'!$B$2:$B$101&lt;&gt;"")*ISNUMBER(SEARCH('Müşteriler'!$B$2:$B$101,B1786)),ROW('Müşteriler'!$B$2:$B$101)-ROW('Müşteriler'!$B$2)+1)),""),""))</ns0:f>
        <ns0:v/>
      </ns0:c>
      <ns0:c r="G1786" s="28" t="str">
        <ns0:f>IF(F1786="","",IFERROR(INDEX('Müşteriler'!$C$2:$C$101,MATCH(F1786,'Müşteriler'!$A$2:$A$101,0)),""))</ns0:f>
        <ns0:v/>
      </ns0:c>
      <ns0:c r="H1786" s="28" t="str">
        <ns0:f>IF(A1786="","",IF(C1786&lt;=0,"Satış dışı",IF(OR(F1786="",G1786=""),"Eşleşmedi","Eşleşti")))</ns0:f>
        <ns0:v/>
      </ns0:c>
      <ns0:c r="I1786" s="28">
        <ns0:f>I1785+IF(AND(H1786="Eşleşmedi",E1786='Panel'!$B$4),1,0)</ns0:f>
        <ns0:v>3.0</ns0:v>
      </ns0:c>
    </ns0:row>
    <ns0:row r="1787" ht="21" customHeight="1">
      <ns0:c r="A1787" s="25" t="n"/>
      <ns0:c r="B1787" s="26" t="n"/>
      <ns0:c r="C1787" s="27" t="n"/>
      <ns0:c r="D1787" s="27" t="n"/>
      <ns0:c r="E1787" s="28" t="str">
        <ns0:f>IF(A1787="","",YEAR(A1787)&amp;"-"&amp;RIGHT("0"&amp;MONTH(A1787),2))</ns0:f>
        <ns0:v/>
      </ns0:c>
      <ns0:c r="F1787" s="28" t="str">
        <ns0:f>IF(OR(A1787="",B1787="",C1787&lt;=0),"",IF(SUMPRODUCT(('Müşteriler'!$B$2:$B$101&lt;&gt;"")*ISNUMBER(SEARCH('Müşteriler'!$B$2:$B$101,B1787)))=1,IFERROR(INDEX('Müşteriler'!$A$2:$A$101,SUMPRODUCT(('Müşteriler'!$B$2:$B$101&lt;&gt;"")*ISNUMBER(SEARCH('Müşteriler'!$B$2:$B$101,B1787)),ROW('Müşteriler'!$B$2:$B$101)-ROW('Müşteriler'!$B$2)+1)),""),""))</ns0:f>
        <ns0:v/>
      </ns0:c>
      <ns0:c r="G1787" s="28" t="str">
        <ns0:f>IF(F1787="","",IFERROR(INDEX('Müşteriler'!$C$2:$C$101,MATCH(F1787,'Müşteriler'!$A$2:$A$101,0)),""))</ns0:f>
        <ns0:v/>
      </ns0:c>
      <ns0:c r="H1787" s="28" t="str">
        <ns0:f>IF(A1787="","",IF(C1787&lt;=0,"Satış dışı",IF(OR(F1787="",G1787=""),"Eşleşmedi","Eşleşti")))</ns0:f>
        <ns0:v/>
      </ns0:c>
      <ns0:c r="I1787" s="28">
        <ns0:f>I1786+IF(AND(H1787="Eşleşmedi",E1787='Panel'!$B$4),1,0)</ns0:f>
        <ns0:v>3.0</ns0:v>
      </ns0:c>
    </ns0:row>
    <ns0:row r="1788" ht="21" customHeight="1">
      <ns0:c r="A1788" s="25" t="n"/>
      <ns0:c r="B1788" s="26" t="n"/>
      <ns0:c r="C1788" s="27" t="n"/>
      <ns0:c r="D1788" s="27" t="n"/>
      <ns0:c r="E1788" s="28" t="str">
        <ns0:f>IF(A1788="","",YEAR(A1788)&amp;"-"&amp;RIGHT("0"&amp;MONTH(A1788),2))</ns0:f>
        <ns0:v/>
      </ns0:c>
      <ns0:c r="F1788" s="28" t="str">
        <ns0:f>IF(OR(A1788="",B1788="",C1788&lt;=0),"",IF(SUMPRODUCT(('Müşteriler'!$B$2:$B$101&lt;&gt;"")*ISNUMBER(SEARCH('Müşteriler'!$B$2:$B$101,B1788)))=1,IFERROR(INDEX('Müşteriler'!$A$2:$A$101,SUMPRODUCT(('Müşteriler'!$B$2:$B$101&lt;&gt;"")*ISNUMBER(SEARCH('Müşteriler'!$B$2:$B$101,B1788)),ROW('Müşteriler'!$B$2:$B$101)-ROW('Müşteriler'!$B$2)+1)),""),""))</ns0:f>
        <ns0:v/>
      </ns0:c>
      <ns0:c r="G1788" s="28" t="str">
        <ns0:f>IF(F1788="","",IFERROR(INDEX('Müşteriler'!$C$2:$C$101,MATCH(F1788,'Müşteriler'!$A$2:$A$101,0)),""))</ns0:f>
        <ns0:v/>
      </ns0:c>
      <ns0:c r="H1788" s="28" t="str">
        <ns0:f>IF(A1788="","",IF(C1788&lt;=0,"Satış dışı",IF(OR(F1788="",G1788=""),"Eşleşmedi","Eşleşti")))</ns0:f>
        <ns0:v/>
      </ns0:c>
      <ns0:c r="I1788" s="28">
        <ns0:f>I1787+IF(AND(H1788="Eşleşmedi",E1788='Panel'!$B$4),1,0)</ns0:f>
        <ns0:v>3.0</ns0:v>
      </ns0:c>
    </ns0:row>
    <ns0:row r="1789" ht="21" customHeight="1">
      <ns0:c r="A1789" s="25" t="n"/>
      <ns0:c r="B1789" s="26" t="n"/>
      <ns0:c r="C1789" s="27" t="n"/>
      <ns0:c r="D1789" s="27" t="n"/>
      <ns0:c r="E1789" s="28" t="str">
        <ns0:f>IF(A1789="","",YEAR(A1789)&amp;"-"&amp;RIGHT("0"&amp;MONTH(A1789),2))</ns0:f>
        <ns0:v/>
      </ns0:c>
      <ns0:c r="F1789" s="28" t="str">
        <ns0:f>IF(OR(A1789="",B1789="",C1789&lt;=0),"",IF(SUMPRODUCT(('Müşteriler'!$B$2:$B$101&lt;&gt;"")*ISNUMBER(SEARCH('Müşteriler'!$B$2:$B$101,B1789)))=1,IFERROR(INDEX('Müşteriler'!$A$2:$A$101,SUMPRODUCT(('Müşteriler'!$B$2:$B$101&lt;&gt;"")*ISNUMBER(SEARCH('Müşteriler'!$B$2:$B$101,B1789)),ROW('Müşteriler'!$B$2:$B$101)-ROW('Müşteriler'!$B$2)+1)),""),""))</ns0:f>
        <ns0:v/>
      </ns0:c>
      <ns0:c r="G1789" s="28" t="str">
        <ns0:f>IF(F1789="","",IFERROR(INDEX('Müşteriler'!$C$2:$C$101,MATCH(F1789,'Müşteriler'!$A$2:$A$101,0)),""))</ns0:f>
        <ns0:v/>
      </ns0:c>
      <ns0:c r="H1789" s="28" t="str">
        <ns0:f>IF(A1789="","",IF(C1789&lt;=0,"Satış dışı",IF(OR(F1789="",G1789=""),"Eşleşmedi","Eşleşti")))</ns0:f>
        <ns0:v/>
      </ns0:c>
      <ns0:c r="I1789" s="28">
        <ns0:f>I1788+IF(AND(H1789="Eşleşmedi",E1789='Panel'!$B$4),1,0)</ns0:f>
        <ns0:v>3.0</ns0:v>
      </ns0:c>
    </ns0:row>
    <ns0:row r="1790" ht="21" customHeight="1">
      <ns0:c r="A1790" s="25" t="n"/>
      <ns0:c r="B1790" s="26" t="n"/>
      <ns0:c r="C1790" s="27" t="n"/>
      <ns0:c r="D1790" s="27" t="n"/>
      <ns0:c r="E1790" s="28" t="str">
        <ns0:f>IF(A1790="","",YEAR(A1790)&amp;"-"&amp;RIGHT("0"&amp;MONTH(A1790),2))</ns0:f>
        <ns0:v/>
      </ns0:c>
      <ns0:c r="F1790" s="28" t="str">
        <ns0:f>IF(OR(A1790="",B1790="",C1790&lt;=0),"",IF(SUMPRODUCT(('Müşteriler'!$B$2:$B$101&lt;&gt;"")*ISNUMBER(SEARCH('Müşteriler'!$B$2:$B$101,B1790)))=1,IFERROR(INDEX('Müşteriler'!$A$2:$A$101,SUMPRODUCT(('Müşteriler'!$B$2:$B$101&lt;&gt;"")*ISNUMBER(SEARCH('Müşteriler'!$B$2:$B$101,B1790)),ROW('Müşteriler'!$B$2:$B$101)-ROW('Müşteriler'!$B$2)+1)),""),""))</ns0:f>
        <ns0:v/>
      </ns0:c>
      <ns0:c r="G1790" s="28" t="str">
        <ns0:f>IF(F1790="","",IFERROR(INDEX('Müşteriler'!$C$2:$C$101,MATCH(F1790,'Müşteriler'!$A$2:$A$101,0)),""))</ns0:f>
        <ns0:v/>
      </ns0:c>
      <ns0:c r="H1790" s="28" t="str">
        <ns0:f>IF(A1790="","",IF(C1790&lt;=0,"Satış dışı",IF(OR(F1790="",G1790=""),"Eşleşmedi","Eşleşti")))</ns0:f>
        <ns0:v/>
      </ns0:c>
      <ns0:c r="I1790" s="28">
        <ns0:f>I1789+IF(AND(H1790="Eşleşmedi",E1790='Panel'!$B$4),1,0)</ns0:f>
        <ns0:v>3.0</ns0:v>
      </ns0:c>
    </ns0:row>
    <ns0:row r="1791" ht="21" customHeight="1">
      <ns0:c r="A1791" s="25" t="n"/>
      <ns0:c r="B1791" s="26" t="n"/>
      <ns0:c r="C1791" s="27" t="n"/>
      <ns0:c r="D1791" s="27" t="n"/>
      <ns0:c r="E1791" s="28" t="str">
        <ns0:f>IF(A1791="","",YEAR(A1791)&amp;"-"&amp;RIGHT("0"&amp;MONTH(A1791),2))</ns0:f>
        <ns0:v/>
      </ns0:c>
      <ns0:c r="F1791" s="28" t="str">
        <ns0:f>IF(OR(A1791="",B1791="",C1791&lt;=0),"",IF(SUMPRODUCT(('Müşteriler'!$B$2:$B$101&lt;&gt;"")*ISNUMBER(SEARCH('Müşteriler'!$B$2:$B$101,B1791)))=1,IFERROR(INDEX('Müşteriler'!$A$2:$A$101,SUMPRODUCT(('Müşteriler'!$B$2:$B$101&lt;&gt;"")*ISNUMBER(SEARCH('Müşteriler'!$B$2:$B$101,B1791)),ROW('Müşteriler'!$B$2:$B$101)-ROW('Müşteriler'!$B$2)+1)),""),""))</ns0:f>
        <ns0:v/>
      </ns0:c>
      <ns0:c r="G1791" s="28" t="str">
        <ns0:f>IF(F1791="","",IFERROR(INDEX('Müşteriler'!$C$2:$C$101,MATCH(F1791,'Müşteriler'!$A$2:$A$101,0)),""))</ns0:f>
        <ns0:v/>
      </ns0:c>
      <ns0:c r="H1791" s="28" t="str">
        <ns0:f>IF(A1791="","",IF(C1791&lt;=0,"Satış dışı",IF(OR(F1791="",G1791=""),"Eşleşmedi","Eşleşti")))</ns0:f>
        <ns0:v/>
      </ns0:c>
      <ns0:c r="I1791" s="28">
        <ns0:f>I1790+IF(AND(H1791="Eşleşmedi",E1791='Panel'!$B$4),1,0)</ns0:f>
        <ns0:v>3.0</ns0:v>
      </ns0:c>
    </ns0:row>
    <ns0:row r="1792" ht="21" customHeight="1">
      <ns0:c r="A1792" s="25" t="n"/>
      <ns0:c r="B1792" s="26" t="n"/>
      <ns0:c r="C1792" s="27" t="n"/>
      <ns0:c r="D1792" s="27" t="n"/>
      <ns0:c r="E1792" s="28" t="str">
        <ns0:f>IF(A1792="","",YEAR(A1792)&amp;"-"&amp;RIGHT("0"&amp;MONTH(A1792),2))</ns0:f>
        <ns0:v/>
      </ns0:c>
      <ns0:c r="F1792" s="28" t="str">
        <ns0:f>IF(OR(A1792="",B1792="",C1792&lt;=0),"",IF(SUMPRODUCT(('Müşteriler'!$B$2:$B$101&lt;&gt;"")*ISNUMBER(SEARCH('Müşteriler'!$B$2:$B$101,B1792)))=1,IFERROR(INDEX('Müşteriler'!$A$2:$A$101,SUMPRODUCT(('Müşteriler'!$B$2:$B$101&lt;&gt;"")*ISNUMBER(SEARCH('Müşteriler'!$B$2:$B$101,B1792)),ROW('Müşteriler'!$B$2:$B$101)-ROW('Müşteriler'!$B$2)+1)),""),""))</ns0:f>
        <ns0:v/>
      </ns0:c>
      <ns0:c r="G1792" s="28" t="str">
        <ns0:f>IF(F1792="","",IFERROR(INDEX('Müşteriler'!$C$2:$C$101,MATCH(F1792,'Müşteriler'!$A$2:$A$101,0)),""))</ns0:f>
        <ns0:v/>
      </ns0:c>
      <ns0:c r="H1792" s="28" t="str">
        <ns0:f>IF(A1792="","",IF(C1792&lt;=0,"Satış dışı",IF(OR(F1792="",G1792=""),"Eşleşmedi","Eşleşti")))</ns0:f>
        <ns0:v/>
      </ns0:c>
      <ns0:c r="I1792" s="28">
        <ns0:f>I1791+IF(AND(H1792="Eşleşmedi",E1792='Panel'!$B$4),1,0)</ns0:f>
        <ns0:v>3.0</ns0:v>
      </ns0:c>
    </ns0:row>
    <ns0:row r="1793" ht="21" customHeight="1">
      <ns0:c r="A1793" s="25" t="n"/>
      <ns0:c r="B1793" s="26" t="n"/>
      <ns0:c r="C1793" s="27" t="n"/>
      <ns0:c r="D1793" s="27" t="n"/>
      <ns0:c r="E1793" s="28" t="str">
        <ns0:f>IF(A1793="","",YEAR(A1793)&amp;"-"&amp;RIGHT("0"&amp;MONTH(A1793),2))</ns0:f>
        <ns0:v/>
      </ns0:c>
      <ns0:c r="F1793" s="28" t="str">
        <ns0:f>IF(OR(A1793="",B1793="",C1793&lt;=0),"",IF(SUMPRODUCT(('Müşteriler'!$B$2:$B$101&lt;&gt;"")*ISNUMBER(SEARCH('Müşteriler'!$B$2:$B$101,B1793)))=1,IFERROR(INDEX('Müşteriler'!$A$2:$A$101,SUMPRODUCT(('Müşteriler'!$B$2:$B$101&lt;&gt;"")*ISNUMBER(SEARCH('Müşteriler'!$B$2:$B$101,B1793)),ROW('Müşteriler'!$B$2:$B$101)-ROW('Müşteriler'!$B$2)+1)),""),""))</ns0:f>
        <ns0:v/>
      </ns0:c>
      <ns0:c r="G1793" s="28" t="str">
        <ns0:f>IF(F1793="","",IFERROR(INDEX('Müşteriler'!$C$2:$C$101,MATCH(F1793,'Müşteriler'!$A$2:$A$101,0)),""))</ns0:f>
        <ns0:v/>
      </ns0:c>
      <ns0:c r="H1793" s="28" t="str">
        <ns0:f>IF(A1793="","",IF(C1793&lt;=0,"Satış dışı",IF(OR(F1793="",G1793=""),"Eşleşmedi","Eşleşti")))</ns0:f>
        <ns0:v/>
      </ns0:c>
      <ns0:c r="I1793" s="28">
        <ns0:f>I1792+IF(AND(H1793="Eşleşmedi",E1793='Panel'!$B$4),1,0)</ns0:f>
        <ns0:v>3.0</ns0:v>
      </ns0:c>
    </ns0:row>
    <ns0:row r="1794" ht="21" customHeight="1">
      <ns0:c r="A1794" s="25" t="n"/>
      <ns0:c r="B1794" s="26" t="n"/>
      <ns0:c r="C1794" s="27" t="n"/>
      <ns0:c r="D1794" s="27" t="n"/>
      <ns0:c r="E1794" s="28" t="str">
        <ns0:f>IF(A1794="","",YEAR(A1794)&amp;"-"&amp;RIGHT("0"&amp;MONTH(A1794),2))</ns0:f>
        <ns0:v/>
      </ns0:c>
      <ns0:c r="F1794" s="28" t="str">
        <ns0:f>IF(OR(A1794="",B1794="",C1794&lt;=0),"",IF(SUMPRODUCT(('Müşteriler'!$B$2:$B$101&lt;&gt;"")*ISNUMBER(SEARCH('Müşteriler'!$B$2:$B$101,B1794)))=1,IFERROR(INDEX('Müşteriler'!$A$2:$A$101,SUMPRODUCT(('Müşteriler'!$B$2:$B$101&lt;&gt;"")*ISNUMBER(SEARCH('Müşteriler'!$B$2:$B$101,B1794)),ROW('Müşteriler'!$B$2:$B$101)-ROW('Müşteriler'!$B$2)+1)),""),""))</ns0:f>
        <ns0:v/>
      </ns0:c>
      <ns0:c r="G1794" s="28" t="str">
        <ns0:f>IF(F1794="","",IFERROR(INDEX('Müşteriler'!$C$2:$C$101,MATCH(F1794,'Müşteriler'!$A$2:$A$101,0)),""))</ns0:f>
        <ns0:v/>
      </ns0:c>
      <ns0:c r="H1794" s="28" t="str">
        <ns0:f>IF(A1794="","",IF(C1794&lt;=0,"Satış dışı",IF(OR(F1794="",G1794=""),"Eşleşmedi","Eşleşti")))</ns0:f>
        <ns0:v/>
      </ns0:c>
      <ns0:c r="I1794" s="28">
        <ns0:f>I1793+IF(AND(H1794="Eşleşmedi",E1794='Panel'!$B$4),1,0)</ns0:f>
        <ns0:v>3.0</ns0:v>
      </ns0:c>
    </ns0:row>
    <ns0:row r="1795" ht="21" customHeight="1">
      <ns0:c r="A1795" s="25" t="n"/>
      <ns0:c r="B1795" s="26" t="n"/>
      <ns0:c r="C1795" s="27" t="n"/>
      <ns0:c r="D1795" s="27" t="n"/>
      <ns0:c r="E1795" s="28" t="str">
        <ns0:f>IF(A1795="","",YEAR(A1795)&amp;"-"&amp;RIGHT("0"&amp;MONTH(A1795),2))</ns0:f>
        <ns0:v/>
      </ns0:c>
      <ns0:c r="F1795" s="28" t="str">
        <ns0:f>IF(OR(A1795="",B1795="",C1795&lt;=0),"",IF(SUMPRODUCT(('Müşteriler'!$B$2:$B$101&lt;&gt;"")*ISNUMBER(SEARCH('Müşteriler'!$B$2:$B$101,B1795)))=1,IFERROR(INDEX('Müşteriler'!$A$2:$A$101,SUMPRODUCT(('Müşteriler'!$B$2:$B$101&lt;&gt;"")*ISNUMBER(SEARCH('Müşteriler'!$B$2:$B$101,B1795)),ROW('Müşteriler'!$B$2:$B$101)-ROW('Müşteriler'!$B$2)+1)),""),""))</ns0:f>
        <ns0:v/>
      </ns0:c>
      <ns0:c r="G1795" s="28" t="str">
        <ns0:f>IF(F1795="","",IFERROR(INDEX('Müşteriler'!$C$2:$C$101,MATCH(F1795,'Müşteriler'!$A$2:$A$101,0)),""))</ns0:f>
        <ns0:v/>
      </ns0:c>
      <ns0:c r="H1795" s="28" t="str">
        <ns0:f>IF(A1795="","",IF(C1795&lt;=0,"Satış dışı",IF(OR(F1795="",G1795=""),"Eşleşmedi","Eşleşti")))</ns0:f>
        <ns0:v/>
      </ns0:c>
      <ns0:c r="I1795" s="28">
        <ns0:f>I1794+IF(AND(H1795="Eşleşmedi",E1795='Panel'!$B$4),1,0)</ns0:f>
        <ns0:v>3.0</ns0:v>
      </ns0:c>
    </ns0:row>
    <ns0:row r="1796" ht="21" customHeight="1">
      <ns0:c r="A1796" s="25" t="n"/>
      <ns0:c r="B1796" s="26" t="n"/>
      <ns0:c r="C1796" s="27" t="n"/>
      <ns0:c r="D1796" s="27" t="n"/>
      <ns0:c r="E1796" s="28" t="str">
        <ns0:f>IF(A1796="","",YEAR(A1796)&amp;"-"&amp;RIGHT("0"&amp;MONTH(A1796),2))</ns0:f>
        <ns0:v/>
      </ns0:c>
      <ns0:c r="F1796" s="28" t="str">
        <ns0:f>IF(OR(A1796="",B1796="",C1796&lt;=0),"",IF(SUMPRODUCT(('Müşteriler'!$B$2:$B$101&lt;&gt;"")*ISNUMBER(SEARCH('Müşteriler'!$B$2:$B$101,B1796)))=1,IFERROR(INDEX('Müşteriler'!$A$2:$A$101,SUMPRODUCT(('Müşteriler'!$B$2:$B$101&lt;&gt;"")*ISNUMBER(SEARCH('Müşteriler'!$B$2:$B$101,B1796)),ROW('Müşteriler'!$B$2:$B$101)-ROW('Müşteriler'!$B$2)+1)),""),""))</ns0:f>
        <ns0:v/>
      </ns0:c>
      <ns0:c r="G1796" s="28" t="str">
        <ns0:f>IF(F1796="","",IFERROR(INDEX('Müşteriler'!$C$2:$C$101,MATCH(F1796,'Müşteriler'!$A$2:$A$101,0)),""))</ns0:f>
        <ns0:v/>
      </ns0:c>
      <ns0:c r="H1796" s="28" t="str">
        <ns0:f>IF(A1796="","",IF(C1796&lt;=0,"Satış dışı",IF(OR(F1796="",G1796=""),"Eşleşmedi","Eşleşti")))</ns0:f>
        <ns0:v/>
      </ns0:c>
      <ns0:c r="I1796" s="28">
        <ns0:f>I1795+IF(AND(H1796="Eşleşmedi",E1796='Panel'!$B$4),1,0)</ns0:f>
        <ns0:v>3.0</ns0:v>
      </ns0:c>
    </ns0:row>
    <ns0:row r="1797" ht="21" customHeight="1">
      <ns0:c r="A1797" s="25" t="n"/>
      <ns0:c r="B1797" s="26" t="n"/>
      <ns0:c r="C1797" s="27" t="n"/>
      <ns0:c r="D1797" s="27" t="n"/>
      <ns0:c r="E1797" s="28" t="str">
        <ns0:f>IF(A1797="","",YEAR(A1797)&amp;"-"&amp;RIGHT("0"&amp;MONTH(A1797),2))</ns0:f>
        <ns0:v/>
      </ns0:c>
      <ns0:c r="F1797" s="28" t="str">
        <ns0:f>IF(OR(A1797="",B1797="",C1797&lt;=0),"",IF(SUMPRODUCT(('Müşteriler'!$B$2:$B$101&lt;&gt;"")*ISNUMBER(SEARCH('Müşteriler'!$B$2:$B$101,B1797)))=1,IFERROR(INDEX('Müşteriler'!$A$2:$A$101,SUMPRODUCT(('Müşteriler'!$B$2:$B$101&lt;&gt;"")*ISNUMBER(SEARCH('Müşteriler'!$B$2:$B$101,B1797)),ROW('Müşteriler'!$B$2:$B$101)-ROW('Müşteriler'!$B$2)+1)),""),""))</ns0:f>
        <ns0:v/>
      </ns0:c>
      <ns0:c r="G1797" s="28" t="str">
        <ns0:f>IF(F1797="","",IFERROR(INDEX('Müşteriler'!$C$2:$C$101,MATCH(F1797,'Müşteriler'!$A$2:$A$101,0)),""))</ns0:f>
        <ns0:v/>
      </ns0:c>
      <ns0:c r="H1797" s="28" t="str">
        <ns0:f>IF(A1797="","",IF(C1797&lt;=0,"Satış dışı",IF(OR(F1797="",G1797=""),"Eşleşmedi","Eşleşti")))</ns0:f>
        <ns0:v/>
      </ns0:c>
      <ns0:c r="I1797" s="28">
        <ns0:f>I1796+IF(AND(H1797="Eşleşmedi",E1797='Panel'!$B$4),1,0)</ns0:f>
        <ns0:v>3.0</ns0:v>
      </ns0:c>
    </ns0:row>
    <ns0:row r="1798" ht="21" customHeight="1">
      <ns0:c r="A1798" s="25" t="n"/>
      <ns0:c r="B1798" s="26" t="n"/>
      <ns0:c r="C1798" s="27" t="n"/>
      <ns0:c r="D1798" s="27" t="n"/>
      <ns0:c r="E1798" s="28" t="str">
        <ns0:f>IF(A1798="","",YEAR(A1798)&amp;"-"&amp;RIGHT("0"&amp;MONTH(A1798),2))</ns0:f>
        <ns0:v/>
      </ns0:c>
      <ns0:c r="F1798" s="28" t="str">
        <ns0:f>IF(OR(A1798="",B1798="",C1798&lt;=0),"",IF(SUMPRODUCT(('Müşteriler'!$B$2:$B$101&lt;&gt;"")*ISNUMBER(SEARCH('Müşteriler'!$B$2:$B$101,B1798)))=1,IFERROR(INDEX('Müşteriler'!$A$2:$A$101,SUMPRODUCT(('Müşteriler'!$B$2:$B$101&lt;&gt;"")*ISNUMBER(SEARCH('Müşteriler'!$B$2:$B$101,B1798)),ROW('Müşteriler'!$B$2:$B$101)-ROW('Müşteriler'!$B$2)+1)),""),""))</ns0:f>
        <ns0:v/>
      </ns0:c>
      <ns0:c r="G1798" s="28" t="str">
        <ns0:f>IF(F1798="","",IFERROR(INDEX('Müşteriler'!$C$2:$C$101,MATCH(F1798,'Müşteriler'!$A$2:$A$101,0)),""))</ns0:f>
        <ns0:v/>
      </ns0:c>
      <ns0:c r="H1798" s="28" t="str">
        <ns0:f>IF(A1798="","",IF(C1798&lt;=0,"Satış dışı",IF(OR(F1798="",G1798=""),"Eşleşmedi","Eşleşti")))</ns0:f>
        <ns0:v/>
      </ns0:c>
      <ns0:c r="I1798" s="28">
        <ns0:f>I1797+IF(AND(H1798="Eşleşmedi",E1798='Panel'!$B$4),1,0)</ns0:f>
        <ns0:v>3.0</ns0:v>
      </ns0:c>
    </ns0:row>
    <ns0:row r="1799" ht="21" customHeight="1">
      <ns0:c r="A1799" s="25" t="n"/>
      <ns0:c r="B1799" s="26" t="n"/>
      <ns0:c r="C1799" s="27" t="n"/>
      <ns0:c r="D1799" s="27" t="n"/>
      <ns0:c r="E1799" s="28" t="str">
        <ns0:f>IF(A1799="","",YEAR(A1799)&amp;"-"&amp;RIGHT("0"&amp;MONTH(A1799),2))</ns0:f>
        <ns0:v/>
      </ns0:c>
      <ns0:c r="F1799" s="28" t="str">
        <ns0:f>IF(OR(A1799="",B1799="",C1799&lt;=0),"",IF(SUMPRODUCT(('Müşteriler'!$B$2:$B$101&lt;&gt;"")*ISNUMBER(SEARCH('Müşteriler'!$B$2:$B$101,B1799)))=1,IFERROR(INDEX('Müşteriler'!$A$2:$A$101,SUMPRODUCT(('Müşteriler'!$B$2:$B$101&lt;&gt;"")*ISNUMBER(SEARCH('Müşteriler'!$B$2:$B$101,B1799)),ROW('Müşteriler'!$B$2:$B$101)-ROW('Müşteriler'!$B$2)+1)),""),""))</ns0:f>
        <ns0:v/>
      </ns0:c>
      <ns0:c r="G1799" s="28" t="str">
        <ns0:f>IF(F1799="","",IFERROR(INDEX('Müşteriler'!$C$2:$C$101,MATCH(F1799,'Müşteriler'!$A$2:$A$101,0)),""))</ns0:f>
        <ns0:v/>
      </ns0:c>
      <ns0:c r="H1799" s="28" t="str">
        <ns0:f>IF(A1799="","",IF(C1799&lt;=0,"Satış dışı",IF(OR(F1799="",G1799=""),"Eşleşmedi","Eşleşti")))</ns0:f>
        <ns0:v/>
      </ns0:c>
      <ns0:c r="I1799" s="28">
        <ns0:f>I1798+IF(AND(H1799="Eşleşmedi",E1799='Panel'!$B$4),1,0)</ns0:f>
        <ns0:v>3.0</ns0:v>
      </ns0:c>
    </ns0:row>
    <ns0:row r="1800" ht="21" customHeight="1">
      <ns0:c r="A1800" s="25" t="n"/>
      <ns0:c r="B1800" s="26" t="n"/>
      <ns0:c r="C1800" s="27" t="n"/>
      <ns0:c r="D1800" s="27" t="n"/>
      <ns0:c r="E1800" s="28" t="str">
        <ns0:f>IF(A1800="","",YEAR(A1800)&amp;"-"&amp;RIGHT("0"&amp;MONTH(A1800),2))</ns0:f>
        <ns0:v/>
      </ns0:c>
      <ns0:c r="F1800" s="28" t="str">
        <ns0:f>IF(OR(A1800="",B1800="",C1800&lt;=0),"",IF(SUMPRODUCT(('Müşteriler'!$B$2:$B$101&lt;&gt;"")*ISNUMBER(SEARCH('Müşteriler'!$B$2:$B$101,B1800)))=1,IFERROR(INDEX('Müşteriler'!$A$2:$A$101,SUMPRODUCT(('Müşteriler'!$B$2:$B$101&lt;&gt;"")*ISNUMBER(SEARCH('Müşteriler'!$B$2:$B$101,B1800)),ROW('Müşteriler'!$B$2:$B$101)-ROW('Müşteriler'!$B$2)+1)),""),""))</ns0:f>
        <ns0:v/>
      </ns0:c>
      <ns0:c r="G1800" s="28" t="str">
        <ns0:f>IF(F1800="","",IFERROR(INDEX('Müşteriler'!$C$2:$C$101,MATCH(F1800,'Müşteriler'!$A$2:$A$101,0)),""))</ns0:f>
        <ns0:v/>
      </ns0:c>
      <ns0:c r="H1800" s="28" t="str">
        <ns0:f>IF(A1800="","",IF(C1800&lt;=0,"Satış dışı",IF(OR(F1800="",G1800=""),"Eşleşmedi","Eşleşti")))</ns0:f>
        <ns0:v/>
      </ns0:c>
      <ns0:c r="I1800" s="28">
        <ns0:f>I1799+IF(AND(H1800="Eşleşmedi",E1800='Panel'!$B$4),1,0)</ns0:f>
        <ns0:v>3.0</ns0:v>
      </ns0:c>
    </ns0:row>
    <ns0:row r="1801" ht="21" customHeight="1">
      <ns0:c r="A1801" s="25" t="n"/>
      <ns0:c r="B1801" s="26" t="n"/>
      <ns0:c r="C1801" s="27" t="n"/>
      <ns0:c r="D1801" s="27" t="n"/>
      <ns0:c r="E1801" s="28" t="str">
        <ns0:f>IF(A1801="","",YEAR(A1801)&amp;"-"&amp;RIGHT("0"&amp;MONTH(A1801),2))</ns0:f>
        <ns0:v/>
      </ns0:c>
      <ns0:c r="F1801" s="28" t="str">
        <ns0:f>IF(OR(A1801="",B1801="",C1801&lt;=0),"",IF(SUMPRODUCT(('Müşteriler'!$B$2:$B$101&lt;&gt;"")*ISNUMBER(SEARCH('Müşteriler'!$B$2:$B$101,B1801)))=1,IFERROR(INDEX('Müşteriler'!$A$2:$A$101,SUMPRODUCT(('Müşteriler'!$B$2:$B$101&lt;&gt;"")*ISNUMBER(SEARCH('Müşteriler'!$B$2:$B$101,B1801)),ROW('Müşteriler'!$B$2:$B$101)-ROW('Müşteriler'!$B$2)+1)),""),""))</ns0:f>
        <ns0:v/>
      </ns0:c>
      <ns0:c r="G1801" s="28" t="str">
        <ns0:f>IF(F1801="","",IFERROR(INDEX('Müşteriler'!$C$2:$C$101,MATCH(F1801,'Müşteriler'!$A$2:$A$101,0)),""))</ns0:f>
        <ns0:v/>
      </ns0:c>
      <ns0:c r="H1801" s="28" t="str">
        <ns0:f>IF(A1801="","",IF(C1801&lt;=0,"Satış dışı",IF(OR(F1801="",G1801=""),"Eşleşmedi","Eşleşti")))</ns0:f>
        <ns0:v/>
      </ns0:c>
      <ns0:c r="I1801" s="28">
        <ns0:f>I1800+IF(AND(H1801="Eşleşmedi",E1801='Panel'!$B$4),1,0)</ns0:f>
        <ns0:v>3.0</ns0:v>
      </ns0:c>
    </ns0:row>
    <ns0:row r="1802" ht="21" customHeight="1">
      <ns0:c r="A1802" s="25" t="n"/>
      <ns0:c r="B1802" s="26" t="n"/>
      <ns0:c r="C1802" s="27" t="n"/>
      <ns0:c r="D1802" s="27" t="n"/>
      <ns0:c r="E1802" s="28" t="str">
        <ns0:f>IF(A1802="","",YEAR(A1802)&amp;"-"&amp;RIGHT("0"&amp;MONTH(A1802),2))</ns0:f>
        <ns0:v/>
      </ns0:c>
      <ns0:c r="F1802" s="28" t="str">
        <ns0:f>IF(OR(A1802="",B1802="",C1802&lt;=0),"",IF(SUMPRODUCT(('Müşteriler'!$B$2:$B$101&lt;&gt;"")*ISNUMBER(SEARCH('Müşteriler'!$B$2:$B$101,B1802)))=1,IFERROR(INDEX('Müşteriler'!$A$2:$A$101,SUMPRODUCT(('Müşteriler'!$B$2:$B$101&lt;&gt;"")*ISNUMBER(SEARCH('Müşteriler'!$B$2:$B$101,B1802)),ROW('Müşteriler'!$B$2:$B$101)-ROW('Müşteriler'!$B$2)+1)),""),""))</ns0:f>
        <ns0:v/>
      </ns0:c>
      <ns0:c r="G1802" s="28" t="str">
        <ns0:f>IF(F1802="","",IFERROR(INDEX('Müşteriler'!$C$2:$C$101,MATCH(F1802,'Müşteriler'!$A$2:$A$101,0)),""))</ns0:f>
        <ns0:v/>
      </ns0:c>
      <ns0:c r="H1802" s="28" t="str">
        <ns0:f>IF(A1802="","",IF(C1802&lt;=0,"Satış dışı",IF(OR(F1802="",G1802=""),"Eşleşmedi","Eşleşti")))</ns0:f>
        <ns0:v/>
      </ns0:c>
      <ns0:c r="I1802" s="28">
        <ns0:f>I1801+IF(AND(H1802="Eşleşmedi",E1802='Panel'!$B$4),1,0)</ns0:f>
        <ns0:v>3.0</ns0:v>
      </ns0:c>
    </ns0:row>
    <ns0:row r="1803" ht="21" customHeight="1">
      <ns0:c r="A1803" s="25" t="n"/>
      <ns0:c r="B1803" s="26" t="n"/>
      <ns0:c r="C1803" s="27" t="n"/>
      <ns0:c r="D1803" s="27" t="n"/>
      <ns0:c r="E1803" s="28" t="str">
        <ns0:f>IF(A1803="","",YEAR(A1803)&amp;"-"&amp;RIGHT("0"&amp;MONTH(A1803),2))</ns0:f>
        <ns0:v/>
      </ns0:c>
      <ns0:c r="F1803" s="28" t="str">
        <ns0:f>IF(OR(A1803="",B1803="",C1803&lt;=0),"",IF(SUMPRODUCT(('Müşteriler'!$B$2:$B$101&lt;&gt;"")*ISNUMBER(SEARCH('Müşteriler'!$B$2:$B$101,B1803)))=1,IFERROR(INDEX('Müşteriler'!$A$2:$A$101,SUMPRODUCT(('Müşteriler'!$B$2:$B$101&lt;&gt;"")*ISNUMBER(SEARCH('Müşteriler'!$B$2:$B$101,B1803)),ROW('Müşteriler'!$B$2:$B$101)-ROW('Müşteriler'!$B$2)+1)),""),""))</ns0:f>
        <ns0:v/>
      </ns0:c>
      <ns0:c r="G1803" s="28" t="str">
        <ns0:f>IF(F1803="","",IFERROR(INDEX('Müşteriler'!$C$2:$C$101,MATCH(F1803,'Müşteriler'!$A$2:$A$101,0)),""))</ns0:f>
        <ns0:v/>
      </ns0:c>
      <ns0:c r="H1803" s="28" t="str">
        <ns0:f>IF(A1803="","",IF(C1803&lt;=0,"Satış dışı",IF(OR(F1803="",G1803=""),"Eşleşmedi","Eşleşti")))</ns0:f>
        <ns0:v/>
      </ns0:c>
      <ns0:c r="I1803" s="28">
        <ns0:f>I1802+IF(AND(H1803="Eşleşmedi",E1803='Panel'!$B$4),1,0)</ns0:f>
        <ns0:v>3.0</ns0:v>
      </ns0:c>
    </ns0:row>
    <ns0:row r="1804" ht="21" customHeight="1">
      <ns0:c r="A1804" s="25" t="n"/>
      <ns0:c r="B1804" s="26" t="n"/>
      <ns0:c r="C1804" s="27" t="n"/>
      <ns0:c r="D1804" s="27" t="n"/>
      <ns0:c r="E1804" s="28" t="str">
        <ns0:f>IF(A1804="","",YEAR(A1804)&amp;"-"&amp;RIGHT("0"&amp;MONTH(A1804),2))</ns0:f>
        <ns0:v/>
      </ns0:c>
      <ns0:c r="F1804" s="28" t="str">
        <ns0:f>IF(OR(A1804="",B1804="",C1804&lt;=0),"",IF(SUMPRODUCT(('Müşteriler'!$B$2:$B$101&lt;&gt;"")*ISNUMBER(SEARCH('Müşteriler'!$B$2:$B$101,B1804)))=1,IFERROR(INDEX('Müşteriler'!$A$2:$A$101,SUMPRODUCT(('Müşteriler'!$B$2:$B$101&lt;&gt;"")*ISNUMBER(SEARCH('Müşteriler'!$B$2:$B$101,B1804)),ROW('Müşteriler'!$B$2:$B$101)-ROW('Müşteriler'!$B$2)+1)),""),""))</ns0:f>
        <ns0:v/>
      </ns0:c>
      <ns0:c r="G1804" s="28" t="str">
        <ns0:f>IF(F1804="","",IFERROR(INDEX('Müşteriler'!$C$2:$C$101,MATCH(F1804,'Müşteriler'!$A$2:$A$101,0)),""))</ns0:f>
        <ns0:v/>
      </ns0:c>
      <ns0:c r="H1804" s="28" t="str">
        <ns0:f>IF(A1804="","",IF(C1804&lt;=0,"Satış dışı",IF(OR(F1804="",G1804=""),"Eşleşmedi","Eşleşti")))</ns0:f>
        <ns0:v/>
      </ns0:c>
      <ns0:c r="I1804" s="28">
        <ns0:f>I1803+IF(AND(H1804="Eşleşmedi",E1804='Panel'!$B$4),1,0)</ns0:f>
        <ns0:v>3.0</ns0:v>
      </ns0:c>
    </ns0:row>
    <ns0:row r="1805" ht="21" customHeight="1">
      <ns0:c r="A1805" s="25" t="n"/>
      <ns0:c r="B1805" s="26" t="n"/>
      <ns0:c r="C1805" s="27" t="n"/>
      <ns0:c r="D1805" s="27" t="n"/>
      <ns0:c r="E1805" s="28" t="str">
        <ns0:f>IF(A1805="","",YEAR(A1805)&amp;"-"&amp;RIGHT("0"&amp;MONTH(A1805),2))</ns0:f>
        <ns0:v/>
      </ns0:c>
      <ns0:c r="F1805" s="28" t="str">
        <ns0:f>IF(OR(A1805="",B1805="",C1805&lt;=0),"",IF(SUMPRODUCT(('Müşteriler'!$B$2:$B$101&lt;&gt;"")*ISNUMBER(SEARCH('Müşteriler'!$B$2:$B$101,B1805)))=1,IFERROR(INDEX('Müşteriler'!$A$2:$A$101,SUMPRODUCT(('Müşteriler'!$B$2:$B$101&lt;&gt;"")*ISNUMBER(SEARCH('Müşteriler'!$B$2:$B$101,B1805)),ROW('Müşteriler'!$B$2:$B$101)-ROW('Müşteriler'!$B$2)+1)),""),""))</ns0:f>
        <ns0:v/>
      </ns0:c>
      <ns0:c r="G1805" s="28" t="str">
        <ns0:f>IF(F1805="","",IFERROR(INDEX('Müşteriler'!$C$2:$C$101,MATCH(F1805,'Müşteriler'!$A$2:$A$101,0)),""))</ns0:f>
        <ns0:v/>
      </ns0:c>
      <ns0:c r="H1805" s="28" t="str">
        <ns0:f>IF(A1805="","",IF(C1805&lt;=0,"Satış dışı",IF(OR(F1805="",G1805=""),"Eşleşmedi","Eşleşti")))</ns0:f>
        <ns0:v/>
      </ns0:c>
      <ns0:c r="I1805" s="28">
        <ns0:f>I1804+IF(AND(H1805="Eşleşmedi",E1805='Panel'!$B$4),1,0)</ns0:f>
        <ns0:v>3.0</ns0:v>
      </ns0:c>
    </ns0:row>
    <ns0:row r="1806" ht="21" customHeight="1">
      <ns0:c r="A1806" s="25" t="n"/>
      <ns0:c r="B1806" s="26" t="n"/>
      <ns0:c r="C1806" s="27" t="n"/>
      <ns0:c r="D1806" s="27" t="n"/>
      <ns0:c r="E1806" s="28" t="str">
        <ns0:f>IF(A1806="","",YEAR(A1806)&amp;"-"&amp;RIGHT("0"&amp;MONTH(A1806),2))</ns0:f>
        <ns0:v/>
      </ns0:c>
      <ns0:c r="F1806" s="28" t="str">
        <ns0:f>IF(OR(A1806="",B1806="",C1806&lt;=0),"",IF(SUMPRODUCT(('Müşteriler'!$B$2:$B$101&lt;&gt;"")*ISNUMBER(SEARCH('Müşteriler'!$B$2:$B$101,B1806)))=1,IFERROR(INDEX('Müşteriler'!$A$2:$A$101,SUMPRODUCT(('Müşteriler'!$B$2:$B$101&lt;&gt;"")*ISNUMBER(SEARCH('Müşteriler'!$B$2:$B$101,B1806)),ROW('Müşteriler'!$B$2:$B$101)-ROW('Müşteriler'!$B$2)+1)),""),""))</ns0:f>
        <ns0:v/>
      </ns0:c>
      <ns0:c r="G1806" s="28" t="str">
        <ns0:f>IF(F1806="","",IFERROR(INDEX('Müşteriler'!$C$2:$C$101,MATCH(F1806,'Müşteriler'!$A$2:$A$101,0)),""))</ns0:f>
        <ns0:v/>
      </ns0:c>
      <ns0:c r="H1806" s="28" t="str">
        <ns0:f>IF(A1806="","",IF(C1806&lt;=0,"Satış dışı",IF(OR(F1806="",G1806=""),"Eşleşmedi","Eşleşti")))</ns0:f>
        <ns0:v/>
      </ns0:c>
      <ns0:c r="I1806" s="28">
        <ns0:f>I1805+IF(AND(H1806="Eşleşmedi",E1806='Panel'!$B$4),1,0)</ns0:f>
        <ns0:v>3.0</ns0:v>
      </ns0:c>
    </ns0:row>
    <ns0:row r="1807" ht="21" customHeight="1">
      <ns0:c r="A1807" s="25" t="n"/>
      <ns0:c r="B1807" s="26" t="n"/>
      <ns0:c r="C1807" s="27" t="n"/>
      <ns0:c r="D1807" s="27" t="n"/>
      <ns0:c r="E1807" s="28" t="str">
        <ns0:f>IF(A1807="","",YEAR(A1807)&amp;"-"&amp;RIGHT("0"&amp;MONTH(A1807),2))</ns0:f>
        <ns0:v/>
      </ns0:c>
      <ns0:c r="F1807" s="28" t="str">
        <ns0:f>IF(OR(A1807="",B1807="",C1807&lt;=0),"",IF(SUMPRODUCT(('Müşteriler'!$B$2:$B$101&lt;&gt;"")*ISNUMBER(SEARCH('Müşteriler'!$B$2:$B$101,B1807)))=1,IFERROR(INDEX('Müşteriler'!$A$2:$A$101,SUMPRODUCT(('Müşteriler'!$B$2:$B$101&lt;&gt;"")*ISNUMBER(SEARCH('Müşteriler'!$B$2:$B$101,B1807)),ROW('Müşteriler'!$B$2:$B$101)-ROW('Müşteriler'!$B$2)+1)),""),""))</ns0:f>
        <ns0:v/>
      </ns0:c>
      <ns0:c r="G1807" s="28" t="str">
        <ns0:f>IF(F1807="","",IFERROR(INDEX('Müşteriler'!$C$2:$C$101,MATCH(F1807,'Müşteriler'!$A$2:$A$101,0)),""))</ns0:f>
        <ns0:v/>
      </ns0:c>
      <ns0:c r="H1807" s="28" t="str">
        <ns0:f>IF(A1807="","",IF(C1807&lt;=0,"Satış dışı",IF(OR(F1807="",G1807=""),"Eşleşmedi","Eşleşti")))</ns0:f>
        <ns0:v/>
      </ns0:c>
      <ns0:c r="I1807" s="28">
        <ns0:f>I1806+IF(AND(H1807="Eşleşmedi",E1807='Panel'!$B$4),1,0)</ns0:f>
        <ns0:v>3.0</ns0:v>
      </ns0:c>
    </ns0:row>
    <ns0:row r="1808" ht="21" customHeight="1">
      <ns0:c r="A1808" s="25" t="n"/>
      <ns0:c r="B1808" s="26" t="n"/>
      <ns0:c r="C1808" s="27" t="n"/>
      <ns0:c r="D1808" s="27" t="n"/>
      <ns0:c r="E1808" s="28" t="str">
        <ns0:f>IF(A1808="","",YEAR(A1808)&amp;"-"&amp;RIGHT("0"&amp;MONTH(A1808),2))</ns0:f>
        <ns0:v/>
      </ns0:c>
      <ns0:c r="F1808" s="28" t="str">
        <ns0:f>IF(OR(A1808="",B1808="",C1808&lt;=0),"",IF(SUMPRODUCT(('Müşteriler'!$B$2:$B$101&lt;&gt;"")*ISNUMBER(SEARCH('Müşteriler'!$B$2:$B$101,B1808)))=1,IFERROR(INDEX('Müşteriler'!$A$2:$A$101,SUMPRODUCT(('Müşteriler'!$B$2:$B$101&lt;&gt;"")*ISNUMBER(SEARCH('Müşteriler'!$B$2:$B$101,B1808)),ROW('Müşteriler'!$B$2:$B$101)-ROW('Müşteriler'!$B$2)+1)),""),""))</ns0:f>
        <ns0:v/>
      </ns0:c>
      <ns0:c r="G1808" s="28" t="str">
        <ns0:f>IF(F1808="","",IFERROR(INDEX('Müşteriler'!$C$2:$C$101,MATCH(F1808,'Müşteriler'!$A$2:$A$101,0)),""))</ns0:f>
        <ns0:v/>
      </ns0:c>
      <ns0:c r="H1808" s="28" t="str">
        <ns0:f>IF(A1808="","",IF(C1808&lt;=0,"Satış dışı",IF(OR(F1808="",G1808=""),"Eşleşmedi","Eşleşti")))</ns0:f>
        <ns0:v/>
      </ns0:c>
      <ns0:c r="I1808" s="28">
        <ns0:f>I1807+IF(AND(H1808="Eşleşmedi",E1808='Panel'!$B$4),1,0)</ns0:f>
        <ns0:v>3.0</ns0:v>
      </ns0:c>
    </ns0:row>
    <ns0:row r="1809" ht="21" customHeight="1">
      <ns0:c r="A1809" s="25" t="n"/>
      <ns0:c r="B1809" s="26" t="n"/>
      <ns0:c r="C1809" s="27" t="n"/>
      <ns0:c r="D1809" s="27" t="n"/>
      <ns0:c r="E1809" s="28" t="str">
        <ns0:f>IF(A1809="","",YEAR(A1809)&amp;"-"&amp;RIGHT("0"&amp;MONTH(A1809),2))</ns0:f>
        <ns0:v/>
      </ns0:c>
      <ns0:c r="F1809" s="28" t="str">
        <ns0:f>IF(OR(A1809="",B1809="",C1809&lt;=0),"",IF(SUMPRODUCT(('Müşteriler'!$B$2:$B$101&lt;&gt;"")*ISNUMBER(SEARCH('Müşteriler'!$B$2:$B$101,B1809)))=1,IFERROR(INDEX('Müşteriler'!$A$2:$A$101,SUMPRODUCT(('Müşteriler'!$B$2:$B$101&lt;&gt;"")*ISNUMBER(SEARCH('Müşteriler'!$B$2:$B$101,B1809)),ROW('Müşteriler'!$B$2:$B$101)-ROW('Müşteriler'!$B$2)+1)),""),""))</ns0:f>
        <ns0:v/>
      </ns0:c>
      <ns0:c r="G1809" s="28" t="str">
        <ns0:f>IF(F1809="","",IFERROR(INDEX('Müşteriler'!$C$2:$C$101,MATCH(F1809,'Müşteriler'!$A$2:$A$101,0)),""))</ns0:f>
        <ns0:v/>
      </ns0:c>
      <ns0:c r="H1809" s="28" t="str">
        <ns0:f>IF(A1809="","",IF(C1809&lt;=0,"Satış dışı",IF(OR(F1809="",G1809=""),"Eşleşmedi","Eşleşti")))</ns0:f>
        <ns0:v/>
      </ns0:c>
      <ns0:c r="I1809" s="28">
        <ns0:f>I1808+IF(AND(H1809="Eşleşmedi",E1809='Panel'!$B$4),1,0)</ns0:f>
        <ns0:v>3.0</ns0:v>
      </ns0:c>
    </ns0:row>
    <ns0:row r="1810" ht="21" customHeight="1">
      <ns0:c r="A1810" s="25" t="n"/>
      <ns0:c r="B1810" s="26" t="n"/>
      <ns0:c r="C1810" s="27" t="n"/>
      <ns0:c r="D1810" s="27" t="n"/>
      <ns0:c r="E1810" s="28" t="str">
        <ns0:f>IF(A1810="","",YEAR(A1810)&amp;"-"&amp;RIGHT("0"&amp;MONTH(A1810),2))</ns0:f>
        <ns0:v/>
      </ns0:c>
      <ns0:c r="F1810" s="28" t="str">
        <ns0:f>IF(OR(A1810="",B1810="",C1810&lt;=0),"",IF(SUMPRODUCT(('Müşteriler'!$B$2:$B$101&lt;&gt;"")*ISNUMBER(SEARCH('Müşteriler'!$B$2:$B$101,B1810)))=1,IFERROR(INDEX('Müşteriler'!$A$2:$A$101,SUMPRODUCT(('Müşteriler'!$B$2:$B$101&lt;&gt;"")*ISNUMBER(SEARCH('Müşteriler'!$B$2:$B$101,B1810)),ROW('Müşteriler'!$B$2:$B$101)-ROW('Müşteriler'!$B$2)+1)),""),""))</ns0:f>
        <ns0:v/>
      </ns0:c>
      <ns0:c r="G1810" s="28" t="str">
        <ns0:f>IF(F1810="","",IFERROR(INDEX('Müşteriler'!$C$2:$C$101,MATCH(F1810,'Müşteriler'!$A$2:$A$101,0)),""))</ns0:f>
        <ns0:v/>
      </ns0:c>
      <ns0:c r="H1810" s="28" t="str">
        <ns0:f>IF(A1810="","",IF(C1810&lt;=0,"Satış dışı",IF(OR(F1810="",G1810=""),"Eşleşmedi","Eşleşti")))</ns0:f>
        <ns0:v/>
      </ns0:c>
      <ns0:c r="I1810" s="28">
        <ns0:f>I1809+IF(AND(H1810="Eşleşmedi",E1810='Panel'!$B$4),1,0)</ns0:f>
        <ns0:v>3.0</ns0:v>
      </ns0:c>
    </ns0:row>
    <ns0:row r="1811" ht="21" customHeight="1">
      <ns0:c r="A1811" s="25" t="n"/>
      <ns0:c r="B1811" s="26" t="n"/>
      <ns0:c r="C1811" s="27" t="n"/>
      <ns0:c r="D1811" s="27" t="n"/>
      <ns0:c r="E1811" s="28" t="str">
        <ns0:f>IF(A1811="","",YEAR(A1811)&amp;"-"&amp;RIGHT("0"&amp;MONTH(A1811),2))</ns0:f>
        <ns0:v/>
      </ns0:c>
      <ns0:c r="F1811" s="28" t="str">
        <ns0:f>IF(OR(A1811="",B1811="",C1811&lt;=0),"",IF(SUMPRODUCT(('Müşteriler'!$B$2:$B$101&lt;&gt;"")*ISNUMBER(SEARCH('Müşteriler'!$B$2:$B$101,B1811)))=1,IFERROR(INDEX('Müşteriler'!$A$2:$A$101,SUMPRODUCT(('Müşteriler'!$B$2:$B$101&lt;&gt;"")*ISNUMBER(SEARCH('Müşteriler'!$B$2:$B$101,B1811)),ROW('Müşteriler'!$B$2:$B$101)-ROW('Müşteriler'!$B$2)+1)),""),""))</ns0:f>
        <ns0:v/>
      </ns0:c>
      <ns0:c r="G1811" s="28" t="str">
        <ns0:f>IF(F1811="","",IFERROR(INDEX('Müşteriler'!$C$2:$C$101,MATCH(F1811,'Müşteriler'!$A$2:$A$101,0)),""))</ns0:f>
        <ns0:v/>
      </ns0:c>
      <ns0:c r="H1811" s="28" t="str">
        <ns0:f>IF(A1811="","",IF(C1811&lt;=0,"Satış dışı",IF(OR(F1811="",G1811=""),"Eşleşmedi","Eşleşti")))</ns0:f>
        <ns0:v/>
      </ns0:c>
      <ns0:c r="I1811" s="28">
        <ns0:f>I1810+IF(AND(H1811="Eşleşmedi",E1811='Panel'!$B$4),1,0)</ns0:f>
        <ns0:v>3.0</ns0:v>
      </ns0:c>
    </ns0:row>
    <ns0:row r="1812" ht="21" customHeight="1">
      <ns0:c r="A1812" s="25" t="n"/>
      <ns0:c r="B1812" s="26" t="n"/>
      <ns0:c r="C1812" s="27" t="n"/>
      <ns0:c r="D1812" s="27" t="n"/>
      <ns0:c r="E1812" s="28" t="str">
        <ns0:f>IF(A1812="","",YEAR(A1812)&amp;"-"&amp;RIGHT("0"&amp;MONTH(A1812),2))</ns0:f>
        <ns0:v/>
      </ns0:c>
      <ns0:c r="F1812" s="28" t="str">
        <ns0:f>IF(OR(A1812="",B1812="",C1812&lt;=0),"",IF(SUMPRODUCT(('Müşteriler'!$B$2:$B$101&lt;&gt;"")*ISNUMBER(SEARCH('Müşteriler'!$B$2:$B$101,B1812)))=1,IFERROR(INDEX('Müşteriler'!$A$2:$A$101,SUMPRODUCT(('Müşteriler'!$B$2:$B$101&lt;&gt;"")*ISNUMBER(SEARCH('Müşteriler'!$B$2:$B$101,B1812)),ROW('Müşteriler'!$B$2:$B$101)-ROW('Müşteriler'!$B$2)+1)),""),""))</ns0:f>
        <ns0:v/>
      </ns0:c>
      <ns0:c r="G1812" s="28" t="str">
        <ns0:f>IF(F1812="","",IFERROR(INDEX('Müşteriler'!$C$2:$C$101,MATCH(F1812,'Müşteriler'!$A$2:$A$101,0)),""))</ns0:f>
        <ns0:v/>
      </ns0:c>
      <ns0:c r="H1812" s="28" t="str">
        <ns0:f>IF(A1812="","",IF(C1812&lt;=0,"Satış dışı",IF(OR(F1812="",G1812=""),"Eşleşmedi","Eşleşti")))</ns0:f>
        <ns0:v/>
      </ns0:c>
      <ns0:c r="I1812" s="28">
        <ns0:f>I1811+IF(AND(H1812="Eşleşmedi",E1812='Panel'!$B$4),1,0)</ns0:f>
        <ns0:v>3.0</ns0:v>
      </ns0:c>
    </ns0:row>
    <ns0:row r="1813" ht="21" customHeight="1">
      <ns0:c r="A1813" s="25" t="n"/>
      <ns0:c r="B1813" s="26" t="n"/>
      <ns0:c r="C1813" s="27" t="n"/>
      <ns0:c r="D1813" s="27" t="n"/>
      <ns0:c r="E1813" s="28" t="str">
        <ns0:f>IF(A1813="","",YEAR(A1813)&amp;"-"&amp;RIGHT("0"&amp;MONTH(A1813),2))</ns0:f>
        <ns0:v/>
      </ns0:c>
      <ns0:c r="F1813" s="28" t="str">
        <ns0:f>IF(OR(A1813="",B1813="",C1813&lt;=0),"",IF(SUMPRODUCT(('Müşteriler'!$B$2:$B$101&lt;&gt;"")*ISNUMBER(SEARCH('Müşteriler'!$B$2:$B$101,B1813)))=1,IFERROR(INDEX('Müşteriler'!$A$2:$A$101,SUMPRODUCT(('Müşteriler'!$B$2:$B$101&lt;&gt;"")*ISNUMBER(SEARCH('Müşteriler'!$B$2:$B$101,B1813)),ROW('Müşteriler'!$B$2:$B$101)-ROW('Müşteriler'!$B$2)+1)),""),""))</ns0:f>
        <ns0:v/>
      </ns0:c>
      <ns0:c r="G1813" s="28" t="str">
        <ns0:f>IF(F1813="","",IFERROR(INDEX('Müşteriler'!$C$2:$C$101,MATCH(F1813,'Müşteriler'!$A$2:$A$101,0)),""))</ns0:f>
        <ns0:v/>
      </ns0:c>
      <ns0:c r="H1813" s="28" t="str">
        <ns0:f>IF(A1813="","",IF(C1813&lt;=0,"Satış dışı",IF(OR(F1813="",G1813=""),"Eşleşmedi","Eşleşti")))</ns0:f>
        <ns0:v/>
      </ns0:c>
      <ns0:c r="I1813" s="28">
        <ns0:f>I1812+IF(AND(H1813="Eşleşmedi",E1813='Panel'!$B$4),1,0)</ns0:f>
        <ns0:v>3.0</ns0:v>
      </ns0:c>
    </ns0:row>
    <ns0:row r="1814" ht="21" customHeight="1">
      <ns0:c r="A1814" s="25" t="n"/>
      <ns0:c r="B1814" s="26" t="n"/>
      <ns0:c r="C1814" s="27" t="n"/>
      <ns0:c r="D1814" s="27" t="n"/>
      <ns0:c r="E1814" s="28" t="str">
        <ns0:f>IF(A1814="","",YEAR(A1814)&amp;"-"&amp;RIGHT("0"&amp;MONTH(A1814),2))</ns0:f>
        <ns0:v/>
      </ns0:c>
      <ns0:c r="F1814" s="28" t="str">
        <ns0:f>IF(OR(A1814="",B1814="",C1814&lt;=0),"",IF(SUMPRODUCT(('Müşteriler'!$B$2:$B$101&lt;&gt;"")*ISNUMBER(SEARCH('Müşteriler'!$B$2:$B$101,B1814)))=1,IFERROR(INDEX('Müşteriler'!$A$2:$A$101,SUMPRODUCT(('Müşteriler'!$B$2:$B$101&lt;&gt;"")*ISNUMBER(SEARCH('Müşteriler'!$B$2:$B$101,B1814)),ROW('Müşteriler'!$B$2:$B$101)-ROW('Müşteriler'!$B$2)+1)),""),""))</ns0:f>
        <ns0:v/>
      </ns0:c>
      <ns0:c r="G1814" s="28" t="str">
        <ns0:f>IF(F1814="","",IFERROR(INDEX('Müşteriler'!$C$2:$C$101,MATCH(F1814,'Müşteriler'!$A$2:$A$101,0)),""))</ns0:f>
        <ns0:v/>
      </ns0:c>
      <ns0:c r="H1814" s="28" t="str">
        <ns0:f>IF(A1814="","",IF(C1814&lt;=0,"Satış dışı",IF(OR(F1814="",G1814=""),"Eşleşmedi","Eşleşti")))</ns0:f>
        <ns0:v/>
      </ns0:c>
      <ns0:c r="I1814" s="28">
        <ns0:f>I1813+IF(AND(H1814="Eşleşmedi",E1814='Panel'!$B$4),1,0)</ns0:f>
        <ns0:v>3.0</ns0:v>
      </ns0:c>
    </ns0:row>
    <ns0:row r="1815" ht="21" customHeight="1">
      <ns0:c r="A1815" s="25" t="n"/>
      <ns0:c r="B1815" s="26" t="n"/>
      <ns0:c r="C1815" s="27" t="n"/>
      <ns0:c r="D1815" s="27" t="n"/>
      <ns0:c r="E1815" s="28" t="str">
        <ns0:f>IF(A1815="","",YEAR(A1815)&amp;"-"&amp;RIGHT("0"&amp;MONTH(A1815),2))</ns0:f>
        <ns0:v/>
      </ns0:c>
      <ns0:c r="F1815" s="28" t="str">
        <ns0:f>IF(OR(A1815="",B1815="",C1815&lt;=0),"",IF(SUMPRODUCT(('Müşteriler'!$B$2:$B$101&lt;&gt;"")*ISNUMBER(SEARCH('Müşteriler'!$B$2:$B$101,B1815)))=1,IFERROR(INDEX('Müşteriler'!$A$2:$A$101,SUMPRODUCT(('Müşteriler'!$B$2:$B$101&lt;&gt;"")*ISNUMBER(SEARCH('Müşteriler'!$B$2:$B$101,B1815)),ROW('Müşteriler'!$B$2:$B$101)-ROW('Müşteriler'!$B$2)+1)),""),""))</ns0:f>
        <ns0:v/>
      </ns0:c>
      <ns0:c r="G1815" s="28" t="str">
        <ns0:f>IF(F1815="","",IFERROR(INDEX('Müşteriler'!$C$2:$C$101,MATCH(F1815,'Müşteriler'!$A$2:$A$101,0)),""))</ns0:f>
        <ns0:v/>
      </ns0:c>
      <ns0:c r="H1815" s="28" t="str">
        <ns0:f>IF(A1815="","",IF(C1815&lt;=0,"Satış dışı",IF(OR(F1815="",G1815=""),"Eşleşmedi","Eşleşti")))</ns0:f>
        <ns0:v/>
      </ns0:c>
      <ns0:c r="I1815" s="28">
        <ns0:f>I1814+IF(AND(H1815="Eşleşmedi",E1815='Panel'!$B$4),1,0)</ns0:f>
        <ns0:v>3.0</ns0:v>
      </ns0:c>
    </ns0:row>
    <ns0:row r="1816" ht="21" customHeight="1">
      <ns0:c r="A1816" s="25" t="n"/>
      <ns0:c r="B1816" s="26" t="n"/>
      <ns0:c r="C1816" s="27" t="n"/>
      <ns0:c r="D1816" s="27" t="n"/>
      <ns0:c r="E1816" s="28" t="str">
        <ns0:f>IF(A1816="","",YEAR(A1816)&amp;"-"&amp;RIGHT("0"&amp;MONTH(A1816),2))</ns0:f>
        <ns0:v/>
      </ns0:c>
      <ns0:c r="F1816" s="28" t="str">
        <ns0:f>IF(OR(A1816="",B1816="",C1816&lt;=0),"",IF(SUMPRODUCT(('Müşteriler'!$B$2:$B$101&lt;&gt;"")*ISNUMBER(SEARCH('Müşteriler'!$B$2:$B$101,B1816)))=1,IFERROR(INDEX('Müşteriler'!$A$2:$A$101,SUMPRODUCT(('Müşteriler'!$B$2:$B$101&lt;&gt;"")*ISNUMBER(SEARCH('Müşteriler'!$B$2:$B$101,B1816)),ROW('Müşteriler'!$B$2:$B$101)-ROW('Müşteriler'!$B$2)+1)),""),""))</ns0:f>
        <ns0:v/>
      </ns0:c>
      <ns0:c r="G1816" s="28" t="str">
        <ns0:f>IF(F1816="","",IFERROR(INDEX('Müşteriler'!$C$2:$C$101,MATCH(F1816,'Müşteriler'!$A$2:$A$101,0)),""))</ns0:f>
        <ns0:v/>
      </ns0:c>
      <ns0:c r="H1816" s="28" t="str">
        <ns0:f>IF(A1816="","",IF(C1816&lt;=0,"Satış dışı",IF(OR(F1816="",G1816=""),"Eşleşmedi","Eşleşti")))</ns0:f>
        <ns0:v/>
      </ns0:c>
      <ns0:c r="I1816" s="28">
        <ns0:f>I1815+IF(AND(H1816="Eşleşmedi",E1816='Panel'!$B$4),1,0)</ns0:f>
        <ns0:v>3.0</ns0:v>
      </ns0:c>
    </ns0:row>
    <ns0:row r="1817" ht="21" customHeight="1">
      <ns0:c r="A1817" s="25" t="n"/>
      <ns0:c r="B1817" s="26" t="n"/>
      <ns0:c r="C1817" s="27" t="n"/>
      <ns0:c r="D1817" s="27" t="n"/>
      <ns0:c r="E1817" s="28" t="str">
        <ns0:f>IF(A1817="","",YEAR(A1817)&amp;"-"&amp;RIGHT("0"&amp;MONTH(A1817),2))</ns0:f>
        <ns0:v/>
      </ns0:c>
      <ns0:c r="F1817" s="28" t="str">
        <ns0:f>IF(OR(A1817="",B1817="",C1817&lt;=0),"",IF(SUMPRODUCT(('Müşteriler'!$B$2:$B$101&lt;&gt;"")*ISNUMBER(SEARCH('Müşteriler'!$B$2:$B$101,B1817)))=1,IFERROR(INDEX('Müşteriler'!$A$2:$A$101,SUMPRODUCT(('Müşteriler'!$B$2:$B$101&lt;&gt;"")*ISNUMBER(SEARCH('Müşteriler'!$B$2:$B$101,B1817)),ROW('Müşteriler'!$B$2:$B$101)-ROW('Müşteriler'!$B$2)+1)),""),""))</ns0:f>
        <ns0:v/>
      </ns0:c>
      <ns0:c r="G1817" s="28" t="str">
        <ns0:f>IF(F1817="","",IFERROR(INDEX('Müşteriler'!$C$2:$C$101,MATCH(F1817,'Müşteriler'!$A$2:$A$101,0)),""))</ns0:f>
        <ns0:v/>
      </ns0:c>
      <ns0:c r="H1817" s="28" t="str">
        <ns0:f>IF(A1817="","",IF(C1817&lt;=0,"Satış dışı",IF(OR(F1817="",G1817=""),"Eşleşmedi","Eşleşti")))</ns0:f>
        <ns0:v/>
      </ns0:c>
      <ns0:c r="I1817" s="28">
        <ns0:f>I1816+IF(AND(H1817="Eşleşmedi",E1817='Panel'!$B$4),1,0)</ns0:f>
        <ns0:v>3.0</ns0:v>
      </ns0:c>
    </ns0:row>
    <ns0:row r="1818" ht="21" customHeight="1">
      <ns0:c r="A1818" s="25" t="n"/>
      <ns0:c r="B1818" s="26" t="n"/>
      <ns0:c r="C1818" s="27" t="n"/>
      <ns0:c r="D1818" s="27" t="n"/>
      <ns0:c r="E1818" s="28" t="str">
        <ns0:f>IF(A1818="","",YEAR(A1818)&amp;"-"&amp;RIGHT("0"&amp;MONTH(A1818),2))</ns0:f>
        <ns0:v/>
      </ns0:c>
      <ns0:c r="F1818" s="28" t="str">
        <ns0:f>IF(OR(A1818="",B1818="",C1818&lt;=0),"",IF(SUMPRODUCT(('Müşteriler'!$B$2:$B$101&lt;&gt;"")*ISNUMBER(SEARCH('Müşteriler'!$B$2:$B$101,B1818)))=1,IFERROR(INDEX('Müşteriler'!$A$2:$A$101,SUMPRODUCT(('Müşteriler'!$B$2:$B$101&lt;&gt;"")*ISNUMBER(SEARCH('Müşteriler'!$B$2:$B$101,B1818)),ROW('Müşteriler'!$B$2:$B$101)-ROW('Müşteriler'!$B$2)+1)),""),""))</ns0:f>
        <ns0:v/>
      </ns0:c>
      <ns0:c r="G1818" s="28" t="str">
        <ns0:f>IF(F1818="","",IFERROR(INDEX('Müşteriler'!$C$2:$C$101,MATCH(F1818,'Müşteriler'!$A$2:$A$101,0)),""))</ns0:f>
        <ns0:v/>
      </ns0:c>
      <ns0:c r="H1818" s="28" t="str">
        <ns0:f>IF(A1818="","",IF(C1818&lt;=0,"Satış dışı",IF(OR(F1818="",G1818=""),"Eşleşmedi","Eşleşti")))</ns0:f>
        <ns0:v/>
      </ns0:c>
      <ns0:c r="I1818" s="28">
        <ns0:f>I1817+IF(AND(H1818="Eşleşmedi",E1818='Panel'!$B$4),1,0)</ns0:f>
        <ns0:v>3.0</ns0:v>
      </ns0:c>
    </ns0:row>
    <ns0:row r="1819" ht="21" customHeight="1">
      <ns0:c r="A1819" s="25" t="n"/>
      <ns0:c r="B1819" s="26" t="n"/>
      <ns0:c r="C1819" s="27" t="n"/>
      <ns0:c r="D1819" s="27" t="n"/>
      <ns0:c r="E1819" s="28" t="str">
        <ns0:f>IF(A1819="","",YEAR(A1819)&amp;"-"&amp;RIGHT("0"&amp;MONTH(A1819),2))</ns0:f>
        <ns0:v/>
      </ns0:c>
      <ns0:c r="F1819" s="28" t="str">
        <ns0:f>IF(OR(A1819="",B1819="",C1819&lt;=0),"",IF(SUMPRODUCT(('Müşteriler'!$B$2:$B$101&lt;&gt;"")*ISNUMBER(SEARCH('Müşteriler'!$B$2:$B$101,B1819)))=1,IFERROR(INDEX('Müşteriler'!$A$2:$A$101,SUMPRODUCT(('Müşteriler'!$B$2:$B$101&lt;&gt;"")*ISNUMBER(SEARCH('Müşteriler'!$B$2:$B$101,B1819)),ROW('Müşteriler'!$B$2:$B$101)-ROW('Müşteriler'!$B$2)+1)),""),""))</ns0:f>
        <ns0:v/>
      </ns0:c>
      <ns0:c r="G1819" s="28" t="str">
        <ns0:f>IF(F1819="","",IFERROR(INDEX('Müşteriler'!$C$2:$C$101,MATCH(F1819,'Müşteriler'!$A$2:$A$101,0)),""))</ns0:f>
        <ns0:v/>
      </ns0:c>
      <ns0:c r="H1819" s="28" t="str">
        <ns0:f>IF(A1819="","",IF(C1819&lt;=0,"Satış dışı",IF(OR(F1819="",G1819=""),"Eşleşmedi","Eşleşti")))</ns0:f>
        <ns0:v/>
      </ns0:c>
      <ns0:c r="I1819" s="28">
        <ns0:f>I1818+IF(AND(H1819="Eşleşmedi",E1819='Panel'!$B$4),1,0)</ns0:f>
        <ns0:v>3.0</ns0:v>
      </ns0:c>
    </ns0:row>
    <ns0:row r="1820" ht="21" customHeight="1">
      <ns0:c r="A1820" s="25" t="n"/>
      <ns0:c r="B1820" s="26" t="n"/>
      <ns0:c r="C1820" s="27" t="n"/>
      <ns0:c r="D1820" s="27" t="n"/>
      <ns0:c r="E1820" s="28" t="str">
        <ns0:f>IF(A1820="","",YEAR(A1820)&amp;"-"&amp;RIGHT("0"&amp;MONTH(A1820),2))</ns0:f>
        <ns0:v/>
      </ns0:c>
      <ns0:c r="F1820" s="28" t="str">
        <ns0:f>IF(OR(A1820="",B1820="",C1820&lt;=0),"",IF(SUMPRODUCT(('Müşteriler'!$B$2:$B$101&lt;&gt;"")*ISNUMBER(SEARCH('Müşteriler'!$B$2:$B$101,B1820)))=1,IFERROR(INDEX('Müşteriler'!$A$2:$A$101,SUMPRODUCT(('Müşteriler'!$B$2:$B$101&lt;&gt;"")*ISNUMBER(SEARCH('Müşteriler'!$B$2:$B$101,B1820)),ROW('Müşteriler'!$B$2:$B$101)-ROW('Müşteriler'!$B$2)+1)),""),""))</ns0:f>
        <ns0:v/>
      </ns0:c>
      <ns0:c r="G1820" s="28" t="str">
        <ns0:f>IF(F1820="","",IFERROR(INDEX('Müşteriler'!$C$2:$C$101,MATCH(F1820,'Müşteriler'!$A$2:$A$101,0)),""))</ns0:f>
        <ns0:v/>
      </ns0:c>
      <ns0:c r="H1820" s="28" t="str">
        <ns0:f>IF(A1820="","",IF(C1820&lt;=0,"Satış dışı",IF(OR(F1820="",G1820=""),"Eşleşmedi","Eşleşti")))</ns0:f>
        <ns0:v/>
      </ns0:c>
      <ns0:c r="I1820" s="28">
        <ns0:f>I1819+IF(AND(H1820="Eşleşmedi",E1820='Panel'!$B$4),1,0)</ns0:f>
        <ns0:v>3.0</ns0:v>
      </ns0:c>
    </ns0:row>
    <ns0:row r="1821" ht="21" customHeight="1">
      <ns0:c r="A1821" s="25" t="n"/>
      <ns0:c r="B1821" s="26" t="n"/>
      <ns0:c r="C1821" s="27" t="n"/>
      <ns0:c r="D1821" s="27" t="n"/>
      <ns0:c r="E1821" s="28" t="str">
        <ns0:f>IF(A1821="","",YEAR(A1821)&amp;"-"&amp;RIGHT("0"&amp;MONTH(A1821),2))</ns0:f>
        <ns0:v/>
      </ns0:c>
      <ns0:c r="F1821" s="28" t="str">
        <ns0:f>IF(OR(A1821="",B1821="",C1821&lt;=0),"",IF(SUMPRODUCT(('Müşteriler'!$B$2:$B$101&lt;&gt;"")*ISNUMBER(SEARCH('Müşteriler'!$B$2:$B$101,B1821)))=1,IFERROR(INDEX('Müşteriler'!$A$2:$A$101,SUMPRODUCT(('Müşteriler'!$B$2:$B$101&lt;&gt;"")*ISNUMBER(SEARCH('Müşteriler'!$B$2:$B$101,B1821)),ROW('Müşteriler'!$B$2:$B$101)-ROW('Müşteriler'!$B$2)+1)),""),""))</ns0:f>
        <ns0:v/>
      </ns0:c>
      <ns0:c r="G1821" s="28" t="str">
        <ns0:f>IF(F1821="","",IFERROR(INDEX('Müşteriler'!$C$2:$C$101,MATCH(F1821,'Müşteriler'!$A$2:$A$101,0)),""))</ns0:f>
        <ns0:v/>
      </ns0:c>
      <ns0:c r="H1821" s="28" t="str">
        <ns0:f>IF(A1821="","",IF(C1821&lt;=0,"Satış dışı",IF(OR(F1821="",G1821=""),"Eşleşmedi","Eşleşti")))</ns0:f>
        <ns0:v/>
      </ns0:c>
      <ns0:c r="I1821" s="28">
        <ns0:f>I1820+IF(AND(H1821="Eşleşmedi",E1821='Panel'!$B$4),1,0)</ns0:f>
        <ns0:v>3.0</ns0:v>
      </ns0:c>
    </ns0:row>
    <ns0:row r="1822" ht="21" customHeight="1">
      <ns0:c r="A1822" s="25" t="n"/>
      <ns0:c r="B1822" s="26" t="n"/>
      <ns0:c r="C1822" s="27" t="n"/>
      <ns0:c r="D1822" s="27" t="n"/>
      <ns0:c r="E1822" s="28" t="str">
        <ns0:f>IF(A1822="","",YEAR(A1822)&amp;"-"&amp;RIGHT("0"&amp;MONTH(A1822),2))</ns0:f>
        <ns0:v/>
      </ns0:c>
      <ns0:c r="F1822" s="28" t="str">
        <ns0:f>IF(OR(A1822="",B1822="",C1822&lt;=0),"",IF(SUMPRODUCT(('Müşteriler'!$B$2:$B$101&lt;&gt;"")*ISNUMBER(SEARCH('Müşteriler'!$B$2:$B$101,B1822)))=1,IFERROR(INDEX('Müşteriler'!$A$2:$A$101,SUMPRODUCT(('Müşteriler'!$B$2:$B$101&lt;&gt;"")*ISNUMBER(SEARCH('Müşteriler'!$B$2:$B$101,B1822)),ROW('Müşteriler'!$B$2:$B$101)-ROW('Müşteriler'!$B$2)+1)),""),""))</ns0:f>
        <ns0:v/>
      </ns0:c>
      <ns0:c r="G1822" s="28" t="str">
        <ns0:f>IF(F1822="","",IFERROR(INDEX('Müşteriler'!$C$2:$C$101,MATCH(F1822,'Müşteriler'!$A$2:$A$101,0)),""))</ns0:f>
        <ns0:v/>
      </ns0:c>
      <ns0:c r="H1822" s="28" t="str">
        <ns0:f>IF(A1822="","",IF(C1822&lt;=0,"Satış dışı",IF(OR(F1822="",G1822=""),"Eşleşmedi","Eşleşti")))</ns0:f>
        <ns0:v/>
      </ns0:c>
      <ns0:c r="I1822" s="28">
        <ns0:f>I1821+IF(AND(H1822="Eşleşmedi",E1822='Panel'!$B$4),1,0)</ns0:f>
        <ns0:v>3.0</ns0:v>
      </ns0:c>
    </ns0:row>
    <ns0:row r="1823" ht="21" customHeight="1">
      <ns0:c r="A1823" s="25" t="n"/>
      <ns0:c r="B1823" s="26" t="n"/>
      <ns0:c r="C1823" s="27" t="n"/>
      <ns0:c r="D1823" s="27" t="n"/>
      <ns0:c r="E1823" s="28" t="str">
        <ns0:f>IF(A1823="","",YEAR(A1823)&amp;"-"&amp;RIGHT("0"&amp;MONTH(A1823),2))</ns0:f>
        <ns0:v/>
      </ns0:c>
      <ns0:c r="F1823" s="28" t="str">
        <ns0:f>IF(OR(A1823="",B1823="",C1823&lt;=0),"",IF(SUMPRODUCT(('Müşteriler'!$B$2:$B$101&lt;&gt;"")*ISNUMBER(SEARCH('Müşteriler'!$B$2:$B$101,B1823)))=1,IFERROR(INDEX('Müşteriler'!$A$2:$A$101,SUMPRODUCT(('Müşteriler'!$B$2:$B$101&lt;&gt;"")*ISNUMBER(SEARCH('Müşteriler'!$B$2:$B$101,B1823)),ROW('Müşteriler'!$B$2:$B$101)-ROW('Müşteriler'!$B$2)+1)),""),""))</ns0:f>
        <ns0:v/>
      </ns0:c>
      <ns0:c r="G1823" s="28" t="str">
        <ns0:f>IF(F1823="","",IFERROR(INDEX('Müşteriler'!$C$2:$C$101,MATCH(F1823,'Müşteriler'!$A$2:$A$101,0)),""))</ns0:f>
        <ns0:v/>
      </ns0:c>
      <ns0:c r="H1823" s="28" t="str">
        <ns0:f>IF(A1823="","",IF(C1823&lt;=0,"Satış dışı",IF(OR(F1823="",G1823=""),"Eşleşmedi","Eşleşti")))</ns0:f>
        <ns0:v/>
      </ns0:c>
      <ns0:c r="I1823" s="28">
        <ns0:f>I1822+IF(AND(H1823="Eşleşmedi",E1823='Panel'!$B$4),1,0)</ns0:f>
        <ns0:v>3.0</ns0:v>
      </ns0:c>
    </ns0:row>
    <ns0:row r="1824" ht="21" customHeight="1">
      <ns0:c r="A1824" s="25" t="n"/>
      <ns0:c r="B1824" s="26" t="n"/>
      <ns0:c r="C1824" s="27" t="n"/>
      <ns0:c r="D1824" s="27" t="n"/>
      <ns0:c r="E1824" s="28" t="str">
        <ns0:f>IF(A1824="","",YEAR(A1824)&amp;"-"&amp;RIGHT("0"&amp;MONTH(A1824),2))</ns0:f>
        <ns0:v/>
      </ns0:c>
      <ns0:c r="F1824" s="28" t="str">
        <ns0:f>IF(OR(A1824="",B1824="",C1824&lt;=0),"",IF(SUMPRODUCT(('Müşteriler'!$B$2:$B$101&lt;&gt;"")*ISNUMBER(SEARCH('Müşteriler'!$B$2:$B$101,B1824)))=1,IFERROR(INDEX('Müşteriler'!$A$2:$A$101,SUMPRODUCT(('Müşteriler'!$B$2:$B$101&lt;&gt;"")*ISNUMBER(SEARCH('Müşteriler'!$B$2:$B$101,B1824)),ROW('Müşteriler'!$B$2:$B$101)-ROW('Müşteriler'!$B$2)+1)),""),""))</ns0:f>
        <ns0:v/>
      </ns0:c>
      <ns0:c r="G1824" s="28" t="str">
        <ns0:f>IF(F1824="","",IFERROR(INDEX('Müşteriler'!$C$2:$C$101,MATCH(F1824,'Müşteriler'!$A$2:$A$101,0)),""))</ns0:f>
        <ns0:v/>
      </ns0:c>
      <ns0:c r="H1824" s="28" t="str">
        <ns0:f>IF(A1824="","",IF(C1824&lt;=0,"Satış dışı",IF(OR(F1824="",G1824=""),"Eşleşmedi","Eşleşti")))</ns0:f>
        <ns0:v/>
      </ns0:c>
      <ns0:c r="I1824" s="28">
        <ns0:f>I1823+IF(AND(H1824="Eşleşmedi",E1824='Panel'!$B$4),1,0)</ns0:f>
        <ns0:v>3.0</ns0:v>
      </ns0:c>
    </ns0:row>
    <ns0:row r="1825" ht="21" customHeight="1">
      <ns0:c r="A1825" s="25" t="n"/>
      <ns0:c r="B1825" s="26" t="n"/>
      <ns0:c r="C1825" s="27" t="n"/>
      <ns0:c r="D1825" s="27" t="n"/>
      <ns0:c r="E1825" s="28" t="str">
        <ns0:f>IF(A1825="","",YEAR(A1825)&amp;"-"&amp;RIGHT("0"&amp;MONTH(A1825),2))</ns0:f>
        <ns0:v/>
      </ns0:c>
      <ns0:c r="F1825" s="28" t="str">
        <ns0:f>IF(OR(A1825="",B1825="",C1825&lt;=0),"",IF(SUMPRODUCT(('Müşteriler'!$B$2:$B$101&lt;&gt;"")*ISNUMBER(SEARCH('Müşteriler'!$B$2:$B$101,B1825)))=1,IFERROR(INDEX('Müşteriler'!$A$2:$A$101,SUMPRODUCT(('Müşteriler'!$B$2:$B$101&lt;&gt;"")*ISNUMBER(SEARCH('Müşteriler'!$B$2:$B$101,B1825)),ROW('Müşteriler'!$B$2:$B$101)-ROW('Müşteriler'!$B$2)+1)),""),""))</ns0:f>
        <ns0:v/>
      </ns0:c>
      <ns0:c r="G1825" s="28" t="str">
        <ns0:f>IF(F1825="","",IFERROR(INDEX('Müşteriler'!$C$2:$C$101,MATCH(F1825,'Müşteriler'!$A$2:$A$101,0)),""))</ns0:f>
        <ns0:v/>
      </ns0:c>
      <ns0:c r="H1825" s="28" t="str">
        <ns0:f>IF(A1825="","",IF(C1825&lt;=0,"Satış dışı",IF(OR(F1825="",G1825=""),"Eşleşmedi","Eşleşti")))</ns0:f>
        <ns0:v/>
      </ns0:c>
      <ns0:c r="I1825" s="28">
        <ns0:f>I1824+IF(AND(H1825="Eşleşmedi",E1825='Panel'!$B$4),1,0)</ns0:f>
        <ns0:v>3.0</ns0:v>
      </ns0:c>
    </ns0:row>
    <ns0:row r="1826" ht="21" customHeight="1">
      <ns0:c r="A1826" s="25" t="n"/>
      <ns0:c r="B1826" s="26" t="n"/>
      <ns0:c r="C1826" s="27" t="n"/>
      <ns0:c r="D1826" s="27" t="n"/>
      <ns0:c r="E1826" s="28" t="str">
        <ns0:f>IF(A1826="","",YEAR(A1826)&amp;"-"&amp;RIGHT("0"&amp;MONTH(A1826),2))</ns0:f>
        <ns0:v/>
      </ns0:c>
      <ns0:c r="F1826" s="28" t="str">
        <ns0:f>IF(OR(A1826="",B1826="",C1826&lt;=0),"",IF(SUMPRODUCT(('Müşteriler'!$B$2:$B$101&lt;&gt;"")*ISNUMBER(SEARCH('Müşteriler'!$B$2:$B$101,B1826)))=1,IFERROR(INDEX('Müşteriler'!$A$2:$A$101,SUMPRODUCT(('Müşteriler'!$B$2:$B$101&lt;&gt;"")*ISNUMBER(SEARCH('Müşteriler'!$B$2:$B$101,B1826)),ROW('Müşteriler'!$B$2:$B$101)-ROW('Müşteriler'!$B$2)+1)),""),""))</ns0:f>
        <ns0:v/>
      </ns0:c>
      <ns0:c r="G1826" s="28" t="str">
        <ns0:f>IF(F1826="","",IFERROR(INDEX('Müşteriler'!$C$2:$C$101,MATCH(F1826,'Müşteriler'!$A$2:$A$101,0)),""))</ns0:f>
        <ns0:v/>
      </ns0:c>
      <ns0:c r="H1826" s="28" t="str">
        <ns0:f>IF(A1826="","",IF(C1826&lt;=0,"Satış dışı",IF(OR(F1826="",G1826=""),"Eşleşmedi","Eşleşti")))</ns0:f>
        <ns0:v/>
      </ns0:c>
      <ns0:c r="I1826" s="28">
        <ns0:f>I1825+IF(AND(H1826="Eşleşmedi",E1826='Panel'!$B$4),1,0)</ns0:f>
        <ns0:v>3.0</ns0:v>
      </ns0:c>
    </ns0:row>
    <ns0:row r="1827" ht="21" customHeight="1">
      <ns0:c r="A1827" s="25" t="n"/>
      <ns0:c r="B1827" s="26" t="n"/>
      <ns0:c r="C1827" s="27" t="n"/>
      <ns0:c r="D1827" s="27" t="n"/>
      <ns0:c r="E1827" s="28" t="str">
        <ns0:f>IF(A1827="","",YEAR(A1827)&amp;"-"&amp;RIGHT("0"&amp;MONTH(A1827),2))</ns0:f>
        <ns0:v/>
      </ns0:c>
      <ns0:c r="F1827" s="28" t="str">
        <ns0:f>IF(OR(A1827="",B1827="",C1827&lt;=0),"",IF(SUMPRODUCT(('Müşteriler'!$B$2:$B$101&lt;&gt;"")*ISNUMBER(SEARCH('Müşteriler'!$B$2:$B$101,B1827)))=1,IFERROR(INDEX('Müşteriler'!$A$2:$A$101,SUMPRODUCT(('Müşteriler'!$B$2:$B$101&lt;&gt;"")*ISNUMBER(SEARCH('Müşteriler'!$B$2:$B$101,B1827)),ROW('Müşteriler'!$B$2:$B$101)-ROW('Müşteriler'!$B$2)+1)),""),""))</ns0:f>
        <ns0:v/>
      </ns0:c>
      <ns0:c r="G1827" s="28" t="str">
        <ns0:f>IF(F1827="","",IFERROR(INDEX('Müşteriler'!$C$2:$C$101,MATCH(F1827,'Müşteriler'!$A$2:$A$101,0)),""))</ns0:f>
        <ns0:v/>
      </ns0:c>
      <ns0:c r="H1827" s="28" t="str">
        <ns0:f>IF(A1827="","",IF(C1827&lt;=0,"Satış dışı",IF(OR(F1827="",G1827=""),"Eşleşmedi","Eşleşti")))</ns0:f>
        <ns0:v/>
      </ns0:c>
      <ns0:c r="I1827" s="28">
        <ns0:f>I1826+IF(AND(H1827="Eşleşmedi",E1827='Panel'!$B$4),1,0)</ns0:f>
        <ns0:v>3.0</ns0:v>
      </ns0:c>
    </ns0:row>
    <ns0:row r="1828" ht="21" customHeight="1">
      <ns0:c r="A1828" s="25" t="n"/>
      <ns0:c r="B1828" s="26" t="n"/>
      <ns0:c r="C1828" s="27" t="n"/>
      <ns0:c r="D1828" s="27" t="n"/>
      <ns0:c r="E1828" s="28" t="str">
        <ns0:f>IF(A1828="","",YEAR(A1828)&amp;"-"&amp;RIGHT("0"&amp;MONTH(A1828),2))</ns0:f>
        <ns0:v/>
      </ns0:c>
      <ns0:c r="F1828" s="28" t="str">
        <ns0:f>IF(OR(A1828="",B1828="",C1828&lt;=0),"",IF(SUMPRODUCT(('Müşteriler'!$B$2:$B$101&lt;&gt;"")*ISNUMBER(SEARCH('Müşteriler'!$B$2:$B$101,B1828)))=1,IFERROR(INDEX('Müşteriler'!$A$2:$A$101,SUMPRODUCT(('Müşteriler'!$B$2:$B$101&lt;&gt;"")*ISNUMBER(SEARCH('Müşteriler'!$B$2:$B$101,B1828)),ROW('Müşteriler'!$B$2:$B$101)-ROW('Müşteriler'!$B$2)+1)),""),""))</ns0:f>
        <ns0:v/>
      </ns0:c>
      <ns0:c r="G1828" s="28" t="str">
        <ns0:f>IF(F1828="","",IFERROR(INDEX('Müşteriler'!$C$2:$C$101,MATCH(F1828,'Müşteriler'!$A$2:$A$101,0)),""))</ns0:f>
        <ns0:v/>
      </ns0:c>
      <ns0:c r="H1828" s="28" t="str">
        <ns0:f>IF(A1828="","",IF(C1828&lt;=0,"Satış dışı",IF(OR(F1828="",G1828=""),"Eşleşmedi","Eşleşti")))</ns0:f>
        <ns0:v/>
      </ns0:c>
      <ns0:c r="I1828" s="28">
        <ns0:f>I1827+IF(AND(H1828="Eşleşmedi",E1828='Panel'!$B$4),1,0)</ns0:f>
        <ns0:v>3.0</ns0:v>
      </ns0:c>
    </ns0:row>
    <ns0:row r="1829" ht="21" customHeight="1">
      <ns0:c r="A1829" s="25" t="n"/>
      <ns0:c r="B1829" s="26" t="n"/>
      <ns0:c r="C1829" s="27" t="n"/>
      <ns0:c r="D1829" s="27" t="n"/>
      <ns0:c r="E1829" s="28" t="str">
        <ns0:f>IF(A1829="","",YEAR(A1829)&amp;"-"&amp;RIGHT("0"&amp;MONTH(A1829),2))</ns0:f>
        <ns0:v/>
      </ns0:c>
      <ns0:c r="F1829" s="28" t="str">
        <ns0:f>IF(OR(A1829="",B1829="",C1829&lt;=0),"",IF(SUMPRODUCT(('Müşteriler'!$B$2:$B$101&lt;&gt;"")*ISNUMBER(SEARCH('Müşteriler'!$B$2:$B$101,B1829)))=1,IFERROR(INDEX('Müşteriler'!$A$2:$A$101,SUMPRODUCT(('Müşteriler'!$B$2:$B$101&lt;&gt;"")*ISNUMBER(SEARCH('Müşteriler'!$B$2:$B$101,B1829)),ROW('Müşteriler'!$B$2:$B$101)-ROW('Müşteriler'!$B$2)+1)),""),""))</ns0:f>
        <ns0:v/>
      </ns0:c>
      <ns0:c r="G1829" s="28" t="str">
        <ns0:f>IF(F1829="","",IFERROR(INDEX('Müşteriler'!$C$2:$C$101,MATCH(F1829,'Müşteriler'!$A$2:$A$101,0)),""))</ns0:f>
        <ns0:v/>
      </ns0:c>
      <ns0:c r="H1829" s="28" t="str">
        <ns0:f>IF(A1829="","",IF(C1829&lt;=0,"Satış dışı",IF(OR(F1829="",G1829=""),"Eşleşmedi","Eşleşti")))</ns0:f>
        <ns0:v/>
      </ns0:c>
      <ns0:c r="I1829" s="28">
        <ns0:f>I1828+IF(AND(H1829="Eşleşmedi",E1829='Panel'!$B$4),1,0)</ns0:f>
        <ns0:v>3.0</ns0:v>
      </ns0:c>
    </ns0:row>
    <ns0:row r="1830" ht="21" customHeight="1">
      <ns0:c r="A1830" s="25" t="n"/>
      <ns0:c r="B1830" s="26" t="n"/>
      <ns0:c r="C1830" s="27" t="n"/>
      <ns0:c r="D1830" s="27" t="n"/>
      <ns0:c r="E1830" s="28" t="str">
        <ns0:f>IF(A1830="","",YEAR(A1830)&amp;"-"&amp;RIGHT("0"&amp;MONTH(A1830),2))</ns0:f>
        <ns0:v/>
      </ns0:c>
      <ns0:c r="F1830" s="28" t="str">
        <ns0:f>IF(OR(A1830="",B1830="",C1830&lt;=0),"",IF(SUMPRODUCT(('Müşteriler'!$B$2:$B$101&lt;&gt;"")*ISNUMBER(SEARCH('Müşteriler'!$B$2:$B$101,B1830)))=1,IFERROR(INDEX('Müşteriler'!$A$2:$A$101,SUMPRODUCT(('Müşteriler'!$B$2:$B$101&lt;&gt;"")*ISNUMBER(SEARCH('Müşteriler'!$B$2:$B$101,B1830)),ROW('Müşteriler'!$B$2:$B$101)-ROW('Müşteriler'!$B$2)+1)),""),""))</ns0:f>
        <ns0:v/>
      </ns0:c>
      <ns0:c r="G1830" s="28" t="str">
        <ns0:f>IF(F1830="","",IFERROR(INDEX('Müşteriler'!$C$2:$C$101,MATCH(F1830,'Müşteriler'!$A$2:$A$101,0)),""))</ns0:f>
        <ns0:v/>
      </ns0:c>
      <ns0:c r="H1830" s="28" t="str">
        <ns0:f>IF(A1830="","",IF(C1830&lt;=0,"Satış dışı",IF(OR(F1830="",G1830=""),"Eşleşmedi","Eşleşti")))</ns0:f>
        <ns0:v/>
      </ns0:c>
      <ns0:c r="I1830" s="28">
        <ns0:f>I1829+IF(AND(H1830="Eşleşmedi",E1830='Panel'!$B$4),1,0)</ns0:f>
        <ns0:v>3.0</ns0:v>
      </ns0:c>
    </ns0:row>
    <ns0:row r="1831" ht="21" customHeight="1">
      <ns0:c r="A1831" s="25" t="n"/>
      <ns0:c r="B1831" s="26" t="n"/>
      <ns0:c r="C1831" s="27" t="n"/>
      <ns0:c r="D1831" s="27" t="n"/>
      <ns0:c r="E1831" s="28" t="str">
        <ns0:f>IF(A1831="","",YEAR(A1831)&amp;"-"&amp;RIGHT("0"&amp;MONTH(A1831),2))</ns0:f>
        <ns0:v/>
      </ns0:c>
      <ns0:c r="F1831" s="28" t="str">
        <ns0:f>IF(OR(A1831="",B1831="",C1831&lt;=0),"",IF(SUMPRODUCT(('Müşteriler'!$B$2:$B$101&lt;&gt;"")*ISNUMBER(SEARCH('Müşteriler'!$B$2:$B$101,B1831)))=1,IFERROR(INDEX('Müşteriler'!$A$2:$A$101,SUMPRODUCT(('Müşteriler'!$B$2:$B$101&lt;&gt;"")*ISNUMBER(SEARCH('Müşteriler'!$B$2:$B$101,B1831)),ROW('Müşteriler'!$B$2:$B$101)-ROW('Müşteriler'!$B$2)+1)),""),""))</ns0:f>
        <ns0:v/>
      </ns0:c>
      <ns0:c r="G1831" s="28" t="str">
        <ns0:f>IF(F1831="","",IFERROR(INDEX('Müşteriler'!$C$2:$C$101,MATCH(F1831,'Müşteriler'!$A$2:$A$101,0)),""))</ns0:f>
        <ns0:v/>
      </ns0:c>
      <ns0:c r="H1831" s="28" t="str">
        <ns0:f>IF(A1831="","",IF(C1831&lt;=0,"Satış dışı",IF(OR(F1831="",G1831=""),"Eşleşmedi","Eşleşti")))</ns0:f>
        <ns0:v/>
      </ns0:c>
      <ns0:c r="I1831" s="28">
        <ns0:f>I1830+IF(AND(H1831="Eşleşmedi",E1831='Panel'!$B$4),1,0)</ns0:f>
        <ns0:v>3.0</ns0:v>
      </ns0:c>
    </ns0:row>
    <ns0:row r="1832" ht="21" customHeight="1">
      <ns0:c r="A1832" s="25" t="n"/>
      <ns0:c r="B1832" s="26" t="n"/>
      <ns0:c r="C1832" s="27" t="n"/>
      <ns0:c r="D1832" s="27" t="n"/>
      <ns0:c r="E1832" s="28" t="str">
        <ns0:f>IF(A1832="","",YEAR(A1832)&amp;"-"&amp;RIGHT("0"&amp;MONTH(A1832),2))</ns0:f>
        <ns0:v/>
      </ns0:c>
      <ns0:c r="F1832" s="28" t="str">
        <ns0:f>IF(OR(A1832="",B1832="",C1832&lt;=0),"",IF(SUMPRODUCT(('Müşteriler'!$B$2:$B$101&lt;&gt;"")*ISNUMBER(SEARCH('Müşteriler'!$B$2:$B$101,B1832)))=1,IFERROR(INDEX('Müşteriler'!$A$2:$A$101,SUMPRODUCT(('Müşteriler'!$B$2:$B$101&lt;&gt;"")*ISNUMBER(SEARCH('Müşteriler'!$B$2:$B$101,B1832)),ROW('Müşteriler'!$B$2:$B$101)-ROW('Müşteriler'!$B$2)+1)),""),""))</ns0:f>
        <ns0:v/>
      </ns0:c>
      <ns0:c r="G1832" s="28" t="str">
        <ns0:f>IF(F1832="","",IFERROR(INDEX('Müşteriler'!$C$2:$C$101,MATCH(F1832,'Müşteriler'!$A$2:$A$101,0)),""))</ns0:f>
        <ns0:v/>
      </ns0:c>
      <ns0:c r="H1832" s="28" t="str">
        <ns0:f>IF(A1832="","",IF(C1832&lt;=0,"Satış dışı",IF(OR(F1832="",G1832=""),"Eşleşmedi","Eşleşti")))</ns0:f>
        <ns0:v/>
      </ns0:c>
      <ns0:c r="I1832" s="28">
        <ns0:f>I1831+IF(AND(H1832="Eşleşmedi",E1832='Panel'!$B$4),1,0)</ns0:f>
        <ns0:v>3.0</ns0:v>
      </ns0:c>
    </ns0:row>
    <ns0:row r="1833" ht="21" customHeight="1">
      <ns0:c r="A1833" s="25" t="n"/>
      <ns0:c r="B1833" s="26" t="n"/>
      <ns0:c r="C1833" s="27" t="n"/>
      <ns0:c r="D1833" s="27" t="n"/>
      <ns0:c r="E1833" s="28" t="str">
        <ns0:f>IF(A1833="","",YEAR(A1833)&amp;"-"&amp;RIGHT("0"&amp;MONTH(A1833),2))</ns0:f>
        <ns0:v/>
      </ns0:c>
      <ns0:c r="F1833" s="28" t="str">
        <ns0:f>IF(OR(A1833="",B1833="",C1833&lt;=0),"",IF(SUMPRODUCT(('Müşteriler'!$B$2:$B$101&lt;&gt;"")*ISNUMBER(SEARCH('Müşteriler'!$B$2:$B$101,B1833)))=1,IFERROR(INDEX('Müşteriler'!$A$2:$A$101,SUMPRODUCT(('Müşteriler'!$B$2:$B$101&lt;&gt;"")*ISNUMBER(SEARCH('Müşteriler'!$B$2:$B$101,B1833)),ROW('Müşteriler'!$B$2:$B$101)-ROW('Müşteriler'!$B$2)+1)),""),""))</ns0:f>
        <ns0:v/>
      </ns0:c>
      <ns0:c r="G1833" s="28" t="str">
        <ns0:f>IF(F1833="","",IFERROR(INDEX('Müşteriler'!$C$2:$C$101,MATCH(F1833,'Müşteriler'!$A$2:$A$101,0)),""))</ns0:f>
        <ns0:v/>
      </ns0:c>
      <ns0:c r="H1833" s="28" t="str">
        <ns0:f>IF(A1833="","",IF(C1833&lt;=0,"Satış dışı",IF(OR(F1833="",G1833=""),"Eşleşmedi","Eşleşti")))</ns0:f>
        <ns0:v/>
      </ns0:c>
      <ns0:c r="I1833" s="28">
        <ns0:f>I1832+IF(AND(H1833="Eşleşmedi",E1833='Panel'!$B$4),1,0)</ns0:f>
        <ns0:v>3.0</ns0:v>
      </ns0:c>
    </ns0:row>
    <ns0:row r="1834" ht="21" customHeight="1">
      <ns0:c r="A1834" s="25" t="n"/>
      <ns0:c r="B1834" s="26" t="n"/>
      <ns0:c r="C1834" s="27" t="n"/>
      <ns0:c r="D1834" s="27" t="n"/>
      <ns0:c r="E1834" s="28" t="str">
        <ns0:f>IF(A1834="","",YEAR(A1834)&amp;"-"&amp;RIGHT("0"&amp;MONTH(A1834),2))</ns0:f>
        <ns0:v/>
      </ns0:c>
      <ns0:c r="F1834" s="28" t="str">
        <ns0:f>IF(OR(A1834="",B1834="",C1834&lt;=0),"",IF(SUMPRODUCT(('Müşteriler'!$B$2:$B$101&lt;&gt;"")*ISNUMBER(SEARCH('Müşteriler'!$B$2:$B$101,B1834)))=1,IFERROR(INDEX('Müşteriler'!$A$2:$A$101,SUMPRODUCT(('Müşteriler'!$B$2:$B$101&lt;&gt;"")*ISNUMBER(SEARCH('Müşteriler'!$B$2:$B$101,B1834)),ROW('Müşteriler'!$B$2:$B$101)-ROW('Müşteriler'!$B$2)+1)),""),""))</ns0:f>
        <ns0:v/>
      </ns0:c>
      <ns0:c r="G1834" s="28" t="str">
        <ns0:f>IF(F1834="","",IFERROR(INDEX('Müşteriler'!$C$2:$C$101,MATCH(F1834,'Müşteriler'!$A$2:$A$101,0)),""))</ns0:f>
        <ns0:v/>
      </ns0:c>
      <ns0:c r="H1834" s="28" t="str">
        <ns0:f>IF(A1834="","",IF(C1834&lt;=0,"Satış dışı",IF(OR(F1834="",G1834=""),"Eşleşmedi","Eşleşti")))</ns0:f>
        <ns0:v/>
      </ns0:c>
      <ns0:c r="I1834" s="28">
        <ns0:f>I1833+IF(AND(H1834="Eşleşmedi",E1834='Panel'!$B$4),1,0)</ns0:f>
        <ns0:v>3.0</ns0:v>
      </ns0:c>
    </ns0:row>
    <ns0:row r="1835" ht="21" customHeight="1">
      <ns0:c r="A1835" s="25" t="n"/>
      <ns0:c r="B1835" s="26" t="n"/>
      <ns0:c r="C1835" s="27" t="n"/>
      <ns0:c r="D1835" s="27" t="n"/>
      <ns0:c r="E1835" s="28" t="str">
        <ns0:f>IF(A1835="","",YEAR(A1835)&amp;"-"&amp;RIGHT("0"&amp;MONTH(A1835),2))</ns0:f>
        <ns0:v/>
      </ns0:c>
      <ns0:c r="F1835" s="28" t="str">
        <ns0:f>IF(OR(A1835="",B1835="",C1835&lt;=0),"",IF(SUMPRODUCT(('Müşteriler'!$B$2:$B$101&lt;&gt;"")*ISNUMBER(SEARCH('Müşteriler'!$B$2:$B$101,B1835)))=1,IFERROR(INDEX('Müşteriler'!$A$2:$A$101,SUMPRODUCT(('Müşteriler'!$B$2:$B$101&lt;&gt;"")*ISNUMBER(SEARCH('Müşteriler'!$B$2:$B$101,B1835)),ROW('Müşteriler'!$B$2:$B$101)-ROW('Müşteriler'!$B$2)+1)),""),""))</ns0:f>
        <ns0:v/>
      </ns0:c>
      <ns0:c r="G1835" s="28" t="str">
        <ns0:f>IF(F1835="","",IFERROR(INDEX('Müşteriler'!$C$2:$C$101,MATCH(F1835,'Müşteriler'!$A$2:$A$101,0)),""))</ns0:f>
        <ns0:v/>
      </ns0:c>
      <ns0:c r="H1835" s="28" t="str">
        <ns0:f>IF(A1835="","",IF(C1835&lt;=0,"Satış dışı",IF(OR(F1835="",G1835=""),"Eşleşmedi","Eşleşti")))</ns0:f>
        <ns0:v/>
      </ns0:c>
      <ns0:c r="I1835" s="28">
        <ns0:f>I1834+IF(AND(H1835="Eşleşmedi",E1835='Panel'!$B$4),1,0)</ns0:f>
        <ns0:v>3.0</ns0:v>
      </ns0:c>
    </ns0:row>
    <ns0:row r="1836" ht="21" customHeight="1">
      <ns0:c r="A1836" s="25" t="n"/>
      <ns0:c r="B1836" s="26" t="n"/>
      <ns0:c r="C1836" s="27" t="n"/>
      <ns0:c r="D1836" s="27" t="n"/>
      <ns0:c r="E1836" s="28" t="str">
        <ns0:f>IF(A1836="","",YEAR(A1836)&amp;"-"&amp;RIGHT("0"&amp;MONTH(A1836),2))</ns0:f>
        <ns0:v/>
      </ns0:c>
      <ns0:c r="F1836" s="28" t="str">
        <ns0:f>IF(OR(A1836="",B1836="",C1836&lt;=0),"",IF(SUMPRODUCT(('Müşteriler'!$B$2:$B$101&lt;&gt;"")*ISNUMBER(SEARCH('Müşteriler'!$B$2:$B$101,B1836)))=1,IFERROR(INDEX('Müşteriler'!$A$2:$A$101,SUMPRODUCT(('Müşteriler'!$B$2:$B$101&lt;&gt;"")*ISNUMBER(SEARCH('Müşteriler'!$B$2:$B$101,B1836)),ROW('Müşteriler'!$B$2:$B$101)-ROW('Müşteriler'!$B$2)+1)),""),""))</ns0:f>
        <ns0:v/>
      </ns0:c>
      <ns0:c r="G1836" s="28" t="str">
        <ns0:f>IF(F1836="","",IFERROR(INDEX('Müşteriler'!$C$2:$C$101,MATCH(F1836,'Müşteriler'!$A$2:$A$101,0)),""))</ns0:f>
        <ns0:v/>
      </ns0:c>
      <ns0:c r="H1836" s="28" t="str">
        <ns0:f>IF(A1836="","",IF(C1836&lt;=0,"Satış dışı",IF(OR(F1836="",G1836=""),"Eşleşmedi","Eşleşti")))</ns0:f>
        <ns0:v/>
      </ns0:c>
      <ns0:c r="I1836" s="28">
        <ns0:f>I1835+IF(AND(H1836="Eşleşmedi",E1836='Panel'!$B$4),1,0)</ns0:f>
        <ns0:v>3.0</ns0:v>
      </ns0:c>
    </ns0:row>
    <ns0:row r="1837" ht="21" customHeight="1">
      <ns0:c r="A1837" s="25" t="n"/>
      <ns0:c r="B1837" s="26" t="n"/>
      <ns0:c r="C1837" s="27" t="n"/>
      <ns0:c r="D1837" s="27" t="n"/>
      <ns0:c r="E1837" s="28" t="str">
        <ns0:f>IF(A1837="","",YEAR(A1837)&amp;"-"&amp;RIGHT("0"&amp;MONTH(A1837),2))</ns0:f>
        <ns0:v/>
      </ns0:c>
      <ns0:c r="F1837" s="28" t="str">
        <ns0:f>IF(OR(A1837="",B1837="",C1837&lt;=0),"",IF(SUMPRODUCT(('Müşteriler'!$B$2:$B$101&lt;&gt;"")*ISNUMBER(SEARCH('Müşteriler'!$B$2:$B$101,B1837)))=1,IFERROR(INDEX('Müşteriler'!$A$2:$A$101,SUMPRODUCT(('Müşteriler'!$B$2:$B$101&lt;&gt;"")*ISNUMBER(SEARCH('Müşteriler'!$B$2:$B$101,B1837)),ROW('Müşteriler'!$B$2:$B$101)-ROW('Müşteriler'!$B$2)+1)),""),""))</ns0:f>
        <ns0:v/>
      </ns0:c>
      <ns0:c r="G1837" s="28" t="str">
        <ns0:f>IF(F1837="","",IFERROR(INDEX('Müşteriler'!$C$2:$C$101,MATCH(F1837,'Müşteriler'!$A$2:$A$101,0)),""))</ns0:f>
        <ns0:v/>
      </ns0:c>
      <ns0:c r="H1837" s="28" t="str">
        <ns0:f>IF(A1837="","",IF(C1837&lt;=0,"Satış dışı",IF(OR(F1837="",G1837=""),"Eşleşmedi","Eşleşti")))</ns0:f>
        <ns0:v/>
      </ns0:c>
      <ns0:c r="I1837" s="28">
        <ns0:f>I1836+IF(AND(H1837="Eşleşmedi",E1837='Panel'!$B$4),1,0)</ns0:f>
        <ns0:v>3.0</ns0:v>
      </ns0:c>
    </ns0:row>
    <ns0:row r="1838" ht="21" customHeight="1">
      <ns0:c r="A1838" s="25" t="n"/>
      <ns0:c r="B1838" s="26" t="n"/>
      <ns0:c r="C1838" s="27" t="n"/>
      <ns0:c r="D1838" s="27" t="n"/>
      <ns0:c r="E1838" s="28" t="str">
        <ns0:f>IF(A1838="","",YEAR(A1838)&amp;"-"&amp;RIGHT("0"&amp;MONTH(A1838),2))</ns0:f>
        <ns0:v/>
      </ns0:c>
      <ns0:c r="F1838" s="28" t="str">
        <ns0:f>IF(OR(A1838="",B1838="",C1838&lt;=0),"",IF(SUMPRODUCT(('Müşteriler'!$B$2:$B$101&lt;&gt;"")*ISNUMBER(SEARCH('Müşteriler'!$B$2:$B$101,B1838)))=1,IFERROR(INDEX('Müşteriler'!$A$2:$A$101,SUMPRODUCT(('Müşteriler'!$B$2:$B$101&lt;&gt;"")*ISNUMBER(SEARCH('Müşteriler'!$B$2:$B$101,B1838)),ROW('Müşteriler'!$B$2:$B$101)-ROW('Müşteriler'!$B$2)+1)),""),""))</ns0:f>
        <ns0:v/>
      </ns0:c>
      <ns0:c r="G1838" s="28" t="str">
        <ns0:f>IF(F1838="","",IFERROR(INDEX('Müşteriler'!$C$2:$C$101,MATCH(F1838,'Müşteriler'!$A$2:$A$101,0)),""))</ns0:f>
        <ns0:v/>
      </ns0:c>
      <ns0:c r="H1838" s="28" t="str">
        <ns0:f>IF(A1838="","",IF(C1838&lt;=0,"Satış dışı",IF(OR(F1838="",G1838=""),"Eşleşmedi","Eşleşti")))</ns0:f>
        <ns0:v/>
      </ns0:c>
      <ns0:c r="I1838" s="28">
        <ns0:f>I1837+IF(AND(H1838="Eşleşmedi",E1838='Panel'!$B$4),1,0)</ns0:f>
        <ns0:v>3.0</ns0:v>
      </ns0:c>
    </ns0:row>
    <ns0:row r="1839" ht="21" customHeight="1">
      <ns0:c r="A1839" s="25" t="n"/>
      <ns0:c r="B1839" s="26" t="n"/>
      <ns0:c r="C1839" s="27" t="n"/>
      <ns0:c r="D1839" s="27" t="n"/>
      <ns0:c r="E1839" s="28" t="str">
        <ns0:f>IF(A1839="","",YEAR(A1839)&amp;"-"&amp;RIGHT("0"&amp;MONTH(A1839),2))</ns0:f>
        <ns0:v/>
      </ns0:c>
      <ns0:c r="F1839" s="28" t="str">
        <ns0:f>IF(OR(A1839="",B1839="",C1839&lt;=0),"",IF(SUMPRODUCT(('Müşteriler'!$B$2:$B$101&lt;&gt;"")*ISNUMBER(SEARCH('Müşteriler'!$B$2:$B$101,B1839)))=1,IFERROR(INDEX('Müşteriler'!$A$2:$A$101,SUMPRODUCT(('Müşteriler'!$B$2:$B$101&lt;&gt;"")*ISNUMBER(SEARCH('Müşteriler'!$B$2:$B$101,B1839)),ROW('Müşteriler'!$B$2:$B$101)-ROW('Müşteriler'!$B$2)+1)),""),""))</ns0:f>
        <ns0:v/>
      </ns0:c>
      <ns0:c r="G1839" s="28" t="str">
        <ns0:f>IF(F1839="","",IFERROR(INDEX('Müşteriler'!$C$2:$C$101,MATCH(F1839,'Müşteriler'!$A$2:$A$101,0)),""))</ns0:f>
        <ns0:v/>
      </ns0:c>
      <ns0:c r="H1839" s="28" t="str">
        <ns0:f>IF(A1839="","",IF(C1839&lt;=0,"Satış dışı",IF(OR(F1839="",G1839=""),"Eşleşmedi","Eşleşti")))</ns0:f>
        <ns0:v/>
      </ns0:c>
      <ns0:c r="I1839" s="28">
        <ns0:f>I1838+IF(AND(H1839="Eşleşmedi",E1839='Panel'!$B$4),1,0)</ns0:f>
        <ns0:v>3.0</ns0:v>
      </ns0:c>
    </ns0:row>
    <ns0:row r="1840" ht="21" customHeight="1">
      <ns0:c r="A1840" s="25" t="n"/>
      <ns0:c r="B1840" s="26" t="n"/>
      <ns0:c r="C1840" s="27" t="n"/>
      <ns0:c r="D1840" s="27" t="n"/>
      <ns0:c r="E1840" s="28" t="str">
        <ns0:f>IF(A1840="","",YEAR(A1840)&amp;"-"&amp;RIGHT("0"&amp;MONTH(A1840),2))</ns0:f>
        <ns0:v/>
      </ns0:c>
      <ns0:c r="F1840" s="28" t="str">
        <ns0:f>IF(OR(A1840="",B1840="",C1840&lt;=0),"",IF(SUMPRODUCT(('Müşteriler'!$B$2:$B$101&lt;&gt;"")*ISNUMBER(SEARCH('Müşteriler'!$B$2:$B$101,B1840)))=1,IFERROR(INDEX('Müşteriler'!$A$2:$A$101,SUMPRODUCT(('Müşteriler'!$B$2:$B$101&lt;&gt;"")*ISNUMBER(SEARCH('Müşteriler'!$B$2:$B$101,B1840)),ROW('Müşteriler'!$B$2:$B$101)-ROW('Müşteriler'!$B$2)+1)),""),""))</ns0:f>
        <ns0:v/>
      </ns0:c>
      <ns0:c r="G1840" s="28" t="str">
        <ns0:f>IF(F1840="","",IFERROR(INDEX('Müşteriler'!$C$2:$C$101,MATCH(F1840,'Müşteriler'!$A$2:$A$101,0)),""))</ns0:f>
        <ns0:v/>
      </ns0:c>
      <ns0:c r="H1840" s="28" t="str">
        <ns0:f>IF(A1840="","",IF(C1840&lt;=0,"Satış dışı",IF(OR(F1840="",G1840=""),"Eşleşmedi","Eşleşti")))</ns0:f>
        <ns0:v/>
      </ns0:c>
      <ns0:c r="I1840" s="28">
        <ns0:f>I1839+IF(AND(H1840="Eşleşmedi",E1840='Panel'!$B$4),1,0)</ns0:f>
        <ns0:v>3.0</ns0:v>
      </ns0:c>
    </ns0:row>
    <ns0:row r="1841" ht="21" customHeight="1">
      <ns0:c r="A1841" s="25" t="n"/>
      <ns0:c r="B1841" s="26" t="n"/>
      <ns0:c r="C1841" s="27" t="n"/>
      <ns0:c r="D1841" s="27" t="n"/>
      <ns0:c r="E1841" s="28" t="str">
        <ns0:f>IF(A1841="","",YEAR(A1841)&amp;"-"&amp;RIGHT("0"&amp;MONTH(A1841),2))</ns0:f>
        <ns0:v/>
      </ns0:c>
      <ns0:c r="F1841" s="28" t="str">
        <ns0:f>IF(OR(A1841="",B1841="",C1841&lt;=0),"",IF(SUMPRODUCT(('Müşteriler'!$B$2:$B$101&lt;&gt;"")*ISNUMBER(SEARCH('Müşteriler'!$B$2:$B$101,B1841)))=1,IFERROR(INDEX('Müşteriler'!$A$2:$A$101,SUMPRODUCT(('Müşteriler'!$B$2:$B$101&lt;&gt;"")*ISNUMBER(SEARCH('Müşteriler'!$B$2:$B$101,B1841)),ROW('Müşteriler'!$B$2:$B$101)-ROW('Müşteriler'!$B$2)+1)),""),""))</ns0:f>
        <ns0:v/>
      </ns0:c>
      <ns0:c r="G1841" s="28" t="str">
        <ns0:f>IF(F1841="","",IFERROR(INDEX('Müşteriler'!$C$2:$C$101,MATCH(F1841,'Müşteriler'!$A$2:$A$101,0)),""))</ns0:f>
        <ns0:v/>
      </ns0:c>
      <ns0:c r="H1841" s="28" t="str">
        <ns0:f>IF(A1841="","",IF(C1841&lt;=0,"Satış dışı",IF(OR(F1841="",G1841=""),"Eşleşmedi","Eşleşti")))</ns0:f>
        <ns0:v/>
      </ns0:c>
      <ns0:c r="I1841" s="28">
        <ns0:f>I1840+IF(AND(H1841="Eşleşmedi",E1841='Panel'!$B$4),1,0)</ns0:f>
        <ns0:v>3.0</ns0:v>
      </ns0:c>
    </ns0:row>
    <ns0:row r="1842" ht="21" customHeight="1">
      <ns0:c r="A1842" s="25" t="n"/>
      <ns0:c r="B1842" s="26" t="n"/>
      <ns0:c r="C1842" s="27" t="n"/>
      <ns0:c r="D1842" s="27" t="n"/>
      <ns0:c r="E1842" s="28" t="str">
        <ns0:f>IF(A1842="","",YEAR(A1842)&amp;"-"&amp;RIGHT("0"&amp;MONTH(A1842),2))</ns0:f>
        <ns0:v/>
      </ns0:c>
      <ns0:c r="F1842" s="28" t="str">
        <ns0:f>IF(OR(A1842="",B1842="",C1842&lt;=0),"",IF(SUMPRODUCT(('Müşteriler'!$B$2:$B$101&lt;&gt;"")*ISNUMBER(SEARCH('Müşteriler'!$B$2:$B$101,B1842)))=1,IFERROR(INDEX('Müşteriler'!$A$2:$A$101,SUMPRODUCT(('Müşteriler'!$B$2:$B$101&lt;&gt;"")*ISNUMBER(SEARCH('Müşteriler'!$B$2:$B$101,B1842)),ROW('Müşteriler'!$B$2:$B$101)-ROW('Müşteriler'!$B$2)+1)),""),""))</ns0:f>
        <ns0:v/>
      </ns0:c>
      <ns0:c r="G1842" s="28" t="str">
        <ns0:f>IF(F1842="","",IFERROR(INDEX('Müşteriler'!$C$2:$C$101,MATCH(F1842,'Müşteriler'!$A$2:$A$101,0)),""))</ns0:f>
        <ns0:v/>
      </ns0:c>
      <ns0:c r="H1842" s="28" t="str">
        <ns0:f>IF(A1842="","",IF(C1842&lt;=0,"Satış dışı",IF(OR(F1842="",G1842=""),"Eşleşmedi","Eşleşti")))</ns0:f>
        <ns0:v/>
      </ns0:c>
      <ns0:c r="I1842" s="28">
        <ns0:f>I1841+IF(AND(H1842="Eşleşmedi",E1842='Panel'!$B$4),1,0)</ns0:f>
        <ns0:v>3.0</ns0:v>
      </ns0:c>
    </ns0:row>
    <ns0:row r="1843" ht="21" customHeight="1">
      <ns0:c r="A1843" s="25" t="n"/>
      <ns0:c r="B1843" s="26" t="n"/>
      <ns0:c r="C1843" s="27" t="n"/>
      <ns0:c r="D1843" s="27" t="n"/>
      <ns0:c r="E1843" s="28" t="str">
        <ns0:f>IF(A1843="","",YEAR(A1843)&amp;"-"&amp;RIGHT("0"&amp;MONTH(A1843),2))</ns0:f>
        <ns0:v/>
      </ns0:c>
      <ns0:c r="F1843" s="28" t="str">
        <ns0:f>IF(OR(A1843="",B1843="",C1843&lt;=0),"",IF(SUMPRODUCT(('Müşteriler'!$B$2:$B$101&lt;&gt;"")*ISNUMBER(SEARCH('Müşteriler'!$B$2:$B$101,B1843)))=1,IFERROR(INDEX('Müşteriler'!$A$2:$A$101,SUMPRODUCT(('Müşteriler'!$B$2:$B$101&lt;&gt;"")*ISNUMBER(SEARCH('Müşteriler'!$B$2:$B$101,B1843)),ROW('Müşteriler'!$B$2:$B$101)-ROW('Müşteriler'!$B$2)+1)),""),""))</ns0:f>
        <ns0:v/>
      </ns0:c>
      <ns0:c r="G1843" s="28" t="str">
        <ns0:f>IF(F1843="","",IFERROR(INDEX('Müşteriler'!$C$2:$C$101,MATCH(F1843,'Müşteriler'!$A$2:$A$101,0)),""))</ns0:f>
        <ns0:v/>
      </ns0:c>
      <ns0:c r="H1843" s="28" t="str">
        <ns0:f>IF(A1843="","",IF(C1843&lt;=0,"Satış dışı",IF(OR(F1843="",G1843=""),"Eşleşmedi","Eşleşti")))</ns0:f>
        <ns0:v/>
      </ns0:c>
      <ns0:c r="I1843" s="28">
        <ns0:f>I1842+IF(AND(H1843="Eşleşmedi",E1843='Panel'!$B$4),1,0)</ns0:f>
        <ns0:v>3.0</ns0:v>
      </ns0:c>
    </ns0:row>
    <ns0:row r="1844" ht="21" customHeight="1">
      <ns0:c r="A1844" s="25" t="n"/>
      <ns0:c r="B1844" s="26" t="n"/>
      <ns0:c r="C1844" s="27" t="n"/>
      <ns0:c r="D1844" s="27" t="n"/>
      <ns0:c r="E1844" s="28" t="str">
        <ns0:f>IF(A1844="","",YEAR(A1844)&amp;"-"&amp;RIGHT("0"&amp;MONTH(A1844),2))</ns0:f>
        <ns0:v/>
      </ns0:c>
      <ns0:c r="F1844" s="28" t="str">
        <ns0:f>IF(OR(A1844="",B1844="",C1844&lt;=0),"",IF(SUMPRODUCT(('Müşteriler'!$B$2:$B$101&lt;&gt;"")*ISNUMBER(SEARCH('Müşteriler'!$B$2:$B$101,B1844)))=1,IFERROR(INDEX('Müşteriler'!$A$2:$A$101,SUMPRODUCT(('Müşteriler'!$B$2:$B$101&lt;&gt;"")*ISNUMBER(SEARCH('Müşteriler'!$B$2:$B$101,B1844)),ROW('Müşteriler'!$B$2:$B$101)-ROW('Müşteriler'!$B$2)+1)),""),""))</ns0:f>
        <ns0:v/>
      </ns0:c>
      <ns0:c r="G1844" s="28" t="str">
        <ns0:f>IF(F1844="","",IFERROR(INDEX('Müşteriler'!$C$2:$C$101,MATCH(F1844,'Müşteriler'!$A$2:$A$101,0)),""))</ns0:f>
        <ns0:v/>
      </ns0:c>
      <ns0:c r="H1844" s="28" t="str">
        <ns0:f>IF(A1844="","",IF(C1844&lt;=0,"Satış dışı",IF(OR(F1844="",G1844=""),"Eşleşmedi","Eşleşti")))</ns0:f>
        <ns0:v/>
      </ns0:c>
      <ns0:c r="I1844" s="28">
        <ns0:f>I1843+IF(AND(H1844="Eşleşmedi",E1844='Panel'!$B$4),1,0)</ns0:f>
        <ns0:v>3.0</ns0:v>
      </ns0:c>
    </ns0:row>
    <ns0:row r="1845" ht="21" customHeight="1">
      <ns0:c r="A1845" s="25" t="n"/>
      <ns0:c r="B1845" s="26" t="n"/>
      <ns0:c r="C1845" s="27" t="n"/>
      <ns0:c r="D1845" s="27" t="n"/>
      <ns0:c r="E1845" s="28" t="str">
        <ns0:f>IF(A1845="","",YEAR(A1845)&amp;"-"&amp;RIGHT("0"&amp;MONTH(A1845),2))</ns0:f>
        <ns0:v/>
      </ns0:c>
      <ns0:c r="F1845" s="28" t="str">
        <ns0:f>IF(OR(A1845="",B1845="",C1845&lt;=0),"",IF(SUMPRODUCT(('Müşteriler'!$B$2:$B$101&lt;&gt;"")*ISNUMBER(SEARCH('Müşteriler'!$B$2:$B$101,B1845)))=1,IFERROR(INDEX('Müşteriler'!$A$2:$A$101,SUMPRODUCT(('Müşteriler'!$B$2:$B$101&lt;&gt;"")*ISNUMBER(SEARCH('Müşteriler'!$B$2:$B$101,B1845)),ROW('Müşteriler'!$B$2:$B$101)-ROW('Müşteriler'!$B$2)+1)),""),""))</ns0:f>
        <ns0:v/>
      </ns0:c>
      <ns0:c r="G1845" s="28" t="str">
        <ns0:f>IF(F1845="","",IFERROR(INDEX('Müşteriler'!$C$2:$C$101,MATCH(F1845,'Müşteriler'!$A$2:$A$101,0)),""))</ns0:f>
        <ns0:v/>
      </ns0:c>
      <ns0:c r="H1845" s="28" t="str">
        <ns0:f>IF(A1845="","",IF(C1845&lt;=0,"Satış dışı",IF(OR(F1845="",G1845=""),"Eşleşmedi","Eşleşti")))</ns0:f>
        <ns0:v/>
      </ns0:c>
      <ns0:c r="I1845" s="28">
        <ns0:f>I1844+IF(AND(H1845="Eşleşmedi",E1845='Panel'!$B$4),1,0)</ns0:f>
        <ns0:v>3.0</ns0:v>
      </ns0:c>
    </ns0:row>
    <ns0:row r="1846" ht="21" customHeight="1">
      <ns0:c r="A1846" s="25" t="n"/>
      <ns0:c r="B1846" s="26" t="n"/>
      <ns0:c r="C1846" s="27" t="n"/>
      <ns0:c r="D1846" s="27" t="n"/>
      <ns0:c r="E1846" s="28" t="str">
        <ns0:f>IF(A1846="","",YEAR(A1846)&amp;"-"&amp;RIGHT("0"&amp;MONTH(A1846),2))</ns0:f>
        <ns0:v/>
      </ns0:c>
      <ns0:c r="F1846" s="28" t="str">
        <ns0:f>IF(OR(A1846="",B1846="",C1846&lt;=0),"",IF(SUMPRODUCT(('Müşteriler'!$B$2:$B$101&lt;&gt;"")*ISNUMBER(SEARCH('Müşteriler'!$B$2:$B$101,B1846)))=1,IFERROR(INDEX('Müşteriler'!$A$2:$A$101,SUMPRODUCT(('Müşteriler'!$B$2:$B$101&lt;&gt;"")*ISNUMBER(SEARCH('Müşteriler'!$B$2:$B$101,B1846)),ROW('Müşteriler'!$B$2:$B$101)-ROW('Müşteriler'!$B$2)+1)),""),""))</ns0:f>
        <ns0:v/>
      </ns0:c>
      <ns0:c r="G1846" s="28" t="str">
        <ns0:f>IF(F1846="","",IFERROR(INDEX('Müşteriler'!$C$2:$C$101,MATCH(F1846,'Müşteriler'!$A$2:$A$101,0)),""))</ns0:f>
        <ns0:v/>
      </ns0:c>
      <ns0:c r="H1846" s="28" t="str">
        <ns0:f>IF(A1846="","",IF(C1846&lt;=0,"Satış dışı",IF(OR(F1846="",G1846=""),"Eşleşmedi","Eşleşti")))</ns0:f>
        <ns0:v/>
      </ns0:c>
      <ns0:c r="I1846" s="28">
        <ns0:f>I1845+IF(AND(H1846="Eşleşmedi",E1846='Panel'!$B$4),1,0)</ns0:f>
        <ns0:v>3.0</ns0:v>
      </ns0:c>
    </ns0:row>
    <ns0:row r="1847" ht="21" customHeight="1">
      <ns0:c r="A1847" s="25" t="n"/>
      <ns0:c r="B1847" s="26" t="n"/>
      <ns0:c r="C1847" s="27" t="n"/>
      <ns0:c r="D1847" s="27" t="n"/>
      <ns0:c r="E1847" s="28" t="str">
        <ns0:f>IF(A1847="","",YEAR(A1847)&amp;"-"&amp;RIGHT("0"&amp;MONTH(A1847),2))</ns0:f>
        <ns0:v/>
      </ns0:c>
      <ns0:c r="F1847" s="28" t="str">
        <ns0:f>IF(OR(A1847="",B1847="",C1847&lt;=0),"",IF(SUMPRODUCT(('Müşteriler'!$B$2:$B$101&lt;&gt;"")*ISNUMBER(SEARCH('Müşteriler'!$B$2:$B$101,B1847)))=1,IFERROR(INDEX('Müşteriler'!$A$2:$A$101,SUMPRODUCT(('Müşteriler'!$B$2:$B$101&lt;&gt;"")*ISNUMBER(SEARCH('Müşteriler'!$B$2:$B$101,B1847)),ROW('Müşteriler'!$B$2:$B$101)-ROW('Müşteriler'!$B$2)+1)),""),""))</ns0:f>
        <ns0:v/>
      </ns0:c>
      <ns0:c r="G1847" s="28" t="str">
        <ns0:f>IF(F1847="","",IFERROR(INDEX('Müşteriler'!$C$2:$C$101,MATCH(F1847,'Müşteriler'!$A$2:$A$101,0)),""))</ns0:f>
        <ns0:v/>
      </ns0:c>
      <ns0:c r="H1847" s="28" t="str">
        <ns0:f>IF(A1847="","",IF(C1847&lt;=0,"Satış dışı",IF(OR(F1847="",G1847=""),"Eşleşmedi","Eşleşti")))</ns0:f>
        <ns0:v/>
      </ns0:c>
      <ns0:c r="I1847" s="28">
        <ns0:f>I1846+IF(AND(H1847="Eşleşmedi",E1847='Panel'!$B$4),1,0)</ns0:f>
        <ns0:v>3.0</ns0:v>
      </ns0:c>
    </ns0:row>
    <ns0:row r="1848" ht="21" customHeight="1">
      <ns0:c r="A1848" s="25" t="n"/>
      <ns0:c r="B1848" s="26" t="n"/>
      <ns0:c r="C1848" s="27" t="n"/>
      <ns0:c r="D1848" s="27" t="n"/>
      <ns0:c r="E1848" s="28" t="str">
        <ns0:f>IF(A1848="","",YEAR(A1848)&amp;"-"&amp;RIGHT("0"&amp;MONTH(A1848),2))</ns0:f>
        <ns0:v/>
      </ns0:c>
      <ns0:c r="F1848" s="28" t="str">
        <ns0:f>IF(OR(A1848="",B1848="",C1848&lt;=0),"",IF(SUMPRODUCT(('Müşteriler'!$B$2:$B$101&lt;&gt;"")*ISNUMBER(SEARCH('Müşteriler'!$B$2:$B$101,B1848)))=1,IFERROR(INDEX('Müşteriler'!$A$2:$A$101,SUMPRODUCT(('Müşteriler'!$B$2:$B$101&lt;&gt;"")*ISNUMBER(SEARCH('Müşteriler'!$B$2:$B$101,B1848)),ROW('Müşteriler'!$B$2:$B$101)-ROW('Müşteriler'!$B$2)+1)),""),""))</ns0:f>
        <ns0:v/>
      </ns0:c>
      <ns0:c r="G1848" s="28" t="str">
        <ns0:f>IF(F1848="","",IFERROR(INDEX('Müşteriler'!$C$2:$C$101,MATCH(F1848,'Müşteriler'!$A$2:$A$101,0)),""))</ns0:f>
        <ns0:v/>
      </ns0:c>
      <ns0:c r="H1848" s="28" t="str">
        <ns0:f>IF(A1848="","",IF(C1848&lt;=0,"Satış dışı",IF(OR(F1848="",G1848=""),"Eşleşmedi","Eşleşti")))</ns0:f>
        <ns0:v/>
      </ns0:c>
      <ns0:c r="I1848" s="28">
        <ns0:f>I1847+IF(AND(H1848="Eşleşmedi",E1848='Panel'!$B$4),1,0)</ns0:f>
        <ns0:v>3.0</ns0:v>
      </ns0:c>
    </ns0:row>
    <ns0:row r="1849" ht="21" customHeight="1">
      <ns0:c r="A1849" s="25" t="n"/>
      <ns0:c r="B1849" s="26" t="n"/>
      <ns0:c r="C1849" s="27" t="n"/>
      <ns0:c r="D1849" s="27" t="n"/>
      <ns0:c r="E1849" s="28" t="str">
        <ns0:f>IF(A1849="","",YEAR(A1849)&amp;"-"&amp;RIGHT("0"&amp;MONTH(A1849),2))</ns0:f>
        <ns0:v/>
      </ns0:c>
      <ns0:c r="F1849" s="28" t="str">
        <ns0:f>IF(OR(A1849="",B1849="",C1849&lt;=0),"",IF(SUMPRODUCT(('Müşteriler'!$B$2:$B$101&lt;&gt;"")*ISNUMBER(SEARCH('Müşteriler'!$B$2:$B$101,B1849)))=1,IFERROR(INDEX('Müşteriler'!$A$2:$A$101,SUMPRODUCT(('Müşteriler'!$B$2:$B$101&lt;&gt;"")*ISNUMBER(SEARCH('Müşteriler'!$B$2:$B$101,B1849)),ROW('Müşteriler'!$B$2:$B$101)-ROW('Müşteriler'!$B$2)+1)),""),""))</ns0:f>
        <ns0:v/>
      </ns0:c>
      <ns0:c r="G1849" s="28" t="str">
        <ns0:f>IF(F1849="","",IFERROR(INDEX('Müşteriler'!$C$2:$C$101,MATCH(F1849,'Müşteriler'!$A$2:$A$101,0)),""))</ns0:f>
        <ns0:v/>
      </ns0:c>
      <ns0:c r="H1849" s="28" t="str">
        <ns0:f>IF(A1849="","",IF(C1849&lt;=0,"Satış dışı",IF(OR(F1849="",G1849=""),"Eşleşmedi","Eşleşti")))</ns0:f>
        <ns0:v/>
      </ns0:c>
      <ns0:c r="I1849" s="28">
        <ns0:f>I1848+IF(AND(H1849="Eşleşmedi",E1849='Panel'!$B$4),1,0)</ns0:f>
        <ns0:v>3.0</ns0:v>
      </ns0:c>
    </ns0:row>
    <ns0:row r="1850" ht="21" customHeight="1">
      <ns0:c r="A1850" s="25" t="n"/>
      <ns0:c r="B1850" s="26" t="n"/>
      <ns0:c r="C1850" s="27" t="n"/>
      <ns0:c r="D1850" s="27" t="n"/>
      <ns0:c r="E1850" s="28" t="str">
        <ns0:f>IF(A1850="","",YEAR(A1850)&amp;"-"&amp;RIGHT("0"&amp;MONTH(A1850),2))</ns0:f>
        <ns0:v/>
      </ns0:c>
      <ns0:c r="F1850" s="28" t="str">
        <ns0:f>IF(OR(A1850="",B1850="",C1850&lt;=0),"",IF(SUMPRODUCT(('Müşteriler'!$B$2:$B$101&lt;&gt;"")*ISNUMBER(SEARCH('Müşteriler'!$B$2:$B$101,B1850)))=1,IFERROR(INDEX('Müşteriler'!$A$2:$A$101,SUMPRODUCT(('Müşteriler'!$B$2:$B$101&lt;&gt;"")*ISNUMBER(SEARCH('Müşteriler'!$B$2:$B$101,B1850)),ROW('Müşteriler'!$B$2:$B$101)-ROW('Müşteriler'!$B$2)+1)),""),""))</ns0:f>
        <ns0:v/>
      </ns0:c>
      <ns0:c r="G1850" s="28" t="str">
        <ns0:f>IF(F1850="","",IFERROR(INDEX('Müşteriler'!$C$2:$C$101,MATCH(F1850,'Müşteriler'!$A$2:$A$101,0)),""))</ns0:f>
        <ns0:v/>
      </ns0:c>
      <ns0:c r="H1850" s="28" t="str">
        <ns0:f>IF(A1850="","",IF(C1850&lt;=0,"Satış dışı",IF(OR(F1850="",G1850=""),"Eşleşmedi","Eşleşti")))</ns0:f>
        <ns0:v/>
      </ns0:c>
      <ns0:c r="I1850" s="28">
        <ns0:f>I1849+IF(AND(H1850="Eşleşmedi",E1850='Panel'!$B$4),1,0)</ns0:f>
        <ns0:v>3.0</ns0:v>
      </ns0:c>
    </ns0:row>
    <ns0:row r="1851" ht="21" customHeight="1">
      <ns0:c r="A1851" s="25" t="n"/>
      <ns0:c r="B1851" s="26" t="n"/>
      <ns0:c r="C1851" s="27" t="n"/>
      <ns0:c r="D1851" s="27" t="n"/>
      <ns0:c r="E1851" s="28" t="str">
        <ns0:f>IF(A1851="","",YEAR(A1851)&amp;"-"&amp;RIGHT("0"&amp;MONTH(A1851),2))</ns0:f>
        <ns0:v/>
      </ns0:c>
      <ns0:c r="F1851" s="28" t="str">
        <ns0:f>IF(OR(A1851="",B1851="",C1851&lt;=0),"",IF(SUMPRODUCT(('Müşteriler'!$B$2:$B$101&lt;&gt;"")*ISNUMBER(SEARCH('Müşteriler'!$B$2:$B$101,B1851)))=1,IFERROR(INDEX('Müşteriler'!$A$2:$A$101,SUMPRODUCT(('Müşteriler'!$B$2:$B$101&lt;&gt;"")*ISNUMBER(SEARCH('Müşteriler'!$B$2:$B$101,B1851)),ROW('Müşteriler'!$B$2:$B$101)-ROW('Müşteriler'!$B$2)+1)),""),""))</ns0:f>
        <ns0:v/>
      </ns0:c>
      <ns0:c r="G1851" s="28" t="str">
        <ns0:f>IF(F1851="","",IFERROR(INDEX('Müşteriler'!$C$2:$C$101,MATCH(F1851,'Müşteriler'!$A$2:$A$101,0)),""))</ns0:f>
        <ns0:v/>
      </ns0:c>
      <ns0:c r="H1851" s="28" t="str">
        <ns0:f>IF(A1851="","",IF(C1851&lt;=0,"Satış dışı",IF(OR(F1851="",G1851=""),"Eşleşmedi","Eşleşti")))</ns0:f>
        <ns0:v/>
      </ns0:c>
      <ns0:c r="I1851" s="28">
        <ns0:f>I1850+IF(AND(H1851="Eşleşmedi",E1851='Panel'!$B$4),1,0)</ns0:f>
        <ns0:v>3.0</ns0:v>
      </ns0:c>
    </ns0:row>
    <ns0:row r="1852" ht="21" customHeight="1">
      <ns0:c r="A1852" s="25" t="n"/>
      <ns0:c r="B1852" s="26" t="n"/>
      <ns0:c r="C1852" s="27" t="n"/>
      <ns0:c r="D1852" s="27" t="n"/>
      <ns0:c r="E1852" s="28" t="str">
        <ns0:f>IF(A1852="","",YEAR(A1852)&amp;"-"&amp;RIGHT("0"&amp;MONTH(A1852),2))</ns0:f>
        <ns0:v/>
      </ns0:c>
      <ns0:c r="F1852" s="28" t="str">
        <ns0:f>IF(OR(A1852="",B1852="",C1852&lt;=0),"",IF(SUMPRODUCT(('Müşteriler'!$B$2:$B$101&lt;&gt;"")*ISNUMBER(SEARCH('Müşteriler'!$B$2:$B$101,B1852)))=1,IFERROR(INDEX('Müşteriler'!$A$2:$A$101,SUMPRODUCT(('Müşteriler'!$B$2:$B$101&lt;&gt;"")*ISNUMBER(SEARCH('Müşteriler'!$B$2:$B$101,B1852)),ROW('Müşteriler'!$B$2:$B$101)-ROW('Müşteriler'!$B$2)+1)),""),""))</ns0:f>
        <ns0:v/>
      </ns0:c>
      <ns0:c r="G1852" s="28" t="str">
        <ns0:f>IF(F1852="","",IFERROR(INDEX('Müşteriler'!$C$2:$C$101,MATCH(F1852,'Müşteriler'!$A$2:$A$101,0)),""))</ns0:f>
        <ns0:v/>
      </ns0:c>
      <ns0:c r="H1852" s="28" t="str">
        <ns0:f>IF(A1852="","",IF(C1852&lt;=0,"Satış dışı",IF(OR(F1852="",G1852=""),"Eşleşmedi","Eşleşti")))</ns0:f>
        <ns0:v/>
      </ns0:c>
      <ns0:c r="I1852" s="28">
        <ns0:f>I1851+IF(AND(H1852="Eşleşmedi",E1852='Panel'!$B$4),1,0)</ns0:f>
        <ns0:v>3.0</ns0:v>
      </ns0:c>
    </ns0:row>
    <ns0:row r="1853" ht="21" customHeight="1">
      <ns0:c r="A1853" s="25" t="n"/>
      <ns0:c r="B1853" s="26" t="n"/>
      <ns0:c r="C1853" s="27" t="n"/>
      <ns0:c r="D1853" s="27" t="n"/>
      <ns0:c r="E1853" s="28" t="str">
        <ns0:f>IF(A1853="","",YEAR(A1853)&amp;"-"&amp;RIGHT("0"&amp;MONTH(A1853),2))</ns0:f>
        <ns0:v/>
      </ns0:c>
      <ns0:c r="F1853" s="28" t="str">
        <ns0:f>IF(OR(A1853="",B1853="",C1853&lt;=0),"",IF(SUMPRODUCT(('Müşteriler'!$B$2:$B$101&lt;&gt;"")*ISNUMBER(SEARCH('Müşteriler'!$B$2:$B$101,B1853)))=1,IFERROR(INDEX('Müşteriler'!$A$2:$A$101,SUMPRODUCT(('Müşteriler'!$B$2:$B$101&lt;&gt;"")*ISNUMBER(SEARCH('Müşteriler'!$B$2:$B$101,B1853)),ROW('Müşteriler'!$B$2:$B$101)-ROW('Müşteriler'!$B$2)+1)),""),""))</ns0:f>
        <ns0:v/>
      </ns0:c>
      <ns0:c r="G1853" s="28" t="str">
        <ns0:f>IF(F1853="","",IFERROR(INDEX('Müşteriler'!$C$2:$C$101,MATCH(F1853,'Müşteriler'!$A$2:$A$101,0)),""))</ns0:f>
        <ns0:v/>
      </ns0:c>
      <ns0:c r="H1853" s="28" t="str">
        <ns0:f>IF(A1853="","",IF(C1853&lt;=0,"Satış dışı",IF(OR(F1853="",G1853=""),"Eşleşmedi","Eşleşti")))</ns0:f>
        <ns0:v/>
      </ns0:c>
      <ns0:c r="I1853" s="28">
        <ns0:f>I1852+IF(AND(H1853="Eşleşmedi",E1853='Panel'!$B$4),1,0)</ns0:f>
        <ns0:v>3.0</ns0:v>
      </ns0:c>
    </ns0:row>
    <ns0:row r="1854" ht="21" customHeight="1">
      <ns0:c r="A1854" s="25" t="n"/>
      <ns0:c r="B1854" s="26" t="n"/>
      <ns0:c r="C1854" s="27" t="n"/>
      <ns0:c r="D1854" s="27" t="n"/>
      <ns0:c r="E1854" s="28" t="str">
        <ns0:f>IF(A1854="","",YEAR(A1854)&amp;"-"&amp;RIGHT("0"&amp;MONTH(A1854),2))</ns0:f>
        <ns0:v/>
      </ns0:c>
      <ns0:c r="F1854" s="28" t="str">
        <ns0:f>IF(OR(A1854="",B1854="",C1854&lt;=0),"",IF(SUMPRODUCT(('Müşteriler'!$B$2:$B$101&lt;&gt;"")*ISNUMBER(SEARCH('Müşteriler'!$B$2:$B$101,B1854)))=1,IFERROR(INDEX('Müşteriler'!$A$2:$A$101,SUMPRODUCT(('Müşteriler'!$B$2:$B$101&lt;&gt;"")*ISNUMBER(SEARCH('Müşteriler'!$B$2:$B$101,B1854)),ROW('Müşteriler'!$B$2:$B$101)-ROW('Müşteriler'!$B$2)+1)),""),""))</ns0:f>
        <ns0:v/>
      </ns0:c>
      <ns0:c r="G1854" s="28" t="str">
        <ns0:f>IF(F1854="","",IFERROR(INDEX('Müşteriler'!$C$2:$C$101,MATCH(F1854,'Müşteriler'!$A$2:$A$101,0)),""))</ns0:f>
        <ns0:v/>
      </ns0:c>
      <ns0:c r="H1854" s="28" t="str">
        <ns0:f>IF(A1854="","",IF(C1854&lt;=0,"Satış dışı",IF(OR(F1854="",G1854=""),"Eşleşmedi","Eşleşti")))</ns0:f>
        <ns0:v/>
      </ns0:c>
      <ns0:c r="I1854" s="28">
        <ns0:f>I1853+IF(AND(H1854="Eşleşmedi",E1854='Panel'!$B$4),1,0)</ns0:f>
        <ns0:v>3.0</ns0:v>
      </ns0:c>
    </ns0:row>
    <ns0:row r="1855" ht="21" customHeight="1">
      <ns0:c r="A1855" s="25" t="n"/>
      <ns0:c r="B1855" s="26" t="n"/>
      <ns0:c r="C1855" s="27" t="n"/>
      <ns0:c r="D1855" s="27" t="n"/>
      <ns0:c r="E1855" s="28" t="str">
        <ns0:f>IF(A1855="","",YEAR(A1855)&amp;"-"&amp;RIGHT("0"&amp;MONTH(A1855),2))</ns0:f>
        <ns0:v/>
      </ns0:c>
      <ns0:c r="F1855" s="28" t="str">
        <ns0:f>IF(OR(A1855="",B1855="",C1855&lt;=0),"",IF(SUMPRODUCT(('Müşteriler'!$B$2:$B$101&lt;&gt;"")*ISNUMBER(SEARCH('Müşteriler'!$B$2:$B$101,B1855)))=1,IFERROR(INDEX('Müşteriler'!$A$2:$A$101,SUMPRODUCT(('Müşteriler'!$B$2:$B$101&lt;&gt;"")*ISNUMBER(SEARCH('Müşteriler'!$B$2:$B$101,B1855)),ROW('Müşteriler'!$B$2:$B$101)-ROW('Müşteriler'!$B$2)+1)),""),""))</ns0:f>
        <ns0:v/>
      </ns0:c>
      <ns0:c r="G1855" s="28" t="str">
        <ns0:f>IF(F1855="","",IFERROR(INDEX('Müşteriler'!$C$2:$C$101,MATCH(F1855,'Müşteriler'!$A$2:$A$101,0)),""))</ns0:f>
        <ns0:v/>
      </ns0:c>
      <ns0:c r="H1855" s="28" t="str">
        <ns0:f>IF(A1855="","",IF(C1855&lt;=0,"Satış dışı",IF(OR(F1855="",G1855=""),"Eşleşmedi","Eşleşti")))</ns0:f>
        <ns0:v/>
      </ns0:c>
      <ns0:c r="I1855" s="28">
        <ns0:f>I1854+IF(AND(H1855="Eşleşmedi",E1855='Panel'!$B$4),1,0)</ns0:f>
        <ns0:v>3.0</ns0:v>
      </ns0:c>
    </ns0:row>
    <ns0:row r="1856" ht="21" customHeight="1">
      <ns0:c r="A1856" s="25" t="n"/>
      <ns0:c r="B1856" s="26" t="n"/>
      <ns0:c r="C1856" s="27" t="n"/>
      <ns0:c r="D1856" s="27" t="n"/>
      <ns0:c r="E1856" s="28" t="str">
        <ns0:f>IF(A1856="","",YEAR(A1856)&amp;"-"&amp;RIGHT("0"&amp;MONTH(A1856),2))</ns0:f>
        <ns0:v/>
      </ns0:c>
      <ns0:c r="F1856" s="28" t="str">
        <ns0:f>IF(OR(A1856="",B1856="",C1856&lt;=0),"",IF(SUMPRODUCT(('Müşteriler'!$B$2:$B$101&lt;&gt;"")*ISNUMBER(SEARCH('Müşteriler'!$B$2:$B$101,B1856)))=1,IFERROR(INDEX('Müşteriler'!$A$2:$A$101,SUMPRODUCT(('Müşteriler'!$B$2:$B$101&lt;&gt;"")*ISNUMBER(SEARCH('Müşteriler'!$B$2:$B$101,B1856)),ROW('Müşteriler'!$B$2:$B$101)-ROW('Müşteriler'!$B$2)+1)),""),""))</ns0:f>
        <ns0:v/>
      </ns0:c>
      <ns0:c r="G1856" s="28" t="str">
        <ns0:f>IF(F1856="","",IFERROR(INDEX('Müşteriler'!$C$2:$C$101,MATCH(F1856,'Müşteriler'!$A$2:$A$101,0)),""))</ns0:f>
        <ns0:v/>
      </ns0:c>
      <ns0:c r="H1856" s="28" t="str">
        <ns0:f>IF(A1856="","",IF(C1856&lt;=0,"Satış dışı",IF(OR(F1856="",G1856=""),"Eşleşmedi","Eşleşti")))</ns0:f>
        <ns0:v/>
      </ns0:c>
      <ns0:c r="I1856" s="28">
        <ns0:f>I1855+IF(AND(H1856="Eşleşmedi",E1856='Panel'!$B$4),1,0)</ns0:f>
        <ns0:v>3.0</ns0:v>
      </ns0:c>
    </ns0:row>
    <ns0:row r="1857" ht="21" customHeight="1">
      <ns0:c r="A1857" s="25" t="n"/>
      <ns0:c r="B1857" s="26" t="n"/>
      <ns0:c r="C1857" s="27" t="n"/>
      <ns0:c r="D1857" s="27" t="n"/>
      <ns0:c r="E1857" s="28" t="str">
        <ns0:f>IF(A1857="","",YEAR(A1857)&amp;"-"&amp;RIGHT("0"&amp;MONTH(A1857),2))</ns0:f>
        <ns0:v/>
      </ns0:c>
      <ns0:c r="F1857" s="28" t="str">
        <ns0:f>IF(OR(A1857="",B1857="",C1857&lt;=0),"",IF(SUMPRODUCT(('Müşteriler'!$B$2:$B$101&lt;&gt;"")*ISNUMBER(SEARCH('Müşteriler'!$B$2:$B$101,B1857)))=1,IFERROR(INDEX('Müşteriler'!$A$2:$A$101,SUMPRODUCT(('Müşteriler'!$B$2:$B$101&lt;&gt;"")*ISNUMBER(SEARCH('Müşteriler'!$B$2:$B$101,B1857)),ROW('Müşteriler'!$B$2:$B$101)-ROW('Müşteriler'!$B$2)+1)),""),""))</ns0:f>
        <ns0:v/>
      </ns0:c>
      <ns0:c r="G1857" s="28" t="str">
        <ns0:f>IF(F1857="","",IFERROR(INDEX('Müşteriler'!$C$2:$C$101,MATCH(F1857,'Müşteriler'!$A$2:$A$101,0)),""))</ns0:f>
        <ns0:v/>
      </ns0:c>
      <ns0:c r="H1857" s="28" t="str">
        <ns0:f>IF(A1857="","",IF(C1857&lt;=0,"Satış dışı",IF(OR(F1857="",G1857=""),"Eşleşmedi","Eşleşti")))</ns0:f>
        <ns0:v/>
      </ns0:c>
      <ns0:c r="I1857" s="28">
        <ns0:f>I1856+IF(AND(H1857="Eşleşmedi",E1857='Panel'!$B$4),1,0)</ns0:f>
        <ns0:v>3.0</ns0:v>
      </ns0:c>
    </ns0:row>
    <ns0:row r="1858" ht="21" customHeight="1">
      <ns0:c r="A1858" s="25" t="n"/>
      <ns0:c r="B1858" s="26" t="n"/>
      <ns0:c r="C1858" s="27" t="n"/>
      <ns0:c r="D1858" s="27" t="n"/>
      <ns0:c r="E1858" s="28" t="str">
        <ns0:f>IF(A1858="","",YEAR(A1858)&amp;"-"&amp;RIGHT("0"&amp;MONTH(A1858),2))</ns0:f>
        <ns0:v/>
      </ns0:c>
      <ns0:c r="F1858" s="28" t="str">
        <ns0:f>IF(OR(A1858="",B1858="",C1858&lt;=0),"",IF(SUMPRODUCT(('Müşteriler'!$B$2:$B$101&lt;&gt;"")*ISNUMBER(SEARCH('Müşteriler'!$B$2:$B$101,B1858)))=1,IFERROR(INDEX('Müşteriler'!$A$2:$A$101,SUMPRODUCT(('Müşteriler'!$B$2:$B$101&lt;&gt;"")*ISNUMBER(SEARCH('Müşteriler'!$B$2:$B$101,B1858)),ROW('Müşteriler'!$B$2:$B$101)-ROW('Müşteriler'!$B$2)+1)),""),""))</ns0:f>
        <ns0:v/>
      </ns0:c>
      <ns0:c r="G1858" s="28" t="str">
        <ns0:f>IF(F1858="","",IFERROR(INDEX('Müşteriler'!$C$2:$C$101,MATCH(F1858,'Müşteriler'!$A$2:$A$101,0)),""))</ns0:f>
        <ns0:v/>
      </ns0:c>
      <ns0:c r="H1858" s="28" t="str">
        <ns0:f>IF(A1858="","",IF(C1858&lt;=0,"Satış dışı",IF(OR(F1858="",G1858=""),"Eşleşmedi","Eşleşti")))</ns0:f>
        <ns0:v/>
      </ns0:c>
      <ns0:c r="I1858" s="28">
        <ns0:f>I1857+IF(AND(H1858="Eşleşmedi",E1858='Panel'!$B$4),1,0)</ns0:f>
        <ns0:v>3.0</ns0:v>
      </ns0:c>
    </ns0:row>
    <ns0:row r="1859" ht="21" customHeight="1">
      <ns0:c r="A1859" s="25" t="n"/>
      <ns0:c r="B1859" s="26" t="n"/>
      <ns0:c r="C1859" s="27" t="n"/>
      <ns0:c r="D1859" s="27" t="n"/>
      <ns0:c r="E1859" s="28" t="str">
        <ns0:f>IF(A1859="","",YEAR(A1859)&amp;"-"&amp;RIGHT("0"&amp;MONTH(A1859),2))</ns0:f>
        <ns0:v/>
      </ns0:c>
      <ns0:c r="F1859" s="28" t="str">
        <ns0:f>IF(OR(A1859="",B1859="",C1859&lt;=0),"",IF(SUMPRODUCT(('Müşteriler'!$B$2:$B$101&lt;&gt;"")*ISNUMBER(SEARCH('Müşteriler'!$B$2:$B$101,B1859)))=1,IFERROR(INDEX('Müşteriler'!$A$2:$A$101,SUMPRODUCT(('Müşteriler'!$B$2:$B$101&lt;&gt;"")*ISNUMBER(SEARCH('Müşteriler'!$B$2:$B$101,B1859)),ROW('Müşteriler'!$B$2:$B$101)-ROW('Müşteriler'!$B$2)+1)),""),""))</ns0:f>
        <ns0:v/>
      </ns0:c>
      <ns0:c r="G1859" s="28" t="str">
        <ns0:f>IF(F1859="","",IFERROR(INDEX('Müşteriler'!$C$2:$C$101,MATCH(F1859,'Müşteriler'!$A$2:$A$101,0)),""))</ns0:f>
        <ns0:v/>
      </ns0:c>
      <ns0:c r="H1859" s="28" t="str">
        <ns0:f>IF(A1859="","",IF(C1859&lt;=0,"Satış dışı",IF(OR(F1859="",G1859=""),"Eşleşmedi","Eşleşti")))</ns0:f>
        <ns0:v/>
      </ns0:c>
      <ns0:c r="I1859" s="28">
        <ns0:f>I1858+IF(AND(H1859="Eşleşmedi",E1859='Panel'!$B$4),1,0)</ns0:f>
        <ns0:v>3.0</ns0:v>
      </ns0:c>
    </ns0:row>
    <ns0:row r="1860" ht="21" customHeight="1">
      <ns0:c r="A1860" s="25" t="n"/>
      <ns0:c r="B1860" s="26" t="n"/>
      <ns0:c r="C1860" s="27" t="n"/>
      <ns0:c r="D1860" s="27" t="n"/>
      <ns0:c r="E1860" s="28" t="str">
        <ns0:f>IF(A1860="","",YEAR(A1860)&amp;"-"&amp;RIGHT("0"&amp;MONTH(A1860),2))</ns0:f>
        <ns0:v/>
      </ns0:c>
      <ns0:c r="F1860" s="28" t="str">
        <ns0:f>IF(OR(A1860="",B1860="",C1860&lt;=0),"",IF(SUMPRODUCT(('Müşteriler'!$B$2:$B$101&lt;&gt;"")*ISNUMBER(SEARCH('Müşteriler'!$B$2:$B$101,B1860)))=1,IFERROR(INDEX('Müşteriler'!$A$2:$A$101,SUMPRODUCT(('Müşteriler'!$B$2:$B$101&lt;&gt;"")*ISNUMBER(SEARCH('Müşteriler'!$B$2:$B$101,B1860)),ROW('Müşteriler'!$B$2:$B$101)-ROW('Müşteriler'!$B$2)+1)),""),""))</ns0:f>
        <ns0:v/>
      </ns0:c>
      <ns0:c r="G1860" s="28" t="str">
        <ns0:f>IF(F1860="","",IFERROR(INDEX('Müşteriler'!$C$2:$C$101,MATCH(F1860,'Müşteriler'!$A$2:$A$101,0)),""))</ns0:f>
        <ns0:v/>
      </ns0:c>
      <ns0:c r="H1860" s="28" t="str">
        <ns0:f>IF(A1860="","",IF(C1860&lt;=0,"Satış dışı",IF(OR(F1860="",G1860=""),"Eşleşmedi","Eşleşti")))</ns0:f>
        <ns0:v/>
      </ns0:c>
      <ns0:c r="I1860" s="28">
        <ns0:f>I1859+IF(AND(H1860="Eşleşmedi",E1860='Panel'!$B$4),1,0)</ns0:f>
        <ns0:v>3.0</ns0:v>
      </ns0:c>
    </ns0:row>
    <ns0:row r="1861" ht="21" customHeight="1">
      <ns0:c r="A1861" s="25" t="n"/>
      <ns0:c r="B1861" s="26" t="n"/>
      <ns0:c r="C1861" s="27" t="n"/>
      <ns0:c r="D1861" s="27" t="n"/>
      <ns0:c r="E1861" s="28" t="str">
        <ns0:f>IF(A1861="","",YEAR(A1861)&amp;"-"&amp;RIGHT("0"&amp;MONTH(A1861),2))</ns0:f>
        <ns0:v/>
      </ns0:c>
      <ns0:c r="F1861" s="28" t="str">
        <ns0:f>IF(OR(A1861="",B1861="",C1861&lt;=0),"",IF(SUMPRODUCT(('Müşteriler'!$B$2:$B$101&lt;&gt;"")*ISNUMBER(SEARCH('Müşteriler'!$B$2:$B$101,B1861)))=1,IFERROR(INDEX('Müşteriler'!$A$2:$A$101,SUMPRODUCT(('Müşteriler'!$B$2:$B$101&lt;&gt;"")*ISNUMBER(SEARCH('Müşteriler'!$B$2:$B$101,B1861)),ROW('Müşteriler'!$B$2:$B$101)-ROW('Müşteriler'!$B$2)+1)),""),""))</ns0:f>
        <ns0:v/>
      </ns0:c>
      <ns0:c r="G1861" s="28" t="str">
        <ns0:f>IF(F1861="","",IFERROR(INDEX('Müşteriler'!$C$2:$C$101,MATCH(F1861,'Müşteriler'!$A$2:$A$101,0)),""))</ns0:f>
        <ns0:v/>
      </ns0:c>
      <ns0:c r="H1861" s="28" t="str">
        <ns0:f>IF(A1861="","",IF(C1861&lt;=0,"Satış dışı",IF(OR(F1861="",G1861=""),"Eşleşmedi","Eşleşti")))</ns0:f>
        <ns0:v/>
      </ns0:c>
      <ns0:c r="I1861" s="28">
        <ns0:f>I1860+IF(AND(H1861="Eşleşmedi",E1861='Panel'!$B$4),1,0)</ns0:f>
        <ns0:v>3.0</ns0:v>
      </ns0:c>
    </ns0:row>
    <ns0:row r="1862" ht="21" customHeight="1">
      <ns0:c r="A1862" s="25" t="n"/>
      <ns0:c r="B1862" s="26" t="n"/>
      <ns0:c r="C1862" s="27" t="n"/>
      <ns0:c r="D1862" s="27" t="n"/>
      <ns0:c r="E1862" s="28" t="str">
        <ns0:f>IF(A1862="","",YEAR(A1862)&amp;"-"&amp;RIGHT("0"&amp;MONTH(A1862),2))</ns0:f>
        <ns0:v/>
      </ns0:c>
      <ns0:c r="F1862" s="28" t="str">
        <ns0:f>IF(OR(A1862="",B1862="",C1862&lt;=0),"",IF(SUMPRODUCT(('Müşteriler'!$B$2:$B$101&lt;&gt;"")*ISNUMBER(SEARCH('Müşteriler'!$B$2:$B$101,B1862)))=1,IFERROR(INDEX('Müşteriler'!$A$2:$A$101,SUMPRODUCT(('Müşteriler'!$B$2:$B$101&lt;&gt;"")*ISNUMBER(SEARCH('Müşteriler'!$B$2:$B$101,B1862)),ROW('Müşteriler'!$B$2:$B$101)-ROW('Müşteriler'!$B$2)+1)),""),""))</ns0:f>
        <ns0:v/>
      </ns0:c>
      <ns0:c r="G1862" s="28" t="str">
        <ns0:f>IF(F1862="","",IFERROR(INDEX('Müşteriler'!$C$2:$C$101,MATCH(F1862,'Müşteriler'!$A$2:$A$101,0)),""))</ns0:f>
        <ns0:v/>
      </ns0:c>
      <ns0:c r="H1862" s="28" t="str">
        <ns0:f>IF(A1862="","",IF(C1862&lt;=0,"Satış dışı",IF(OR(F1862="",G1862=""),"Eşleşmedi","Eşleşti")))</ns0:f>
        <ns0:v/>
      </ns0:c>
      <ns0:c r="I1862" s="28">
        <ns0:f>I1861+IF(AND(H1862="Eşleşmedi",E1862='Panel'!$B$4),1,0)</ns0:f>
        <ns0:v>3.0</ns0:v>
      </ns0:c>
    </ns0:row>
    <ns0:row r="1863" ht="21" customHeight="1">
      <ns0:c r="A1863" s="25" t="n"/>
      <ns0:c r="B1863" s="26" t="n"/>
      <ns0:c r="C1863" s="27" t="n"/>
      <ns0:c r="D1863" s="27" t="n"/>
      <ns0:c r="E1863" s="28" t="str">
        <ns0:f>IF(A1863="","",YEAR(A1863)&amp;"-"&amp;RIGHT("0"&amp;MONTH(A1863),2))</ns0:f>
        <ns0:v/>
      </ns0:c>
      <ns0:c r="F1863" s="28" t="str">
        <ns0:f>IF(OR(A1863="",B1863="",C1863&lt;=0),"",IF(SUMPRODUCT(('Müşteriler'!$B$2:$B$101&lt;&gt;"")*ISNUMBER(SEARCH('Müşteriler'!$B$2:$B$101,B1863)))=1,IFERROR(INDEX('Müşteriler'!$A$2:$A$101,SUMPRODUCT(('Müşteriler'!$B$2:$B$101&lt;&gt;"")*ISNUMBER(SEARCH('Müşteriler'!$B$2:$B$101,B1863)),ROW('Müşteriler'!$B$2:$B$101)-ROW('Müşteriler'!$B$2)+1)),""),""))</ns0:f>
        <ns0:v/>
      </ns0:c>
      <ns0:c r="G1863" s="28" t="str">
        <ns0:f>IF(F1863="","",IFERROR(INDEX('Müşteriler'!$C$2:$C$101,MATCH(F1863,'Müşteriler'!$A$2:$A$101,0)),""))</ns0:f>
        <ns0:v/>
      </ns0:c>
      <ns0:c r="H1863" s="28" t="str">
        <ns0:f>IF(A1863="","",IF(C1863&lt;=0,"Satış dışı",IF(OR(F1863="",G1863=""),"Eşleşmedi","Eşleşti")))</ns0:f>
        <ns0:v/>
      </ns0:c>
      <ns0:c r="I1863" s="28">
        <ns0:f>I1862+IF(AND(H1863="Eşleşmedi",E1863='Panel'!$B$4),1,0)</ns0:f>
        <ns0:v>3.0</ns0:v>
      </ns0:c>
    </ns0:row>
    <ns0:row r="1864" ht="21" customHeight="1">
      <ns0:c r="A1864" s="25" t="n"/>
      <ns0:c r="B1864" s="26" t="n"/>
      <ns0:c r="C1864" s="27" t="n"/>
      <ns0:c r="D1864" s="27" t="n"/>
      <ns0:c r="E1864" s="28" t="str">
        <ns0:f>IF(A1864="","",YEAR(A1864)&amp;"-"&amp;RIGHT("0"&amp;MONTH(A1864),2))</ns0:f>
        <ns0:v/>
      </ns0:c>
      <ns0:c r="F1864" s="28" t="str">
        <ns0:f>IF(OR(A1864="",B1864="",C1864&lt;=0),"",IF(SUMPRODUCT(('Müşteriler'!$B$2:$B$101&lt;&gt;"")*ISNUMBER(SEARCH('Müşteriler'!$B$2:$B$101,B1864)))=1,IFERROR(INDEX('Müşteriler'!$A$2:$A$101,SUMPRODUCT(('Müşteriler'!$B$2:$B$101&lt;&gt;"")*ISNUMBER(SEARCH('Müşteriler'!$B$2:$B$101,B1864)),ROW('Müşteriler'!$B$2:$B$101)-ROW('Müşteriler'!$B$2)+1)),""),""))</ns0:f>
        <ns0:v/>
      </ns0:c>
      <ns0:c r="G1864" s="28" t="str">
        <ns0:f>IF(F1864="","",IFERROR(INDEX('Müşteriler'!$C$2:$C$101,MATCH(F1864,'Müşteriler'!$A$2:$A$101,0)),""))</ns0:f>
        <ns0:v/>
      </ns0:c>
      <ns0:c r="H1864" s="28" t="str">
        <ns0:f>IF(A1864="","",IF(C1864&lt;=0,"Satış dışı",IF(OR(F1864="",G1864=""),"Eşleşmedi","Eşleşti")))</ns0:f>
        <ns0:v/>
      </ns0:c>
      <ns0:c r="I1864" s="28">
        <ns0:f>I1863+IF(AND(H1864="Eşleşmedi",E1864='Panel'!$B$4),1,0)</ns0:f>
        <ns0:v>3.0</ns0:v>
      </ns0:c>
    </ns0:row>
    <ns0:row r="1865" ht="21" customHeight="1">
      <ns0:c r="A1865" s="25" t="n"/>
      <ns0:c r="B1865" s="26" t="n"/>
      <ns0:c r="C1865" s="27" t="n"/>
      <ns0:c r="D1865" s="27" t="n"/>
      <ns0:c r="E1865" s="28" t="str">
        <ns0:f>IF(A1865="","",YEAR(A1865)&amp;"-"&amp;RIGHT("0"&amp;MONTH(A1865),2))</ns0:f>
        <ns0:v/>
      </ns0:c>
      <ns0:c r="F1865" s="28" t="str">
        <ns0:f>IF(OR(A1865="",B1865="",C1865&lt;=0),"",IF(SUMPRODUCT(('Müşteriler'!$B$2:$B$101&lt;&gt;"")*ISNUMBER(SEARCH('Müşteriler'!$B$2:$B$101,B1865)))=1,IFERROR(INDEX('Müşteriler'!$A$2:$A$101,SUMPRODUCT(('Müşteriler'!$B$2:$B$101&lt;&gt;"")*ISNUMBER(SEARCH('Müşteriler'!$B$2:$B$101,B1865)),ROW('Müşteriler'!$B$2:$B$101)-ROW('Müşteriler'!$B$2)+1)),""),""))</ns0:f>
        <ns0:v/>
      </ns0:c>
      <ns0:c r="G1865" s="28" t="str">
        <ns0:f>IF(F1865="","",IFERROR(INDEX('Müşteriler'!$C$2:$C$101,MATCH(F1865,'Müşteriler'!$A$2:$A$101,0)),""))</ns0:f>
        <ns0:v/>
      </ns0:c>
      <ns0:c r="H1865" s="28" t="str">
        <ns0:f>IF(A1865="","",IF(C1865&lt;=0,"Satış dışı",IF(OR(F1865="",G1865=""),"Eşleşmedi","Eşleşti")))</ns0:f>
        <ns0:v/>
      </ns0:c>
      <ns0:c r="I1865" s="28">
        <ns0:f>I1864+IF(AND(H1865="Eşleşmedi",E1865='Panel'!$B$4),1,0)</ns0:f>
        <ns0:v>3.0</ns0:v>
      </ns0:c>
    </ns0:row>
    <ns0:row r="1866" ht="21" customHeight="1">
      <ns0:c r="A1866" s="25" t="n"/>
      <ns0:c r="B1866" s="26" t="n"/>
      <ns0:c r="C1866" s="27" t="n"/>
      <ns0:c r="D1866" s="27" t="n"/>
      <ns0:c r="E1866" s="28" t="str">
        <ns0:f>IF(A1866="","",YEAR(A1866)&amp;"-"&amp;RIGHT("0"&amp;MONTH(A1866),2))</ns0:f>
        <ns0:v/>
      </ns0:c>
      <ns0:c r="F1866" s="28" t="str">
        <ns0:f>IF(OR(A1866="",B1866="",C1866&lt;=0),"",IF(SUMPRODUCT(('Müşteriler'!$B$2:$B$101&lt;&gt;"")*ISNUMBER(SEARCH('Müşteriler'!$B$2:$B$101,B1866)))=1,IFERROR(INDEX('Müşteriler'!$A$2:$A$101,SUMPRODUCT(('Müşteriler'!$B$2:$B$101&lt;&gt;"")*ISNUMBER(SEARCH('Müşteriler'!$B$2:$B$101,B1866)),ROW('Müşteriler'!$B$2:$B$101)-ROW('Müşteriler'!$B$2)+1)),""),""))</ns0:f>
        <ns0:v/>
      </ns0:c>
      <ns0:c r="G1866" s="28" t="str">
        <ns0:f>IF(F1866="","",IFERROR(INDEX('Müşteriler'!$C$2:$C$101,MATCH(F1866,'Müşteriler'!$A$2:$A$101,0)),""))</ns0:f>
        <ns0:v/>
      </ns0:c>
      <ns0:c r="H1866" s="28" t="str">
        <ns0:f>IF(A1866="","",IF(C1866&lt;=0,"Satış dışı",IF(OR(F1866="",G1866=""),"Eşleşmedi","Eşleşti")))</ns0:f>
        <ns0:v/>
      </ns0:c>
      <ns0:c r="I1866" s="28">
        <ns0:f>I1865+IF(AND(H1866="Eşleşmedi",E1866='Panel'!$B$4),1,0)</ns0:f>
        <ns0:v>3.0</ns0:v>
      </ns0:c>
    </ns0:row>
    <ns0:row r="1867" ht="21" customHeight="1">
      <ns0:c r="A1867" s="25" t="n"/>
      <ns0:c r="B1867" s="26" t="n"/>
      <ns0:c r="C1867" s="27" t="n"/>
      <ns0:c r="D1867" s="27" t="n"/>
      <ns0:c r="E1867" s="28" t="str">
        <ns0:f>IF(A1867="","",YEAR(A1867)&amp;"-"&amp;RIGHT("0"&amp;MONTH(A1867),2))</ns0:f>
        <ns0:v/>
      </ns0:c>
      <ns0:c r="F1867" s="28" t="str">
        <ns0:f>IF(OR(A1867="",B1867="",C1867&lt;=0),"",IF(SUMPRODUCT(('Müşteriler'!$B$2:$B$101&lt;&gt;"")*ISNUMBER(SEARCH('Müşteriler'!$B$2:$B$101,B1867)))=1,IFERROR(INDEX('Müşteriler'!$A$2:$A$101,SUMPRODUCT(('Müşteriler'!$B$2:$B$101&lt;&gt;"")*ISNUMBER(SEARCH('Müşteriler'!$B$2:$B$101,B1867)),ROW('Müşteriler'!$B$2:$B$101)-ROW('Müşteriler'!$B$2)+1)),""),""))</ns0:f>
        <ns0:v/>
      </ns0:c>
      <ns0:c r="G1867" s="28" t="str">
        <ns0:f>IF(F1867="","",IFERROR(INDEX('Müşteriler'!$C$2:$C$101,MATCH(F1867,'Müşteriler'!$A$2:$A$101,0)),""))</ns0:f>
        <ns0:v/>
      </ns0:c>
      <ns0:c r="H1867" s="28" t="str">
        <ns0:f>IF(A1867="","",IF(C1867&lt;=0,"Satış dışı",IF(OR(F1867="",G1867=""),"Eşleşmedi","Eşleşti")))</ns0:f>
        <ns0:v/>
      </ns0:c>
      <ns0:c r="I1867" s="28">
        <ns0:f>I1866+IF(AND(H1867="Eşleşmedi",E1867='Panel'!$B$4),1,0)</ns0:f>
        <ns0:v>3.0</ns0:v>
      </ns0:c>
    </ns0:row>
    <ns0:row r="1868" ht="21" customHeight="1">
      <ns0:c r="A1868" s="25" t="n"/>
      <ns0:c r="B1868" s="26" t="n"/>
      <ns0:c r="C1868" s="27" t="n"/>
      <ns0:c r="D1868" s="27" t="n"/>
      <ns0:c r="E1868" s="28" t="str">
        <ns0:f>IF(A1868="","",YEAR(A1868)&amp;"-"&amp;RIGHT("0"&amp;MONTH(A1868),2))</ns0:f>
        <ns0:v/>
      </ns0:c>
      <ns0:c r="F1868" s="28" t="str">
        <ns0:f>IF(OR(A1868="",B1868="",C1868&lt;=0),"",IF(SUMPRODUCT(('Müşteriler'!$B$2:$B$101&lt;&gt;"")*ISNUMBER(SEARCH('Müşteriler'!$B$2:$B$101,B1868)))=1,IFERROR(INDEX('Müşteriler'!$A$2:$A$101,SUMPRODUCT(('Müşteriler'!$B$2:$B$101&lt;&gt;"")*ISNUMBER(SEARCH('Müşteriler'!$B$2:$B$101,B1868)),ROW('Müşteriler'!$B$2:$B$101)-ROW('Müşteriler'!$B$2)+1)),""),""))</ns0:f>
        <ns0:v/>
      </ns0:c>
      <ns0:c r="G1868" s="28" t="str">
        <ns0:f>IF(F1868="","",IFERROR(INDEX('Müşteriler'!$C$2:$C$101,MATCH(F1868,'Müşteriler'!$A$2:$A$101,0)),""))</ns0:f>
        <ns0:v/>
      </ns0:c>
      <ns0:c r="H1868" s="28" t="str">
        <ns0:f>IF(A1868="","",IF(C1868&lt;=0,"Satış dışı",IF(OR(F1868="",G1868=""),"Eşleşmedi","Eşleşti")))</ns0:f>
        <ns0:v/>
      </ns0:c>
      <ns0:c r="I1868" s="28">
        <ns0:f>I1867+IF(AND(H1868="Eşleşmedi",E1868='Panel'!$B$4),1,0)</ns0:f>
        <ns0:v>3.0</ns0:v>
      </ns0:c>
    </ns0:row>
    <ns0:row r="1869" ht="21" customHeight="1">
      <ns0:c r="A1869" s="25" t="n"/>
      <ns0:c r="B1869" s="26" t="n"/>
      <ns0:c r="C1869" s="27" t="n"/>
      <ns0:c r="D1869" s="27" t="n"/>
      <ns0:c r="E1869" s="28" t="str">
        <ns0:f>IF(A1869="","",YEAR(A1869)&amp;"-"&amp;RIGHT("0"&amp;MONTH(A1869),2))</ns0:f>
        <ns0:v/>
      </ns0:c>
      <ns0:c r="F1869" s="28" t="str">
        <ns0:f>IF(OR(A1869="",B1869="",C1869&lt;=0),"",IF(SUMPRODUCT(('Müşteriler'!$B$2:$B$101&lt;&gt;"")*ISNUMBER(SEARCH('Müşteriler'!$B$2:$B$101,B1869)))=1,IFERROR(INDEX('Müşteriler'!$A$2:$A$101,SUMPRODUCT(('Müşteriler'!$B$2:$B$101&lt;&gt;"")*ISNUMBER(SEARCH('Müşteriler'!$B$2:$B$101,B1869)),ROW('Müşteriler'!$B$2:$B$101)-ROW('Müşteriler'!$B$2)+1)),""),""))</ns0:f>
        <ns0:v/>
      </ns0:c>
      <ns0:c r="G1869" s="28" t="str">
        <ns0:f>IF(F1869="","",IFERROR(INDEX('Müşteriler'!$C$2:$C$101,MATCH(F1869,'Müşteriler'!$A$2:$A$101,0)),""))</ns0:f>
        <ns0:v/>
      </ns0:c>
      <ns0:c r="H1869" s="28" t="str">
        <ns0:f>IF(A1869="","",IF(C1869&lt;=0,"Satış dışı",IF(OR(F1869="",G1869=""),"Eşleşmedi","Eşleşti")))</ns0:f>
        <ns0:v/>
      </ns0:c>
      <ns0:c r="I1869" s="28">
        <ns0:f>I1868+IF(AND(H1869="Eşleşmedi",E1869='Panel'!$B$4),1,0)</ns0:f>
        <ns0:v>3.0</ns0:v>
      </ns0:c>
    </ns0:row>
    <ns0:row r="1870" ht="21" customHeight="1">
      <ns0:c r="A1870" s="25" t="n"/>
      <ns0:c r="B1870" s="26" t="n"/>
      <ns0:c r="C1870" s="27" t="n"/>
      <ns0:c r="D1870" s="27" t="n"/>
      <ns0:c r="E1870" s="28" t="str">
        <ns0:f>IF(A1870="","",YEAR(A1870)&amp;"-"&amp;RIGHT("0"&amp;MONTH(A1870),2))</ns0:f>
        <ns0:v/>
      </ns0:c>
      <ns0:c r="F1870" s="28" t="str">
        <ns0:f>IF(OR(A1870="",B1870="",C1870&lt;=0),"",IF(SUMPRODUCT(('Müşteriler'!$B$2:$B$101&lt;&gt;"")*ISNUMBER(SEARCH('Müşteriler'!$B$2:$B$101,B1870)))=1,IFERROR(INDEX('Müşteriler'!$A$2:$A$101,SUMPRODUCT(('Müşteriler'!$B$2:$B$101&lt;&gt;"")*ISNUMBER(SEARCH('Müşteriler'!$B$2:$B$101,B1870)),ROW('Müşteriler'!$B$2:$B$101)-ROW('Müşteriler'!$B$2)+1)),""),""))</ns0:f>
        <ns0:v/>
      </ns0:c>
      <ns0:c r="G1870" s="28" t="str">
        <ns0:f>IF(F1870="","",IFERROR(INDEX('Müşteriler'!$C$2:$C$101,MATCH(F1870,'Müşteriler'!$A$2:$A$101,0)),""))</ns0:f>
        <ns0:v/>
      </ns0:c>
      <ns0:c r="H1870" s="28" t="str">
        <ns0:f>IF(A1870="","",IF(C1870&lt;=0,"Satış dışı",IF(OR(F1870="",G1870=""),"Eşleşmedi","Eşleşti")))</ns0:f>
        <ns0:v/>
      </ns0:c>
      <ns0:c r="I1870" s="28">
        <ns0:f>I1869+IF(AND(H1870="Eşleşmedi",E1870='Panel'!$B$4),1,0)</ns0:f>
        <ns0:v>3.0</ns0:v>
      </ns0:c>
    </ns0:row>
    <ns0:row r="1871" ht="21" customHeight="1">
      <ns0:c r="A1871" s="25" t="n"/>
      <ns0:c r="B1871" s="26" t="n"/>
      <ns0:c r="C1871" s="27" t="n"/>
      <ns0:c r="D1871" s="27" t="n"/>
      <ns0:c r="E1871" s="28" t="str">
        <ns0:f>IF(A1871="","",YEAR(A1871)&amp;"-"&amp;RIGHT("0"&amp;MONTH(A1871),2))</ns0:f>
        <ns0:v/>
      </ns0:c>
      <ns0:c r="F1871" s="28" t="str">
        <ns0:f>IF(OR(A1871="",B1871="",C1871&lt;=0),"",IF(SUMPRODUCT(('Müşteriler'!$B$2:$B$101&lt;&gt;"")*ISNUMBER(SEARCH('Müşteriler'!$B$2:$B$101,B1871)))=1,IFERROR(INDEX('Müşteriler'!$A$2:$A$101,SUMPRODUCT(('Müşteriler'!$B$2:$B$101&lt;&gt;"")*ISNUMBER(SEARCH('Müşteriler'!$B$2:$B$101,B1871)),ROW('Müşteriler'!$B$2:$B$101)-ROW('Müşteriler'!$B$2)+1)),""),""))</ns0:f>
        <ns0:v/>
      </ns0:c>
      <ns0:c r="G1871" s="28" t="str">
        <ns0:f>IF(F1871="","",IFERROR(INDEX('Müşteriler'!$C$2:$C$101,MATCH(F1871,'Müşteriler'!$A$2:$A$101,0)),""))</ns0:f>
        <ns0:v/>
      </ns0:c>
      <ns0:c r="H1871" s="28" t="str">
        <ns0:f>IF(A1871="","",IF(C1871&lt;=0,"Satış dışı",IF(OR(F1871="",G1871=""),"Eşleşmedi","Eşleşti")))</ns0:f>
        <ns0:v/>
      </ns0:c>
      <ns0:c r="I1871" s="28">
        <ns0:f>I1870+IF(AND(H1871="Eşleşmedi",E1871='Panel'!$B$4),1,0)</ns0:f>
        <ns0:v>3.0</ns0:v>
      </ns0:c>
    </ns0:row>
    <ns0:row r="1872" ht="21" customHeight="1">
      <ns0:c r="A1872" s="25" t="n"/>
      <ns0:c r="B1872" s="26" t="n"/>
      <ns0:c r="C1872" s="27" t="n"/>
      <ns0:c r="D1872" s="27" t="n"/>
      <ns0:c r="E1872" s="28" t="str">
        <ns0:f>IF(A1872="","",YEAR(A1872)&amp;"-"&amp;RIGHT("0"&amp;MONTH(A1872),2))</ns0:f>
        <ns0:v/>
      </ns0:c>
      <ns0:c r="F1872" s="28" t="str">
        <ns0:f>IF(OR(A1872="",B1872="",C1872&lt;=0),"",IF(SUMPRODUCT(('Müşteriler'!$B$2:$B$101&lt;&gt;"")*ISNUMBER(SEARCH('Müşteriler'!$B$2:$B$101,B1872)))=1,IFERROR(INDEX('Müşteriler'!$A$2:$A$101,SUMPRODUCT(('Müşteriler'!$B$2:$B$101&lt;&gt;"")*ISNUMBER(SEARCH('Müşteriler'!$B$2:$B$101,B1872)),ROW('Müşteriler'!$B$2:$B$101)-ROW('Müşteriler'!$B$2)+1)),""),""))</ns0:f>
        <ns0:v/>
      </ns0:c>
      <ns0:c r="G1872" s="28" t="str">
        <ns0:f>IF(F1872="","",IFERROR(INDEX('Müşteriler'!$C$2:$C$101,MATCH(F1872,'Müşteriler'!$A$2:$A$101,0)),""))</ns0:f>
        <ns0:v/>
      </ns0:c>
      <ns0:c r="H1872" s="28" t="str">
        <ns0:f>IF(A1872="","",IF(C1872&lt;=0,"Satış dışı",IF(OR(F1872="",G1872=""),"Eşleşmedi","Eşleşti")))</ns0:f>
        <ns0:v/>
      </ns0:c>
      <ns0:c r="I1872" s="28">
        <ns0:f>I1871+IF(AND(H1872="Eşleşmedi",E1872='Panel'!$B$4),1,0)</ns0:f>
        <ns0:v>3.0</ns0:v>
      </ns0:c>
    </ns0:row>
    <ns0:row r="1873" ht="21" customHeight="1">
      <ns0:c r="A1873" s="25" t="n"/>
      <ns0:c r="B1873" s="26" t="n"/>
      <ns0:c r="C1873" s="27" t="n"/>
      <ns0:c r="D1873" s="27" t="n"/>
      <ns0:c r="E1873" s="28" t="str">
        <ns0:f>IF(A1873="","",YEAR(A1873)&amp;"-"&amp;RIGHT("0"&amp;MONTH(A1873),2))</ns0:f>
        <ns0:v/>
      </ns0:c>
      <ns0:c r="F1873" s="28" t="str">
        <ns0:f>IF(OR(A1873="",B1873="",C1873&lt;=0),"",IF(SUMPRODUCT(('Müşteriler'!$B$2:$B$101&lt;&gt;"")*ISNUMBER(SEARCH('Müşteriler'!$B$2:$B$101,B1873)))=1,IFERROR(INDEX('Müşteriler'!$A$2:$A$101,SUMPRODUCT(('Müşteriler'!$B$2:$B$101&lt;&gt;"")*ISNUMBER(SEARCH('Müşteriler'!$B$2:$B$101,B1873)),ROW('Müşteriler'!$B$2:$B$101)-ROW('Müşteriler'!$B$2)+1)),""),""))</ns0:f>
        <ns0:v/>
      </ns0:c>
      <ns0:c r="G1873" s="28" t="str">
        <ns0:f>IF(F1873="","",IFERROR(INDEX('Müşteriler'!$C$2:$C$101,MATCH(F1873,'Müşteriler'!$A$2:$A$101,0)),""))</ns0:f>
        <ns0:v/>
      </ns0:c>
      <ns0:c r="H1873" s="28" t="str">
        <ns0:f>IF(A1873="","",IF(C1873&lt;=0,"Satış dışı",IF(OR(F1873="",G1873=""),"Eşleşmedi","Eşleşti")))</ns0:f>
        <ns0:v/>
      </ns0:c>
      <ns0:c r="I1873" s="28">
        <ns0:f>I1872+IF(AND(H1873="Eşleşmedi",E1873='Panel'!$B$4),1,0)</ns0:f>
        <ns0:v>3.0</ns0:v>
      </ns0:c>
    </ns0:row>
    <ns0:row r="1874" ht="21" customHeight="1">
      <ns0:c r="A1874" s="25" t="n"/>
      <ns0:c r="B1874" s="26" t="n"/>
      <ns0:c r="C1874" s="27" t="n"/>
      <ns0:c r="D1874" s="27" t="n"/>
      <ns0:c r="E1874" s="28" t="str">
        <ns0:f>IF(A1874="","",YEAR(A1874)&amp;"-"&amp;RIGHT("0"&amp;MONTH(A1874),2))</ns0:f>
        <ns0:v/>
      </ns0:c>
      <ns0:c r="F1874" s="28" t="str">
        <ns0:f>IF(OR(A1874="",B1874="",C1874&lt;=0),"",IF(SUMPRODUCT(('Müşteriler'!$B$2:$B$101&lt;&gt;"")*ISNUMBER(SEARCH('Müşteriler'!$B$2:$B$101,B1874)))=1,IFERROR(INDEX('Müşteriler'!$A$2:$A$101,SUMPRODUCT(('Müşteriler'!$B$2:$B$101&lt;&gt;"")*ISNUMBER(SEARCH('Müşteriler'!$B$2:$B$101,B1874)),ROW('Müşteriler'!$B$2:$B$101)-ROW('Müşteriler'!$B$2)+1)),""),""))</ns0:f>
        <ns0:v/>
      </ns0:c>
      <ns0:c r="G1874" s="28" t="str">
        <ns0:f>IF(F1874="","",IFERROR(INDEX('Müşteriler'!$C$2:$C$101,MATCH(F1874,'Müşteriler'!$A$2:$A$101,0)),""))</ns0:f>
        <ns0:v/>
      </ns0:c>
      <ns0:c r="H1874" s="28" t="str">
        <ns0:f>IF(A1874="","",IF(C1874&lt;=0,"Satış dışı",IF(OR(F1874="",G1874=""),"Eşleşmedi","Eşleşti")))</ns0:f>
        <ns0:v/>
      </ns0:c>
      <ns0:c r="I1874" s="28">
        <ns0:f>I1873+IF(AND(H1874="Eşleşmedi",E1874='Panel'!$B$4),1,0)</ns0:f>
        <ns0:v>3.0</ns0:v>
      </ns0:c>
    </ns0:row>
    <ns0:row r="1875" ht="21" customHeight="1">
      <ns0:c r="A1875" s="25" t="n"/>
      <ns0:c r="B1875" s="26" t="n"/>
      <ns0:c r="C1875" s="27" t="n"/>
      <ns0:c r="D1875" s="27" t="n"/>
      <ns0:c r="E1875" s="28" t="str">
        <ns0:f>IF(A1875="","",YEAR(A1875)&amp;"-"&amp;RIGHT("0"&amp;MONTH(A1875),2))</ns0:f>
        <ns0:v/>
      </ns0:c>
      <ns0:c r="F1875" s="28" t="str">
        <ns0:f>IF(OR(A1875="",B1875="",C1875&lt;=0),"",IF(SUMPRODUCT(('Müşteriler'!$B$2:$B$101&lt;&gt;"")*ISNUMBER(SEARCH('Müşteriler'!$B$2:$B$101,B1875)))=1,IFERROR(INDEX('Müşteriler'!$A$2:$A$101,SUMPRODUCT(('Müşteriler'!$B$2:$B$101&lt;&gt;"")*ISNUMBER(SEARCH('Müşteriler'!$B$2:$B$101,B1875)),ROW('Müşteriler'!$B$2:$B$101)-ROW('Müşteriler'!$B$2)+1)),""),""))</ns0:f>
        <ns0:v/>
      </ns0:c>
      <ns0:c r="G1875" s="28" t="str">
        <ns0:f>IF(F1875="","",IFERROR(INDEX('Müşteriler'!$C$2:$C$101,MATCH(F1875,'Müşteriler'!$A$2:$A$101,0)),""))</ns0:f>
        <ns0:v/>
      </ns0:c>
      <ns0:c r="H1875" s="28" t="str">
        <ns0:f>IF(A1875="","",IF(C1875&lt;=0,"Satış dışı",IF(OR(F1875="",G1875=""),"Eşleşmedi","Eşleşti")))</ns0:f>
        <ns0:v/>
      </ns0:c>
      <ns0:c r="I1875" s="28">
        <ns0:f>I1874+IF(AND(H1875="Eşleşmedi",E1875='Panel'!$B$4),1,0)</ns0:f>
        <ns0:v>3.0</ns0:v>
      </ns0:c>
    </ns0:row>
    <ns0:row r="1876" ht="21" customHeight="1">
      <ns0:c r="A1876" s="25" t="n"/>
      <ns0:c r="B1876" s="26" t="n"/>
      <ns0:c r="C1876" s="27" t="n"/>
      <ns0:c r="D1876" s="27" t="n"/>
      <ns0:c r="E1876" s="28" t="str">
        <ns0:f>IF(A1876="","",YEAR(A1876)&amp;"-"&amp;RIGHT("0"&amp;MONTH(A1876),2))</ns0:f>
        <ns0:v/>
      </ns0:c>
      <ns0:c r="F1876" s="28" t="str">
        <ns0:f>IF(OR(A1876="",B1876="",C1876&lt;=0),"",IF(SUMPRODUCT(('Müşteriler'!$B$2:$B$101&lt;&gt;"")*ISNUMBER(SEARCH('Müşteriler'!$B$2:$B$101,B1876)))=1,IFERROR(INDEX('Müşteriler'!$A$2:$A$101,SUMPRODUCT(('Müşteriler'!$B$2:$B$101&lt;&gt;"")*ISNUMBER(SEARCH('Müşteriler'!$B$2:$B$101,B1876)),ROW('Müşteriler'!$B$2:$B$101)-ROW('Müşteriler'!$B$2)+1)),""),""))</ns0:f>
        <ns0:v/>
      </ns0:c>
      <ns0:c r="G1876" s="28" t="str">
        <ns0:f>IF(F1876="","",IFERROR(INDEX('Müşteriler'!$C$2:$C$101,MATCH(F1876,'Müşteriler'!$A$2:$A$101,0)),""))</ns0:f>
        <ns0:v/>
      </ns0:c>
      <ns0:c r="H1876" s="28" t="str">
        <ns0:f>IF(A1876="","",IF(C1876&lt;=0,"Satış dışı",IF(OR(F1876="",G1876=""),"Eşleşmedi","Eşleşti")))</ns0:f>
        <ns0:v/>
      </ns0:c>
      <ns0:c r="I1876" s="28">
        <ns0:f>I1875+IF(AND(H1876="Eşleşmedi",E1876='Panel'!$B$4),1,0)</ns0:f>
        <ns0:v>3.0</ns0:v>
      </ns0:c>
    </ns0:row>
    <ns0:row r="1877" ht="21" customHeight="1">
      <ns0:c r="A1877" s="25" t="n"/>
      <ns0:c r="B1877" s="26" t="n"/>
      <ns0:c r="C1877" s="27" t="n"/>
      <ns0:c r="D1877" s="27" t="n"/>
      <ns0:c r="E1877" s="28" t="str">
        <ns0:f>IF(A1877="","",YEAR(A1877)&amp;"-"&amp;RIGHT("0"&amp;MONTH(A1877),2))</ns0:f>
        <ns0:v/>
      </ns0:c>
      <ns0:c r="F1877" s="28" t="str">
        <ns0:f>IF(OR(A1877="",B1877="",C1877&lt;=0),"",IF(SUMPRODUCT(('Müşteriler'!$B$2:$B$101&lt;&gt;"")*ISNUMBER(SEARCH('Müşteriler'!$B$2:$B$101,B1877)))=1,IFERROR(INDEX('Müşteriler'!$A$2:$A$101,SUMPRODUCT(('Müşteriler'!$B$2:$B$101&lt;&gt;"")*ISNUMBER(SEARCH('Müşteriler'!$B$2:$B$101,B1877)),ROW('Müşteriler'!$B$2:$B$101)-ROW('Müşteriler'!$B$2)+1)),""),""))</ns0:f>
        <ns0:v/>
      </ns0:c>
      <ns0:c r="G1877" s="28" t="str">
        <ns0:f>IF(F1877="","",IFERROR(INDEX('Müşteriler'!$C$2:$C$101,MATCH(F1877,'Müşteriler'!$A$2:$A$101,0)),""))</ns0:f>
        <ns0:v/>
      </ns0:c>
      <ns0:c r="H1877" s="28" t="str">
        <ns0:f>IF(A1877="","",IF(C1877&lt;=0,"Satış dışı",IF(OR(F1877="",G1877=""),"Eşleşmedi","Eşleşti")))</ns0:f>
        <ns0:v/>
      </ns0:c>
      <ns0:c r="I1877" s="28">
        <ns0:f>I1876+IF(AND(H1877="Eşleşmedi",E1877='Panel'!$B$4),1,0)</ns0:f>
        <ns0:v>3.0</ns0:v>
      </ns0:c>
    </ns0:row>
    <ns0:row r="1878" ht="21" customHeight="1">
      <ns0:c r="A1878" s="25" t="n"/>
      <ns0:c r="B1878" s="26" t="n"/>
      <ns0:c r="C1878" s="27" t="n"/>
      <ns0:c r="D1878" s="27" t="n"/>
      <ns0:c r="E1878" s="28" t="str">
        <ns0:f>IF(A1878="","",YEAR(A1878)&amp;"-"&amp;RIGHT("0"&amp;MONTH(A1878),2))</ns0:f>
        <ns0:v/>
      </ns0:c>
      <ns0:c r="F1878" s="28" t="str">
        <ns0:f>IF(OR(A1878="",B1878="",C1878&lt;=0),"",IF(SUMPRODUCT(('Müşteriler'!$B$2:$B$101&lt;&gt;"")*ISNUMBER(SEARCH('Müşteriler'!$B$2:$B$101,B1878)))=1,IFERROR(INDEX('Müşteriler'!$A$2:$A$101,SUMPRODUCT(('Müşteriler'!$B$2:$B$101&lt;&gt;"")*ISNUMBER(SEARCH('Müşteriler'!$B$2:$B$101,B1878)),ROW('Müşteriler'!$B$2:$B$101)-ROW('Müşteriler'!$B$2)+1)),""),""))</ns0:f>
        <ns0:v/>
      </ns0:c>
      <ns0:c r="G1878" s="28" t="str">
        <ns0:f>IF(F1878="","",IFERROR(INDEX('Müşteriler'!$C$2:$C$101,MATCH(F1878,'Müşteriler'!$A$2:$A$101,0)),""))</ns0:f>
        <ns0:v/>
      </ns0:c>
      <ns0:c r="H1878" s="28" t="str">
        <ns0:f>IF(A1878="","",IF(C1878&lt;=0,"Satış dışı",IF(OR(F1878="",G1878=""),"Eşleşmedi","Eşleşti")))</ns0:f>
        <ns0:v/>
      </ns0:c>
      <ns0:c r="I1878" s="28">
        <ns0:f>I1877+IF(AND(H1878="Eşleşmedi",E1878='Panel'!$B$4),1,0)</ns0:f>
        <ns0:v>3.0</ns0:v>
      </ns0:c>
    </ns0:row>
    <ns0:row r="1879" ht="21" customHeight="1">
      <ns0:c r="A1879" s="25" t="n"/>
      <ns0:c r="B1879" s="26" t="n"/>
      <ns0:c r="C1879" s="27" t="n"/>
      <ns0:c r="D1879" s="27" t="n"/>
      <ns0:c r="E1879" s="28" t="str">
        <ns0:f>IF(A1879="","",YEAR(A1879)&amp;"-"&amp;RIGHT("0"&amp;MONTH(A1879),2))</ns0:f>
        <ns0:v/>
      </ns0:c>
      <ns0:c r="F1879" s="28" t="str">
        <ns0:f>IF(OR(A1879="",B1879="",C1879&lt;=0),"",IF(SUMPRODUCT(('Müşteriler'!$B$2:$B$101&lt;&gt;"")*ISNUMBER(SEARCH('Müşteriler'!$B$2:$B$101,B1879)))=1,IFERROR(INDEX('Müşteriler'!$A$2:$A$101,SUMPRODUCT(('Müşteriler'!$B$2:$B$101&lt;&gt;"")*ISNUMBER(SEARCH('Müşteriler'!$B$2:$B$101,B1879)),ROW('Müşteriler'!$B$2:$B$101)-ROW('Müşteriler'!$B$2)+1)),""),""))</ns0:f>
        <ns0:v/>
      </ns0:c>
      <ns0:c r="G1879" s="28" t="str">
        <ns0:f>IF(F1879="","",IFERROR(INDEX('Müşteriler'!$C$2:$C$101,MATCH(F1879,'Müşteriler'!$A$2:$A$101,0)),""))</ns0:f>
        <ns0:v/>
      </ns0:c>
      <ns0:c r="H1879" s="28" t="str">
        <ns0:f>IF(A1879="","",IF(C1879&lt;=0,"Satış dışı",IF(OR(F1879="",G1879=""),"Eşleşmedi","Eşleşti")))</ns0:f>
        <ns0:v/>
      </ns0:c>
      <ns0:c r="I1879" s="28">
        <ns0:f>I1878+IF(AND(H1879="Eşleşmedi",E1879='Panel'!$B$4),1,0)</ns0:f>
        <ns0:v>3.0</ns0:v>
      </ns0:c>
    </ns0:row>
    <ns0:row r="1880" ht="21" customHeight="1">
      <ns0:c r="A1880" s="25" t="n"/>
      <ns0:c r="B1880" s="26" t="n"/>
      <ns0:c r="C1880" s="27" t="n"/>
      <ns0:c r="D1880" s="27" t="n"/>
      <ns0:c r="E1880" s="28" t="str">
        <ns0:f>IF(A1880="","",YEAR(A1880)&amp;"-"&amp;RIGHT("0"&amp;MONTH(A1880),2))</ns0:f>
        <ns0:v/>
      </ns0:c>
      <ns0:c r="F1880" s="28" t="str">
        <ns0:f>IF(OR(A1880="",B1880="",C1880&lt;=0),"",IF(SUMPRODUCT(('Müşteriler'!$B$2:$B$101&lt;&gt;"")*ISNUMBER(SEARCH('Müşteriler'!$B$2:$B$101,B1880)))=1,IFERROR(INDEX('Müşteriler'!$A$2:$A$101,SUMPRODUCT(('Müşteriler'!$B$2:$B$101&lt;&gt;"")*ISNUMBER(SEARCH('Müşteriler'!$B$2:$B$101,B1880)),ROW('Müşteriler'!$B$2:$B$101)-ROW('Müşteriler'!$B$2)+1)),""),""))</ns0:f>
        <ns0:v/>
      </ns0:c>
      <ns0:c r="G1880" s="28" t="str">
        <ns0:f>IF(F1880="","",IFERROR(INDEX('Müşteriler'!$C$2:$C$101,MATCH(F1880,'Müşteriler'!$A$2:$A$101,0)),""))</ns0:f>
        <ns0:v/>
      </ns0:c>
      <ns0:c r="H1880" s="28" t="str">
        <ns0:f>IF(A1880="","",IF(C1880&lt;=0,"Satış dışı",IF(OR(F1880="",G1880=""),"Eşleşmedi","Eşleşti")))</ns0:f>
        <ns0:v/>
      </ns0:c>
      <ns0:c r="I1880" s="28">
        <ns0:f>I1879+IF(AND(H1880="Eşleşmedi",E1880='Panel'!$B$4),1,0)</ns0:f>
        <ns0:v>3.0</ns0:v>
      </ns0:c>
    </ns0:row>
    <ns0:row r="1881" ht="21" customHeight="1">
      <ns0:c r="A1881" s="25" t="n"/>
      <ns0:c r="B1881" s="26" t="n"/>
      <ns0:c r="C1881" s="27" t="n"/>
      <ns0:c r="D1881" s="27" t="n"/>
      <ns0:c r="E1881" s="28" t="str">
        <ns0:f>IF(A1881="","",YEAR(A1881)&amp;"-"&amp;RIGHT("0"&amp;MONTH(A1881),2))</ns0:f>
        <ns0:v/>
      </ns0:c>
      <ns0:c r="F1881" s="28" t="str">
        <ns0:f>IF(OR(A1881="",B1881="",C1881&lt;=0),"",IF(SUMPRODUCT(('Müşteriler'!$B$2:$B$101&lt;&gt;"")*ISNUMBER(SEARCH('Müşteriler'!$B$2:$B$101,B1881)))=1,IFERROR(INDEX('Müşteriler'!$A$2:$A$101,SUMPRODUCT(('Müşteriler'!$B$2:$B$101&lt;&gt;"")*ISNUMBER(SEARCH('Müşteriler'!$B$2:$B$101,B1881)),ROW('Müşteriler'!$B$2:$B$101)-ROW('Müşteriler'!$B$2)+1)),""),""))</ns0:f>
        <ns0:v/>
      </ns0:c>
      <ns0:c r="G1881" s="28" t="str">
        <ns0:f>IF(F1881="","",IFERROR(INDEX('Müşteriler'!$C$2:$C$101,MATCH(F1881,'Müşteriler'!$A$2:$A$101,0)),""))</ns0:f>
        <ns0:v/>
      </ns0:c>
      <ns0:c r="H1881" s="28" t="str">
        <ns0:f>IF(A1881="","",IF(C1881&lt;=0,"Satış dışı",IF(OR(F1881="",G1881=""),"Eşleşmedi","Eşleşti")))</ns0:f>
        <ns0:v/>
      </ns0:c>
      <ns0:c r="I1881" s="28">
        <ns0:f>I1880+IF(AND(H1881="Eşleşmedi",E1881='Panel'!$B$4),1,0)</ns0:f>
        <ns0:v>3.0</ns0:v>
      </ns0:c>
    </ns0:row>
    <ns0:row r="1882" ht="21" customHeight="1">
      <ns0:c r="A1882" s="25" t="n"/>
      <ns0:c r="B1882" s="26" t="n"/>
      <ns0:c r="C1882" s="27" t="n"/>
      <ns0:c r="D1882" s="27" t="n"/>
      <ns0:c r="E1882" s="28" t="str">
        <ns0:f>IF(A1882="","",YEAR(A1882)&amp;"-"&amp;RIGHT("0"&amp;MONTH(A1882),2))</ns0:f>
        <ns0:v/>
      </ns0:c>
      <ns0:c r="F1882" s="28" t="str">
        <ns0:f>IF(OR(A1882="",B1882="",C1882&lt;=0),"",IF(SUMPRODUCT(('Müşteriler'!$B$2:$B$101&lt;&gt;"")*ISNUMBER(SEARCH('Müşteriler'!$B$2:$B$101,B1882)))=1,IFERROR(INDEX('Müşteriler'!$A$2:$A$101,SUMPRODUCT(('Müşteriler'!$B$2:$B$101&lt;&gt;"")*ISNUMBER(SEARCH('Müşteriler'!$B$2:$B$101,B1882)),ROW('Müşteriler'!$B$2:$B$101)-ROW('Müşteriler'!$B$2)+1)),""),""))</ns0:f>
        <ns0:v/>
      </ns0:c>
      <ns0:c r="G1882" s="28" t="str">
        <ns0:f>IF(F1882="","",IFERROR(INDEX('Müşteriler'!$C$2:$C$101,MATCH(F1882,'Müşteriler'!$A$2:$A$101,0)),""))</ns0:f>
        <ns0:v/>
      </ns0:c>
      <ns0:c r="H1882" s="28" t="str">
        <ns0:f>IF(A1882="","",IF(C1882&lt;=0,"Satış dışı",IF(OR(F1882="",G1882=""),"Eşleşmedi","Eşleşti")))</ns0:f>
        <ns0:v/>
      </ns0:c>
      <ns0:c r="I1882" s="28">
        <ns0:f>I1881+IF(AND(H1882="Eşleşmedi",E1882='Panel'!$B$4),1,0)</ns0:f>
        <ns0:v>3.0</ns0:v>
      </ns0:c>
    </ns0:row>
    <ns0:row r="1883" ht="21" customHeight="1">
      <ns0:c r="A1883" s="25" t="n"/>
      <ns0:c r="B1883" s="26" t="n"/>
      <ns0:c r="C1883" s="27" t="n"/>
      <ns0:c r="D1883" s="27" t="n"/>
      <ns0:c r="E1883" s="28" t="str">
        <ns0:f>IF(A1883="","",YEAR(A1883)&amp;"-"&amp;RIGHT("0"&amp;MONTH(A1883),2))</ns0:f>
        <ns0:v/>
      </ns0:c>
      <ns0:c r="F1883" s="28" t="str">
        <ns0:f>IF(OR(A1883="",B1883="",C1883&lt;=0),"",IF(SUMPRODUCT(('Müşteriler'!$B$2:$B$101&lt;&gt;"")*ISNUMBER(SEARCH('Müşteriler'!$B$2:$B$101,B1883)))=1,IFERROR(INDEX('Müşteriler'!$A$2:$A$101,SUMPRODUCT(('Müşteriler'!$B$2:$B$101&lt;&gt;"")*ISNUMBER(SEARCH('Müşteriler'!$B$2:$B$101,B1883)),ROW('Müşteriler'!$B$2:$B$101)-ROW('Müşteriler'!$B$2)+1)),""),""))</ns0:f>
        <ns0:v/>
      </ns0:c>
      <ns0:c r="G1883" s="28" t="str">
        <ns0:f>IF(F1883="","",IFERROR(INDEX('Müşteriler'!$C$2:$C$101,MATCH(F1883,'Müşteriler'!$A$2:$A$101,0)),""))</ns0:f>
        <ns0:v/>
      </ns0:c>
      <ns0:c r="H1883" s="28" t="str">
        <ns0:f>IF(A1883="","",IF(C1883&lt;=0,"Satış dışı",IF(OR(F1883="",G1883=""),"Eşleşmedi","Eşleşti")))</ns0:f>
        <ns0:v/>
      </ns0:c>
      <ns0:c r="I1883" s="28">
        <ns0:f>I1882+IF(AND(H1883="Eşleşmedi",E1883='Panel'!$B$4),1,0)</ns0:f>
        <ns0:v>3.0</ns0:v>
      </ns0:c>
    </ns0:row>
    <ns0:row r="1884" ht="21" customHeight="1">
      <ns0:c r="A1884" s="25" t="n"/>
      <ns0:c r="B1884" s="26" t="n"/>
      <ns0:c r="C1884" s="27" t="n"/>
      <ns0:c r="D1884" s="27" t="n"/>
      <ns0:c r="E1884" s="28" t="str">
        <ns0:f>IF(A1884="","",YEAR(A1884)&amp;"-"&amp;RIGHT("0"&amp;MONTH(A1884),2))</ns0:f>
        <ns0:v/>
      </ns0:c>
      <ns0:c r="F1884" s="28" t="str">
        <ns0:f>IF(OR(A1884="",B1884="",C1884&lt;=0),"",IF(SUMPRODUCT(('Müşteriler'!$B$2:$B$101&lt;&gt;"")*ISNUMBER(SEARCH('Müşteriler'!$B$2:$B$101,B1884)))=1,IFERROR(INDEX('Müşteriler'!$A$2:$A$101,SUMPRODUCT(('Müşteriler'!$B$2:$B$101&lt;&gt;"")*ISNUMBER(SEARCH('Müşteriler'!$B$2:$B$101,B1884)),ROW('Müşteriler'!$B$2:$B$101)-ROW('Müşteriler'!$B$2)+1)),""),""))</ns0:f>
        <ns0:v/>
      </ns0:c>
      <ns0:c r="G1884" s="28" t="str">
        <ns0:f>IF(F1884="","",IFERROR(INDEX('Müşteriler'!$C$2:$C$101,MATCH(F1884,'Müşteriler'!$A$2:$A$101,0)),""))</ns0:f>
        <ns0:v/>
      </ns0:c>
      <ns0:c r="H1884" s="28" t="str">
        <ns0:f>IF(A1884="","",IF(C1884&lt;=0,"Satış dışı",IF(OR(F1884="",G1884=""),"Eşleşmedi","Eşleşti")))</ns0:f>
        <ns0:v/>
      </ns0:c>
      <ns0:c r="I1884" s="28">
        <ns0:f>I1883+IF(AND(H1884="Eşleşmedi",E1884='Panel'!$B$4),1,0)</ns0:f>
        <ns0:v>3.0</ns0:v>
      </ns0:c>
    </ns0:row>
    <ns0:row r="1885" ht="21" customHeight="1">
      <ns0:c r="A1885" s="25" t="n"/>
      <ns0:c r="B1885" s="26" t="n"/>
      <ns0:c r="C1885" s="27" t="n"/>
      <ns0:c r="D1885" s="27" t="n"/>
      <ns0:c r="E1885" s="28" t="str">
        <ns0:f>IF(A1885="","",YEAR(A1885)&amp;"-"&amp;RIGHT("0"&amp;MONTH(A1885),2))</ns0:f>
        <ns0:v/>
      </ns0:c>
      <ns0:c r="F1885" s="28" t="str">
        <ns0:f>IF(OR(A1885="",B1885="",C1885&lt;=0),"",IF(SUMPRODUCT(('Müşteriler'!$B$2:$B$101&lt;&gt;"")*ISNUMBER(SEARCH('Müşteriler'!$B$2:$B$101,B1885)))=1,IFERROR(INDEX('Müşteriler'!$A$2:$A$101,SUMPRODUCT(('Müşteriler'!$B$2:$B$101&lt;&gt;"")*ISNUMBER(SEARCH('Müşteriler'!$B$2:$B$101,B1885)),ROW('Müşteriler'!$B$2:$B$101)-ROW('Müşteriler'!$B$2)+1)),""),""))</ns0:f>
        <ns0:v/>
      </ns0:c>
      <ns0:c r="G1885" s="28" t="str">
        <ns0:f>IF(F1885="","",IFERROR(INDEX('Müşteriler'!$C$2:$C$101,MATCH(F1885,'Müşteriler'!$A$2:$A$101,0)),""))</ns0:f>
        <ns0:v/>
      </ns0:c>
      <ns0:c r="H1885" s="28" t="str">
        <ns0:f>IF(A1885="","",IF(C1885&lt;=0,"Satış dışı",IF(OR(F1885="",G1885=""),"Eşleşmedi","Eşleşti")))</ns0:f>
        <ns0:v/>
      </ns0:c>
      <ns0:c r="I1885" s="28">
        <ns0:f>I1884+IF(AND(H1885="Eşleşmedi",E1885='Panel'!$B$4),1,0)</ns0:f>
        <ns0:v>3.0</ns0:v>
      </ns0:c>
    </ns0:row>
    <ns0:row r="1886" ht="21" customHeight="1">
      <ns0:c r="A1886" s="25" t="n"/>
      <ns0:c r="B1886" s="26" t="n"/>
      <ns0:c r="C1886" s="27" t="n"/>
      <ns0:c r="D1886" s="27" t="n"/>
      <ns0:c r="E1886" s="28" t="str">
        <ns0:f>IF(A1886="","",YEAR(A1886)&amp;"-"&amp;RIGHT("0"&amp;MONTH(A1886),2))</ns0:f>
        <ns0:v/>
      </ns0:c>
      <ns0:c r="F1886" s="28" t="str">
        <ns0:f>IF(OR(A1886="",B1886="",C1886&lt;=0),"",IF(SUMPRODUCT(('Müşteriler'!$B$2:$B$101&lt;&gt;"")*ISNUMBER(SEARCH('Müşteriler'!$B$2:$B$101,B1886)))=1,IFERROR(INDEX('Müşteriler'!$A$2:$A$101,SUMPRODUCT(('Müşteriler'!$B$2:$B$101&lt;&gt;"")*ISNUMBER(SEARCH('Müşteriler'!$B$2:$B$101,B1886)),ROW('Müşteriler'!$B$2:$B$101)-ROW('Müşteriler'!$B$2)+1)),""),""))</ns0:f>
        <ns0:v/>
      </ns0:c>
      <ns0:c r="G1886" s="28" t="str">
        <ns0:f>IF(F1886="","",IFERROR(INDEX('Müşteriler'!$C$2:$C$101,MATCH(F1886,'Müşteriler'!$A$2:$A$101,0)),""))</ns0:f>
        <ns0:v/>
      </ns0:c>
      <ns0:c r="H1886" s="28" t="str">
        <ns0:f>IF(A1886="","",IF(C1886&lt;=0,"Satış dışı",IF(OR(F1886="",G1886=""),"Eşleşmedi","Eşleşti")))</ns0:f>
        <ns0:v/>
      </ns0:c>
      <ns0:c r="I1886" s="28">
        <ns0:f>I1885+IF(AND(H1886="Eşleşmedi",E1886='Panel'!$B$4),1,0)</ns0:f>
        <ns0:v>3.0</ns0:v>
      </ns0:c>
    </ns0:row>
    <ns0:row r="1887" ht="21" customHeight="1">
      <ns0:c r="A1887" s="25" t="n"/>
      <ns0:c r="B1887" s="26" t="n"/>
      <ns0:c r="C1887" s="27" t="n"/>
      <ns0:c r="D1887" s="27" t="n"/>
      <ns0:c r="E1887" s="28" t="str">
        <ns0:f>IF(A1887="","",YEAR(A1887)&amp;"-"&amp;RIGHT("0"&amp;MONTH(A1887),2))</ns0:f>
        <ns0:v/>
      </ns0:c>
      <ns0:c r="F1887" s="28" t="str">
        <ns0:f>IF(OR(A1887="",B1887="",C1887&lt;=0),"",IF(SUMPRODUCT(('Müşteriler'!$B$2:$B$101&lt;&gt;"")*ISNUMBER(SEARCH('Müşteriler'!$B$2:$B$101,B1887)))=1,IFERROR(INDEX('Müşteriler'!$A$2:$A$101,SUMPRODUCT(('Müşteriler'!$B$2:$B$101&lt;&gt;"")*ISNUMBER(SEARCH('Müşteriler'!$B$2:$B$101,B1887)),ROW('Müşteriler'!$B$2:$B$101)-ROW('Müşteriler'!$B$2)+1)),""),""))</ns0:f>
        <ns0:v/>
      </ns0:c>
      <ns0:c r="G1887" s="28" t="str">
        <ns0:f>IF(F1887="","",IFERROR(INDEX('Müşteriler'!$C$2:$C$101,MATCH(F1887,'Müşteriler'!$A$2:$A$101,0)),""))</ns0:f>
        <ns0:v/>
      </ns0:c>
      <ns0:c r="H1887" s="28" t="str">
        <ns0:f>IF(A1887="","",IF(C1887&lt;=0,"Satış dışı",IF(OR(F1887="",G1887=""),"Eşleşmedi","Eşleşti")))</ns0:f>
        <ns0:v/>
      </ns0:c>
      <ns0:c r="I1887" s="28">
        <ns0:f>I1886+IF(AND(H1887="Eşleşmedi",E1887='Panel'!$B$4),1,0)</ns0:f>
        <ns0:v>3.0</ns0:v>
      </ns0:c>
    </ns0:row>
    <ns0:row r="1888" ht="21" customHeight="1">
      <ns0:c r="A1888" s="25" t="n"/>
      <ns0:c r="B1888" s="26" t="n"/>
      <ns0:c r="C1888" s="27" t="n"/>
      <ns0:c r="D1888" s="27" t="n"/>
      <ns0:c r="E1888" s="28" t="str">
        <ns0:f>IF(A1888="","",YEAR(A1888)&amp;"-"&amp;RIGHT("0"&amp;MONTH(A1888),2))</ns0:f>
        <ns0:v/>
      </ns0:c>
      <ns0:c r="F1888" s="28" t="str">
        <ns0:f>IF(OR(A1888="",B1888="",C1888&lt;=0),"",IF(SUMPRODUCT(('Müşteriler'!$B$2:$B$101&lt;&gt;"")*ISNUMBER(SEARCH('Müşteriler'!$B$2:$B$101,B1888)))=1,IFERROR(INDEX('Müşteriler'!$A$2:$A$101,SUMPRODUCT(('Müşteriler'!$B$2:$B$101&lt;&gt;"")*ISNUMBER(SEARCH('Müşteriler'!$B$2:$B$101,B1888)),ROW('Müşteriler'!$B$2:$B$101)-ROW('Müşteriler'!$B$2)+1)),""),""))</ns0:f>
        <ns0:v/>
      </ns0:c>
      <ns0:c r="G1888" s="28" t="str">
        <ns0:f>IF(F1888="","",IFERROR(INDEX('Müşteriler'!$C$2:$C$101,MATCH(F1888,'Müşteriler'!$A$2:$A$101,0)),""))</ns0:f>
        <ns0:v/>
      </ns0:c>
      <ns0:c r="H1888" s="28" t="str">
        <ns0:f>IF(A1888="","",IF(C1888&lt;=0,"Satış dışı",IF(OR(F1888="",G1888=""),"Eşleşmedi","Eşleşti")))</ns0:f>
        <ns0:v/>
      </ns0:c>
      <ns0:c r="I1888" s="28">
        <ns0:f>I1887+IF(AND(H1888="Eşleşmedi",E1888='Panel'!$B$4),1,0)</ns0:f>
        <ns0:v>3.0</ns0:v>
      </ns0:c>
    </ns0:row>
    <ns0:row r="1889" ht="21" customHeight="1">
      <ns0:c r="A1889" s="25" t="n"/>
      <ns0:c r="B1889" s="26" t="n"/>
      <ns0:c r="C1889" s="27" t="n"/>
      <ns0:c r="D1889" s="27" t="n"/>
      <ns0:c r="E1889" s="28" t="str">
        <ns0:f>IF(A1889="","",YEAR(A1889)&amp;"-"&amp;RIGHT("0"&amp;MONTH(A1889),2))</ns0:f>
        <ns0:v/>
      </ns0:c>
      <ns0:c r="F1889" s="28" t="str">
        <ns0:f>IF(OR(A1889="",B1889="",C1889&lt;=0),"",IF(SUMPRODUCT(('Müşteriler'!$B$2:$B$101&lt;&gt;"")*ISNUMBER(SEARCH('Müşteriler'!$B$2:$B$101,B1889)))=1,IFERROR(INDEX('Müşteriler'!$A$2:$A$101,SUMPRODUCT(('Müşteriler'!$B$2:$B$101&lt;&gt;"")*ISNUMBER(SEARCH('Müşteriler'!$B$2:$B$101,B1889)),ROW('Müşteriler'!$B$2:$B$101)-ROW('Müşteriler'!$B$2)+1)),""),""))</ns0:f>
        <ns0:v/>
      </ns0:c>
      <ns0:c r="G1889" s="28" t="str">
        <ns0:f>IF(F1889="","",IFERROR(INDEX('Müşteriler'!$C$2:$C$101,MATCH(F1889,'Müşteriler'!$A$2:$A$101,0)),""))</ns0:f>
        <ns0:v/>
      </ns0:c>
      <ns0:c r="H1889" s="28" t="str">
        <ns0:f>IF(A1889="","",IF(C1889&lt;=0,"Satış dışı",IF(OR(F1889="",G1889=""),"Eşleşmedi","Eşleşti")))</ns0:f>
        <ns0:v/>
      </ns0:c>
      <ns0:c r="I1889" s="28">
        <ns0:f>I1888+IF(AND(H1889="Eşleşmedi",E1889='Panel'!$B$4),1,0)</ns0:f>
        <ns0:v>3.0</ns0:v>
      </ns0:c>
    </ns0:row>
    <ns0:row r="1890" ht="21" customHeight="1">
      <ns0:c r="A1890" s="25" t="n"/>
      <ns0:c r="B1890" s="26" t="n"/>
      <ns0:c r="C1890" s="27" t="n"/>
      <ns0:c r="D1890" s="27" t="n"/>
      <ns0:c r="E1890" s="28" t="str">
        <ns0:f>IF(A1890="","",YEAR(A1890)&amp;"-"&amp;RIGHT("0"&amp;MONTH(A1890),2))</ns0:f>
        <ns0:v/>
      </ns0:c>
      <ns0:c r="F1890" s="28" t="str">
        <ns0:f>IF(OR(A1890="",B1890="",C1890&lt;=0),"",IF(SUMPRODUCT(('Müşteriler'!$B$2:$B$101&lt;&gt;"")*ISNUMBER(SEARCH('Müşteriler'!$B$2:$B$101,B1890)))=1,IFERROR(INDEX('Müşteriler'!$A$2:$A$101,SUMPRODUCT(('Müşteriler'!$B$2:$B$101&lt;&gt;"")*ISNUMBER(SEARCH('Müşteriler'!$B$2:$B$101,B1890)),ROW('Müşteriler'!$B$2:$B$101)-ROW('Müşteriler'!$B$2)+1)),""),""))</ns0:f>
        <ns0:v/>
      </ns0:c>
      <ns0:c r="G1890" s="28" t="str">
        <ns0:f>IF(F1890="","",IFERROR(INDEX('Müşteriler'!$C$2:$C$101,MATCH(F1890,'Müşteriler'!$A$2:$A$101,0)),""))</ns0:f>
        <ns0:v/>
      </ns0:c>
      <ns0:c r="H1890" s="28" t="str">
        <ns0:f>IF(A1890="","",IF(C1890&lt;=0,"Satış dışı",IF(OR(F1890="",G1890=""),"Eşleşmedi","Eşleşti")))</ns0:f>
        <ns0:v/>
      </ns0:c>
      <ns0:c r="I1890" s="28">
        <ns0:f>I1889+IF(AND(H1890="Eşleşmedi",E1890='Panel'!$B$4),1,0)</ns0:f>
        <ns0:v>3.0</ns0:v>
      </ns0:c>
    </ns0:row>
    <ns0:row r="1891" ht="21" customHeight="1">
      <ns0:c r="A1891" s="25" t="n"/>
      <ns0:c r="B1891" s="26" t="n"/>
      <ns0:c r="C1891" s="27" t="n"/>
      <ns0:c r="D1891" s="27" t="n"/>
      <ns0:c r="E1891" s="28" t="str">
        <ns0:f>IF(A1891="","",YEAR(A1891)&amp;"-"&amp;RIGHT("0"&amp;MONTH(A1891),2))</ns0:f>
        <ns0:v/>
      </ns0:c>
      <ns0:c r="F1891" s="28" t="str">
        <ns0:f>IF(OR(A1891="",B1891="",C1891&lt;=0),"",IF(SUMPRODUCT(('Müşteriler'!$B$2:$B$101&lt;&gt;"")*ISNUMBER(SEARCH('Müşteriler'!$B$2:$B$101,B1891)))=1,IFERROR(INDEX('Müşteriler'!$A$2:$A$101,SUMPRODUCT(('Müşteriler'!$B$2:$B$101&lt;&gt;"")*ISNUMBER(SEARCH('Müşteriler'!$B$2:$B$101,B1891)),ROW('Müşteriler'!$B$2:$B$101)-ROW('Müşteriler'!$B$2)+1)),""),""))</ns0:f>
        <ns0:v/>
      </ns0:c>
      <ns0:c r="G1891" s="28" t="str">
        <ns0:f>IF(F1891="","",IFERROR(INDEX('Müşteriler'!$C$2:$C$101,MATCH(F1891,'Müşteriler'!$A$2:$A$101,0)),""))</ns0:f>
        <ns0:v/>
      </ns0:c>
      <ns0:c r="H1891" s="28" t="str">
        <ns0:f>IF(A1891="","",IF(C1891&lt;=0,"Satış dışı",IF(OR(F1891="",G1891=""),"Eşleşmedi","Eşleşti")))</ns0:f>
        <ns0:v/>
      </ns0:c>
      <ns0:c r="I1891" s="28">
        <ns0:f>I1890+IF(AND(H1891="Eşleşmedi",E1891='Panel'!$B$4),1,0)</ns0:f>
        <ns0:v>3.0</ns0:v>
      </ns0:c>
    </ns0:row>
    <ns0:row r="1892" ht="21" customHeight="1">
      <ns0:c r="A1892" s="25" t="n"/>
      <ns0:c r="B1892" s="26" t="n"/>
      <ns0:c r="C1892" s="27" t="n"/>
      <ns0:c r="D1892" s="27" t="n"/>
      <ns0:c r="E1892" s="28" t="str">
        <ns0:f>IF(A1892="","",YEAR(A1892)&amp;"-"&amp;RIGHT("0"&amp;MONTH(A1892),2))</ns0:f>
        <ns0:v/>
      </ns0:c>
      <ns0:c r="F1892" s="28" t="str">
        <ns0:f>IF(OR(A1892="",B1892="",C1892&lt;=0),"",IF(SUMPRODUCT(('Müşteriler'!$B$2:$B$101&lt;&gt;"")*ISNUMBER(SEARCH('Müşteriler'!$B$2:$B$101,B1892)))=1,IFERROR(INDEX('Müşteriler'!$A$2:$A$101,SUMPRODUCT(('Müşteriler'!$B$2:$B$101&lt;&gt;"")*ISNUMBER(SEARCH('Müşteriler'!$B$2:$B$101,B1892)),ROW('Müşteriler'!$B$2:$B$101)-ROW('Müşteriler'!$B$2)+1)),""),""))</ns0:f>
        <ns0:v/>
      </ns0:c>
      <ns0:c r="G1892" s="28" t="str">
        <ns0:f>IF(F1892="","",IFERROR(INDEX('Müşteriler'!$C$2:$C$101,MATCH(F1892,'Müşteriler'!$A$2:$A$101,0)),""))</ns0:f>
        <ns0:v/>
      </ns0:c>
      <ns0:c r="H1892" s="28" t="str">
        <ns0:f>IF(A1892="","",IF(C1892&lt;=0,"Satış dışı",IF(OR(F1892="",G1892=""),"Eşleşmedi","Eşleşti")))</ns0:f>
        <ns0:v/>
      </ns0:c>
      <ns0:c r="I1892" s="28">
        <ns0:f>I1891+IF(AND(H1892="Eşleşmedi",E1892='Panel'!$B$4),1,0)</ns0:f>
        <ns0:v>3.0</ns0:v>
      </ns0:c>
    </ns0:row>
    <ns0:row r="1893" ht="21" customHeight="1">
      <ns0:c r="A1893" s="25" t="n"/>
      <ns0:c r="B1893" s="26" t="n"/>
      <ns0:c r="C1893" s="27" t="n"/>
      <ns0:c r="D1893" s="27" t="n"/>
      <ns0:c r="E1893" s="28" t="str">
        <ns0:f>IF(A1893="","",YEAR(A1893)&amp;"-"&amp;RIGHT("0"&amp;MONTH(A1893),2))</ns0:f>
        <ns0:v/>
      </ns0:c>
      <ns0:c r="F1893" s="28" t="str">
        <ns0:f>IF(OR(A1893="",B1893="",C1893&lt;=0),"",IF(SUMPRODUCT(('Müşteriler'!$B$2:$B$101&lt;&gt;"")*ISNUMBER(SEARCH('Müşteriler'!$B$2:$B$101,B1893)))=1,IFERROR(INDEX('Müşteriler'!$A$2:$A$101,SUMPRODUCT(('Müşteriler'!$B$2:$B$101&lt;&gt;"")*ISNUMBER(SEARCH('Müşteriler'!$B$2:$B$101,B1893)),ROW('Müşteriler'!$B$2:$B$101)-ROW('Müşteriler'!$B$2)+1)),""),""))</ns0:f>
        <ns0:v/>
      </ns0:c>
      <ns0:c r="G1893" s="28" t="str">
        <ns0:f>IF(F1893="","",IFERROR(INDEX('Müşteriler'!$C$2:$C$101,MATCH(F1893,'Müşteriler'!$A$2:$A$101,0)),""))</ns0:f>
        <ns0:v/>
      </ns0:c>
      <ns0:c r="H1893" s="28" t="str">
        <ns0:f>IF(A1893="","",IF(C1893&lt;=0,"Satış dışı",IF(OR(F1893="",G1893=""),"Eşleşmedi","Eşleşti")))</ns0:f>
        <ns0:v/>
      </ns0:c>
      <ns0:c r="I1893" s="28">
        <ns0:f>I1892+IF(AND(H1893="Eşleşmedi",E1893='Panel'!$B$4),1,0)</ns0:f>
        <ns0:v>3.0</ns0:v>
      </ns0:c>
    </ns0:row>
    <ns0:row r="1894" ht="21" customHeight="1">
      <ns0:c r="A1894" s="25" t="n"/>
      <ns0:c r="B1894" s="26" t="n"/>
      <ns0:c r="C1894" s="27" t="n"/>
      <ns0:c r="D1894" s="27" t="n"/>
      <ns0:c r="E1894" s="28" t="str">
        <ns0:f>IF(A1894="","",YEAR(A1894)&amp;"-"&amp;RIGHT("0"&amp;MONTH(A1894),2))</ns0:f>
        <ns0:v/>
      </ns0:c>
      <ns0:c r="F1894" s="28" t="str">
        <ns0:f>IF(OR(A1894="",B1894="",C1894&lt;=0),"",IF(SUMPRODUCT(('Müşteriler'!$B$2:$B$101&lt;&gt;"")*ISNUMBER(SEARCH('Müşteriler'!$B$2:$B$101,B1894)))=1,IFERROR(INDEX('Müşteriler'!$A$2:$A$101,SUMPRODUCT(('Müşteriler'!$B$2:$B$101&lt;&gt;"")*ISNUMBER(SEARCH('Müşteriler'!$B$2:$B$101,B1894)),ROW('Müşteriler'!$B$2:$B$101)-ROW('Müşteriler'!$B$2)+1)),""),""))</ns0:f>
        <ns0:v/>
      </ns0:c>
      <ns0:c r="G1894" s="28" t="str">
        <ns0:f>IF(F1894="","",IFERROR(INDEX('Müşteriler'!$C$2:$C$101,MATCH(F1894,'Müşteriler'!$A$2:$A$101,0)),""))</ns0:f>
        <ns0:v/>
      </ns0:c>
      <ns0:c r="H1894" s="28" t="str">
        <ns0:f>IF(A1894="","",IF(C1894&lt;=0,"Satış dışı",IF(OR(F1894="",G1894=""),"Eşleşmedi","Eşleşti")))</ns0:f>
        <ns0:v/>
      </ns0:c>
      <ns0:c r="I1894" s="28">
        <ns0:f>I1893+IF(AND(H1894="Eşleşmedi",E1894='Panel'!$B$4),1,0)</ns0:f>
        <ns0:v>3.0</ns0:v>
      </ns0:c>
    </ns0:row>
    <ns0:row r="1895" ht="21" customHeight="1">
      <ns0:c r="A1895" s="25" t="n"/>
      <ns0:c r="B1895" s="26" t="n"/>
      <ns0:c r="C1895" s="27" t="n"/>
      <ns0:c r="D1895" s="27" t="n"/>
      <ns0:c r="E1895" s="28" t="str">
        <ns0:f>IF(A1895="","",YEAR(A1895)&amp;"-"&amp;RIGHT("0"&amp;MONTH(A1895),2))</ns0:f>
        <ns0:v/>
      </ns0:c>
      <ns0:c r="F1895" s="28" t="str">
        <ns0:f>IF(OR(A1895="",B1895="",C1895&lt;=0),"",IF(SUMPRODUCT(('Müşteriler'!$B$2:$B$101&lt;&gt;"")*ISNUMBER(SEARCH('Müşteriler'!$B$2:$B$101,B1895)))=1,IFERROR(INDEX('Müşteriler'!$A$2:$A$101,SUMPRODUCT(('Müşteriler'!$B$2:$B$101&lt;&gt;"")*ISNUMBER(SEARCH('Müşteriler'!$B$2:$B$101,B1895)),ROW('Müşteriler'!$B$2:$B$101)-ROW('Müşteriler'!$B$2)+1)),""),""))</ns0:f>
        <ns0:v/>
      </ns0:c>
      <ns0:c r="G1895" s="28" t="str">
        <ns0:f>IF(F1895="","",IFERROR(INDEX('Müşteriler'!$C$2:$C$101,MATCH(F1895,'Müşteriler'!$A$2:$A$101,0)),""))</ns0:f>
        <ns0:v/>
      </ns0:c>
      <ns0:c r="H1895" s="28" t="str">
        <ns0:f>IF(A1895="","",IF(C1895&lt;=0,"Satış dışı",IF(OR(F1895="",G1895=""),"Eşleşmedi","Eşleşti")))</ns0:f>
        <ns0:v/>
      </ns0:c>
      <ns0:c r="I1895" s="28">
        <ns0:f>I1894+IF(AND(H1895="Eşleşmedi",E1895='Panel'!$B$4),1,0)</ns0:f>
        <ns0:v>3.0</ns0:v>
      </ns0:c>
    </ns0:row>
    <ns0:row r="1896" ht="21" customHeight="1">
      <ns0:c r="A1896" s="25" t="n"/>
      <ns0:c r="B1896" s="26" t="n"/>
      <ns0:c r="C1896" s="27" t="n"/>
      <ns0:c r="D1896" s="27" t="n"/>
      <ns0:c r="E1896" s="28" t="str">
        <ns0:f>IF(A1896="","",YEAR(A1896)&amp;"-"&amp;RIGHT("0"&amp;MONTH(A1896),2))</ns0:f>
        <ns0:v/>
      </ns0:c>
      <ns0:c r="F1896" s="28" t="str">
        <ns0:f>IF(OR(A1896="",B1896="",C1896&lt;=0),"",IF(SUMPRODUCT(('Müşteriler'!$B$2:$B$101&lt;&gt;"")*ISNUMBER(SEARCH('Müşteriler'!$B$2:$B$101,B1896)))=1,IFERROR(INDEX('Müşteriler'!$A$2:$A$101,SUMPRODUCT(('Müşteriler'!$B$2:$B$101&lt;&gt;"")*ISNUMBER(SEARCH('Müşteriler'!$B$2:$B$101,B1896)),ROW('Müşteriler'!$B$2:$B$101)-ROW('Müşteriler'!$B$2)+1)),""),""))</ns0:f>
        <ns0:v/>
      </ns0:c>
      <ns0:c r="G1896" s="28" t="str">
        <ns0:f>IF(F1896="","",IFERROR(INDEX('Müşteriler'!$C$2:$C$101,MATCH(F1896,'Müşteriler'!$A$2:$A$101,0)),""))</ns0:f>
        <ns0:v/>
      </ns0:c>
      <ns0:c r="H1896" s="28" t="str">
        <ns0:f>IF(A1896="","",IF(C1896&lt;=0,"Satış dışı",IF(OR(F1896="",G1896=""),"Eşleşmedi","Eşleşti")))</ns0:f>
        <ns0:v/>
      </ns0:c>
      <ns0:c r="I1896" s="28">
        <ns0:f>I1895+IF(AND(H1896="Eşleşmedi",E1896='Panel'!$B$4),1,0)</ns0:f>
        <ns0:v>3.0</ns0:v>
      </ns0:c>
    </ns0:row>
    <ns0:row r="1897" ht="21" customHeight="1">
      <ns0:c r="A1897" s="25" t="n"/>
      <ns0:c r="B1897" s="26" t="n"/>
      <ns0:c r="C1897" s="27" t="n"/>
      <ns0:c r="D1897" s="27" t="n"/>
      <ns0:c r="E1897" s="28" t="str">
        <ns0:f>IF(A1897="","",YEAR(A1897)&amp;"-"&amp;RIGHT("0"&amp;MONTH(A1897),2))</ns0:f>
        <ns0:v/>
      </ns0:c>
      <ns0:c r="F1897" s="28" t="str">
        <ns0:f>IF(OR(A1897="",B1897="",C1897&lt;=0),"",IF(SUMPRODUCT(('Müşteriler'!$B$2:$B$101&lt;&gt;"")*ISNUMBER(SEARCH('Müşteriler'!$B$2:$B$101,B1897)))=1,IFERROR(INDEX('Müşteriler'!$A$2:$A$101,SUMPRODUCT(('Müşteriler'!$B$2:$B$101&lt;&gt;"")*ISNUMBER(SEARCH('Müşteriler'!$B$2:$B$101,B1897)),ROW('Müşteriler'!$B$2:$B$101)-ROW('Müşteriler'!$B$2)+1)),""),""))</ns0:f>
        <ns0:v/>
      </ns0:c>
      <ns0:c r="G1897" s="28" t="str">
        <ns0:f>IF(F1897="","",IFERROR(INDEX('Müşteriler'!$C$2:$C$101,MATCH(F1897,'Müşteriler'!$A$2:$A$101,0)),""))</ns0:f>
        <ns0:v/>
      </ns0:c>
      <ns0:c r="H1897" s="28" t="str">
        <ns0:f>IF(A1897="","",IF(C1897&lt;=0,"Satış dışı",IF(OR(F1897="",G1897=""),"Eşleşmedi","Eşleşti")))</ns0:f>
        <ns0:v/>
      </ns0:c>
      <ns0:c r="I1897" s="28">
        <ns0:f>I1896+IF(AND(H1897="Eşleşmedi",E1897='Panel'!$B$4),1,0)</ns0:f>
        <ns0:v>3.0</ns0:v>
      </ns0:c>
    </ns0:row>
    <ns0:row r="1898" ht="21" customHeight="1">
      <ns0:c r="A1898" s="25" t="n"/>
      <ns0:c r="B1898" s="26" t="n"/>
      <ns0:c r="C1898" s="27" t="n"/>
      <ns0:c r="D1898" s="27" t="n"/>
      <ns0:c r="E1898" s="28" t="str">
        <ns0:f>IF(A1898="","",YEAR(A1898)&amp;"-"&amp;RIGHT("0"&amp;MONTH(A1898),2))</ns0:f>
        <ns0:v/>
      </ns0:c>
      <ns0:c r="F1898" s="28" t="str">
        <ns0:f>IF(OR(A1898="",B1898="",C1898&lt;=0),"",IF(SUMPRODUCT(('Müşteriler'!$B$2:$B$101&lt;&gt;"")*ISNUMBER(SEARCH('Müşteriler'!$B$2:$B$101,B1898)))=1,IFERROR(INDEX('Müşteriler'!$A$2:$A$101,SUMPRODUCT(('Müşteriler'!$B$2:$B$101&lt;&gt;"")*ISNUMBER(SEARCH('Müşteriler'!$B$2:$B$101,B1898)),ROW('Müşteriler'!$B$2:$B$101)-ROW('Müşteriler'!$B$2)+1)),""),""))</ns0:f>
        <ns0:v/>
      </ns0:c>
      <ns0:c r="G1898" s="28" t="str">
        <ns0:f>IF(F1898="","",IFERROR(INDEX('Müşteriler'!$C$2:$C$101,MATCH(F1898,'Müşteriler'!$A$2:$A$101,0)),""))</ns0:f>
        <ns0:v/>
      </ns0:c>
      <ns0:c r="H1898" s="28" t="str">
        <ns0:f>IF(A1898="","",IF(C1898&lt;=0,"Satış dışı",IF(OR(F1898="",G1898=""),"Eşleşmedi","Eşleşti")))</ns0:f>
        <ns0:v/>
      </ns0:c>
      <ns0:c r="I1898" s="28">
        <ns0:f>I1897+IF(AND(H1898="Eşleşmedi",E1898='Panel'!$B$4),1,0)</ns0:f>
        <ns0:v>3.0</ns0:v>
      </ns0:c>
    </ns0:row>
    <ns0:row r="1899" ht="21" customHeight="1">
      <ns0:c r="A1899" s="25" t="n"/>
      <ns0:c r="B1899" s="26" t="n"/>
      <ns0:c r="C1899" s="27" t="n"/>
      <ns0:c r="D1899" s="27" t="n"/>
      <ns0:c r="E1899" s="28" t="str">
        <ns0:f>IF(A1899="","",YEAR(A1899)&amp;"-"&amp;RIGHT("0"&amp;MONTH(A1899),2))</ns0:f>
        <ns0:v/>
      </ns0:c>
      <ns0:c r="F1899" s="28" t="str">
        <ns0:f>IF(OR(A1899="",B1899="",C1899&lt;=0),"",IF(SUMPRODUCT(('Müşteriler'!$B$2:$B$101&lt;&gt;"")*ISNUMBER(SEARCH('Müşteriler'!$B$2:$B$101,B1899)))=1,IFERROR(INDEX('Müşteriler'!$A$2:$A$101,SUMPRODUCT(('Müşteriler'!$B$2:$B$101&lt;&gt;"")*ISNUMBER(SEARCH('Müşteriler'!$B$2:$B$101,B1899)),ROW('Müşteriler'!$B$2:$B$101)-ROW('Müşteriler'!$B$2)+1)),""),""))</ns0:f>
        <ns0:v/>
      </ns0:c>
      <ns0:c r="G1899" s="28" t="str">
        <ns0:f>IF(F1899="","",IFERROR(INDEX('Müşteriler'!$C$2:$C$101,MATCH(F1899,'Müşteriler'!$A$2:$A$101,0)),""))</ns0:f>
        <ns0:v/>
      </ns0:c>
      <ns0:c r="H1899" s="28" t="str">
        <ns0:f>IF(A1899="","",IF(C1899&lt;=0,"Satış dışı",IF(OR(F1899="",G1899=""),"Eşleşmedi","Eşleşti")))</ns0:f>
        <ns0:v/>
      </ns0:c>
      <ns0:c r="I1899" s="28">
        <ns0:f>I1898+IF(AND(H1899="Eşleşmedi",E1899='Panel'!$B$4),1,0)</ns0:f>
        <ns0:v>3.0</ns0:v>
      </ns0:c>
    </ns0:row>
    <ns0:row r="1900" ht="21" customHeight="1">
      <ns0:c r="A1900" s="25" t="n"/>
      <ns0:c r="B1900" s="26" t="n"/>
      <ns0:c r="C1900" s="27" t="n"/>
      <ns0:c r="D1900" s="27" t="n"/>
      <ns0:c r="E1900" s="28" t="str">
        <ns0:f>IF(A1900="","",YEAR(A1900)&amp;"-"&amp;RIGHT("0"&amp;MONTH(A1900),2))</ns0:f>
        <ns0:v/>
      </ns0:c>
      <ns0:c r="F1900" s="28" t="str">
        <ns0:f>IF(OR(A1900="",B1900="",C1900&lt;=0),"",IF(SUMPRODUCT(('Müşteriler'!$B$2:$B$101&lt;&gt;"")*ISNUMBER(SEARCH('Müşteriler'!$B$2:$B$101,B1900)))=1,IFERROR(INDEX('Müşteriler'!$A$2:$A$101,SUMPRODUCT(('Müşteriler'!$B$2:$B$101&lt;&gt;"")*ISNUMBER(SEARCH('Müşteriler'!$B$2:$B$101,B1900)),ROW('Müşteriler'!$B$2:$B$101)-ROW('Müşteriler'!$B$2)+1)),""),""))</ns0:f>
        <ns0:v/>
      </ns0:c>
      <ns0:c r="G1900" s="28" t="str">
        <ns0:f>IF(F1900="","",IFERROR(INDEX('Müşteriler'!$C$2:$C$101,MATCH(F1900,'Müşteriler'!$A$2:$A$101,0)),""))</ns0:f>
        <ns0:v/>
      </ns0:c>
      <ns0:c r="H1900" s="28" t="str">
        <ns0:f>IF(A1900="","",IF(C1900&lt;=0,"Satış dışı",IF(OR(F1900="",G1900=""),"Eşleşmedi","Eşleşti")))</ns0:f>
        <ns0:v/>
      </ns0:c>
      <ns0:c r="I1900" s="28">
        <ns0:f>I1899+IF(AND(H1900="Eşleşmedi",E1900='Panel'!$B$4),1,0)</ns0:f>
        <ns0:v>3.0</ns0:v>
      </ns0:c>
    </ns0:row>
    <ns0:row r="1901" ht="21" customHeight="1">
      <ns0:c r="A1901" s="25" t="n"/>
      <ns0:c r="B1901" s="26" t="n"/>
      <ns0:c r="C1901" s="27" t="n"/>
      <ns0:c r="D1901" s="27" t="n"/>
      <ns0:c r="E1901" s="28" t="str">
        <ns0:f>IF(A1901="","",YEAR(A1901)&amp;"-"&amp;RIGHT("0"&amp;MONTH(A1901),2))</ns0:f>
        <ns0:v/>
      </ns0:c>
      <ns0:c r="F1901" s="28" t="str">
        <ns0:f>IF(OR(A1901="",B1901="",C1901&lt;=0),"",IF(SUMPRODUCT(('Müşteriler'!$B$2:$B$101&lt;&gt;"")*ISNUMBER(SEARCH('Müşteriler'!$B$2:$B$101,B1901)))=1,IFERROR(INDEX('Müşteriler'!$A$2:$A$101,SUMPRODUCT(('Müşteriler'!$B$2:$B$101&lt;&gt;"")*ISNUMBER(SEARCH('Müşteriler'!$B$2:$B$101,B1901)),ROW('Müşteriler'!$B$2:$B$101)-ROW('Müşteriler'!$B$2)+1)),""),""))</ns0:f>
        <ns0:v/>
      </ns0:c>
      <ns0:c r="G1901" s="28" t="str">
        <ns0:f>IF(F1901="","",IFERROR(INDEX('Müşteriler'!$C$2:$C$101,MATCH(F1901,'Müşteriler'!$A$2:$A$101,0)),""))</ns0:f>
        <ns0:v/>
      </ns0:c>
      <ns0:c r="H1901" s="28" t="str">
        <ns0:f>IF(A1901="","",IF(C1901&lt;=0,"Satış dışı",IF(OR(F1901="",G1901=""),"Eşleşmedi","Eşleşti")))</ns0:f>
        <ns0:v/>
      </ns0:c>
      <ns0:c r="I1901" s="28">
        <ns0:f>I1900+IF(AND(H1901="Eşleşmedi",E1901='Panel'!$B$4),1,0)</ns0:f>
        <ns0:v>3.0</ns0:v>
      </ns0:c>
    </ns0:row>
    <ns0:row r="1902" ht="21" customHeight="1">
      <ns0:c r="A1902" s="25" t="n"/>
      <ns0:c r="B1902" s="26" t="n"/>
      <ns0:c r="C1902" s="27" t="n"/>
      <ns0:c r="D1902" s="27" t="n"/>
      <ns0:c r="E1902" s="28" t="str">
        <ns0:f>IF(A1902="","",YEAR(A1902)&amp;"-"&amp;RIGHT("0"&amp;MONTH(A1902),2))</ns0:f>
        <ns0:v/>
      </ns0:c>
      <ns0:c r="F1902" s="28" t="str">
        <ns0:f>IF(OR(A1902="",B1902="",C1902&lt;=0),"",IF(SUMPRODUCT(('Müşteriler'!$B$2:$B$101&lt;&gt;"")*ISNUMBER(SEARCH('Müşteriler'!$B$2:$B$101,B1902)))=1,IFERROR(INDEX('Müşteriler'!$A$2:$A$101,SUMPRODUCT(('Müşteriler'!$B$2:$B$101&lt;&gt;"")*ISNUMBER(SEARCH('Müşteriler'!$B$2:$B$101,B1902)),ROW('Müşteriler'!$B$2:$B$101)-ROW('Müşteriler'!$B$2)+1)),""),""))</ns0:f>
        <ns0:v/>
      </ns0:c>
      <ns0:c r="G1902" s="28" t="str">
        <ns0:f>IF(F1902="","",IFERROR(INDEX('Müşteriler'!$C$2:$C$101,MATCH(F1902,'Müşteriler'!$A$2:$A$101,0)),""))</ns0:f>
        <ns0:v/>
      </ns0:c>
      <ns0:c r="H1902" s="28" t="str">
        <ns0:f>IF(A1902="","",IF(C1902&lt;=0,"Satış dışı",IF(OR(F1902="",G1902=""),"Eşleşmedi","Eşleşti")))</ns0:f>
        <ns0:v/>
      </ns0:c>
      <ns0:c r="I1902" s="28">
        <ns0:f>I1901+IF(AND(H1902="Eşleşmedi",E1902='Panel'!$B$4),1,0)</ns0:f>
        <ns0:v>3.0</ns0:v>
      </ns0:c>
    </ns0:row>
    <ns0:row r="1903" ht="21" customHeight="1">
      <ns0:c r="A1903" s="25" t="n"/>
      <ns0:c r="B1903" s="26" t="n"/>
      <ns0:c r="C1903" s="27" t="n"/>
      <ns0:c r="D1903" s="27" t="n"/>
      <ns0:c r="E1903" s="28" t="str">
        <ns0:f>IF(A1903="","",YEAR(A1903)&amp;"-"&amp;RIGHT("0"&amp;MONTH(A1903),2))</ns0:f>
        <ns0:v/>
      </ns0:c>
      <ns0:c r="F1903" s="28" t="str">
        <ns0:f>IF(OR(A1903="",B1903="",C1903&lt;=0),"",IF(SUMPRODUCT(('Müşteriler'!$B$2:$B$101&lt;&gt;"")*ISNUMBER(SEARCH('Müşteriler'!$B$2:$B$101,B1903)))=1,IFERROR(INDEX('Müşteriler'!$A$2:$A$101,SUMPRODUCT(('Müşteriler'!$B$2:$B$101&lt;&gt;"")*ISNUMBER(SEARCH('Müşteriler'!$B$2:$B$101,B1903)),ROW('Müşteriler'!$B$2:$B$101)-ROW('Müşteriler'!$B$2)+1)),""),""))</ns0:f>
        <ns0:v/>
      </ns0:c>
      <ns0:c r="G1903" s="28" t="str">
        <ns0:f>IF(F1903="","",IFERROR(INDEX('Müşteriler'!$C$2:$C$101,MATCH(F1903,'Müşteriler'!$A$2:$A$101,0)),""))</ns0:f>
        <ns0:v/>
      </ns0:c>
      <ns0:c r="H1903" s="28" t="str">
        <ns0:f>IF(A1903="","",IF(C1903&lt;=0,"Satış dışı",IF(OR(F1903="",G1903=""),"Eşleşmedi","Eşleşti")))</ns0:f>
        <ns0:v/>
      </ns0:c>
      <ns0:c r="I1903" s="28">
        <ns0:f>I1902+IF(AND(H1903="Eşleşmedi",E1903='Panel'!$B$4),1,0)</ns0:f>
        <ns0:v>3.0</ns0:v>
      </ns0:c>
    </ns0:row>
    <ns0:row r="1904" ht="21" customHeight="1">
      <ns0:c r="A1904" s="25" t="n"/>
      <ns0:c r="B1904" s="26" t="n"/>
      <ns0:c r="C1904" s="27" t="n"/>
      <ns0:c r="D1904" s="27" t="n"/>
      <ns0:c r="E1904" s="28" t="str">
        <ns0:f>IF(A1904="","",YEAR(A1904)&amp;"-"&amp;RIGHT("0"&amp;MONTH(A1904),2))</ns0:f>
        <ns0:v/>
      </ns0:c>
      <ns0:c r="F1904" s="28" t="str">
        <ns0:f>IF(OR(A1904="",B1904="",C1904&lt;=0),"",IF(SUMPRODUCT(('Müşteriler'!$B$2:$B$101&lt;&gt;"")*ISNUMBER(SEARCH('Müşteriler'!$B$2:$B$101,B1904)))=1,IFERROR(INDEX('Müşteriler'!$A$2:$A$101,SUMPRODUCT(('Müşteriler'!$B$2:$B$101&lt;&gt;"")*ISNUMBER(SEARCH('Müşteriler'!$B$2:$B$101,B1904)),ROW('Müşteriler'!$B$2:$B$101)-ROW('Müşteriler'!$B$2)+1)),""),""))</ns0:f>
        <ns0:v/>
      </ns0:c>
      <ns0:c r="G1904" s="28" t="str">
        <ns0:f>IF(F1904="","",IFERROR(INDEX('Müşteriler'!$C$2:$C$101,MATCH(F1904,'Müşteriler'!$A$2:$A$101,0)),""))</ns0:f>
        <ns0:v/>
      </ns0:c>
      <ns0:c r="H1904" s="28" t="str">
        <ns0:f>IF(A1904="","",IF(C1904&lt;=0,"Satış dışı",IF(OR(F1904="",G1904=""),"Eşleşmedi","Eşleşti")))</ns0:f>
        <ns0:v/>
      </ns0:c>
      <ns0:c r="I1904" s="28">
        <ns0:f>I1903+IF(AND(H1904="Eşleşmedi",E1904='Panel'!$B$4),1,0)</ns0:f>
        <ns0:v>3.0</ns0:v>
      </ns0:c>
    </ns0:row>
    <ns0:row r="1905" ht="21" customHeight="1">
      <ns0:c r="A1905" s="25" t="n"/>
      <ns0:c r="B1905" s="26" t="n"/>
      <ns0:c r="C1905" s="27" t="n"/>
      <ns0:c r="D1905" s="27" t="n"/>
      <ns0:c r="E1905" s="28" t="str">
        <ns0:f>IF(A1905="","",YEAR(A1905)&amp;"-"&amp;RIGHT("0"&amp;MONTH(A1905),2))</ns0:f>
        <ns0:v/>
      </ns0:c>
      <ns0:c r="F1905" s="28" t="str">
        <ns0:f>IF(OR(A1905="",B1905="",C1905&lt;=0),"",IF(SUMPRODUCT(('Müşteriler'!$B$2:$B$101&lt;&gt;"")*ISNUMBER(SEARCH('Müşteriler'!$B$2:$B$101,B1905)))=1,IFERROR(INDEX('Müşteriler'!$A$2:$A$101,SUMPRODUCT(('Müşteriler'!$B$2:$B$101&lt;&gt;"")*ISNUMBER(SEARCH('Müşteriler'!$B$2:$B$101,B1905)),ROW('Müşteriler'!$B$2:$B$101)-ROW('Müşteriler'!$B$2)+1)),""),""))</ns0:f>
        <ns0:v/>
      </ns0:c>
      <ns0:c r="G1905" s="28" t="str">
        <ns0:f>IF(F1905="","",IFERROR(INDEX('Müşteriler'!$C$2:$C$101,MATCH(F1905,'Müşteriler'!$A$2:$A$101,0)),""))</ns0:f>
        <ns0:v/>
      </ns0:c>
      <ns0:c r="H1905" s="28" t="str">
        <ns0:f>IF(A1905="","",IF(C1905&lt;=0,"Satış dışı",IF(OR(F1905="",G1905=""),"Eşleşmedi","Eşleşti")))</ns0:f>
        <ns0:v/>
      </ns0:c>
      <ns0:c r="I1905" s="28">
        <ns0:f>I1904+IF(AND(H1905="Eşleşmedi",E1905='Panel'!$B$4),1,0)</ns0:f>
        <ns0:v>3.0</ns0:v>
      </ns0:c>
    </ns0:row>
    <ns0:row r="1906" ht="21" customHeight="1">
      <ns0:c r="A1906" s="25" t="n"/>
      <ns0:c r="B1906" s="26" t="n"/>
      <ns0:c r="C1906" s="27" t="n"/>
      <ns0:c r="D1906" s="27" t="n"/>
      <ns0:c r="E1906" s="28" t="str">
        <ns0:f>IF(A1906="","",YEAR(A1906)&amp;"-"&amp;RIGHT("0"&amp;MONTH(A1906),2))</ns0:f>
        <ns0:v/>
      </ns0:c>
      <ns0:c r="F1906" s="28" t="str">
        <ns0:f>IF(OR(A1906="",B1906="",C1906&lt;=0),"",IF(SUMPRODUCT(('Müşteriler'!$B$2:$B$101&lt;&gt;"")*ISNUMBER(SEARCH('Müşteriler'!$B$2:$B$101,B1906)))=1,IFERROR(INDEX('Müşteriler'!$A$2:$A$101,SUMPRODUCT(('Müşteriler'!$B$2:$B$101&lt;&gt;"")*ISNUMBER(SEARCH('Müşteriler'!$B$2:$B$101,B1906)),ROW('Müşteriler'!$B$2:$B$101)-ROW('Müşteriler'!$B$2)+1)),""),""))</ns0:f>
        <ns0:v/>
      </ns0:c>
      <ns0:c r="G1906" s="28" t="str">
        <ns0:f>IF(F1906="","",IFERROR(INDEX('Müşteriler'!$C$2:$C$101,MATCH(F1906,'Müşteriler'!$A$2:$A$101,0)),""))</ns0:f>
        <ns0:v/>
      </ns0:c>
      <ns0:c r="H1906" s="28" t="str">
        <ns0:f>IF(A1906="","",IF(C1906&lt;=0,"Satış dışı",IF(OR(F1906="",G1906=""),"Eşleşmedi","Eşleşti")))</ns0:f>
        <ns0:v/>
      </ns0:c>
      <ns0:c r="I1906" s="28">
        <ns0:f>I1905+IF(AND(H1906="Eşleşmedi",E1906='Panel'!$B$4),1,0)</ns0:f>
        <ns0:v>3.0</ns0:v>
      </ns0:c>
    </ns0:row>
    <ns0:row r="1907" ht="21" customHeight="1">
      <ns0:c r="A1907" s="25" t="n"/>
      <ns0:c r="B1907" s="26" t="n"/>
      <ns0:c r="C1907" s="27" t="n"/>
      <ns0:c r="D1907" s="27" t="n"/>
      <ns0:c r="E1907" s="28" t="str">
        <ns0:f>IF(A1907="","",YEAR(A1907)&amp;"-"&amp;RIGHT("0"&amp;MONTH(A1907),2))</ns0:f>
        <ns0:v/>
      </ns0:c>
      <ns0:c r="F1907" s="28" t="str">
        <ns0:f>IF(OR(A1907="",B1907="",C1907&lt;=0),"",IF(SUMPRODUCT(('Müşteriler'!$B$2:$B$101&lt;&gt;"")*ISNUMBER(SEARCH('Müşteriler'!$B$2:$B$101,B1907)))=1,IFERROR(INDEX('Müşteriler'!$A$2:$A$101,SUMPRODUCT(('Müşteriler'!$B$2:$B$101&lt;&gt;"")*ISNUMBER(SEARCH('Müşteriler'!$B$2:$B$101,B1907)),ROW('Müşteriler'!$B$2:$B$101)-ROW('Müşteriler'!$B$2)+1)),""),""))</ns0:f>
        <ns0:v/>
      </ns0:c>
      <ns0:c r="G1907" s="28" t="str">
        <ns0:f>IF(F1907="","",IFERROR(INDEX('Müşteriler'!$C$2:$C$101,MATCH(F1907,'Müşteriler'!$A$2:$A$101,0)),""))</ns0:f>
        <ns0:v/>
      </ns0:c>
      <ns0:c r="H1907" s="28" t="str">
        <ns0:f>IF(A1907="","",IF(C1907&lt;=0,"Satış dışı",IF(OR(F1907="",G1907=""),"Eşleşmedi","Eşleşti")))</ns0:f>
        <ns0:v/>
      </ns0:c>
      <ns0:c r="I1907" s="28">
        <ns0:f>I1906+IF(AND(H1907="Eşleşmedi",E1907='Panel'!$B$4),1,0)</ns0:f>
        <ns0:v>3.0</ns0:v>
      </ns0:c>
    </ns0:row>
    <ns0:row r="1908" ht="21" customHeight="1">
      <ns0:c r="A1908" s="25" t="n"/>
      <ns0:c r="B1908" s="26" t="n"/>
      <ns0:c r="C1908" s="27" t="n"/>
      <ns0:c r="D1908" s="27" t="n"/>
      <ns0:c r="E1908" s="28" t="str">
        <ns0:f>IF(A1908="","",YEAR(A1908)&amp;"-"&amp;RIGHT("0"&amp;MONTH(A1908),2))</ns0:f>
        <ns0:v/>
      </ns0:c>
      <ns0:c r="F1908" s="28" t="str">
        <ns0:f>IF(OR(A1908="",B1908="",C1908&lt;=0),"",IF(SUMPRODUCT(('Müşteriler'!$B$2:$B$101&lt;&gt;"")*ISNUMBER(SEARCH('Müşteriler'!$B$2:$B$101,B1908)))=1,IFERROR(INDEX('Müşteriler'!$A$2:$A$101,SUMPRODUCT(('Müşteriler'!$B$2:$B$101&lt;&gt;"")*ISNUMBER(SEARCH('Müşteriler'!$B$2:$B$101,B1908)),ROW('Müşteriler'!$B$2:$B$101)-ROW('Müşteriler'!$B$2)+1)),""),""))</ns0:f>
        <ns0:v/>
      </ns0:c>
      <ns0:c r="G1908" s="28" t="str">
        <ns0:f>IF(F1908="","",IFERROR(INDEX('Müşteriler'!$C$2:$C$101,MATCH(F1908,'Müşteriler'!$A$2:$A$101,0)),""))</ns0:f>
        <ns0:v/>
      </ns0:c>
      <ns0:c r="H1908" s="28" t="str">
        <ns0:f>IF(A1908="","",IF(C1908&lt;=0,"Satış dışı",IF(OR(F1908="",G1908=""),"Eşleşmedi","Eşleşti")))</ns0:f>
        <ns0:v/>
      </ns0:c>
      <ns0:c r="I1908" s="28">
        <ns0:f>I1907+IF(AND(H1908="Eşleşmedi",E1908='Panel'!$B$4),1,0)</ns0:f>
        <ns0:v>3.0</ns0:v>
      </ns0:c>
    </ns0:row>
    <ns0:row r="1909" ht="21" customHeight="1">
      <ns0:c r="A1909" s="25" t="n"/>
      <ns0:c r="B1909" s="26" t="n"/>
      <ns0:c r="C1909" s="27" t="n"/>
      <ns0:c r="D1909" s="27" t="n"/>
      <ns0:c r="E1909" s="28" t="str">
        <ns0:f>IF(A1909="","",YEAR(A1909)&amp;"-"&amp;RIGHT("0"&amp;MONTH(A1909),2))</ns0:f>
        <ns0:v/>
      </ns0:c>
      <ns0:c r="F1909" s="28" t="str">
        <ns0:f>IF(OR(A1909="",B1909="",C1909&lt;=0),"",IF(SUMPRODUCT(('Müşteriler'!$B$2:$B$101&lt;&gt;"")*ISNUMBER(SEARCH('Müşteriler'!$B$2:$B$101,B1909)))=1,IFERROR(INDEX('Müşteriler'!$A$2:$A$101,SUMPRODUCT(('Müşteriler'!$B$2:$B$101&lt;&gt;"")*ISNUMBER(SEARCH('Müşteriler'!$B$2:$B$101,B1909)),ROW('Müşteriler'!$B$2:$B$101)-ROW('Müşteriler'!$B$2)+1)),""),""))</ns0:f>
        <ns0:v/>
      </ns0:c>
      <ns0:c r="G1909" s="28" t="str">
        <ns0:f>IF(F1909="","",IFERROR(INDEX('Müşteriler'!$C$2:$C$101,MATCH(F1909,'Müşteriler'!$A$2:$A$101,0)),""))</ns0:f>
        <ns0:v/>
      </ns0:c>
      <ns0:c r="H1909" s="28" t="str">
        <ns0:f>IF(A1909="","",IF(C1909&lt;=0,"Satış dışı",IF(OR(F1909="",G1909=""),"Eşleşmedi","Eşleşti")))</ns0:f>
        <ns0:v/>
      </ns0:c>
      <ns0:c r="I1909" s="28">
        <ns0:f>I1908+IF(AND(H1909="Eşleşmedi",E1909='Panel'!$B$4),1,0)</ns0:f>
        <ns0:v>3.0</ns0:v>
      </ns0:c>
    </ns0:row>
    <ns0:row r="1910" ht="21" customHeight="1">
      <ns0:c r="A1910" s="25" t="n"/>
      <ns0:c r="B1910" s="26" t="n"/>
      <ns0:c r="C1910" s="27" t="n"/>
      <ns0:c r="D1910" s="27" t="n"/>
      <ns0:c r="E1910" s="28" t="str">
        <ns0:f>IF(A1910="","",YEAR(A1910)&amp;"-"&amp;RIGHT("0"&amp;MONTH(A1910),2))</ns0:f>
        <ns0:v/>
      </ns0:c>
      <ns0:c r="F1910" s="28" t="str">
        <ns0:f>IF(OR(A1910="",B1910="",C1910&lt;=0),"",IF(SUMPRODUCT(('Müşteriler'!$B$2:$B$101&lt;&gt;"")*ISNUMBER(SEARCH('Müşteriler'!$B$2:$B$101,B1910)))=1,IFERROR(INDEX('Müşteriler'!$A$2:$A$101,SUMPRODUCT(('Müşteriler'!$B$2:$B$101&lt;&gt;"")*ISNUMBER(SEARCH('Müşteriler'!$B$2:$B$101,B1910)),ROW('Müşteriler'!$B$2:$B$101)-ROW('Müşteriler'!$B$2)+1)),""),""))</ns0:f>
        <ns0:v/>
      </ns0:c>
      <ns0:c r="G1910" s="28" t="str">
        <ns0:f>IF(F1910="","",IFERROR(INDEX('Müşteriler'!$C$2:$C$101,MATCH(F1910,'Müşteriler'!$A$2:$A$101,0)),""))</ns0:f>
        <ns0:v/>
      </ns0:c>
      <ns0:c r="H1910" s="28" t="str">
        <ns0:f>IF(A1910="","",IF(C1910&lt;=0,"Satış dışı",IF(OR(F1910="",G1910=""),"Eşleşmedi","Eşleşti")))</ns0:f>
        <ns0:v/>
      </ns0:c>
      <ns0:c r="I1910" s="28">
        <ns0:f>I1909+IF(AND(H1910="Eşleşmedi",E1910='Panel'!$B$4),1,0)</ns0:f>
        <ns0:v>3.0</ns0:v>
      </ns0:c>
    </ns0:row>
    <ns0:row r="1911" ht="21" customHeight="1">
      <ns0:c r="A1911" s="25" t="n"/>
      <ns0:c r="B1911" s="26" t="n"/>
      <ns0:c r="C1911" s="27" t="n"/>
      <ns0:c r="D1911" s="27" t="n"/>
      <ns0:c r="E1911" s="28" t="str">
        <ns0:f>IF(A1911="","",YEAR(A1911)&amp;"-"&amp;RIGHT("0"&amp;MONTH(A1911),2))</ns0:f>
        <ns0:v/>
      </ns0:c>
      <ns0:c r="F1911" s="28" t="str">
        <ns0:f>IF(OR(A1911="",B1911="",C1911&lt;=0),"",IF(SUMPRODUCT(('Müşteriler'!$B$2:$B$101&lt;&gt;"")*ISNUMBER(SEARCH('Müşteriler'!$B$2:$B$101,B1911)))=1,IFERROR(INDEX('Müşteriler'!$A$2:$A$101,SUMPRODUCT(('Müşteriler'!$B$2:$B$101&lt;&gt;"")*ISNUMBER(SEARCH('Müşteriler'!$B$2:$B$101,B1911)),ROW('Müşteriler'!$B$2:$B$101)-ROW('Müşteriler'!$B$2)+1)),""),""))</ns0:f>
        <ns0:v/>
      </ns0:c>
      <ns0:c r="G1911" s="28" t="str">
        <ns0:f>IF(F1911="","",IFERROR(INDEX('Müşteriler'!$C$2:$C$101,MATCH(F1911,'Müşteriler'!$A$2:$A$101,0)),""))</ns0:f>
        <ns0:v/>
      </ns0:c>
      <ns0:c r="H1911" s="28" t="str">
        <ns0:f>IF(A1911="","",IF(C1911&lt;=0,"Satış dışı",IF(OR(F1911="",G1911=""),"Eşleşmedi","Eşleşti")))</ns0:f>
        <ns0:v/>
      </ns0:c>
      <ns0:c r="I1911" s="28">
        <ns0:f>I1910+IF(AND(H1911="Eşleşmedi",E1911='Panel'!$B$4),1,0)</ns0:f>
        <ns0:v>3.0</ns0:v>
      </ns0:c>
    </ns0:row>
    <ns0:row r="1912" ht="21" customHeight="1">
      <ns0:c r="A1912" s="25" t="n"/>
      <ns0:c r="B1912" s="26" t="n"/>
      <ns0:c r="C1912" s="27" t="n"/>
      <ns0:c r="D1912" s="27" t="n"/>
      <ns0:c r="E1912" s="28" t="str">
        <ns0:f>IF(A1912="","",YEAR(A1912)&amp;"-"&amp;RIGHT("0"&amp;MONTH(A1912),2))</ns0:f>
        <ns0:v/>
      </ns0:c>
      <ns0:c r="F1912" s="28" t="str">
        <ns0:f>IF(OR(A1912="",B1912="",C1912&lt;=0),"",IF(SUMPRODUCT(('Müşteriler'!$B$2:$B$101&lt;&gt;"")*ISNUMBER(SEARCH('Müşteriler'!$B$2:$B$101,B1912)))=1,IFERROR(INDEX('Müşteriler'!$A$2:$A$101,SUMPRODUCT(('Müşteriler'!$B$2:$B$101&lt;&gt;"")*ISNUMBER(SEARCH('Müşteriler'!$B$2:$B$101,B1912)),ROW('Müşteriler'!$B$2:$B$101)-ROW('Müşteriler'!$B$2)+1)),""),""))</ns0:f>
        <ns0:v/>
      </ns0:c>
      <ns0:c r="G1912" s="28" t="str">
        <ns0:f>IF(F1912="","",IFERROR(INDEX('Müşteriler'!$C$2:$C$101,MATCH(F1912,'Müşteriler'!$A$2:$A$101,0)),""))</ns0:f>
        <ns0:v/>
      </ns0:c>
      <ns0:c r="H1912" s="28" t="str">
        <ns0:f>IF(A1912="","",IF(C1912&lt;=0,"Satış dışı",IF(OR(F1912="",G1912=""),"Eşleşmedi","Eşleşti")))</ns0:f>
        <ns0:v/>
      </ns0:c>
      <ns0:c r="I1912" s="28">
        <ns0:f>I1911+IF(AND(H1912="Eşleşmedi",E1912='Panel'!$B$4),1,0)</ns0:f>
        <ns0:v>3.0</ns0:v>
      </ns0:c>
    </ns0:row>
    <ns0:row r="1913" ht="21" customHeight="1">
      <ns0:c r="A1913" s="25" t="n"/>
      <ns0:c r="B1913" s="26" t="n"/>
      <ns0:c r="C1913" s="27" t="n"/>
      <ns0:c r="D1913" s="27" t="n"/>
      <ns0:c r="E1913" s="28" t="str">
        <ns0:f>IF(A1913="","",YEAR(A1913)&amp;"-"&amp;RIGHT("0"&amp;MONTH(A1913),2))</ns0:f>
        <ns0:v/>
      </ns0:c>
      <ns0:c r="F1913" s="28" t="str">
        <ns0:f>IF(OR(A1913="",B1913="",C1913&lt;=0),"",IF(SUMPRODUCT(('Müşteriler'!$B$2:$B$101&lt;&gt;"")*ISNUMBER(SEARCH('Müşteriler'!$B$2:$B$101,B1913)))=1,IFERROR(INDEX('Müşteriler'!$A$2:$A$101,SUMPRODUCT(('Müşteriler'!$B$2:$B$101&lt;&gt;"")*ISNUMBER(SEARCH('Müşteriler'!$B$2:$B$101,B1913)),ROW('Müşteriler'!$B$2:$B$101)-ROW('Müşteriler'!$B$2)+1)),""),""))</ns0:f>
        <ns0:v/>
      </ns0:c>
      <ns0:c r="G1913" s="28" t="str">
        <ns0:f>IF(F1913="","",IFERROR(INDEX('Müşteriler'!$C$2:$C$101,MATCH(F1913,'Müşteriler'!$A$2:$A$101,0)),""))</ns0:f>
        <ns0:v/>
      </ns0:c>
      <ns0:c r="H1913" s="28" t="str">
        <ns0:f>IF(A1913="","",IF(C1913&lt;=0,"Satış dışı",IF(OR(F1913="",G1913=""),"Eşleşmedi","Eşleşti")))</ns0:f>
        <ns0:v/>
      </ns0:c>
      <ns0:c r="I1913" s="28">
        <ns0:f>I1912+IF(AND(H1913="Eşleşmedi",E1913='Panel'!$B$4),1,0)</ns0:f>
        <ns0:v>3.0</ns0:v>
      </ns0:c>
    </ns0:row>
    <ns0:row r="1914" ht="21" customHeight="1">
      <ns0:c r="A1914" s="25" t="n"/>
      <ns0:c r="B1914" s="26" t="n"/>
      <ns0:c r="C1914" s="27" t="n"/>
      <ns0:c r="D1914" s="27" t="n"/>
      <ns0:c r="E1914" s="28" t="str">
        <ns0:f>IF(A1914="","",YEAR(A1914)&amp;"-"&amp;RIGHT("0"&amp;MONTH(A1914),2))</ns0:f>
        <ns0:v/>
      </ns0:c>
      <ns0:c r="F1914" s="28" t="str">
        <ns0:f>IF(OR(A1914="",B1914="",C1914&lt;=0),"",IF(SUMPRODUCT(('Müşteriler'!$B$2:$B$101&lt;&gt;"")*ISNUMBER(SEARCH('Müşteriler'!$B$2:$B$101,B1914)))=1,IFERROR(INDEX('Müşteriler'!$A$2:$A$101,SUMPRODUCT(('Müşteriler'!$B$2:$B$101&lt;&gt;"")*ISNUMBER(SEARCH('Müşteriler'!$B$2:$B$101,B1914)),ROW('Müşteriler'!$B$2:$B$101)-ROW('Müşteriler'!$B$2)+1)),""),""))</ns0:f>
        <ns0:v/>
      </ns0:c>
      <ns0:c r="G1914" s="28" t="str">
        <ns0:f>IF(F1914="","",IFERROR(INDEX('Müşteriler'!$C$2:$C$101,MATCH(F1914,'Müşteriler'!$A$2:$A$101,0)),""))</ns0:f>
        <ns0:v/>
      </ns0:c>
      <ns0:c r="H1914" s="28" t="str">
        <ns0:f>IF(A1914="","",IF(C1914&lt;=0,"Satış dışı",IF(OR(F1914="",G1914=""),"Eşleşmedi","Eşleşti")))</ns0:f>
        <ns0:v/>
      </ns0:c>
      <ns0:c r="I1914" s="28">
        <ns0:f>I1913+IF(AND(H1914="Eşleşmedi",E1914='Panel'!$B$4),1,0)</ns0:f>
        <ns0:v>3.0</ns0:v>
      </ns0:c>
    </ns0:row>
    <ns0:row r="1915" ht="21" customHeight="1">
      <ns0:c r="A1915" s="25" t="n"/>
      <ns0:c r="B1915" s="26" t="n"/>
      <ns0:c r="C1915" s="27" t="n"/>
      <ns0:c r="D1915" s="27" t="n"/>
      <ns0:c r="E1915" s="28" t="str">
        <ns0:f>IF(A1915="","",YEAR(A1915)&amp;"-"&amp;RIGHT("0"&amp;MONTH(A1915),2))</ns0:f>
        <ns0:v/>
      </ns0:c>
      <ns0:c r="F1915" s="28" t="str">
        <ns0:f>IF(OR(A1915="",B1915="",C1915&lt;=0),"",IF(SUMPRODUCT(('Müşteriler'!$B$2:$B$101&lt;&gt;"")*ISNUMBER(SEARCH('Müşteriler'!$B$2:$B$101,B1915)))=1,IFERROR(INDEX('Müşteriler'!$A$2:$A$101,SUMPRODUCT(('Müşteriler'!$B$2:$B$101&lt;&gt;"")*ISNUMBER(SEARCH('Müşteriler'!$B$2:$B$101,B1915)),ROW('Müşteriler'!$B$2:$B$101)-ROW('Müşteriler'!$B$2)+1)),""),""))</ns0:f>
        <ns0:v/>
      </ns0:c>
      <ns0:c r="G1915" s="28" t="str">
        <ns0:f>IF(F1915="","",IFERROR(INDEX('Müşteriler'!$C$2:$C$101,MATCH(F1915,'Müşteriler'!$A$2:$A$101,0)),""))</ns0:f>
        <ns0:v/>
      </ns0:c>
      <ns0:c r="H1915" s="28" t="str">
        <ns0:f>IF(A1915="","",IF(C1915&lt;=0,"Satış dışı",IF(OR(F1915="",G1915=""),"Eşleşmedi","Eşleşti")))</ns0:f>
        <ns0:v/>
      </ns0:c>
      <ns0:c r="I1915" s="28">
        <ns0:f>I1914+IF(AND(H1915="Eşleşmedi",E1915='Panel'!$B$4),1,0)</ns0:f>
        <ns0:v>3.0</ns0:v>
      </ns0:c>
    </ns0:row>
    <ns0:row r="1916" ht="21" customHeight="1">
      <ns0:c r="A1916" s="25" t="n"/>
      <ns0:c r="B1916" s="26" t="n"/>
      <ns0:c r="C1916" s="27" t="n"/>
      <ns0:c r="D1916" s="27" t="n"/>
      <ns0:c r="E1916" s="28" t="str">
        <ns0:f>IF(A1916="","",YEAR(A1916)&amp;"-"&amp;RIGHT("0"&amp;MONTH(A1916),2))</ns0:f>
        <ns0:v/>
      </ns0:c>
      <ns0:c r="F1916" s="28" t="str">
        <ns0:f>IF(OR(A1916="",B1916="",C1916&lt;=0),"",IF(SUMPRODUCT(('Müşteriler'!$B$2:$B$101&lt;&gt;"")*ISNUMBER(SEARCH('Müşteriler'!$B$2:$B$101,B1916)))=1,IFERROR(INDEX('Müşteriler'!$A$2:$A$101,SUMPRODUCT(('Müşteriler'!$B$2:$B$101&lt;&gt;"")*ISNUMBER(SEARCH('Müşteriler'!$B$2:$B$101,B1916)),ROW('Müşteriler'!$B$2:$B$101)-ROW('Müşteriler'!$B$2)+1)),""),""))</ns0:f>
        <ns0:v/>
      </ns0:c>
      <ns0:c r="G1916" s="28" t="str">
        <ns0:f>IF(F1916="","",IFERROR(INDEX('Müşteriler'!$C$2:$C$101,MATCH(F1916,'Müşteriler'!$A$2:$A$101,0)),""))</ns0:f>
        <ns0:v/>
      </ns0:c>
      <ns0:c r="H1916" s="28" t="str">
        <ns0:f>IF(A1916="","",IF(C1916&lt;=0,"Satış dışı",IF(OR(F1916="",G1916=""),"Eşleşmedi","Eşleşti")))</ns0:f>
        <ns0:v/>
      </ns0:c>
      <ns0:c r="I1916" s="28">
        <ns0:f>I1915+IF(AND(H1916="Eşleşmedi",E1916='Panel'!$B$4),1,0)</ns0:f>
        <ns0:v>3.0</ns0:v>
      </ns0:c>
    </ns0:row>
    <ns0:row r="1917" ht="21" customHeight="1">
      <ns0:c r="A1917" s="25" t="n"/>
      <ns0:c r="B1917" s="26" t="n"/>
      <ns0:c r="C1917" s="27" t="n"/>
      <ns0:c r="D1917" s="27" t="n"/>
      <ns0:c r="E1917" s="28" t="str">
        <ns0:f>IF(A1917="","",YEAR(A1917)&amp;"-"&amp;RIGHT("0"&amp;MONTH(A1917),2))</ns0:f>
        <ns0:v/>
      </ns0:c>
      <ns0:c r="F1917" s="28" t="str">
        <ns0:f>IF(OR(A1917="",B1917="",C1917&lt;=0),"",IF(SUMPRODUCT(('Müşteriler'!$B$2:$B$101&lt;&gt;"")*ISNUMBER(SEARCH('Müşteriler'!$B$2:$B$101,B1917)))=1,IFERROR(INDEX('Müşteriler'!$A$2:$A$101,SUMPRODUCT(('Müşteriler'!$B$2:$B$101&lt;&gt;"")*ISNUMBER(SEARCH('Müşteriler'!$B$2:$B$101,B1917)),ROW('Müşteriler'!$B$2:$B$101)-ROW('Müşteriler'!$B$2)+1)),""),""))</ns0:f>
        <ns0:v/>
      </ns0:c>
      <ns0:c r="G1917" s="28" t="str">
        <ns0:f>IF(F1917="","",IFERROR(INDEX('Müşteriler'!$C$2:$C$101,MATCH(F1917,'Müşteriler'!$A$2:$A$101,0)),""))</ns0:f>
        <ns0:v/>
      </ns0:c>
      <ns0:c r="H1917" s="28" t="str">
        <ns0:f>IF(A1917="","",IF(C1917&lt;=0,"Satış dışı",IF(OR(F1917="",G1917=""),"Eşleşmedi","Eşleşti")))</ns0:f>
        <ns0:v/>
      </ns0:c>
      <ns0:c r="I1917" s="28">
        <ns0:f>I1916+IF(AND(H1917="Eşleşmedi",E1917='Panel'!$B$4),1,0)</ns0:f>
        <ns0:v>3.0</ns0:v>
      </ns0:c>
    </ns0:row>
    <ns0:row r="1918" ht="21" customHeight="1">
      <ns0:c r="A1918" s="25" t="n"/>
      <ns0:c r="B1918" s="26" t="n"/>
      <ns0:c r="C1918" s="27" t="n"/>
      <ns0:c r="D1918" s="27" t="n"/>
      <ns0:c r="E1918" s="28" t="str">
        <ns0:f>IF(A1918="","",YEAR(A1918)&amp;"-"&amp;RIGHT("0"&amp;MONTH(A1918),2))</ns0:f>
        <ns0:v/>
      </ns0:c>
      <ns0:c r="F1918" s="28" t="str">
        <ns0:f>IF(OR(A1918="",B1918="",C1918&lt;=0),"",IF(SUMPRODUCT(('Müşteriler'!$B$2:$B$101&lt;&gt;"")*ISNUMBER(SEARCH('Müşteriler'!$B$2:$B$101,B1918)))=1,IFERROR(INDEX('Müşteriler'!$A$2:$A$101,SUMPRODUCT(('Müşteriler'!$B$2:$B$101&lt;&gt;"")*ISNUMBER(SEARCH('Müşteriler'!$B$2:$B$101,B1918)),ROW('Müşteriler'!$B$2:$B$101)-ROW('Müşteriler'!$B$2)+1)),""),""))</ns0:f>
        <ns0:v/>
      </ns0:c>
      <ns0:c r="G1918" s="28" t="str">
        <ns0:f>IF(F1918="","",IFERROR(INDEX('Müşteriler'!$C$2:$C$101,MATCH(F1918,'Müşteriler'!$A$2:$A$101,0)),""))</ns0:f>
        <ns0:v/>
      </ns0:c>
      <ns0:c r="H1918" s="28" t="str">
        <ns0:f>IF(A1918="","",IF(C1918&lt;=0,"Satış dışı",IF(OR(F1918="",G1918=""),"Eşleşmedi","Eşleşti")))</ns0:f>
        <ns0:v/>
      </ns0:c>
      <ns0:c r="I1918" s="28">
        <ns0:f>I1917+IF(AND(H1918="Eşleşmedi",E1918='Panel'!$B$4),1,0)</ns0:f>
        <ns0:v>3.0</ns0:v>
      </ns0:c>
    </ns0:row>
    <ns0:row r="1919" ht="21" customHeight="1">
      <ns0:c r="A1919" s="25" t="n"/>
      <ns0:c r="B1919" s="26" t="n"/>
      <ns0:c r="C1919" s="27" t="n"/>
      <ns0:c r="D1919" s="27" t="n"/>
      <ns0:c r="E1919" s="28" t="str">
        <ns0:f>IF(A1919="","",YEAR(A1919)&amp;"-"&amp;RIGHT("0"&amp;MONTH(A1919),2))</ns0:f>
        <ns0:v/>
      </ns0:c>
      <ns0:c r="F1919" s="28" t="str">
        <ns0:f>IF(OR(A1919="",B1919="",C1919&lt;=0),"",IF(SUMPRODUCT(('Müşteriler'!$B$2:$B$101&lt;&gt;"")*ISNUMBER(SEARCH('Müşteriler'!$B$2:$B$101,B1919)))=1,IFERROR(INDEX('Müşteriler'!$A$2:$A$101,SUMPRODUCT(('Müşteriler'!$B$2:$B$101&lt;&gt;"")*ISNUMBER(SEARCH('Müşteriler'!$B$2:$B$101,B1919)),ROW('Müşteriler'!$B$2:$B$101)-ROW('Müşteriler'!$B$2)+1)),""),""))</ns0:f>
        <ns0:v/>
      </ns0:c>
      <ns0:c r="G1919" s="28" t="str">
        <ns0:f>IF(F1919="","",IFERROR(INDEX('Müşteriler'!$C$2:$C$101,MATCH(F1919,'Müşteriler'!$A$2:$A$101,0)),""))</ns0:f>
        <ns0:v/>
      </ns0:c>
      <ns0:c r="H1919" s="28" t="str">
        <ns0:f>IF(A1919="","",IF(C1919&lt;=0,"Satış dışı",IF(OR(F1919="",G1919=""),"Eşleşmedi","Eşleşti")))</ns0:f>
        <ns0:v/>
      </ns0:c>
      <ns0:c r="I1919" s="28">
        <ns0:f>I1918+IF(AND(H1919="Eşleşmedi",E1919='Panel'!$B$4),1,0)</ns0:f>
        <ns0:v>3.0</ns0:v>
      </ns0:c>
    </ns0:row>
    <ns0:row r="1920" ht="21" customHeight="1">
      <ns0:c r="A1920" s="25" t="n"/>
      <ns0:c r="B1920" s="26" t="n"/>
      <ns0:c r="C1920" s="27" t="n"/>
      <ns0:c r="D1920" s="27" t="n"/>
      <ns0:c r="E1920" s="28" t="str">
        <ns0:f>IF(A1920="","",YEAR(A1920)&amp;"-"&amp;RIGHT("0"&amp;MONTH(A1920),2))</ns0:f>
        <ns0:v/>
      </ns0:c>
      <ns0:c r="F1920" s="28" t="str">
        <ns0:f>IF(OR(A1920="",B1920="",C1920&lt;=0),"",IF(SUMPRODUCT(('Müşteriler'!$B$2:$B$101&lt;&gt;"")*ISNUMBER(SEARCH('Müşteriler'!$B$2:$B$101,B1920)))=1,IFERROR(INDEX('Müşteriler'!$A$2:$A$101,SUMPRODUCT(('Müşteriler'!$B$2:$B$101&lt;&gt;"")*ISNUMBER(SEARCH('Müşteriler'!$B$2:$B$101,B1920)),ROW('Müşteriler'!$B$2:$B$101)-ROW('Müşteriler'!$B$2)+1)),""),""))</ns0:f>
        <ns0:v/>
      </ns0:c>
      <ns0:c r="G1920" s="28" t="str">
        <ns0:f>IF(F1920="","",IFERROR(INDEX('Müşteriler'!$C$2:$C$101,MATCH(F1920,'Müşteriler'!$A$2:$A$101,0)),""))</ns0:f>
        <ns0:v/>
      </ns0:c>
      <ns0:c r="H1920" s="28" t="str">
        <ns0:f>IF(A1920="","",IF(C1920&lt;=0,"Satış dışı",IF(OR(F1920="",G1920=""),"Eşleşmedi","Eşleşti")))</ns0:f>
        <ns0:v/>
      </ns0:c>
      <ns0:c r="I1920" s="28">
        <ns0:f>I1919+IF(AND(H1920="Eşleşmedi",E1920='Panel'!$B$4),1,0)</ns0:f>
        <ns0:v>3.0</ns0:v>
      </ns0:c>
    </ns0:row>
    <ns0:row r="1921" ht="21" customHeight="1">
      <ns0:c r="A1921" s="25" t="n"/>
      <ns0:c r="B1921" s="26" t="n"/>
      <ns0:c r="C1921" s="27" t="n"/>
      <ns0:c r="D1921" s="27" t="n"/>
      <ns0:c r="E1921" s="28" t="str">
        <ns0:f>IF(A1921="","",YEAR(A1921)&amp;"-"&amp;RIGHT("0"&amp;MONTH(A1921),2))</ns0:f>
        <ns0:v/>
      </ns0:c>
      <ns0:c r="F1921" s="28" t="str">
        <ns0:f>IF(OR(A1921="",B1921="",C1921&lt;=0),"",IF(SUMPRODUCT(('Müşteriler'!$B$2:$B$101&lt;&gt;"")*ISNUMBER(SEARCH('Müşteriler'!$B$2:$B$101,B1921)))=1,IFERROR(INDEX('Müşteriler'!$A$2:$A$101,SUMPRODUCT(('Müşteriler'!$B$2:$B$101&lt;&gt;"")*ISNUMBER(SEARCH('Müşteriler'!$B$2:$B$101,B1921)),ROW('Müşteriler'!$B$2:$B$101)-ROW('Müşteriler'!$B$2)+1)),""),""))</ns0:f>
        <ns0:v/>
      </ns0:c>
      <ns0:c r="G1921" s="28" t="str">
        <ns0:f>IF(F1921="","",IFERROR(INDEX('Müşteriler'!$C$2:$C$101,MATCH(F1921,'Müşteriler'!$A$2:$A$101,0)),""))</ns0:f>
        <ns0:v/>
      </ns0:c>
      <ns0:c r="H1921" s="28" t="str">
        <ns0:f>IF(A1921="","",IF(C1921&lt;=0,"Satış dışı",IF(OR(F1921="",G1921=""),"Eşleşmedi","Eşleşti")))</ns0:f>
        <ns0:v/>
      </ns0:c>
      <ns0:c r="I1921" s="28">
        <ns0:f>I1920+IF(AND(H1921="Eşleşmedi",E1921='Panel'!$B$4),1,0)</ns0:f>
        <ns0:v>3.0</ns0:v>
      </ns0:c>
    </ns0:row>
    <ns0:row r="1922" ht="21" customHeight="1">
      <ns0:c r="A1922" s="25" t="n"/>
      <ns0:c r="B1922" s="26" t="n"/>
      <ns0:c r="C1922" s="27" t="n"/>
      <ns0:c r="D1922" s="27" t="n"/>
      <ns0:c r="E1922" s="28" t="str">
        <ns0:f>IF(A1922="","",YEAR(A1922)&amp;"-"&amp;RIGHT("0"&amp;MONTH(A1922),2))</ns0:f>
        <ns0:v/>
      </ns0:c>
      <ns0:c r="F1922" s="28" t="str">
        <ns0:f>IF(OR(A1922="",B1922="",C1922&lt;=0),"",IF(SUMPRODUCT(('Müşteriler'!$B$2:$B$101&lt;&gt;"")*ISNUMBER(SEARCH('Müşteriler'!$B$2:$B$101,B1922)))=1,IFERROR(INDEX('Müşteriler'!$A$2:$A$101,SUMPRODUCT(('Müşteriler'!$B$2:$B$101&lt;&gt;"")*ISNUMBER(SEARCH('Müşteriler'!$B$2:$B$101,B1922)),ROW('Müşteriler'!$B$2:$B$101)-ROW('Müşteriler'!$B$2)+1)),""),""))</ns0:f>
        <ns0:v/>
      </ns0:c>
      <ns0:c r="G1922" s="28" t="str">
        <ns0:f>IF(F1922="","",IFERROR(INDEX('Müşteriler'!$C$2:$C$101,MATCH(F1922,'Müşteriler'!$A$2:$A$101,0)),""))</ns0:f>
        <ns0:v/>
      </ns0:c>
      <ns0:c r="H1922" s="28" t="str">
        <ns0:f>IF(A1922="","",IF(C1922&lt;=0,"Satış dışı",IF(OR(F1922="",G1922=""),"Eşleşmedi","Eşleşti")))</ns0:f>
        <ns0:v/>
      </ns0:c>
      <ns0:c r="I1922" s="28">
        <ns0:f>I1921+IF(AND(H1922="Eşleşmedi",E1922='Panel'!$B$4),1,0)</ns0:f>
        <ns0:v>3.0</ns0:v>
      </ns0:c>
    </ns0:row>
    <ns0:row r="1923" ht="21" customHeight="1">
      <ns0:c r="A1923" s="25" t="n"/>
      <ns0:c r="B1923" s="26" t="n"/>
      <ns0:c r="C1923" s="27" t="n"/>
      <ns0:c r="D1923" s="27" t="n"/>
      <ns0:c r="E1923" s="28" t="str">
        <ns0:f>IF(A1923="","",YEAR(A1923)&amp;"-"&amp;RIGHT("0"&amp;MONTH(A1923),2))</ns0:f>
        <ns0:v/>
      </ns0:c>
      <ns0:c r="F1923" s="28" t="str">
        <ns0:f>IF(OR(A1923="",B1923="",C1923&lt;=0),"",IF(SUMPRODUCT(('Müşteriler'!$B$2:$B$101&lt;&gt;"")*ISNUMBER(SEARCH('Müşteriler'!$B$2:$B$101,B1923)))=1,IFERROR(INDEX('Müşteriler'!$A$2:$A$101,SUMPRODUCT(('Müşteriler'!$B$2:$B$101&lt;&gt;"")*ISNUMBER(SEARCH('Müşteriler'!$B$2:$B$101,B1923)),ROW('Müşteriler'!$B$2:$B$101)-ROW('Müşteriler'!$B$2)+1)),""),""))</ns0:f>
        <ns0:v/>
      </ns0:c>
      <ns0:c r="G1923" s="28" t="str">
        <ns0:f>IF(F1923="","",IFERROR(INDEX('Müşteriler'!$C$2:$C$101,MATCH(F1923,'Müşteriler'!$A$2:$A$101,0)),""))</ns0:f>
        <ns0:v/>
      </ns0:c>
      <ns0:c r="H1923" s="28" t="str">
        <ns0:f>IF(A1923="","",IF(C1923&lt;=0,"Satış dışı",IF(OR(F1923="",G1923=""),"Eşleşmedi","Eşleşti")))</ns0:f>
        <ns0:v/>
      </ns0:c>
      <ns0:c r="I1923" s="28">
        <ns0:f>I1922+IF(AND(H1923="Eşleşmedi",E1923='Panel'!$B$4),1,0)</ns0:f>
        <ns0:v>3.0</ns0:v>
      </ns0:c>
    </ns0:row>
    <ns0:row r="1924" ht="21" customHeight="1">
      <ns0:c r="A1924" s="25" t="n"/>
      <ns0:c r="B1924" s="26" t="n"/>
      <ns0:c r="C1924" s="27" t="n"/>
      <ns0:c r="D1924" s="27" t="n"/>
      <ns0:c r="E1924" s="28" t="str">
        <ns0:f>IF(A1924="","",YEAR(A1924)&amp;"-"&amp;RIGHT("0"&amp;MONTH(A1924),2))</ns0:f>
        <ns0:v/>
      </ns0:c>
      <ns0:c r="F1924" s="28" t="str">
        <ns0:f>IF(OR(A1924="",B1924="",C1924&lt;=0),"",IF(SUMPRODUCT(('Müşteriler'!$B$2:$B$101&lt;&gt;"")*ISNUMBER(SEARCH('Müşteriler'!$B$2:$B$101,B1924)))=1,IFERROR(INDEX('Müşteriler'!$A$2:$A$101,SUMPRODUCT(('Müşteriler'!$B$2:$B$101&lt;&gt;"")*ISNUMBER(SEARCH('Müşteriler'!$B$2:$B$101,B1924)),ROW('Müşteriler'!$B$2:$B$101)-ROW('Müşteriler'!$B$2)+1)),""),""))</ns0:f>
        <ns0:v/>
      </ns0:c>
      <ns0:c r="G1924" s="28" t="str">
        <ns0:f>IF(F1924="","",IFERROR(INDEX('Müşteriler'!$C$2:$C$101,MATCH(F1924,'Müşteriler'!$A$2:$A$101,0)),""))</ns0:f>
        <ns0:v/>
      </ns0:c>
      <ns0:c r="H1924" s="28" t="str">
        <ns0:f>IF(A1924="","",IF(C1924&lt;=0,"Satış dışı",IF(OR(F1924="",G1924=""),"Eşleşmedi","Eşleşti")))</ns0:f>
        <ns0:v/>
      </ns0:c>
      <ns0:c r="I1924" s="28">
        <ns0:f>I1923+IF(AND(H1924="Eşleşmedi",E1924='Panel'!$B$4),1,0)</ns0:f>
        <ns0:v>3.0</ns0:v>
      </ns0:c>
    </ns0:row>
    <ns0:row r="1925" ht="21" customHeight="1">
      <ns0:c r="A1925" s="25" t="n"/>
      <ns0:c r="B1925" s="26" t="n"/>
      <ns0:c r="C1925" s="27" t="n"/>
      <ns0:c r="D1925" s="27" t="n"/>
      <ns0:c r="E1925" s="28" t="str">
        <ns0:f>IF(A1925="","",YEAR(A1925)&amp;"-"&amp;RIGHT("0"&amp;MONTH(A1925),2))</ns0:f>
        <ns0:v/>
      </ns0:c>
      <ns0:c r="F1925" s="28" t="str">
        <ns0:f>IF(OR(A1925="",B1925="",C1925&lt;=0),"",IF(SUMPRODUCT(('Müşteriler'!$B$2:$B$101&lt;&gt;"")*ISNUMBER(SEARCH('Müşteriler'!$B$2:$B$101,B1925)))=1,IFERROR(INDEX('Müşteriler'!$A$2:$A$101,SUMPRODUCT(('Müşteriler'!$B$2:$B$101&lt;&gt;"")*ISNUMBER(SEARCH('Müşteriler'!$B$2:$B$101,B1925)),ROW('Müşteriler'!$B$2:$B$101)-ROW('Müşteriler'!$B$2)+1)),""),""))</ns0:f>
        <ns0:v/>
      </ns0:c>
      <ns0:c r="G1925" s="28" t="str">
        <ns0:f>IF(F1925="","",IFERROR(INDEX('Müşteriler'!$C$2:$C$101,MATCH(F1925,'Müşteriler'!$A$2:$A$101,0)),""))</ns0:f>
        <ns0:v/>
      </ns0:c>
      <ns0:c r="H1925" s="28" t="str">
        <ns0:f>IF(A1925="","",IF(C1925&lt;=0,"Satış dışı",IF(OR(F1925="",G1925=""),"Eşleşmedi","Eşleşti")))</ns0:f>
        <ns0:v/>
      </ns0:c>
      <ns0:c r="I1925" s="28">
        <ns0:f>I1924+IF(AND(H1925="Eşleşmedi",E1925='Panel'!$B$4),1,0)</ns0:f>
        <ns0:v>3.0</ns0:v>
      </ns0:c>
    </ns0:row>
    <ns0:row r="1926" ht="21" customHeight="1">
      <ns0:c r="A1926" s="25" t="n"/>
      <ns0:c r="B1926" s="26" t="n"/>
      <ns0:c r="C1926" s="27" t="n"/>
      <ns0:c r="D1926" s="27" t="n"/>
      <ns0:c r="E1926" s="28" t="str">
        <ns0:f>IF(A1926="","",YEAR(A1926)&amp;"-"&amp;RIGHT("0"&amp;MONTH(A1926),2))</ns0:f>
        <ns0:v/>
      </ns0:c>
      <ns0:c r="F1926" s="28" t="str">
        <ns0:f>IF(OR(A1926="",B1926="",C1926&lt;=0),"",IF(SUMPRODUCT(('Müşteriler'!$B$2:$B$101&lt;&gt;"")*ISNUMBER(SEARCH('Müşteriler'!$B$2:$B$101,B1926)))=1,IFERROR(INDEX('Müşteriler'!$A$2:$A$101,SUMPRODUCT(('Müşteriler'!$B$2:$B$101&lt;&gt;"")*ISNUMBER(SEARCH('Müşteriler'!$B$2:$B$101,B1926)),ROW('Müşteriler'!$B$2:$B$101)-ROW('Müşteriler'!$B$2)+1)),""),""))</ns0:f>
        <ns0:v/>
      </ns0:c>
      <ns0:c r="G1926" s="28" t="str">
        <ns0:f>IF(F1926="","",IFERROR(INDEX('Müşteriler'!$C$2:$C$101,MATCH(F1926,'Müşteriler'!$A$2:$A$101,0)),""))</ns0:f>
        <ns0:v/>
      </ns0:c>
      <ns0:c r="H1926" s="28" t="str">
        <ns0:f>IF(A1926="","",IF(C1926&lt;=0,"Satış dışı",IF(OR(F1926="",G1926=""),"Eşleşmedi","Eşleşti")))</ns0:f>
        <ns0:v/>
      </ns0:c>
      <ns0:c r="I1926" s="28">
        <ns0:f>I1925+IF(AND(H1926="Eşleşmedi",E1926='Panel'!$B$4),1,0)</ns0:f>
        <ns0:v>3.0</ns0:v>
      </ns0:c>
    </ns0:row>
    <ns0:row r="1927" ht="21" customHeight="1">
      <ns0:c r="A1927" s="25" t="n"/>
      <ns0:c r="B1927" s="26" t="n"/>
      <ns0:c r="C1927" s="27" t="n"/>
      <ns0:c r="D1927" s="27" t="n"/>
      <ns0:c r="E1927" s="28" t="str">
        <ns0:f>IF(A1927="","",YEAR(A1927)&amp;"-"&amp;RIGHT("0"&amp;MONTH(A1927),2))</ns0:f>
        <ns0:v/>
      </ns0:c>
      <ns0:c r="F1927" s="28" t="str">
        <ns0:f>IF(OR(A1927="",B1927="",C1927&lt;=0),"",IF(SUMPRODUCT(('Müşteriler'!$B$2:$B$101&lt;&gt;"")*ISNUMBER(SEARCH('Müşteriler'!$B$2:$B$101,B1927)))=1,IFERROR(INDEX('Müşteriler'!$A$2:$A$101,SUMPRODUCT(('Müşteriler'!$B$2:$B$101&lt;&gt;"")*ISNUMBER(SEARCH('Müşteriler'!$B$2:$B$101,B1927)),ROW('Müşteriler'!$B$2:$B$101)-ROW('Müşteriler'!$B$2)+1)),""),""))</ns0:f>
        <ns0:v/>
      </ns0:c>
      <ns0:c r="G1927" s="28" t="str">
        <ns0:f>IF(F1927="","",IFERROR(INDEX('Müşteriler'!$C$2:$C$101,MATCH(F1927,'Müşteriler'!$A$2:$A$101,0)),""))</ns0:f>
        <ns0:v/>
      </ns0:c>
      <ns0:c r="H1927" s="28" t="str">
        <ns0:f>IF(A1927="","",IF(C1927&lt;=0,"Satış dışı",IF(OR(F1927="",G1927=""),"Eşleşmedi","Eşleşti")))</ns0:f>
        <ns0:v/>
      </ns0:c>
      <ns0:c r="I1927" s="28">
        <ns0:f>I1926+IF(AND(H1927="Eşleşmedi",E1927='Panel'!$B$4),1,0)</ns0:f>
        <ns0:v>3.0</ns0:v>
      </ns0:c>
    </ns0:row>
    <ns0:row r="1928" ht="21" customHeight="1">
      <ns0:c r="A1928" s="25" t="n"/>
      <ns0:c r="B1928" s="26" t="n"/>
      <ns0:c r="C1928" s="27" t="n"/>
      <ns0:c r="D1928" s="27" t="n"/>
      <ns0:c r="E1928" s="28" t="str">
        <ns0:f>IF(A1928="","",YEAR(A1928)&amp;"-"&amp;RIGHT("0"&amp;MONTH(A1928),2))</ns0:f>
        <ns0:v/>
      </ns0:c>
      <ns0:c r="F1928" s="28" t="str">
        <ns0:f>IF(OR(A1928="",B1928="",C1928&lt;=0),"",IF(SUMPRODUCT(('Müşteriler'!$B$2:$B$101&lt;&gt;"")*ISNUMBER(SEARCH('Müşteriler'!$B$2:$B$101,B1928)))=1,IFERROR(INDEX('Müşteriler'!$A$2:$A$101,SUMPRODUCT(('Müşteriler'!$B$2:$B$101&lt;&gt;"")*ISNUMBER(SEARCH('Müşteriler'!$B$2:$B$101,B1928)),ROW('Müşteriler'!$B$2:$B$101)-ROW('Müşteriler'!$B$2)+1)),""),""))</ns0:f>
        <ns0:v/>
      </ns0:c>
      <ns0:c r="G1928" s="28" t="str">
        <ns0:f>IF(F1928="","",IFERROR(INDEX('Müşteriler'!$C$2:$C$101,MATCH(F1928,'Müşteriler'!$A$2:$A$101,0)),""))</ns0:f>
        <ns0:v/>
      </ns0:c>
      <ns0:c r="H1928" s="28" t="str">
        <ns0:f>IF(A1928="","",IF(C1928&lt;=0,"Satış dışı",IF(OR(F1928="",G1928=""),"Eşleşmedi","Eşleşti")))</ns0:f>
        <ns0:v/>
      </ns0:c>
      <ns0:c r="I1928" s="28">
        <ns0:f>I1927+IF(AND(H1928="Eşleşmedi",E1928='Panel'!$B$4),1,0)</ns0:f>
        <ns0:v>3.0</ns0:v>
      </ns0:c>
    </ns0:row>
    <ns0:row r="1929" ht="21" customHeight="1">
      <ns0:c r="A1929" s="25" t="n"/>
      <ns0:c r="B1929" s="26" t="n"/>
      <ns0:c r="C1929" s="27" t="n"/>
      <ns0:c r="D1929" s="27" t="n"/>
      <ns0:c r="E1929" s="28" t="str">
        <ns0:f>IF(A1929="","",YEAR(A1929)&amp;"-"&amp;RIGHT("0"&amp;MONTH(A1929),2))</ns0:f>
        <ns0:v/>
      </ns0:c>
      <ns0:c r="F1929" s="28" t="str">
        <ns0:f>IF(OR(A1929="",B1929="",C1929&lt;=0),"",IF(SUMPRODUCT(('Müşteriler'!$B$2:$B$101&lt;&gt;"")*ISNUMBER(SEARCH('Müşteriler'!$B$2:$B$101,B1929)))=1,IFERROR(INDEX('Müşteriler'!$A$2:$A$101,SUMPRODUCT(('Müşteriler'!$B$2:$B$101&lt;&gt;"")*ISNUMBER(SEARCH('Müşteriler'!$B$2:$B$101,B1929)),ROW('Müşteriler'!$B$2:$B$101)-ROW('Müşteriler'!$B$2)+1)),""),""))</ns0:f>
        <ns0:v/>
      </ns0:c>
      <ns0:c r="G1929" s="28" t="str">
        <ns0:f>IF(F1929="","",IFERROR(INDEX('Müşteriler'!$C$2:$C$101,MATCH(F1929,'Müşteriler'!$A$2:$A$101,0)),""))</ns0:f>
        <ns0:v/>
      </ns0:c>
      <ns0:c r="H1929" s="28" t="str">
        <ns0:f>IF(A1929="","",IF(C1929&lt;=0,"Satış dışı",IF(OR(F1929="",G1929=""),"Eşleşmedi","Eşleşti")))</ns0:f>
        <ns0:v/>
      </ns0:c>
      <ns0:c r="I1929" s="28">
        <ns0:f>I1928+IF(AND(H1929="Eşleşmedi",E1929='Panel'!$B$4),1,0)</ns0:f>
        <ns0:v>3.0</ns0:v>
      </ns0:c>
    </ns0:row>
    <ns0:row r="1930" ht="21" customHeight="1">
      <ns0:c r="A1930" s="25" t="n"/>
      <ns0:c r="B1930" s="26" t="n"/>
      <ns0:c r="C1930" s="27" t="n"/>
      <ns0:c r="D1930" s="27" t="n"/>
      <ns0:c r="E1930" s="28" t="str">
        <ns0:f>IF(A1930="","",YEAR(A1930)&amp;"-"&amp;RIGHT("0"&amp;MONTH(A1930),2))</ns0:f>
        <ns0:v/>
      </ns0:c>
      <ns0:c r="F1930" s="28" t="str">
        <ns0:f>IF(OR(A1930="",B1930="",C1930&lt;=0),"",IF(SUMPRODUCT(('Müşteriler'!$B$2:$B$101&lt;&gt;"")*ISNUMBER(SEARCH('Müşteriler'!$B$2:$B$101,B1930)))=1,IFERROR(INDEX('Müşteriler'!$A$2:$A$101,SUMPRODUCT(('Müşteriler'!$B$2:$B$101&lt;&gt;"")*ISNUMBER(SEARCH('Müşteriler'!$B$2:$B$101,B1930)),ROW('Müşteriler'!$B$2:$B$101)-ROW('Müşteriler'!$B$2)+1)),""),""))</ns0:f>
        <ns0:v/>
      </ns0:c>
      <ns0:c r="G1930" s="28" t="str">
        <ns0:f>IF(F1930="","",IFERROR(INDEX('Müşteriler'!$C$2:$C$101,MATCH(F1930,'Müşteriler'!$A$2:$A$101,0)),""))</ns0:f>
        <ns0:v/>
      </ns0:c>
      <ns0:c r="H1930" s="28" t="str">
        <ns0:f>IF(A1930="","",IF(C1930&lt;=0,"Satış dışı",IF(OR(F1930="",G1930=""),"Eşleşmedi","Eşleşti")))</ns0:f>
        <ns0:v/>
      </ns0:c>
      <ns0:c r="I1930" s="28">
        <ns0:f>I1929+IF(AND(H1930="Eşleşmedi",E1930='Panel'!$B$4),1,0)</ns0:f>
        <ns0:v>3.0</ns0:v>
      </ns0:c>
    </ns0:row>
    <ns0:row r="1931" ht="21" customHeight="1">
      <ns0:c r="A1931" s="25" t="n"/>
      <ns0:c r="B1931" s="26" t="n"/>
      <ns0:c r="C1931" s="27" t="n"/>
      <ns0:c r="D1931" s="27" t="n"/>
      <ns0:c r="E1931" s="28" t="str">
        <ns0:f>IF(A1931="","",YEAR(A1931)&amp;"-"&amp;RIGHT("0"&amp;MONTH(A1931),2))</ns0:f>
        <ns0:v/>
      </ns0:c>
      <ns0:c r="F1931" s="28" t="str">
        <ns0:f>IF(OR(A1931="",B1931="",C1931&lt;=0),"",IF(SUMPRODUCT(('Müşteriler'!$B$2:$B$101&lt;&gt;"")*ISNUMBER(SEARCH('Müşteriler'!$B$2:$B$101,B1931)))=1,IFERROR(INDEX('Müşteriler'!$A$2:$A$101,SUMPRODUCT(('Müşteriler'!$B$2:$B$101&lt;&gt;"")*ISNUMBER(SEARCH('Müşteriler'!$B$2:$B$101,B1931)),ROW('Müşteriler'!$B$2:$B$101)-ROW('Müşteriler'!$B$2)+1)),""),""))</ns0:f>
        <ns0:v/>
      </ns0:c>
      <ns0:c r="G1931" s="28" t="str">
        <ns0:f>IF(F1931="","",IFERROR(INDEX('Müşteriler'!$C$2:$C$101,MATCH(F1931,'Müşteriler'!$A$2:$A$101,0)),""))</ns0:f>
        <ns0:v/>
      </ns0:c>
      <ns0:c r="H1931" s="28" t="str">
        <ns0:f>IF(A1931="","",IF(C1931&lt;=0,"Satış dışı",IF(OR(F1931="",G1931=""),"Eşleşmedi","Eşleşti")))</ns0:f>
        <ns0:v/>
      </ns0:c>
      <ns0:c r="I1931" s="28">
        <ns0:f>I1930+IF(AND(H1931="Eşleşmedi",E1931='Panel'!$B$4),1,0)</ns0:f>
        <ns0:v>3.0</ns0:v>
      </ns0:c>
    </ns0:row>
    <ns0:row r="1932" ht="21" customHeight="1">
      <ns0:c r="A1932" s="25" t="n"/>
      <ns0:c r="B1932" s="26" t="n"/>
      <ns0:c r="C1932" s="27" t="n"/>
      <ns0:c r="D1932" s="27" t="n"/>
      <ns0:c r="E1932" s="28" t="str">
        <ns0:f>IF(A1932="","",YEAR(A1932)&amp;"-"&amp;RIGHT("0"&amp;MONTH(A1932),2))</ns0:f>
        <ns0:v/>
      </ns0:c>
      <ns0:c r="F1932" s="28" t="str">
        <ns0:f>IF(OR(A1932="",B1932="",C1932&lt;=0),"",IF(SUMPRODUCT(('Müşteriler'!$B$2:$B$101&lt;&gt;"")*ISNUMBER(SEARCH('Müşteriler'!$B$2:$B$101,B1932)))=1,IFERROR(INDEX('Müşteriler'!$A$2:$A$101,SUMPRODUCT(('Müşteriler'!$B$2:$B$101&lt;&gt;"")*ISNUMBER(SEARCH('Müşteriler'!$B$2:$B$101,B1932)),ROW('Müşteriler'!$B$2:$B$101)-ROW('Müşteriler'!$B$2)+1)),""),""))</ns0:f>
        <ns0:v/>
      </ns0:c>
      <ns0:c r="G1932" s="28" t="str">
        <ns0:f>IF(F1932="","",IFERROR(INDEX('Müşteriler'!$C$2:$C$101,MATCH(F1932,'Müşteriler'!$A$2:$A$101,0)),""))</ns0:f>
        <ns0:v/>
      </ns0:c>
      <ns0:c r="H1932" s="28" t="str">
        <ns0:f>IF(A1932="","",IF(C1932&lt;=0,"Satış dışı",IF(OR(F1932="",G1932=""),"Eşleşmedi","Eşleşti")))</ns0:f>
        <ns0:v/>
      </ns0:c>
      <ns0:c r="I1932" s="28">
        <ns0:f>I1931+IF(AND(H1932="Eşleşmedi",E1932='Panel'!$B$4),1,0)</ns0:f>
        <ns0:v>3.0</ns0:v>
      </ns0:c>
    </ns0:row>
    <ns0:row r="1933" ht="21" customHeight="1">
      <ns0:c r="A1933" s="25" t="n"/>
      <ns0:c r="B1933" s="26" t="n"/>
      <ns0:c r="C1933" s="27" t="n"/>
      <ns0:c r="D1933" s="27" t="n"/>
      <ns0:c r="E1933" s="28" t="str">
        <ns0:f>IF(A1933="","",YEAR(A1933)&amp;"-"&amp;RIGHT("0"&amp;MONTH(A1933),2))</ns0:f>
        <ns0:v/>
      </ns0:c>
      <ns0:c r="F1933" s="28" t="str">
        <ns0:f>IF(OR(A1933="",B1933="",C1933&lt;=0),"",IF(SUMPRODUCT(('Müşteriler'!$B$2:$B$101&lt;&gt;"")*ISNUMBER(SEARCH('Müşteriler'!$B$2:$B$101,B1933)))=1,IFERROR(INDEX('Müşteriler'!$A$2:$A$101,SUMPRODUCT(('Müşteriler'!$B$2:$B$101&lt;&gt;"")*ISNUMBER(SEARCH('Müşteriler'!$B$2:$B$101,B1933)),ROW('Müşteriler'!$B$2:$B$101)-ROW('Müşteriler'!$B$2)+1)),""),""))</ns0:f>
        <ns0:v/>
      </ns0:c>
      <ns0:c r="G1933" s="28" t="str">
        <ns0:f>IF(F1933="","",IFERROR(INDEX('Müşteriler'!$C$2:$C$101,MATCH(F1933,'Müşteriler'!$A$2:$A$101,0)),""))</ns0:f>
        <ns0:v/>
      </ns0:c>
      <ns0:c r="H1933" s="28" t="str">
        <ns0:f>IF(A1933="","",IF(C1933&lt;=0,"Satış dışı",IF(OR(F1933="",G1933=""),"Eşleşmedi","Eşleşti")))</ns0:f>
        <ns0:v/>
      </ns0:c>
      <ns0:c r="I1933" s="28">
        <ns0:f>I1932+IF(AND(H1933="Eşleşmedi",E1933='Panel'!$B$4),1,0)</ns0:f>
        <ns0:v>3.0</ns0:v>
      </ns0:c>
    </ns0:row>
    <ns0:row r="1934" ht="21" customHeight="1">
      <ns0:c r="A1934" s="25" t="n"/>
      <ns0:c r="B1934" s="26" t="n"/>
      <ns0:c r="C1934" s="27" t="n"/>
      <ns0:c r="D1934" s="27" t="n"/>
      <ns0:c r="E1934" s="28" t="str">
        <ns0:f>IF(A1934="","",YEAR(A1934)&amp;"-"&amp;RIGHT("0"&amp;MONTH(A1934),2))</ns0:f>
        <ns0:v/>
      </ns0:c>
      <ns0:c r="F1934" s="28" t="str">
        <ns0:f>IF(OR(A1934="",B1934="",C1934&lt;=0),"",IF(SUMPRODUCT(('Müşteriler'!$B$2:$B$101&lt;&gt;"")*ISNUMBER(SEARCH('Müşteriler'!$B$2:$B$101,B1934)))=1,IFERROR(INDEX('Müşteriler'!$A$2:$A$101,SUMPRODUCT(('Müşteriler'!$B$2:$B$101&lt;&gt;"")*ISNUMBER(SEARCH('Müşteriler'!$B$2:$B$101,B1934)),ROW('Müşteriler'!$B$2:$B$101)-ROW('Müşteriler'!$B$2)+1)),""),""))</ns0:f>
        <ns0:v/>
      </ns0:c>
      <ns0:c r="G1934" s="28" t="str">
        <ns0:f>IF(F1934="","",IFERROR(INDEX('Müşteriler'!$C$2:$C$101,MATCH(F1934,'Müşteriler'!$A$2:$A$101,0)),""))</ns0:f>
        <ns0:v/>
      </ns0:c>
      <ns0:c r="H1934" s="28" t="str">
        <ns0:f>IF(A1934="","",IF(C1934&lt;=0,"Satış dışı",IF(OR(F1934="",G1934=""),"Eşleşmedi","Eşleşti")))</ns0:f>
        <ns0:v/>
      </ns0:c>
      <ns0:c r="I1934" s="28">
        <ns0:f>I1933+IF(AND(H1934="Eşleşmedi",E1934='Panel'!$B$4),1,0)</ns0:f>
        <ns0:v>3.0</ns0:v>
      </ns0:c>
    </ns0:row>
    <ns0:row r="1935" ht="21" customHeight="1">
      <ns0:c r="A1935" s="25" t="n"/>
      <ns0:c r="B1935" s="26" t="n"/>
      <ns0:c r="C1935" s="27" t="n"/>
      <ns0:c r="D1935" s="27" t="n"/>
      <ns0:c r="E1935" s="28" t="str">
        <ns0:f>IF(A1935="","",YEAR(A1935)&amp;"-"&amp;RIGHT("0"&amp;MONTH(A1935),2))</ns0:f>
        <ns0:v/>
      </ns0:c>
      <ns0:c r="F1935" s="28" t="str">
        <ns0:f>IF(OR(A1935="",B1935="",C1935&lt;=0),"",IF(SUMPRODUCT(('Müşteriler'!$B$2:$B$101&lt;&gt;"")*ISNUMBER(SEARCH('Müşteriler'!$B$2:$B$101,B1935)))=1,IFERROR(INDEX('Müşteriler'!$A$2:$A$101,SUMPRODUCT(('Müşteriler'!$B$2:$B$101&lt;&gt;"")*ISNUMBER(SEARCH('Müşteriler'!$B$2:$B$101,B1935)),ROW('Müşteriler'!$B$2:$B$101)-ROW('Müşteriler'!$B$2)+1)),""),""))</ns0:f>
        <ns0:v/>
      </ns0:c>
      <ns0:c r="G1935" s="28" t="str">
        <ns0:f>IF(F1935="","",IFERROR(INDEX('Müşteriler'!$C$2:$C$101,MATCH(F1935,'Müşteriler'!$A$2:$A$101,0)),""))</ns0:f>
        <ns0:v/>
      </ns0:c>
      <ns0:c r="H1935" s="28" t="str">
        <ns0:f>IF(A1935="","",IF(C1935&lt;=0,"Satış dışı",IF(OR(F1935="",G1935=""),"Eşleşmedi","Eşleşti")))</ns0:f>
        <ns0:v/>
      </ns0:c>
      <ns0:c r="I1935" s="28">
        <ns0:f>I1934+IF(AND(H1935="Eşleşmedi",E1935='Panel'!$B$4),1,0)</ns0:f>
        <ns0:v>3.0</ns0:v>
      </ns0:c>
    </ns0:row>
    <ns0:row r="1936" ht="21" customHeight="1">
      <ns0:c r="A1936" s="25" t="n"/>
      <ns0:c r="B1936" s="26" t="n"/>
      <ns0:c r="C1936" s="27" t="n"/>
      <ns0:c r="D1936" s="27" t="n"/>
      <ns0:c r="E1936" s="28" t="str">
        <ns0:f>IF(A1936="","",YEAR(A1936)&amp;"-"&amp;RIGHT("0"&amp;MONTH(A1936),2))</ns0:f>
        <ns0:v/>
      </ns0:c>
      <ns0:c r="F1936" s="28" t="str">
        <ns0:f>IF(OR(A1936="",B1936="",C1936&lt;=0),"",IF(SUMPRODUCT(('Müşteriler'!$B$2:$B$101&lt;&gt;"")*ISNUMBER(SEARCH('Müşteriler'!$B$2:$B$101,B1936)))=1,IFERROR(INDEX('Müşteriler'!$A$2:$A$101,SUMPRODUCT(('Müşteriler'!$B$2:$B$101&lt;&gt;"")*ISNUMBER(SEARCH('Müşteriler'!$B$2:$B$101,B1936)),ROW('Müşteriler'!$B$2:$B$101)-ROW('Müşteriler'!$B$2)+1)),""),""))</ns0:f>
        <ns0:v/>
      </ns0:c>
      <ns0:c r="G1936" s="28" t="str">
        <ns0:f>IF(F1936="","",IFERROR(INDEX('Müşteriler'!$C$2:$C$101,MATCH(F1936,'Müşteriler'!$A$2:$A$101,0)),""))</ns0:f>
        <ns0:v/>
      </ns0:c>
      <ns0:c r="H1936" s="28" t="str">
        <ns0:f>IF(A1936="","",IF(C1936&lt;=0,"Satış dışı",IF(OR(F1936="",G1936=""),"Eşleşmedi","Eşleşti")))</ns0:f>
        <ns0:v/>
      </ns0:c>
      <ns0:c r="I1936" s="28">
        <ns0:f>I1935+IF(AND(H1936="Eşleşmedi",E1936='Panel'!$B$4),1,0)</ns0:f>
        <ns0:v>3.0</ns0:v>
      </ns0:c>
    </ns0:row>
    <ns0:row r="1937" ht="21" customHeight="1">
      <ns0:c r="A1937" s="25" t="n"/>
      <ns0:c r="B1937" s="26" t="n"/>
      <ns0:c r="C1937" s="27" t="n"/>
      <ns0:c r="D1937" s="27" t="n"/>
      <ns0:c r="E1937" s="28" t="str">
        <ns0:f>IF(A1937="","",YEAR(A1937)&amp;"-"&amp;RIGHT("0"&amp;MONTH(A1937),2))</ns0:f>
        <ns0:v/>
      </ns0:c>
      <ns0:c r="F1937" s="28" t="str">
        <ns0:f>IF(OR(A1937="",B1937="",C1937&lt;=0),"",IF(SUMPRODUCT(('Müşteriler'!$B$2:$B$101&lt;&gt;"")*ISNUMBER(SEARCH('Müşteriler'!$B$2:$B$101,B1937)))=1,IFERROR(INDEX('Müşteriler'!$A$2:$A$101,SUMPRODUCT(('Müşteriler'!$B$2:$B$101&lt;&gt;"")*ISNUMBER(SEARCH('Müşteriler'!$B$2:$B$101,B1937)),ROW('Müşteriler'!$B$2:$B$101)-ROW('Müşteriler'!$B$2)+1)),""),""))</ns0:f>
        <ns0:v/>
      </ns0:c>
      <ns0:c r="G1937" s="28" t="str">
        <ns0:f>IF(F1937="","",IFERROR(INDEX('Müşteriler'!$C$2:$C$101,MATCH(F1937,'Müşteriler'!$A$2:$A$101,0)),""))</ns0:f>
        <ns0:v/>
      </ns0:c>
      <ns0:c r="H1937" s="28" t="str">
        <ns0:f>IF(A1937="","",IF(C1937&lt;=0,"Satış dışı",IF(OR(F1937="",G1937=""),"Eşleşmedi","Eşleşti")))</ns0:f>
        <ns0:v/>
      </ns0:c>
      <ns0:c r="I1937" s="28">
        <ns0:f>I1936+IF(AND(H1937="Eşleşmedi",E1937='Panel'!$B$4),1,0)</ns0:f>
        <ns0:v>3.0</ns0:v>
      </ns0:c>
    </ns0:row>
    <ns0:row r="1938" ht="21" customHeight="1">
      <ns0:c r="A1938" s="25" t="n"/>
      <ns0:c r="B1938" s="26" t="n"/>
      <ns0:c r="C1938" s="27" t="n"/>
      <ns0:c r="D1938" s="27" t="n"/>
      <ns0:c r="E1938" s="28" t="str">
        <ns0:f>IF(A1938="","",YEAR(A1938)&amp;"-"&amp;RIGHT("0"&amp;MONTH(A1938),2))</ns0:f>
        <ns0:v/>
      </ns0:c>
      <ns0:c r="F1938" s="28" t="str">
        <ns0:f>IF(OR(A1938="",B1938="",C1938&lt;=0),"",IF(SUMPRODUCT(('Müşteriler'!$B$2:$B$101&lt;&gt;"")*ISNUMBER(SEARCH('Müşteriler'!$B$2:$B$101,B1938)))=1,IFERROR(INDEX('Müşteriler'!$A$2:$A$101,SUMPRODUCT(('Müşteriler'!$B$2:$B$101&lt;&gt;"")*ISNUMBER(SEARCH('Müşteriler'!$B$2:$B$101,B1938)),ROW('Müşteriler'!$B$2:$B$101)-ROW('Müşteriler'!$B$2)+1)),""),""))</ns0:f>
        <ns0:v/>
      </ns0:c>
      <ns0:c r="G1938" s="28" t="str">
        <ns0:f>IF(F1938="","",IFERROR(INDEX('Müşteriler'!$C$2:$C$101,MATCH(F1938,'Müşteriler'!$A$2:$A$101,0)),""))</ns0:f>
        <ns0:v/>
      </ns0:c>
      <ns0:c r="H1938" s="28" t="str">
        <ns0:f>IF(A1938="","",IF(C1938&lt;=0,"Satış dışı",IF(OR(F1938="",G1938=""),"Eşleşmedi","Eşleşti")))</ns0:f>
        <ns0:v/>
      </ns0:c>
      <ns0:c r="I1938" s="28">
        <ns0:f>I1937+IF(AND(H1938="Eşleşmedi",E1938='Panel'!$B$4),1,0)</ns0:f>
        <ns0:v>3.0</ns0:v>
      </ns0:c>
    </ns0:row>
    <ns0:row r="1939" ht="21" customHeight="1">
      <ns0:c r="A1939" s="25" t="n"/>
      <ns0:c r="B1939" s="26" t="n"/>
      <ns0:c r="C1939" s="27" t="n"/>
      <ns0:c r="D1939" s="27" t="n"/>
      <ns0:c r="E1939" s="28" t="str">
        <ns0:f>IF(A1939="","",YEAR(A1939)&amp;"-"&amp;RIGHT("0"&amp;MONTH(A1939),2))</ns0:f>
        <ns0:v/>
      </ns0:c>
      <ns0:c r="F1939" s="28" t="str">
        <ns0:f>IF(OR(A1939="",B1939="",C1939&lt;=0),"",IF(SUMPRODUCT(('Müşteriler'!$B$2:$B$101&lt;&gt;"")*ISNUMBER(SEARCH('Müşteriler'!$B$2:$B$101,B1939)))=1,IFERROR(INDEX('Müşteriler'!$A$2:$A$101,SUMPRODUCT(('Müşteriler'!$B$2:$B$101&lt;&gt;"")*ISNUMBER(SEARCH('Müşteriler'!$B$2:$B$101,B1939)),ROW('Müşteriler'!$B$2:$B$101)-ROW('Müşteriler'!$B$2)+1)),""),""))</ns0:f>
        <ns0:v/>
      </ns0:c>
      <ns0:c r="G1939" s="28" t="str">
        <ns0:f>IF(F1939="","",IFERROR(INDEX('Müşteriler'!$C$2:$C$101,MATCH(F1939,'Müşteriler'!$A$2:$A$101,0)),""))</ns0:f>
        <ns0:v/>
      </ns0:c>
      <ns0:c r="H1939" s="28" t="str">
        <ns0:f>IF(A1939="","",IF(C1939&lt;=0,"Satış dışı",IF(OR(F1939="",G1939=""),"Eşleşmedi","Eşleşti")))</ns0:f>
        <ns0:v/>
      </ns0:c>
      <ns0:c r="I1939" s="28">
        <ns0:f>I1938+IF(AND(H1939="Eşleşmedi",E1939='Panel'!$B$4),1,0)</ns0:f>
        <ns0:v>3.0</ns0:v>
      </ns0:c>
    </ns0:row>
    <ns0:row r="1940" ht="21" customHeight="1">
      <ns0:c r="A1940" s="25" t="n"/>
      <ns0:c r="B1940" s="26" t="n"/>
      <ns0:c r="C1940" s="27" t="n"/>
      <ns0:c r="D1940" s="27" t="n"/>
      <ns0:c r="E1940" s="28" t="str">
        <ns0:f>IF(A1940="","",YEAR(A1940)&amp;"-"&amp;RIGHT("0"&amp;MONTH(A1940),2))</ns0:f>
        <ns0:v/>
      </ns0:c>
      <ns0:c r="F1940" s="28" t="str">
        <ns0:f>IF(OR(A1940="",B1940="",C1940&lt;=0),"",IF(SUMPRODUCT(('Müşteriler'!$B$2:$B$101&lt;&gt;"")*ISNUMBER(SEARCH('Müşteriler'!$B$2:$B$101,B1940)))=1,IFERROR(INDEX('Müşteriler'!$A$2:$A$101,SUMPRODUCT(('Müşteriler'!$B$2:$B$101&lt;&gt;"")*ISNUMBER(SEARCH('Müşteriler'!$B$2:$B$101,B1940)),ROW('Müşteriler'!$B$2:$B$101)-ROW('Müşteriler'!$B$2)+1)),""),""))</ns0:f>
        <ns0:v/>
      </ns0:c>
      <ns0:c r="G1940" s="28" t="str">
        <ns0:f>IF(F1940="","",IFERROR(INDEX('Müşteriler'!$C$2:$C$101,MATCH(F1940,'Müşteriler'!$A$2:$A$101,0)),""))</ns0:f>
        <ns0:v/>
      </ns0:c>
      <ns0:c r="H1940" s="28" t="str">
        <ns0:f>IF(A1940="","",IF(C1940&lt;=0,"Satış dışı",IF(OR(F1940="",G1940=""),"Eşleşmedi","Eşleşti")))</ns0:f>
        <ns0:v/>
      </ns0:c>
      <ns0:c r="I1940" s="28">
        <ns0:f>I1939+IF(AND(H1940="Eşleşmedi",E1940='Panel'!$B$4),1,0)</ns0:f>
        <ns0:v>3.0</ns0:v>
      </ns0:c>
    </ns0:row>
    <ns0:row r="1941" ht="21" customHeight="1">
      <ns0:c r="A1941" s="25" t="n"/>
      <ns0:c r="B1941" s="26" t="n"/>
      <ns0:c r="C1941" s="27" t="n"/>
      <ns0:c r="D1941" s="27" t="n"/>
      <ns0:c r="E1941" s="28" t="str">
        <ns0:f>IF(A1941="","",YEAR(A1941)&amp;"-"&amp;RIGHT("0"&amp;MONTH(A1941),2))</ns0:f>
        <ns0:v/>
      </ns0:c>
      <ns0:c r="F1941" s="28" t="str">
        <ns0:f>IF(OR(A1941="",B1941="",C1941&lt;=0),"",IF(SUMPRODUCT(('Müşteriler'!$B$2:$B$101&lt;&gt;"")*ISNUMBER(SEARCH('Müşteriler'!$B$2:$B$101,B1941)))=1,IFERROR(INDEX('Müşteriler'!$A$2:$A$101,SUMPRODUCT(('Müşteriler'!$B$2:$B$101&lt;&gt;"")*ISNUMBER(SEARCH('Müşteriler'!$B$2:$B$101,B1941)),ROW('Müşteriler'!$B$2:$B$101)-ROW('Müşteriler'!$B$2)+1)),""),""))</ns0:f>
        <ns0:v/>
      </ns0:c>
      <ns0:c r="G1941" s="28" t="str">
        <ns0:f>IF(F1941="","",IFERROR(INDEX('Müşteriler'!$C$2:$C$101,MATCH(F1941,'Müşteriler'!$A$2:$A$101,0)),""))</ns0:f>
        <ns0:v/>
      </ns0:c>
      <ns0:c r="H1941" s="28" t="str">
        <ns0:f>IF(A1941="","",IF(C1941&lt;=0,"Satış dışı",IF(OR(F1941="",G1941=""),"Eşleşmedi","Eşleşti")))</ns0:f>
        <ns0:v/>
      </ns0:c>
      <ns0:c r="I1941" s="28">
        <ns0:f>I1940+IF(AND(H1941="Eşleşmedi",E1941='Panel'!$B$4),1,0)</ns0:f>
        <ns0:v>3.0</ns0:v>
      </ns0:c>
    </ns0:row>
    <ns0:row r="1942" ht="21" customHeight="1">
      <ns0:c r="A1942" s="25" t="n"/>
      <ns0:c r="B1942" s="26" t="n"/>
      <ns0:c r="C1942" s="27" t="n"/>
      <ns0:c r="D1942" s="27" t="n"/>
      <ns0:c r="E1942" s="28" t="str">
        <ns0:f>IF(A1942="","",YEAR(A1942)&amp;"-"&amp;RIGHT("0"&amp;MONTH(A1942),2))</ns0:f>
        <ns0:v/>
      </ns0:c>
      <ns0:c r="F1942" s="28" t="str">
        <ns0:f>IF(OR(A1942="",B1942="",C1942&lt;=0),"",IF(SUMPRODUCT(('Müşteriler'!$B$2:$B$101&lt;&gt;"")*ISNUMBER(SEARCH('Müşteriler'!$B$2:$B$101,B1942)))=1,IFERROR(INDEX('Müşteriler'!$A$2:$A$101,SUMPRODUCT(('Müşteriler'!$B$2:$B$101&lt;&gt;"")*ISNUMBER(SEARCH('Müşteriler'!$B$2:$B$101,B1942)),ROW('Müşteriler'!$B$2:$B$101)-ROW('Müşteriler'!$B$2)+1)),""),""))</ns0:f>
        <ns0:v/>
      </ns0:c>
      <ns0:c r="G1942" s="28" t="str">
        <ns0:f>IF(F1942="","",IFERROR(INDEX('Müşteriler'!$C$2:$C$101,MATCH(F1942,'Müşteriler'!$A$2:$A$101,0)),""))</ns0:f>
        <ns0:v/>
      </ns0:c>
      <ns0:c r="H1942" s="28" t="str">
        <ns0:f>IF(A1942="","",IF(C1942&lt;=0,"Satış dışı",IF(OR(F1942="",G1942=""),"Eşleşmedi","Eşleşti")))</ns0:f>
        <ns0:v/>
      </ns0:c>
      <ns0:c r="I1942" s="28">
        <ns0:f>I1941+IF(AND(H1942="Eşleşmedi",E1942='Panel'!$B$4),1,0)</ns0:f>
        <ns0:v>3.0</ns0:v>
      </ns0:c>
    </ns0:row>
    <ns0:row r="1943" ht="21" customHeight="1">
      <ns0:c r="A1943" s="25" t="n"/>
      <ns0:c r="B1943" s="26" t="n"/>
      <ns0:c r="C1943" s="27" t="n"/>
      <ns0:c r="D1943" s="27" t="n"/>
      <ns0:c r="E1943" s="28" t="str">
        <ns0:f>IF(A1943="","",YEAR(A1943)&amp;"-"&amp;RIGHT("0"&amp;MONTH(A1943),2))</ns0:f>
        <ns0:v/>
      </ns0:c>
      <ns0:c r="F1943" s="28" t="str">
        <ns0:f>IF(OR(A1943="",B1943="",C1943&lt;=0),"",IF(SUMPRODUCT(('Müşteriler'!$B$2:$B$101&lt;&gt;"")*ISNUMBER(SEARCH('Müşteriler'!$B$2:$B$101,B1943)))=1,IFERROR(INDEX('Müşteriler'!$A$2:$A$101,SUMPRODUCT(('Müşteriler'!$B$2:$B$101&lt;&gt;"")*ISNUMBER(SEARCH('Müşteriler'!$B$2:$B$101,B1943)),ROW('Müşteriler'!$B$2:$B$101)-ROW('Müşteriler'!$B$2)+1)),""),""))</ns0:f>
        <ns0:v/>
      </ns0:c>
      <ns0:c r="G1943" s="28" t="str">
        <ns0:f>IF(F1943="","",IFERROR(INDEX('Müşteriler'!$C$2:$C$101,MATCH(F1943,'Müşteriler'!$A$2:$A$101,0)),""))</ns0:f>
        <ns0:v/>
      </ns0:c>
      <ns0:c r="H1943" s="28" t="str">
        <ns0:f>IF(A1943="","",IF(C1943&lt;=0,"Satış dışı",IF(OR(F1943="",G1943=""),"Eşleşmedi","Eşleşti")))</ns0:f>
        <ns0:v/>
      </ns0:c>
      <ns0:c r="I1943" s="28">
        <ns0:f>I1942+IF(AND(H1943="Eşleşmedi",E1943='Panel'!$B$4),1,0)</ns0:f>
        <ns0:v>3.0</ns0:v>
      </ns0:c>
    </ns0:row>
    <ns0:row r="1944" ht="21" customHeight="1">
      <ns0:c r="A1944" s="25" t="n"/>
      <ns0:c r="B1944" s="26" t="n"/>
      <ns0:c r="C1944" s="27" t="n"/>
      <ns0:c r="D1944" s="27" t="n"/>
      <ns0:c r="E1944" s="28" t="str">
        <ns0:f>IF(A1944="","",YEAR(A1944)&amp;"-"&amp;RIGHT("0"&amp;MONTH(A1944),2))</ns0:f>
        <ns0:v/>
      </ns0:c>
      <ns0:c r="F1944" s="28" t="str">
        <ns0:f>IF(OR(A1944="",B1944="",C1944&lt;=0),"",IF(SUMPRODUCT(('Müşteriler'!$B$2:$B$101&lt;&gt;"")*ISNUMBER(SEARCH('Müşteriler'!$B$2:$B$101,B1944)))=1,IFERROR(INDEX('Müşteriler'!$A$2:$A$101,SUMPRODUCT(('Müşteriler'!$B$2:$B$101&lt;&gt;"")*ISNUMBER(SEARCH('Müşteriler'!$B$2:$B$101,B1944)),ROW('Müşteriler'!$B$2:$B$101)-ROW('Müşteriler'!$B$2)+1)),""),""))</ns0:f>
        <ns0:v/>
      </ns0:c>
      <ns0:c r="G1944" s="28" t="str">
        <ns0:f>IF(F1944="","",IFERROR(INDEX('Müşteriler'!$C$2:$C$101,MATCH(F1944,'Müşteriler'!$A$2:$A$101,0)),""))</ns0:f>
        <ns0:v/>
      </ns0:c>
      <ns0:c r="H1944" s="28" t="str">
        <ns0:f>IF(A1944="","",IF(C1944&lt;=0,"Satış dışı",IF(OR(F1944="",G1944=""),"Eşleşmedi","Eşleşti")))</ns0:f>
        <ns0:v/>
      </ns0:c>
      <ns0:c r="I1944" s="28">
        <ns0:f>I1943+IF(AND(H1944="Eşleşmedi",E1944='Panel'!$B$4),1,0)</ns0:f>
        <ns0:v>3.0</ns0:v>
      </ns0:c>
    </ns0:row>
    <ns0:row r="1945" ht="21" customHeight="1">
      <ns0:c r="A1945" s="25" t="n"/>
      <ns0:c r="B1945" s="26" t="n"/>
      <ns0:c r="C1945" s="27" t="n"/>
      <ns0:c r="D1945" s="27" t="n"/>
      <ns0:c r="E1945" s="28" t="str">
        <ns0:f>IF(A1945="","",YEAR(A1945)&amp;"-"&amp;RIGHT("0"&amp;MONTH(A1945),2))</ns0:f>
        <ns0:v/>
      </ns0:c>
      <ns0:c r="F1945" s="28" t="str">
        <ns0:f>IF(OR(A1945="",B1945="",C1945&lt;=0),"",IF(SUMPRODUCT(('Müşteriler'!$B$2:$B$101&lt;&gt;"")*ISNUMBER(SEARCH('Müşteriler'!$B$2:$B$101,B1945)))=1,IFERROR(INDEX('Müşteriler'!$A$2:$A$101,SUMPRODUCT(('Müşteriler'!$B$2:$B$101&lt;&gt;"")*ISNUMBER(SEARCH('Müşteriler'!$B$2:$B$101,B1945)),ROW('Müşteriler'!$B$2:$B$101)-ROW('Müşteriler'!$B$2)+1)),""),""))</ns0:f>
        <ns0:v/>
      </ns0:c>
      <ns0:c r="G1945" s="28" t="str">
        <ns0:f>IF(F1945="","",IFERROR(INDEX('Müşteriler'!$C$2:$C$101,MATCH(F1945,'Müşteriler'!$A$2:$A$101,0)),""))</ns0:f>
        <ns0:v/>
      </ns0:c>
      <ns0:c r="H1945" s="28" t="str">
        <ns0:f>IF(A1945="","",IF(C1945&lt;=0,"Satış dışı",IF(OR(F1945="",G1945=""),"Eşleşmedi","Eşleşti")))</ns0:f>
        <ns0:v/>
      </ns0:c>
      <ns0:c r="I1945" s="28">
        <ns0:f>I1944+IF(AND(H1945="Eşleşmedi",E1945='Panel'!$B$4),1,0)</ns0:f>
        <ns0:v>3.0</ns0:v>
      </ns0:c>
    </ns0:row>
    <ns0:row r="1946" ht="21" customHeight="1">
      <ns0:c r="A1946" s="25" t="n"/>
      <ns0:c r="B1946" s="26" t="n"/>
      <ns0:c r="C1946" s="27" t="n"/>
      <ns0:c r="D1946" s="27" t="n"/>
      <ns0:c r="E1946" s="28" t="str">
        <ns0:f>IF(A1946="","",YEAR(A1946)&amp;"-"&amp;RIGHT("0"&amp;MONTH(A1946),2))</ns0:f>
        <ns0:v/>
      </ns0:c>
      <ns0:c r="F1946" s="28" t="str">
        <ns0:f>IF(OR(A1946="",B1946="",C1946&lt;=0),"",IF(SUMPRODUCT(('Müşteriler'!$B$2:$B$101&lt;&gt;"")*ISNUMBER(SEARCH('Müşteriler'!$B$2:$B$101,B1946)))=1,IFERROR(INDEX('Müşteriler'!$A$2:$A$101,SUMPRODUCT(('Müşteriler'!$B$2:$B$101&lt;&gt;"")*ISNUMBER(SEARCH('Müşteriler'!$B$2:$B$101,B1946)),ROW('Müşteriler'!$B$2:$B$101)-ROW('Müşteriler'!$B$2)+1)),""),""))</ns0:f>
        <ns0:v/>
      </ns0:c>
      <ns0:c r="G1946" s="28" t="str">
        <ns0:f>IF(F1946="","",IFERROR(INDEX('Müşteriler'!$C$2:$C$101,MATCH(F1946,'Müşteriler'!$A$2:$A$101,0)),""))</ns0:f>
        <ns0:v/>
      </ns0:c>
      <ns0:c r="H1946" s="28" t="str">
        <ns0:f>IF(A1946="","",IF(C1946&lt;=0,"Satış dışı",IF(OR(F1946="",G1946=""),"Eşleşmedi","Eşleşti")))</ns0:f>
        <ns0:v/>
      </ns0:c>
      <ns0:c r="I1946" s="28">
        <ns0:f>I1945+IF(AND(H1946="Eşleşmedi",E1946='Panel'!$B$4),1,0)</ns0:f>
        <ns0:v>3.0</ns0:v>
      </ns0:c>
    </ns0:row>
    <ns0:row r="1947" ht="21" customHeight="1">
      <ns0:c r="A1947" s="25" t="n"/>
      <ns0:c r="B1947" s="26" t="n"/>
      <ns0:c r="C1947" s="27" t="n"/>
      <ns0:c r="D1947" s="27" t="n"/>
      <ns0:c r="E1947" s="28" t="str">
        <ns0:f>IF(A1947="","",YEAR(A1947)&amp;"-"&amp;RIGHT("0"&amp;MONTH(A1947),2))</ns0:f>
        <ns0:v/>
      </ns0:c>
      <ns0:c r="F1947" s="28" t="str">
        <ns0:f>IF(OR(A1947="",B1947="",C1947&lt;=0),"",IF(SUMPRODUCT(('Müşteriler'!$B$2:$B$101&lt;&gt;"")*ISNUMBER(SEARCH('Müşteriler'!$B$2:$B$101,B1947)))=1,IFERROR(INDEX('Müşteriler'!$A$2:$A$101,SUMPRODUCT(('Müşteriler'!$B$2:$B$101&lt;&gt;"")*ISNUMBER(SEARCH('Müşteriler'!$B$2:$B$101,B1947)),ROW('Müşteriler'!$B$2:$B$101)-ROW('Müşteriler'!$B$2)+1)),""),""))</ns0:f>
        <ns0:v/>
      </ns0:c>
      <ns0:c r="G1947" s="28" t="str">
        <ns0:f>IF(F1947="","",IFERROR(INDEX('Müşteriler'!$C$2:$C$101,MATCH(F1947,'Müşteriler'!$A$2:$A$101,0)),""))</ns0:f>
        <ns0:v/>
      </ns0:c>
      <ns0:c r="H1947" s="28" t="str">
        <ns0:f>IF(A1947="","",IF(C1947&lt;=0,"Satış dışı",IF(OR(F1947="",G1947=""),"Eşleşmedi","Eşleşti")))</ns0:f>
        <ns0:v/>
      </ns0:c>
      <ns0:c r="I1947" s="28">
        <ns0:f>I1946+IF(AND(H1947="Eşleşmedi",E1947='Panel'!$B$4),1,0)</ns0:f>
        <ns0:v>3.0</ns0:v>
      </ns0:c>
    </ns0:row>
    <ns0:row r="1948" ht="21" customHeight="1">
      <ns0:c r="A1948" s="25" t="n"/>
      <ns0:c r="B1948" s="26" t="n"/>
      <ns0:c r="C1948" s="27" t="n"/>
      <ns0:c r="D1948" s="27" t="n"/>
      <ns0:c r="E1948" s="28" t="str">
        <ns0:f>IF(A1948="","",YEAR(A1948)&amp;"-"&amp;RIGHT("0"&amp;MONTH(A1948),2))</ns0:f>
        <ns0:v/>
      </ns0:c>
      <ns0:c r="F1948" s="28" t="str">
        <ns0:f>IF(OR(A1948="",B1948="",C1948&lt;=0),"",IF(SUMPRODUCT(('Müşteriler'!$B$2:$B$101&lt;&gt;"")*ISNUMBER(SEARCH('Müşteriler'!$B$2:$B$101,B1948)))=1,IFERROR(INDEX('Müşteriler'!$A$2:$A$101,SUMPRODUCT(('Müşteriler'!$B$2:$B$101&lt;&gt;"")*ISNUMBER(SEARCH('Müşteriler'!$B$2:$B$101,B1948)),ROW('Müşteriler'!$B$2:$B$101)-ROW('Müşteriler'!$B$2)+1)),""),""))</ns0:f>
        <ns0:v/>
      </ns0:c>
      <ns0:c r="G1948" s="28" t="str">
        <ns0:f>IF(F1948="","",IFERROR(INDEX('Müşteriler'!$C$2:$C$101,MATCH(F1948,'Müşteriler'!$A$2:$A$101,0)),""))</ns0:f>
        <ns0:v/>
      </ns0:c>
      <ns0:c r="H1948" s="28" t="str">
        <ns0:f>IF(A1948="","",IF(C1948&lt;=0,"Satış dışı",IF(OR(F1948="",G1948=""),"Eşleşmedi","Eşleşti")))</ns0:f>
        <ns0:v/>
      </ns0:c>
      <ns0:c r="I1948" s="28">
        <ns0:f>I1947+IF(AND(H1948="Eşleşmedi",E1948='Panel'!$B$4),1,0)</ns0:f>
        <ns0:v>3.0</ns0:v>
      </ns0:c>
    </ns0:row>
    <ns0:row r="1949" ht="21" customHeight="1">
      <ns0:c r="A1949" s="25" t="n"/>
      <ns0:c r="B1949" s="26" t="n"/>
      <ns0:c r="C1949" s="27" t="n"/>
      <ns0:c r="D1949" s="27" t="n"/>
      <ns0:c r="E1949" s="28" t="str">
        <ns0:f>IF(A1949="","",YEAR(A1949)&amp;"-"&amp;RIGHT("0"&amp;MONTH(A1949),2))</ns0:f>
        <ns0:v/>
      </ns0:c>
      <ns0:c r="F1949" s="28" t="str">
        <ns0:f>IF(OR(A1949="",B1949="",C1949&lt;=0),"",IF(SUMPRODUCT(('Müşteriler'!$B$2:$B$101&lt;&gt;"")*ISNUMBER(SEARCH('Müşteriler'!$B$2:$B$101,B1949)))=1,IFERROR(INDEX('Müşteriler'!$A$2:$A$101,SUMPRODUCT(('Müşteriler'!$B$2:$B$101&lt;&gt;"")*ISNUMBER(SEARCH('Müşteriler'!$B$2:$B$101,B1949)),ROW('Müşteriler'!$B$2:$B$101)-ROW('Müşteriler'!$B$2)+1)),""),""))</ns0:f>
        <ns0:v/>
      </ns0:c>
      <ns0:c r="G1949" s="28" t="str">
        <ns0:f>IF(F1949="","",IFERROR(INDEX('Müşteriler'!$C$2:$C$101,MATCH(F1949,'Müşteriler'!$A$2:$A$101,0)),""))</ns0:f>
        <ns0:v/>
      </ns0:c>
      <ns0:c r="H1949" s="28" t="str">
        <ns0:f>IF(A1949="","",IF(C1949&lt;=0,"Satış dışı",IF(OR(F1949="",G1949=""),"Eşleşmedi","Eşleşti")))</ns0:f>
        <ns0:v/>
      </ns0:c>
      <ns0:c r="I1949" s="28">
        <ns0:f>I1948+IF(AND(H1949="Eşleşmedi",E1949='Panel'!$B$4),1,0)</ns0:f>
        <ns0:v>3.0</ns0:v>
      </ns0:c>
    </ns0:row>
    <ns0:row r="1950" ht="21" customHeight="1">
      <ns0:c r="A1950" s="25" t="n"/>
      <ns0:c r="B1950" s="26" t="n"/>
      <ns0:c r="C1950" s="27" t="n"/>
      <ns0:c r="D1950" s="27" t="n"/>
      <ns0:c r="E1950" s="28" t="str">
        <ns0:f>IF(A1950="","",YEAR(A1950)&amp;"-"&amp;RIGHT("0"&amp;MONTH(A1950),2))</ns0:f>
        <ns0:v/>
      </ns0:c>
      <ns0:c r="F1950" s="28" t="str">
        <ns0:f>IF(OR(A1950="",B1950="",C1950&lt;=0),"",IF(SUMPRODUCT(('Müşteriler'!$B$2:$B$101&lt;&gt;"")*ISNUMBER(SEARCH('Müşteriler'!$B$2:$B$101,B1950)))=1,IFERROR(INDEX('Müşteriler'!$A$2:$A$101,SUMPRODUCT(('Müşteriler'!$B$2:$B$101&lt;&gt;"")*ISNUMBER(SEARCH('Müşteriler'!$B$2:$B$101,B1950)),ROW('Müşteriler'!$B$2:$B$101)-ROW('Müşteriler'!$B$2)+1)),""),""))</ns0:f>
        <ns0:v/>
      </ns0:c>
      <ns0:c r="G1950" s="28" t="str">
        <ns0:f>IF(F1950="","",IFERROR(INDEX('Müşteriler'!$C$2:$C$101,MATCH(F1950,'Müşteriler'!$A$2:$A$101,0)),""))</ns0:f>
        <ns0:v/>
      </ns0:c>
      <ns0:c r="H1950" s="28" t="str">
        <ns0:f>IF(A1950="","",IF(C1950&lt;=0,"Satış dışı",IF(OR(F1950="",G1950=""),"Eşleşmedi","Eşleşti")))</ns0:f>
        <ns0:v/>
      </ns0:c>
      <ns0:c r="I1950" s="28">
        <ns0:f>I1949+IF(AND(H1950="Eşleşmedi",E1950='Panel'!$B$4),1,0)</ns0:f>
        <ns0:v>3.0</ns0:v>
      </ns0:c>
    </ns0:row>
    <ns0:row r="1951" ht="21" customHeight="1">
      <ns0:c r="A1951" s="25" t="n"/>
      <ns0:c r="B1951" s="26" t="n"/>
      <ns0:c r="C1951" s="27" t="n"/>
      <ns0:c r="D1951" s="27" t="n"/>
      <ns0:c r="E1951" s="28" t="str">
        <ns0:f>IF(A1951="","",YEAR(A1951)&amp;"-"&amp;RIGHT("0"&amp;MONTH(A1951),2))</ns0:f>
        <ns0:v/>
      </ns0:c>
      <ns0:c r="F1951" s="28" t="str">
        <ns0:f>IF(OR(A1951="",B1951="",C1951&lt;=0),"",IF(SUMPRODUCT(('Müşteriler'!$B$2:$B$101&lt;&gt;"")*ISNUMBER(SEARCH('Müşteriler'!$B$2:$B$101,B1951)))=1,IFERROR(INDEX('Müşteriler'!$A$2:$A$101,SUMPRODUCT(('Müşteriler'!$B$2:$B$101&lt;&gt;"")*ISNUMBER(SEARCH('Müşteriler'!$B$2:$B$101,B1951)),ROW('Müşteriler'!$B$2:$B$101)-ROW('Müşteriler'!$B$2)+1)),""),""))</ns0:f>
        <ns0:v/>
      </ns0:c>
      <ns0:c r="G1951" s="28" t="str">
        <ns0:f>IF(F1951="","",IFERROR(INDEX('Müşteriler'!$C$2:$C$101,MATCH(F1951,'Müşteriler'!$A$2:$A$101,0)),""))</ns0:f>
        <ns0:v/>
      </ns0:c>
      <ns0:c r="H1951" s="28" t="str">
        <ns0:f>IF(A1951="","",IF(C1951&lt;=0,"Satış dışı",IF(OR(F1951="",G1951=""),"Eşleşmedi","Eşleşti")))</ns0:f>
        <ns0:v/>
      </ns0:c>
      <ns0:c r="I1951" s="28">
        <ns0:f>I1950+IF(AND(H1951="Eşleşmedi",E1951='Panel'!$B$4),1,0)</ns0:f>
        <ns0:v>3.0</ns0:v>
      </ns0:c>
    </ns0:row>
    <ns0:row r="1952" ht="21" customHeight="1">
      <ns0:c r="A1952" s="25" t="n"/>
      <ns0:c r="B1952" s="26" t="n"/>
      <ns0:c r="C1952" s="27" t="n"/>
      <ns0:c r="D1952" s="27" t="n"/>
      <ns0:c r="E1952" s="28" t="str">
        <ns0:f>IF(A1952="","",YEAR(A1952)&amp;"-"&amp;RIGHT("0"&amp;MONTH(A1952),2))</ns0:f>
        <ns0:v/>
      </ns0:c>
      <ns0:c r="F1952" s="28" t="str">
        <ns0:f>IF(OR(A1952="",B1952="",C1952&lt;=0),"",IF(SUMPRODUCT(('Müşteriler'!$B$2:$B$101&lt;&gt;"")*ISNUMBER(SEARCH('Müşteriler'!$B$2:$B$101,B1952)))=1,IFERROR(INDEX('Müşteriler'!$A$2:$A$101,SUMPRODUCT(('Müşteriler'!$B$2:$B$101&lt;&gt;"")*ISNUMBER(SEARCH('Müşteriler'!$B$2:$B$101,B1952)),ROW('Müşteriler'!$B$2:$B$101)-ROW('Müşteriler'!$B$2)+1)),""),""))</ns0:f>
        <ns0:v/>
      </ns0:c>
      <ns0:c r="G1952" s="28" t="str">
        <ns0:f>IF(F1952="","",IFERROR(INDEX('Müşteriler'!$C$2:$C$101,MATCH(F1952,'Müşteriler'!$A$2:$A$101,0)),""))</ns0:f>
        <ns0:v/>
      </ns0:c>
      <ns0:c r="H1952" s="28" t="str">
        <ns0:f>IF(A1952="","",IF(C1952&lt;=0,"Satış dışı",IF(OR(F1952="",G1952=""),"Eşleşmedi","Eşleşti")))</ns0:f>
        <ns0:v/>
      </ns0:c>
      <ns0:c r="I1952" s="28">
        <ns0:f>I1951+IF(AND(H1952="Eşleşmedi",E1952='Panel'!$B$4),1,0)</ns0:f>
        <ns0:v>3.0</ns0:v>
      </ns0:c>
    </ns0:row>
    <ns0:row r="1953" ht="21" customHeight="1">
      <ns0:c r="A1953" s="25" t="n"/>
      <ns0:c r="B1953" s="26" t="n"/>
      <ns0:c r="C1953" s="27" t="n"/>
      <ns0:c r="D1953" s="27" t="n"/>
      <ns0:c r="E1953" s="28" t="str">
        <ns0:f>IF(A1953="","",YEAR(A1953)&amp;"-"&amp;RIGHT("0"&amp;MONTH(A1953),2))</ns0:f>
        <ns0:v/>
      </ns0:c>
      <ns0:c r="F1953" s="28" t="str">
        <ns0:f>IF(OR(A1953="",B1953="",C1953&lt;=0),"",IF(SUMPRODUCT(('Müşteriler'!$B$2:$B$101&lt;&gt;"")*ISNUMBER(SEARCH('Müşteriler'!$B$2:$B$101,B1953)))=1,IFERROR(INDEX('Müşteriler'!$A$2:$A$101,SUMPRODUCT(('Müşteriler'!$B$2:$B$101&lt;&gt;"")*ISNUMBER(SEARCH('Müşteriler'!$B$2:$B$101,B1953)),ROW('Müşteriler'!$B$2:$B$101)-ROW('Müşteriler'!$B$2)+1)),""),""))</ns0:f>
        <ns0:v/>
      </ns0:c>
      <ns0:c r="G1953" s="28" t="str">
        <ns0:f>IF(F1953="","",IFERROR(INDEX('Müşteriler'!$C$2:$C$101,MATCH(F1953,'Müşteriler'!$A$2:$A$101,0)),""))</ns0:f>
        <ns0:v/>
      </ns0:c>
      <ns0:c r="H1953" s="28" t="str">
        <ns0:f>IF(A1953="","",IF(C1953&lt;=0,"Satış dışı",IF(OR(F1953="",G1953=""),"Eşleşmedi","Eşleşti")))</ns0:f>
        <ns0:v/>
      </ns0:c>
      <ns0:c r="I1953" s="28">
        <ns0:f>I1952+IF(AND(H1953="Eşleşmedi",E1953='Panel'!$B$4),1,0)</ns0:f>
        <ns0:v>3.0</ns0:v>
      </ns0:c>
    </ns0:row>
    <ns0:row r="1954" ht="21" customHeight="1">
      <ns0:c r="A1954" s="25" t="n"/>
      <ns0:c r="B1954" s="26" t="n"/>
      <ns0:c r="C1954" s="27" t="n"/>
      <ns0:c r="D1954" s="27" t="n"/>
      <ns0:c r="E1954" s="28" t="str">
        <ns0:f>IF(A1954="","",YEAR(A1954)&amp;"-"&amp;RIGHT("0"&amp;MONTH(A1954),2))</ns0:f>
        <ns0:v/>
      </ns0:c>
      <ns0:c r="F1954" s="28" t="str">
        <ns0:f>IF(OR(A1954="",B1954="",C1954&lt;=0),"",IF(SUMPRODUCT(('Müşteriler'!$B$2:$B$101&lt;&gt;"")*ISNUMBER(SEARCH('Müşteriler'!$B$2:$B$101,B1954)))=1,IFERROR(INDEX('Müşteriler'!$A$2:$A$101,SUMPRODUCT(('Müşteriler'!$B$2:$B$101&lt;&gt;"")*ISNUMBER(SEARCH('Müşteriler'!$B$2:$B$101,B1954)),ROW('Müşteriler'!$B$2:$B$101)-ROW('Müşteriler'!$B$2)+1)),""),""))</ns0:f>
        <ns0:v/>
      </ns0:c>
      <ns0:c r="G1954" s="28" t="str">
        <ns0:f>IF(F1954="","",IFERROR(INDEX('Müşteriler'!$C$2:$C$101,MATCH(F1954,'Müşteriler'!$A$2:$A$101,0)),""))</ns0:f>
        <ns0:v/>
      </ns0:c>
      <ns0:c r="H1954" s="28" t="str">
        <ns0:f>IF(A1954="","",IF(C1954&lt;=0,"Satış dışı",IF(OR(F1954="",G1954=""),"Eşleşmedi","Eşleşti")))</ns0:f>
        <ns0:v/>
      </ns0:c>
      <ns0:c r="I1954" s="28">
        <ns0:f>I1953+IF(AND(H1954="Eşleşmedi",E1954='Panel'!$B$4),1,0)</ns0:f>
        <ns0:v>3.0</ns0:v>
      </ns0:c>
    </ns0:row>
    <ns0:row r="1955" ht="21" customHeight="1">
      <ns0:c r="A1955" s="25" t="n"/>
      <ns0:c r="B1955" s="26" t="n"/>
      <ns0:c r="C1955" s="27" t="n"/>
      <ns0:c r="D1955" s="27" t="n"/>
      <ns0:c r="E1955" s="28" t="str">
        <ns0:f>IF(A1955="","",YEAR(A1955)&amp;"-"&amp;RIGHT("0"&amp;MONTH(A1955),2))</ns0:f>
        <ns0:v/>
      </ns0:c>
      <ns0:c r="F1955" s="28" t="str">
        <ns0:f>IF(OR(A1955="",B1955="",C1955&lt;=0),"",IF(SUMPRODUCT(('Müşteriler'!$B$2:$B$101&lt;&gt;"")*ISNUMBER(SEARCH('Müşteriler'!$B$2:$B$101,B1955)))=1,IFERROR(INDEX('Müşteriler'!$A$2:$A$101,SUMPRODUCT(('Müşteriler'!$B$2:$B$101&lt;&gt;"")*ISNUMBER(SEARCH('Müşteriler'!$B$2:$B$101,B1955)),ROW('Müşteriler'!$B$2:$B$101)-ROW('Müşteriler'!$B$2)+1)),""),""))</ns0:f>
        <ns0:v/>
      </ns0:c>
      <ns0:c r="G1955" s="28" t="str">
        <ns0:f>IF(F1955="","",IFERROR(INDEX('Müşteriler'!$C$2:$C$101,MATCH(F1955,'Müşteriler'!$A$2:$A$101,0)),""))</ns0:f>
        <ns0:v/>
      </ns0:c>
      <ns0:c r="H1955" s="28" t="str">
        <ns0:f>IF(A1955="","",IF(C1955&lt;=0,"Satış dışı",IF(OR(F1955="",G1955=""),"Eşleşmedi","Eşleşti")))</ns0:f>
        <ns0:v/>
      </ns0:c>
      <ns0:c r="I1955" s="28">
        <ns0:f>I1954+IF(AND(H1955="Eşleşmedi",E1955='Panel'!$B$4),1,0)</ns0:f>
        <ns0:v>3.0</ns0:v>
      </ns0:c>
    </ns0:row>
    <ns0:row r="1956" ht="21" customHeight="1">
      <ns0:c r="A1956" s="25" t="n"/>
      <ns0:c r="B1956" s="26" t="n"/>
      <ns0:c r="C1956" s="27" t="n"/>
      <ns0:c r="D1956" s="27" t="n"/>
      <ns0:c r="E1956" s="28" t="str">
        <ns0:f>IF(A1956="","",YEAR(A1956)&amp;"-"&amp;RIGHT("0"&amp;MONTH(A1956),2))</ns0:f>
        <ns0:v/>
      </ns0:c>
      <ns0:c r="F1956" s="28" t="str">
        <ns0:f>IF(OR(A1956="",B1956="",C1956&lt;=0),"",IF(SUMPRODUCT(('Müşteriler'!$B$2:$B$101&lt;&gt;"")*ISNUMBER(SEARCH('Müşteriler'!$B$2:$B$101,B1956)))=1,IFERROR(INDEX('Müşteriler'!$A$2:$A$101,SUMPRODUCT(('Müşteriler'!$B$2:$B$101&lt;&gt;"")*ISNUMBER(SEARCH('Müşteriler'!$B$2:$B$101,B1956)),ROW('Müşteriler'!$B$2:$B$101)-ROW('Müşteriler'!$B$2)+1)),""),""))</ns0:f>
        <ns0:v/>
      </ns0:c>
      <ns0:c r="G1956" s="28" t="str">
        <ns0:f>IF(F1956="","",IFERROR(INDEX('Müşteriler'!$C$2:$C$101,MATCH(F1956,'Müşteriler'!$A$2:$A$101,0)),""))</ns0:f>
        <ns0:v/>
      </ns0:c>
      <ns0:c r="H1956" s="28" t="str">
        <ns0:f>IF(A1956="","",IF(C1956&lt;=0,"Satış dışı",IF(OR(F1956="",G1956=""),"Eşleşmedi","Eşleşti")))</ns0:f>
        <ns0:v/>
      </ns0:c>
      <ns0:c r="I1956" s="28">
        <ns0:f>I1955+IF(AND(H1956="Eşleşmedi",E1956='Panel'!$B$4),1,0)</ns0:f>
        <ns0:v>3.0</ns0:v>
      </ns0:c>
    </ns0:row>
    <ns0:row r="1957" ht="21" customHeight="1">
      <ns0:c r="A1957" s="25" t="n"/>
      <ns0:c r="B1957" s="26" t="n"/>
      <ns0:c r="C1957" s="27" t="n"/>
      <ns0:c r="D1957" s="27" t="n"/>
      <ns0:c r="E1957" s="28" t="str">
        <ns0:f>IF(A1957="","",YEAR(A1957)&amp;"-"&amp;RIGHT("0"&amp;MONTH(A1957),2))</ns0:f>
        <ns0:v/>
      </ns0:c>
      <ns0:c r="F1957" s="28" t="str">
        <ns0:f>IF(OR(A1957="",B1957="",C1957&lt;=0),"",IF(SUMPRODUCT(('Müşteriler'!$B$2:$B$101&lt;&gt;"")*ISNUMBER(SEARCH('Müşteriler'!$B$2:$B$101,B1957)))=1,IFERROR(INDEX('Müşteriler'!$A$2:$A$101,SUMPRODUCT(('Müşteriler'!$B$2:$B$101&lt;&gt;"")*ISNUMBER(SEARCH('Müşteriler'!$B$2:$B$101,B1957)),ROW('Müşteriler'!$B$2:$B$101)-ROW('Müşteriler'!$B$2)+1)),""),""))</ns0:f>
        <ns0:v/>
      </ns0:c>
      <ns0:c r="G1957" s="28" t="str">
        <ns0:f>IF(F1957="","",IFERROR(INDEX('Müşteriler'!$C$2:$C$101,MATCH(F1957,'Müşteriler'!$A$2:$A$101,0)),""))</ns0:f>
        <ns0:v/>
      </ns0:c>
      <ns0:c r="H1957" s="28" t="str">
        <ns0:f>IF(A1957="","",IF(C1957&lt;=0,"Satış dışı",IF(OR(F1957="",G1957=""),"Eşleşmedi","Eşleşti")))</ns0:f>
        <ns0:v/>
      </ns0:c>
      <ns0:c r="I1957" s="28">
        <ns0:f>I1956+IF(AND(H1957="Eşleşmedi",E1957='Panel'!$B$4),1,0)</ns0:f>
        <ns0:v>3.0</ns0:v>
      </ns0:c>
    </ns0:row>
    <ns0:row r="1958" ht="21" customHeight="1">
      <ns0:c r="A1958" s="25" t="n"/>
      <ns0:c r="B1958" s="26" t="n"/>
      <ns0:c r="C1958" s="27" t="n"/>
      <ns0:c r="D1958" s="27" t="n"/>
      <ns0:c r="E1958" s="28" t="str">
        <ns0:f>IF(A1958="","",YEAR(A1958)&amp;"-"&amp;RIGHT("0"&amp;MONTH(A1958),2))</ns0:f>
        <ns0:v/>
      </ns0:c>
      <ns0:c r="F1958" s="28" t="str">
        <ns0:f>IF(OR(A1958="",B1958="",C1958&lt;=0),"",IF(SUMPRODUCT(('Müşteriler'!$B$2:$B$101&lt;&gt;"")*ISNUMBER(SEARCH('Müşteriler'!$B$2:$B$101,B1958)))=1,IFERROR(INDEX('Müşteriler'!$A$2:$A$101,SUMPRODUCT(('Müşteriler'!$B$2:$B$101&lt;&gt;"")*ISNUMBER(SEARCH('Müşteriler'!$B$2:$B$101,B1958)),ROW('Müşteriler'!$B$2:$B$101)-ROW('Müşteriler'!$B$2)+1)),""),""))</ns0:f>
        <ns0:v/>
      </ns0:c>
      <ns0:c r="G1958" s="28" t="str">
        <ns0:f>IF(F1958="","",IFERROR(INDEX('Müşteriler'!$C$2:$C$101,MATCH(F1958,'Müşteriler'!$A$2:$A$101,0)),""))</ns0:f>
        <ns0:v/>
      </ns0:c>
      <ns0:c r="H1958" s="28" t="str">
        <ns0:f>IF(A1958="","",IF(C1958&lt;=0,"Satış dışı",IF(OR(F1958="",G1958=""),"Eşleşmedi","Eşleşti")))</ns0:f>
        <ns0:v/>
      </ns0:c>
      <ns0:c r="I1958" s="28">
        <ns0:f>I1957+IF(AND(H1958="Eşleşmedi",E1958='Panel'!$B$4),1,0)</ns0:f>
        <ns0:v>3.0</ns0:v>
      </ns0:c>
    </ns0:row>
    <ns0:row r="1959" ht="21" customHeight="1">
      <ns0:c r="A1959" s="25" t="n"/>
      <ns0:c r="B1959" s="26" t="n"/>
      <ns0:c r="C1959" s="27" t="n"/>
      <ns0:c r="D1959" s="27" t="n"/>
      <ns0:c r="E1959" s="28" t="str">
        <ns0:f>IF(A1959="","",YEAR(A1959)&amp;"-"&amp;RIGHT("0"&amp;MONTH(A1959),2))</ns0:f>
        <ns0:v/>
      </ns0:c>
      <ns0:c r="F1959" s="28" t="str">
        <ns0:f>IF(OR(A1959="",B1959="",C1959&lt;=0),"",IF(SUMPRODUCT(('Müşteriler'!$B$2:$B$101&lt;&gt;"")*ISNUMBER(SEARCH('Müşteriler'!$B$2:$B$101,B1959)))=1,IFERROR(INDEX('Müşteriler'!$A$2:$A$101,SUMPRODUCT(('Müşteriler'!$B$2:$B$101&lt;&gt;"")*ISNUMBER(SEARCH('Müşteriler'!$B$2:$B$101,B1959)),ROW('Müşteriler'!$B$2:$B$101)-ROW('Müşteriler'!$B$2)+1)),""),""))</ns0:f>
        <ns0:v/>
      </ns0:c>
      <ns0:c r="G1959" s="28" t="str">
        <ns0:f>IF(F1959="","",IFERROR(INDEX('Müşteriler'!$C$2:$C$101,MATCH(F1959,'Müşteriler'!$A$2:$A$101,0)),""))</ns0:f>
        <ns0:v/>
      </ns0:c>
      <ns0:c r="H1959" s="28" t="str">
        <ns0:f>IF(A1959="","",IF(C1959&lt;=0,"Satış dışı",IF(OR(F1959="",G1959=""),"Eşleşmedi","Eşleşti")))</ns0:f>
        <ns0:v/>
      </ns0:c>
      <ns0:c r="I1959" s="28">
        <ns0:f>I1958+IF(AND(H1959="Eşleşmedi",E1959='Panel'!$B$4),1,0)</ns0:f>
        <ns0:v>3.0</ns0:v>
      </ns0:c>
    </ns0:row>
    <ns0:row r="1960" ht="21" customHeight="1">
      <ns0:c r="A1960" s="25" t="n"/>
      <ns0:c r="B1960" s="26" t="n"/>
      <ns0:c r="C1960" s="27" t="n"/>
      <ns0:c r="D1960" s="27" t="n"/>
      <ns0:c r="E1960" s="28" t="str">
        <ns0:f>IF(A1960="","",YEAR(A1960)&amp;"-"&amp;RIGHT("0"&amp;MONTH(A1960),2))</ns0:f>
        <ns0:v/>
      </ns0:c>
      <ns0:c r="F1960" s="28" t="str">
        <ns0:f>IF(OR(A1960="",B1960="",C1960&lt;=0),"",IF(SUMPRODUCT(('Müşteriler'!$B$2:$B$101&lt;&gt;"")*ISNUMBER(SEARCH('Müşteriler'!$B$2:$B$101,B1960)))=1,IFERROR(INDEX('Müşteriler'!$A$2:$A$101,SUMPRODUCT(('Müşteriler'!$B$2:$B$101&lt;&gt;"")*ISNUMBER(SEARCH('Müşteriler'!$B$2:$B$101,B1960)),ROW('Müşteriler'!$B$2:$B$101)-ROW('Müşteriler'!$B$2)+1)),""),""))</ns0:f>
        <ns0:v/>
      </ns0:c>
      <ns0:c r="G1960" s="28" t="str">
        <ns0:f>IF(F1960="","",IFERROR(INDEX('Müşteriler'!$C$2:$C$101,MATCH(F1960,'Müşteriler'!$A$2:$A$101,0)),""))</ns0:f>
        <ns0:v/>
      </ns0:c>
      <ns0:c r="H1960" s="28" t="str">
        <ns0:f>IF(A1960="","",IF(C1960&lt;=0,"Satış dışı",IF(OR(F1960="",G1960=""),"Eşleşmedi","Eşleşti")))</ns0:f>
        <ns0:v/>
      </ns0:c>
      <ns0:c r="I1960" s="28">
        <ns0:f>I1959+IF(AND(H1960="Eşleşmedi",E1960='Panel'!$B$4),1,0)</ns0:f>
        <ns0:v>3.0</ns0:v>
      </ns0:c>
    </ns0:row>
    <ns0:row r="1961" ht="21" customHeight="1">
      <ns0:c r="A1961" s="25" t="n"/>
      <ns0:c r="B1961" s="26" t="n"/>
      <ns0:c r="C1961" s="27" t="n"/>
      <ns0:c r="D1961" s="27" t="n"/>
      <ns0:c r="E1961" s="28" t="str">
        <ns0:f>IF(A1961="","",YEAR(A1961)&amp;"-"&amp;RIGHT("0"&amp;MONTH(A1961),2))</ns0:f>
        <ns0:v/>
      </ns0:c>
      <ns0:c r="F1961" s="28" t="str">
        <ns0:f>IF(OR(A1961="",B1961="",C1961&lt;=0),"",IF(SUMPRODUCT(('Müşteriler'!$B$2:$B$101&lt;&gt;"")*ISNUMBER(SEARCH('Müşteriler'!$B$2:$B$101,B1961)))=1,IFERROR(INDEX('Müşteriler'!$A$2:$A$101,SUMPRODUCT(('Müşteriler'!$B$2:$B$101&lt;&gt;"")*ISNUMBER(SEARCH('Müşteriler'!$B$2:$B$101,B1961)),ROW('Müşteriler'!$B$2:$B$101)-ROW('Müşteriler'!$B$2)+1)),""),""))</ns0:f>
        <ns0:v/>
      </ns0:c>
      <ns0:c r="G1961" s="28" t="str">
        <ns0:f>IF(F1961="","",IFERROR(INDEX('Müşteriler'!$C$2:$C$101,MATCH(F1961,'Müşteriler'!$A$2:$A$101,0)),""))</ns0:f>
        <ns0:v/>
      </ns0:c>
      <ns0:c r="H1961" s="28" t="str">
        <ns0:f>IF(A1961="","",IF(C1961&lt;=0,"Satış dışı",IF(OR(F1961="",G1961=""),"Eşleşmedi","Eşleşti")))</ns0:f>
        <ns0:v/>
      </ns0:c>
      <ns0:c r="I1961" s="28">
        <ns0:f>I1960+IF(AND(H1961="Eşleşmedi",E1961='Panel'!$B$4),1,0)</ns0:f>
        <ns0:v>3.0</ns0:v>
      </ns0:c>
    </ns0:row>
    <ns0:row r="1962" ht="21" customHeight="1">
      <ns0:c r="A1962" s="25" t="n"/>
      <ns0:c r="B1962" s="26" t="n"/>
      <ns0:c r="C1962" s="27" t="n"/>
      <ns0:c r="D1962" s="27" t="n"/>
      <ns0:c r="E1962" s="28" t="str">
        <ns0:f>IF(A1962="","",YEAR(A1962)&amp;"-"&amp;RIGHT("0"&amp;MONTH(A1962),2))</ns0:f>
        <ns0:v/>
      </ns0:c>
      <ns0:c r="F1962" s="28" t="str">
        <ns0:f>IF(OR(A1962="",B1962="",C1962&lt;=0),"",IF(SUMPRODUCT(('Müşteriler'!$B$2:$B$101&lt;&gt;"")*ISNUMBER(SEARCH('Müşteriler'!$B$2:$B$101,B1962)))=1,IFERROR(INDEX('Müşteriler'!$A$2:$A$101,SUMPRODUCT(('Müşteriler'!$B$2:$B$101&lt;&gt;"")*ISNUMBER(SEARCH('Müşteriler'!$B$2:$B$101,B1962)),ROW('Müşteriler'!$B$2:$B$101)-ROW('Müşteriler'!$B$2)+1)),""),""))</ns0:f>
        <ns0:v/>
      </ns0:c>
      <ns0:c r="G1962" s="28" t="str">
        <ns0:f>IF(F1962="","",IFERROR(INDEX('Müşteriler'!$C$2:$C$101,MATCH(F1962,'Müşteriler'!$A$2:$A$101,0)),""))</ns0:f>
        <ns0:v/>
      </ns0:c>
      <ns0:c r="H1962" s="28" t="str">
        <ns0:f>IF(A1962="","",IF(C1962&lt;=0,"Satış dışı",IF(OR(F1962="",G1962=""),"Eşleşmedi","Eşleşti")))</ns0:f>
        <ns0:v/>
      </ns0:c>
      <ns0:c r="I1962" s="28">
        <ns0:f>I1961+IF(AND(H1962="Eşleşmedi",E1962='Panel'!$B$4),1,0)</ns0:f>
        <ns0:v>3.0</ns0:v>
      </ns0:c>
    </ns0:row>
    <ns0:row r="1963" ht="21" customHeight="1">
      <ns0:c r="A1963" s="25" t="n"/>
      <ns0:c r="B1963" s="26" t="n"/>
      <ns0:c r="C1963" s="27" t="n"/>
      <ns0:c r="D1963" s="27" t="n"/>
      <ns0:c r="E1963" s="28" t="str">
        <ns0:f>IF(A1963="","",YEAR(A1963)&amp;"-"&amp;RIGHT("0"&amp;MONTH(A1963),2))</ns0:f>
        <ns0:v/>
      </ns0:c>
      <ns0:c r="F1963" s="28" t="str">
        <ns0:f>IF(OR(A1963="",B1963="",C1963&lt;=0),"",IF(SUMPRODUCT(('Müşteriler'!$B$2:$B$101&lt;&gt;"")*ISNUMBER(SEARCH('Müşteriler'!$B$2:$B$101,B1963)))=1,IFERROR(INDEX('Müşteriler'!$A$2:$A$101,SUMPRODUCT(('Müşteriler'!$B$2:$B$101&lt;&gt;"")*ISNUMBER(SEARCH('Müşteriler'!$B$2:$B$101,B1963)),ROW('Müşteriler'!$B$2:$B$101)-ROW('Müşteriler'!$B$2)+1)),""),""))</ns0:f>
        <ns0:v/>
      </ns0:c>
      <ns0:c r="G1963" s="28" t="str">
        <ns0:f>IF(F1963="","",IFERROR(INDEX('Müşteriler'!$C$2:$C$101,MATCH(F1963,'Müşteriler'!$A$2:$A$101,0)),""))</ns0:f>
        <ns0:v/>
      </ns0:c>
      <ns0:c r="H1963" s="28" t="str">
        <ns0:f>IF(A1963="","",IF(C1963&lt;=0,"Satış dışı",IF(OR(F1963="",G1963=""),"Eşleşmedi","Eşleşti")))</ns0:f>
        <ns0:v/>
      </ns0:c>
      <ns0:c r="I1963" s="28">
        <ns0:f>I1962+IF(AND(H1963="Eşleşmedi",E1963='Panel'!$B$4),1,0)</ns0:f>
        <ns0:v>3.0</ns0:v>
      </ns0:c>
    </ns0:row>
    <ns0:row r="1964" ht="21" customHeight="1">
      <ns0:c r="A1964" s="25" t="n"/>
      <ns0:c r="B1964" s="26" t="n"/>
      <ns0:c r="C1964" s="27" t="n"/>
      <ns0:c r="D1964" s="27" t="n"/>
      <ns0:c r="E1964" s="28" t="str">
        <ns0:f>IF(A1964="","",YEAR(A1964)&amp;"-"&amp;RIGHT("0"&amp;MONTH(A1964),2))</ns0:f>
        <ns0:v/>
      </ns0:c>
      <ns0:c r="F1964" s="28" t="str">
        <ns0:f>IF(OR(A1964="",B1964="",C1964&lt;=0),"",IF(SUMPRODUCT(('Müşteriler'!$B$2:$B$101&lt;&gt;"")*ISNUMBER(SEARCH('Müşteriler'!$B$2:$B$101,B1964)))=1,IFERROR(INDEX('Müşteriler'!$A$2:$A$101,SUMPRODUCT(('Müşteriler'!$B$2:$B$101&lt;&gt;"")*ISNUMBER(SEARCH('Müşteriler'!$B$2:$B$101,B1964)),ROW('Müşteriler'!$B$2:$B$101)-ROW('Müşteriler'!$B$2)+1)),""),""))</ns0:f>
        <ns0:v/>
      </ns0:c>
      <ns0:c r="G1964" s="28" t="str">
        <ns0:f>IF(F1964="","",IFERROR(INDEX('Müşteriler'!$C$2:$C$101,MATCH(F1964,'Müşteriler'!$A$2:$A$101,0)),""))</ns0:f>
        <ns0:v/>
      </ns0:c>
      <ns0:c r="H1964" s="28" t="str">
        <ns0:f>IF(A1964="","",IF(C1964&lt;=0,"Satış dışı",IF(OR(F1964="",G1964=""),"Eşleşmedi","Eşleşti")))</ns0:f>
        <ns0:v/>
      </ns0:c>
      <ns0:c r="I1964" s="28">
        <ns0:f>I1963+IF(AND(H1964="Eşleşmedi",E1964='Panel'!$B$4),1,0)</ns0:f>
        <ns0:v>3.0</ns0:v>
      </ns0:c>
    </ns0:row>
    <ns0:row r="1965" ht="21" customHeight="1">
      <ns0:c r="A1965" s="25" t="n"/>
      <ns0:c r="B1965" s="26" t="n"/>
      <ns0:c r="C1965" s="27" t="n"/>
      <ns0:c r="D1965" s="27" t="n"/>
      <ns0:c r="E1965" s="28" t="str">
        <ns0:f>IF(A1965="","",YEAR(A1965)&amp;"-"&amp;RIGHT("0"&amp;MONTH(A1965),2))</ns0:f>
        <ns0:v/>
      </ns0:c>
      <ns0:c r="F1965" s="28" t="str">
        <ns0:f>IF(OR(A1965="",B1965="",C1965&lt;=0),"",IF(SUMPRODUCT(('Müşteriler'!$B$2:$B$101&lt;&gt;"")*ISNUMBER(SEARCH('Müşteriler'!$B$2:$B$101,B1965)))=1,IFERROR(INDEX('Müşteriler'!$A$2:$A$101,SUMPRODUCT(('Müşteriler'!$B$2:$B$101&lt;&gt;"")*ISNUMBER(SEARCH('Müşteriler'!$B$2:$B$101,B1965)),ROW('Müşteriler'!$B$2:$B$101)-ROW('Müşteriler'!$B$2)+1)),""),""))</ns0:f>
        <ns0:v/>
      </ns0:c>
      <ns0:c r="G1965" s="28" t="str">
        <ns0:f>IF(F1965="","",IFERROR(INDEX('Müşteriler'!$C$2:$C$101,MATCH(F1965,'Müşteriler'!$A$2:$A$101,0)),""))</ns0:f>
        <ns0:v/>
      </ns0:c>
      <ns0:c r="H1965" s="28" t="str">
        <ns0:f>IF(A1965="","",IF(C1965&lt;=0,"Satış dışı",IF(OR(F1965="",G1965=""),"Eşleşmedi","Eşleşti")))</ns0:f>
        <ns0:v/>
      </ns0:c>
      <ns0:c r="I1965" s="28">
        <ns0:f>I1964+IF(AND(H1965="Eşleşmedi",E1965='Panel'!$B$4),1,0)</ns0:f>
        <ns0:v>3.0</ns0:v>
      </ns0:c>
    </ns0:row>
    <ns0:row r="1966" ht="21" customHeight="1">
      <ns0:c r="A1966" s="25" t="n"/>
      <ns0:c r="B1966" s="26" t="n"/>
      <ns0:c r="C1966" s="27" t="n"/>
      <ns0:c r="D1966" s="27" t="n"/>
      <ns0:c r="E1966" s="28" t="str">
        <ns0:f>IF(A1966="","",YEAR(A1966)&amp;"-"&amp;RIGHT("0"&amp;MONTH(A1966),2))</ns0:f>
        <ns0:v/>
      </ns0:c>
      <ns0:c r="F1966" s="28" t="str">
        <ns0:f>IF(OR(A1966="",B1966="",C1966&lt;=0),"",IF(SUMPRODUCT(('Müşteriler'!$B$2:$B$101&lt;&gt;"")*ISNUMBER(SEARCH('Müşteriler'!$B$2:$B$101,B1966)))=1,IFERROR(INDEX('Müşteriler'!$A$2:$A$101,SUMPRODUCT(('Müşteriler'!$B$2:$B$101&lt;&gt;"")*ISNUMBER(SEARCH('Müşteriler'!$B$2:$B$101,B1966)),ROW('Müşteriler'!$B$2:$B$101)-ROW('Müşteriler'!$B$2)+1)),""),""))</ns0:f>
        <ns0:v/>
      </ns0:c>
      <ns0:c r="G1966" s="28" t="str">
        <ns0:f>IF(F1966="","",IFERROR(INDEX('Müşteriler'!$C$2:$C$101,MATCH(F1966,'Müşteriler'!$A$2:$A$101,0)),""))</ns0:f>
        <ns0:v/>
      </ns0:c>
      <ns0:c r="H1966" s="28" t="str">
        <ns0:f>IF(A1966="","",IF(C1966&lt;=0,"Satış dışı",IF(OR(F1966="",G1966=""),"Eşleşmedi","Eşleşti")))</ns0:f>
        <ns0:v/>
      </ns0:c>
      <ns0:c r="I1966" s="28">
        <ns0:f>I1965+IF(AND(H1966="Eşleşmedi",E1966='Panel'!$B$4),1,0)</ns0:f>
        <ns0:v>3.0</ns0:v>
      </ns0:c>
    </ns0:row>
    <ns0:row r="1967" ht="21" customHeight="1">
      <ns0:c r="A1967" s="25" t="n"/>
      <ns0:c r="B1967" s="26" t="n"/>
      <ns0:c r="C1967" s="27" t="n"/>
      <ns0:c r="D1967" s="27" t="n"/>
      <ns0:c r="E1967" s="28" t="str">
        <ns0:f>IF(A1967="","",YEAR(A1967)&amp;"-"&amp;RIGHT("0"&amp;MONTH(A1967),2))</ns0:f>
        <ns0:v/>
      </ns0:c>
      <ns0:c r="F1967" s="28" t="str">
        <ns0:f>IF(OR(A1967="",B1967="",C1967&lt;=0),"",IF(SUMPRODUCT(('Müşteriler'!$B$2:$B$101&lt;&gt;"")*ISNUMBER(SEARCH('Müşteriler'!$B$2:$B$101,B1967)))=1,IFERROR(INDEX('Müşteriler'!$A$2:$A$101,SUMPRODUCT(('Müşteriler'!$B$2:$B$101&lt;&gt;"")*ISNUMBER(SEARCH('Müşteriler'!$B$2:$B$101,B1967)),ROW('Müşteriler'!$B$2:$B$101)-ROW('Müşteriler'!$B$2)+1)),""),""))</ns0:f>
        <ns0:v/>
      </ns0:c>
      <ns0:c r="G1967" s="28" t="str">
        <ns0:f>IF(F1967="","",IFERROR(INDEX('Müşteriler'!$C$2:$C$101,MATCH(F1967,'Müşteriler'!$A$2:$A$101,0)),""))</ns0:f>
        <ns0:v/>
      </ns0:c>
      <ns0:c r="H1967" s="28" t="str">
        <ns0:f>IF(A1967="","",IF(C1967&lt;=0,"Satış dışı",IF(OR(F1967="",G1967=""),"Eşleşmedi","Eşleşti")))</ns0:f>
        <ns0:v/>
      </ns0:c>
      <ns0:c r="I1967" s="28">
        <ns0:f>I1966+IF(AND(H1967="Eşleşmedi",E1967='Panel'!$B$4),1,0)</ns0:f>
        <ns0:v>3.0</ns0:v>
      </ns0:c>
    </ns0:row>
    <ns0:row r="1968" ht="21" customHeight="1">
      <ns0:c r="A1968" s="25" t="n"/>
      <ns0:c r="B1968" s="26" t="n"/>
      <ns0:c r="C1968" s="27" t="n"/>
      <ns0:c r="D1968" s="27" t="n"/>
      <ns0:c r="E1968" s="28" t="str">
        <ns0:f>IF(A1968="","",YEAR(A1968)&amp;"-"&amp;RIGHT("0"&amp;MONTH(A1968),2))</ns0:f>
        <ns0:v/>
      </ns0:c>
      <ns0:c r="F1968" s="28" t="str">
        <ns0:f>IF(OR(A1968="",B1968="",C1968&lt;=0),"",IF(SUMPRODUCT(('Müşteriler'!$B$2:$B$101&lt;&gt;"")*ISNUMBER(SEARCH('Müşteriler'!$B$2:$B$101,B1968)))=1,IFERROR(INDEX('Müşteriler'!$A$2:$A$101,SUMPRODUCT(('Müşteriler'!$B$2:$B$101&lt;&gt;"")*ISNUMBER(SEARCH('Müşteriler'!$B$2:$B$101,B1968)),ROW('Müşteriler'!$B$2:$B$101)-ROW('Müşteriler'!$B$2)+1)),""),""))</ns0:f>
        <ns0:v/>
      </ns0:c>
      <ns0:c r="G1968" s="28" t="str">
        <ns0:f>IF(F1968="","",IFERROR(INDEX('Müşteriler'!$C$2:$C$101,MATCH(F1968,'Müşteriler'!$A$2:$A$101,0)),""))</ns0:f>
        <ns0:v/>
      </ns0:c>
      <ns0:c r="H1968" s="28" t="str">
        <ns0:f>IF(A1968="","",IF(C1968&lt;=0,"Satış dışı",IF(OR(F1968="",G1968=""),"Eşleşmedi","Eşleşti")))</ns0:f>
        <ns0:v/>
      </ns0:c>
      <ns0:c r="I1968" s="28">
        <ns0:f>I1967+IF(AND(H1968="Eşleşmedi",E1968='Panel'!$B$4),1,0)</ns0:f>
        <ns0:v>3.0</ns0:v>
      </ns0:c>
    </ns0:row>
    <ns0:row r="1969" ht="21" customHeight="1">
      <ns0:c r="A1969" s="25" t="n"/>
      <ns0:c r="B1969" s="26" t="n"/>
      <ns0:c r="C1969" s="27" t="n"/>
      <ns0:c r="D1969" s="27" t="n"/>
      <ns0:c r="E1969" s="28" t="str">
        <ns0:f>IF(A1969="","",YEAR(A1969)&amp;"-"&amp;RIGHT("0"&amp;MONTH(A1969),2))</ns0:f>
        <ns0:v/>
      </ns0:c>
      <ns0:c r="F1969" s="28" t="str">
        <ns0:f>IF(OR(A1969="",B1969="",C1969&lt;=0),"",IF(SUMPRODUCT(('Müşteriler'!$B$2:$B$101&lt;&gt;"")*ISNUMBER(SEARCH('Müşteriler'!$B$2:$B$101,B1969)))=1,IFERROR(INDEX('Müşteriler'!$A$2:$A$101,SUMPRODUCT(('Müşteriler'!$B$2:$B$101&lt;&gt;"")*ISNUMBER(SEARCH('Müşteriler'!$B$2:$B$101,B1969)),ROW('Müşteriler'!$B$2:$B$101)-ROW('Müşteriler'!$B$2)+1)),""),""))</ns0:f>
        <ns0:v/>
      </ns0:c>
      <ns0:c r="G1969" s="28" t="str">
        <ns0:f>IF(F1969="","",IFERROR(INDEX('Müşteriler'!$C$2:$C$101,MATCH(F1969,'Müşteriler'!$A$2:$A$101,0)),""))</ns0:f>
        <ns0:v/>
      </ns0:c>
      <ns0:c r="H1969" s="28" t="str">
        <ns0:f>IF(A1969="","",IF(C1969&lt;=0,"Satış dışı",IF(OR(F1969="",G1969=""),"Eşleşmedi","Eşleşti")))</ns0:f>
        <ns0:v/>
      </ns0:c>
      <ns0:c r="I1969" s="28">
        <ns0:f>I1968+IF(AND(H1969="Eşleşmedi",E1969='Panel'!$B$4),1,0)</ns0:f>
        <ns0:v>3.0</ns0:v>
      </ns0:c>
    </ns0:row>
    <ns0:row r="1970" ht="21" customHeight="1">
      <ns0:c r="A1970" s="25" t="n"/>
      <ns0:c r="B1970" s="26" t="n"/>
      <ns0:c r="C1970" s="27" t="n"/>
      <ns0:c r="D1970" s="27" t="n"/>
      <ns0:c r="E1970" s="28" t="str">
        <ns0:f>IF(A1970="","",YEAR(A1970)&amp;"-"&amp;RIGHT("0"&amp;MONTH(A1970),2))</ns0:f>
        <ns0:v/>
      </ns0:c>
      <ns0:c r="F1970" s="28" t="str">
        <ns0:f>IF(OR(A1970="",B1970="",C1970&lt;=0),"",IF(SUMPRODUCT(('Müşteriler'!$B$2:$B$101&lt;&gt;"")*ISNUMBER(SEARCH('Müşteriler'!$B$2:$B$101,B1970)))=1,IFERROR(INDEX('Müşteriler'!$A$2:$A$101,SUMPRODUCT(('Müşteriler'!$B$2:$B$101&lt;&gt;"")*ISNUMBER(SEARCH('Müşteriler'!$B$2:$B$101,B1970)),ROW('Müşteriler'!$B$2:$B$101)-ROW('Müşteriler'!$B$2)+1)),""),""))</ns0:f>
        <ns0:v/>
      </ns0:c>
      <ns0:c r="G1970" s="28" t="str">
        <ns0:f>IF(F1970="","",IFERROR(INDEX('Müşteriler'!$C$2:$C$101,MATCH(F1970,'Müşteriler'!$A$2:$A$101,0)),""))</ns0:f>
        <ns0:v/>
      </ns0:c>
      <ns0:c r="H1970" s="28" t="str">
        <ns0:f>IF(A1970="","",IF(C1970&lt;=0,"Satış dışı",IF(OR(F1970="",G1970=""),"Eşleşmedi","Eşleşti")))</ns0:f>
        <ns0:v/>
      </ns0:c>
      <ns0:c r="I1970" s="28">
        <ns0:f>I1969+IF(AND(H1970="Eşleşmedi",E1970='Panel'!$B$4),1,0)</ns0:f>
        <ns0:v>3.0</ns0:v>
      </ns0:c>
    </ns0:row>
    <ns0:row r="1971" ht="21" customHeight="1">
      <ns0:c r="A1971" s="25" t="n"/>
      <ns0:c r="B1971" s="26" t="n"/>
      <ns0:c r="C1971" s="27" t="n"/>
      <ns0:c r="D1971" s="27" t="n"/>
      <ns0:c r="E1971" s="28" t="str">
        <ns0:f>IF(A1971="","",YEAR(A1971)&amp;"-"&amp;RIGHT("0"&amp;MONTH(A1971),2))</ns0:f>
        <ns0:v/>
      </ns0:c>
      <ns0:c r="F1971" s="28" t="str">
        <ns0:f>IF(OR(A1971="",B1971="",C1971&lt;=0),"",IF(SUMPRODUCT(('Müşteriler'!$B$2:$B$101&lt;&gt;"")*ISNUMBER(SEARCH('Müşteriler'!$B$2:$B$101,B1971)))=1,IFERROR(INDEX('Müşteriler'!$A$2:$A$101,SUMPRODUCT(('Müşteriler'!$B$2:$B$101&lt;&gt;"")*ISNUMBER(SEARCH('Müşteriler'!$B$2:$B$101,B1971)),ROW('Müşteriler'!$B$2:$B$101)-ROW('Müşteriler'!$B$2)+1)),""),""))</ns0:f>
        <ns0:v/>
      </ns0:c>
      <ns0:c r="G1971" s="28" t="str">
        <ns0:f>IF(F1971="","",IFERROR(INDEX('Müşteriler'!$C$2:$C$101,MATCH(F1971,'Müşteriler'!$A$2:$A$101,0)),""))</ns0:f>
        <ns0:v/>
      </ns0:c>
      <ns0:c r="H1971" s="28" t="str">
        <ns0:f>IF(A1971="","",IF(C1971&lt;=0,"Satış dışı",IF(OR(F1971="",G1971=""),"Eşleşmedi","Eşleşti")))</ns0:f>
        <ns0:v/>
      </ns0:c>
      <ns0:c r="I1971" s="28">
        <ns0:f>I1970+IF(AND(H1971="Eşleşmedi",E1971='Panel'!$B$4),1,0)</ns0:f>
        <ns0:v>3.0</ns0:v>
      </ns0:c>
    </ns0:row>
    <ns0:row r="1972" ht="21" customHeight="1">
      <ns0:c r="A1972" s="25" t="n"/>
      <ns0:c r="B1972" s="26" t="n"/>
      <ns0:c r="C1972" s="27" t="n"/>
      <ns0:c r="D1972" s="27" t="n"/>
      <ns0:c r="E1972" s="28" t="str">
        <ns0:f>IF(A1972="","",YEAR(A1972)&amp;"-"&amp;RIGHT("0"&amp;MONTH(A1972),2))</ns0:f>
        <ns0:v/>
      </ns0:c>
      <ns0:c r="F1972" s="28" t="str">
        <ns0:f>IF(OR(A1972="",B1972="",C1972&lt;=0),"",IF(SUMPRODUCT(('Müşteriler'!$B$2:$B$101&lt;&gt;"")*ISNUMBER(SEARCH('Müşteriler'!$B$2:$B$101,B1972)))=1,IFERROR(INDEX('Müşteriler'!$A$2:$A$101,SUMPRODUCT(('Müşteriler'!$B$2:$B$101&lt;&gt;"")*ISNUMBER(SEARCH('Müşteriler'!$B$2:$B$101,B1972)),ROW('Müşteriler'!$B$2:$B$101)-ROW('Müşteriler'!$B$2)+1)),""),""))</ns0:f>
        <ns0:v/>
      </ns0:c>
      <ns0:c r="G1972" s="28" t="str">
        <ns0:f>IF(F1972="","",IFERROR(INDEX('Müşteriler'!$C$2:$C$101,MATCH(F1972,'Müşteriler'!$A$2:$A$101,0)),""))</ns0:f>
        <ns0:v/>
      </ns0:c>
      <ns0:c r="H1972" s="28" t="str">
        <ns0:f>IF(A1972="","",IF(C1972&lt;=0,"Satış dışı",IF(OR(F1972="",G1972=""),"Eşleşmedi","Eşleşti")))</ns0:f>
        <ns0:v/>
      </ns0:c>
      <ns0:c r="I1972" s="28">
        <ns0:f>I1971+IF(AND(H1972="Eşleşmedi",E1972='Panel'!$B$4),1,0)</ns0:f>
        <ns0:v>3.0</ns0:v>
      </ns0:c>
    </ns0:row>
    <ns0:row r="1973" ht="21" customHeight="1">
      <ns0:c r="A1973" s="25" t="n"/>
      <ns0:c r="B1973" s="26" t="n"/>
      <ns0:c r="C1973" s="27" t="n"/>
      <ns0:c r="D1973" s="27" t="n"/>
      <ns0:c r="E1973" s="28" t="str">
        <ns0:f>IF(A1973="","",YEAR(A1973)&amp;"-"&amp;RIGHT("0"&amp;MONTH(A1973),2))</ns0:f>
        <ns0:v/>
      </ns0:c>
      <ns0:c r="F1973" s="28" t="str">
        <ns0:f>IF(OR(A1973="",B1973="",C1973&lt;=0),"",IF(SUMPRODUCT(('Müşteriler'!$B$2:$B$101&lt;&gt;"")*ISNUMBER(SEARCH('Müşteriler'!$B$2:$B$101,B1973)))=1,IFERROR(INDEX('Müşteriler'!$A$2:$A$101,SUMPRODUCT(('Müşteriler'!$B$2:$B$101&lt;&gt;"")*ISNUMBER(SEARCH('Müşteriler'!$B$2:$B$101,B1973)),ROW('Müşteriler'!$B$2:$B$101)-ROW('Müşteriler'!$B$2)+1)),""),""))</ns0:f>
        <ns0:v/>
      </ns0:c>
      <ns0:c r="G1973" s="28" t="str">
        <ns0:f>IF(F1973="","",IFERROR(INDEX('Müşteriler'!$C$2:$C$101,MATCH(F1973,'Müşteriler'!$A$2:$A$101,0)),""))</ns0:f>
        <ns0:v/>
      </ns0:c>
      <ns0:c r="H1973" s="28" t="str">
        <ns0:f>IF(A1973="","",IF(C1973&lt;=0,"Satış dışı",IF(OR(F1973="",G1973=""),"Eşleşmedi","Eşleşti")))</ns0:f>
        <ns0:v/>
      </ns0:c>
      <ns0:c r="I1973" s="28">
        <ns0:f>I1972+IF(AND(H1973="Eşleşmedi",E1973='Panel'!$B$4),1,0)</ns0:f>
        <ns0:v>3.0</ns0:v>
      </ns0:c>
    </ns0:row>
    <ns0:row r="1974" ht="21" customHeight="1">
      <ns0:c r="A1974" s="25" t="n"/>
      <ns0:c r="B1974" s="26" t="n"/>
      <ns0:c r="C1974" s="27" t="n"/>
      <ns0:c r="D1974" s="27" t="n"/>
      <ns0:c r="E1974" s="28" t="str">
        <ns0:f>IF(A1974="","",YEAR(A1974)&amp;"-"&amp;RIGHT("0"&amp;MONTH(A1974),2))</ns0:f>
        <ns0:v/>
      </ns0:c>
      <ns0:c r="F1974" s="28" t="str">
        <ns0:f>IF(OR(A1974="",B1974="",C1974&lt;=0),"",IF(SUMPRODUCT(('Müşteriler'!$B$2:$B$101&lt;&gt;"")*ISNUMBER(SEARCH('Müşteriler'!$B$2:$B$101,B1974)))=1,IFERROR(INDEX('Müşteriler'!$A$2:$A$101,SUMPRODUCT(('Müşteriler'!$B$2:$B$101&lt;&gt;"")*ISNUMBER(SEARCH('Müşteriler'!$B$2:$B$101,B1974)),ROW('Müşteriler'!$B$2:$B$101)-ROW('Müşteriler'!$B$2)+1)),""),""))</ns0:f>
        <ns0:v/>
      </ns0:c>
      <ns0:c r="G1974" s="28" t="str">
        <ns0:f>IF(F1974="","",IFERROR(INDEX('Müşteriler'!$C$2:$C$101,MATCH(F1974,'Müşteriler'!$A$2:$A$101,0)),""))</ns0:f>
        <ns0:v/>
      </ns0:c>
      <ns0:c r="H1974" s="28" t="str">
        <ns0:f>IF(A1974="","",IF(C1974&lt;=0,"Satış dışı",IF(OR(F1974="",G1974=""),"Eşleşmedi","Eşleşti")))</ns0:f>
        <ns0:v/>
      </ns0:c>
      <ns0:c r="I1974" s="28">
        <ns0:f>I1973+IF(AND(H1974="Eşleşmedi",E1974='Panel'!$B$4),1,0)</ns0:f>
        <ns0:v>3.0</ns0:v>
      </ns0:c>
    </ns0:row>
    <ns0:row r="1975" ht="21" customHeight="1">
      <ns0:c r="A1975" s="25" t="n"/>
      <ns0:c r="B1975" s="26" t="n"/>
      <ns0:c r="C1975" s="27" t="n"/>
      <ns0:c r="D1975" s="27" t="n"/>
      <ns0:c r="E1975" s="28" t="str">
        <ns0:f>IF(A1975="","",YEAR(A1975)&amp;"-"&amp;RIGHT("0"&amp;MONTH(A1975),2))</ns0:f>
        <ns0:v/>
      </ns0:c>
      <ns0:c r="F1975" s="28" t="str">
        <ns0:f>IF(OR(A1975="",B1975="",C1975&lt;=0),"",IF(SUMPRODUCT(('Müşteriler'!$B$2:$B$101&lt;&gt;"")*ISNUMBER(SEARCH('Müşteriler'!$B$2:$B$101,B1975)))=1,IFERROR(INDEX('Müşteriler'!$A$2:$A$101,SUMPRODUCT(('Müşteriler'!$B$2:$B$101&lt;&gt;"")*ISNUMBER(SEARCH('Müşteriler'!$B$2:$B$101,B1975)),ROW('Müşteriler'!$B$2:$B$101)-ROW('Müşteriler'!$B$2)+1)),""),""))</ns0:f>
        <ns0:v/>
      </ns0:c>
      <ns0:c r="G1975" s="28" t="str">
        <ns0:f>IF(F1975="","",IFERROR(INDEX('Müşteriler'!$C$2:$C$101,MATCH(F1975,'Müşteriler'!$A$2:$A$101,0)),""))</ns0:f>
        <ns0:v/>
      </ns0:c>
      <ns0:c r="H1975" s="28" t="str">
        <ns0:f>IF(A1975="","",IF(C1975&lt;=0,"Satış dışı",IF(OR(F1975="",G1975=""),"Eşleşmedi","Eşleşti")))</ns0:f>
        <ns0:v/>
      </ns0:c>
      <ns0:c r="I1975" s="28">
        <ns0:f>I1974+IF(AND(H1975="Eşleşmedi",E1975='Panel'!$B$4),1,0)</ns0:f>
        <ns0:v>3.0</ns0:v>
      </ns0:c>
    </ns0:row>
    <ns0:row r="1976" ht="21" customHeight="1">
      <ns0:c r="A1976" s="25" t="n"/>
      <ns0:c r="B1976" s="26" t="n"/>
      <ns0:c r="C1976" s="27" t="n"/>
      <ns0:c r="D1976" s="27" t="n"/>
      <ns0:c r="E1976" s="28" t="str">
        <ns0:f>IF(A1976="","",YEAR(A1976)&amp;"-"&amp;RIGHT("0"&amp;MONTH(A1976),2))</ns0:f>
        <ns0:v/>
      </ns0:c>
      <ns0:c r="F1976" s="28" t="str">
        <ns0:f>IF(OR(A1976="",B1976="",C1976&lt;=0),"",IF(SUMPRODUCT(('Müşteriler'!$B$2:$B$101&lt;&gt;"")*ISNUMBER(SEARCH('Müşteriler'!$B$2:$B$101,B1976)))=1,IFERROR(INDEX('Müşteriler'!$A$2:$A$101,SUMPRODUCT(('Müşteriler'!$B$2:$B$101&lt;&gt;"")*ISNUMBER(SEARCH('Müşteriler'!$B$2:$B$101,B1976)),ROW('Müşteriler'!$B$2:$B$101)-ROW('Müşteriler'!$B$2)+1)),""),""))</ns0:f>
        <ns0:v/>
      </ns0:c>
      <ns0:c r="G1976" s="28" t="str">
        <ns0:f>IF(F1976="","",IFERROR(INDEX('Müşteriler'!$C$2:$C$101,MATCH(F1976,'Müşteriler'!$A$2:$A$101,0)),""))</ns0:f>
        <ns0:v/>
      </ns0:c>
      <ns0:c r="H1976" s="28" t="str">
        <ns0:f>IF(A1976="","",IF(C1976&lt;=0,"Satış dışı",IF(OR(F1976="",G1976=""),"Eşleşmedi","Eşleşti")))</ns0:f>
        <ns0:v/>
      </ns0:c>
      <ns0:c r="I1976" s="28">
        <ns0:f>I1975+IF(AND(H1976="Eşleşmedi",E1976='Panel'!$B$4),1,0)</ns0:f>
        <ns0:v>3.0</ns0:v>
      </ns0:c>
    </ns0:row>
    <ns0:row r="1977" ht="21" customHeight="1">
      <ns0:c r="A1977" s="25" t="n"/>
      <ns0:c r="B1977" s="26" t="n"/>
      <ns0:c r="C1977" s="27" t="n"/>
      <ns0:c r="D1977" s="27" t="n"/>
      <ns0:c r="E1977" s="28" t="str">
        <ns0:f>IF(A1977="","",YEAR(A1977)&amp;"-"&amp;RIGHT("0"&amp;MONTH(A1977),2))</ns0:f>
        <ns0:v/>
      </ns0:c>
      <ns0:c r="F1977" s="28" t="str">
        <ns0:f>IF(OR(A1977="",B1977="",C1977&lt;=0),"",IF(SUMPRODUCT(('Müşteriler'!$B$2:$B$101&lt;&gt;"")*ISNUMBER(SEARCH('Müşteriler'!$B$2:$B$101,B1977)))=1,IFERROR(INDEX('Müşteriler'!$A$2:$A$101,SUMPRODUCT(('Müşteriler'!$B$2:$B$101&lt;&gt;"")*ISNUMBER(SEARCH('Müşteriler'!$B$2:$B$101,B1977)),ROW('Müşteriler'!$B$2:$B$101)-ROW('Müşteriler'!$B$2)+1)),""),""))</ns0:f>
        <ns0:v/>
      </ns0:c>
      <ns0:c r="G1977" s="28" t="str">
        <ns0:f>IF(F1977="","",IFERROR(INDEX('Müşteriler'!$C$2:$C$101,MATCH(F1977,'Müşteriler'!$A$2:$A$101,0)),""))</ns0:f>
        <ns0:v/>
      </ns0:c>
      <ns0:c r="H1977" s="28" t="str">
        <ns0:f>IF(A1977="","",IF(C1977&lt;=0,"Satış dışı",IF(OR(F1977="",G1977=""),"Eşleşmedi","Eşleşti")))</ns0:f>
        <ns0:v/>
      </ns0:c>
      <ns0:c r="I1977" s="28">
        <ns0:f>I1976+IF(AND(H1977="Eşleşmedi",E1977='Panel'!$B$4),1,0)</ns0:f>
        <ns0:v>3.0</ns0:v>
      </ns0:c>
    </ns0:row>
    <ns0:row r="1978" ht="21" customHeight="1">
      <ns0:c r="A1978" s="25" t="n"/>
      <ns0:c r="B1978" s="26" t="n"/>
      <ns0:c r="C1978" s="27" t="n"/>
      <ns0:c r="D1978" s="27" t="n"/>
      <ns0:c r="E1978" s="28" t="str">
        <ns0:f>IF(A1978="","",YEAR(A1978)&amp;"-"&amp;RIGHT("0"&amp;MONTH(A1978),2))</ns0:f>
        <ns0:v/>
      </ns0:c>
      <ns0:c r="F1978" s="28" t="str">
        <ns0:f>IF(OR(A1978="",B1978="",C1978&lt;=0),"",IF(SUMPRODUCT(('Müşteriler'!$B$2:$B$101&lt;&gt;"")*ISNUMBER(SEARCH('Müşteriler'!$B$2:$B$101,B1978)))=1,IFERROR(INDEX('Müşteriler'!$A$2:$A$101,SUMPRODUCT(('Müşteriler'!$B$2:$B$101&lt;&gt;"")*ISNUMBER(SEARCH('Müşteriler'!$B$2:$B$101,B1978)),ROW('Müşteriler'!$B$2:$B$101)-ROW('Müşteriler'!$B$2)+1)),""),""))</ns0:f>
        <ns0:v/>
      </ns0:c>
      <ns0:c r="G1978" s="28" t="str">
        <ns0:f>IF(F1978="","",IFERROR(INDEX('Müşteriler'!$C$2:$C$101,MATCH(F1978,'Müşteriler'!$A$2:$A$101,0)),""))</ns0:f>
        <ns0:v/>
      </ns0:c>
      <ns0:c r="H1978" s="28" t="str">
        <ns0:f>IF(A1978="","",IF(C1978&lt;=0,"Satış dışı",IF(OR(F1978="",G1978=""),"Eşleşmedi","Eşleşti")))</ns0:f>
        <ns0:v/>
      </ns0:c>
      <ns0:c r="I1978" s="28">
        <ns0:f>I1977+IF(AND(H1978="Eşleşmedi",E1978='Panel'!$B$4),1,0)</ns0:f>
        <ns0:v>3.0</ns0:v>
      </ns0:c>
    </ns0:row>
    <ns0:row r="1979" ht="21" customHeight="1">
      <ns0:c r="A1979" s="25" t="n"/>
      <ns0:c r="B1979" s="26" t="n"/>
      <ns0:c r="C1979" s="27" t="n"/>
      <ns0:c r="D1979" s="27" t="n"/>
      <ns0:c r="E1979" s="28" t="str">
        <ns0:f>IF(A1979="","",YEAR(A1979)&amp;"-"&amp;RIGHT("0"&amp;MONTH(A1979),2))</ns0:f>
        <ns0:v/>
      </ns0:c>
      <ns0:c r="F1979" s="28" t="str">
        <ns0:f>IF(OR(A1979="",B1979="",C1979&lt;=0),"",IF(SUMPRODUCT(('Müşteriler'!$B$2:$B$101&lt;&gt;"")*ISNUMBER(SEARCH('Müşteriler'!$B$2:$B$101,B1979)))=1,IFERROR(INDEX('Müşteriler'!$A$2:$A$101,SUMPRODUCT(('Müşteriler'!$B$2:$B$101&lt;&gt;"")*ISNUMBER(SEARCH('Müşteriler'!$B$2:$B$101,B1979)),ROW('Müşteriler'!$B$2:$B$101)-ROW('Müşteriler'!$B$2)+1)),""),""))</ns0:f>
        <ns0:v/>
      </ns0:c>
      <ns0:c r="G1979" s="28" t="str">
        <ns0:f>IF(F1979="","",IFERROR(INDEX('Müşteriler'!$C$2:$C$101,MATCH(F1979,'Müşteriler'!$A$2:$A$101,0)),""))</ns0:f>
        <ns0:v/>
      </ns0:c>
      <ns0:c r="H1979" s="28" t="str">
        <ns0:f>IF(A1979="","",IF(C1979&lt;=0,"Satış dışı",IF(OR(F1979="",G1979=""),"Eşleşmedi","Eşleşti")))</ns0:f>
        <ns0:v/>
      </ns0:c>
      <ns0:c r="I1979" s="28">
        <ns0:f>I1978+IF(AND(H1979="Eşleşmedi",E1979='Panel'!$B$4),1,0)</ns0:f>
        <ns0:v>3.0</ns0:v>
      </ns0:c>
    </ns0:row>
    <ns0:row r="1980" ht="21" customHeight="1">
      <ns0:c r="A1980" s="25" t="n"/>
      <ns0:c r="B1980" s="26" t="n"/>
      <ns0:c r="C1980" s="27" t="n"/>
      <ns0:c r="D1980" s="27" t="n"/>
      <ns0:c r="E1980" s="28" t="str">
        <ns0:f>IF(A1980="","",YEAR(A1980)&amp;"-"&amp;RIGHT("0"&amp;MONTH(A1980),2))</ns0:f>
        <ns0:v/>
      </ns0:c>
      <ns0:c r="F1980" s="28" t="str">
        <ns0:f>IF(OR(A1980="",B1980="",C1980&lt;=0),"",IF(SUMPRODUCT(('Müşteriler'!$B$2:$B$101&lt;&gt;"")*ISNUMBER(SEARCH('Müşteriler'!$B$2:$B$101,B1980)))=1,IFERROR(INDEX('Müşteriler'!$A$2:$A$101,SUMPRODUCT(('Müşteriler'!$B$2:$B$101&lt;&gt;"")*ISNUMBER(SEARCH('Müşteriler'!$B$2:$B$101,B1980)),ROW('Müşteriler'!$B$2:$B$101)-ROW('Müşteriler'!$B$2)+1)),""),""))</ns0:f>
        <ns0:v/>
      </ns0:c>
      <ns0:c r="G1980" s="28" t="str">
        <ns0:f>IF(F1980="","",IFERROR(INDEX('Müşteriler'!$C$2:$C$101,MATCH(F1980,'Müşteriler'!$A$2:$A$101,0)),""))</ns0:f>
        <ns0:v/>
      </ns0:c>
      <ns0:c r="H1980" s="28" t="str">
        <ns0:f>IF(A1980="","",IF(C1980&lt;=0,"Satış dışı",IF(OR(F1980="",G1980=""),"Eşleşmedi","Eşleşti")))</ns0:f>
        <ns0:v/>
      </ns0:c>
      <ns0:c r="I1980" s="28">
        <ns0:f>I1979+IF(AND(H1980="Eşleşmedi",E1980='Panel'!$B$4),1,0)</ns0:f>
        <ns0:v>3.0</ns0:v>
      </ns0:c>
    </ns0:row>
    <ns0:row r="1981" ht="21" customHeight="1">
      <ns0:c r="A1981" s="25" t="n"/>
      <ns0:c r="B1981" s="26" t="n"/>
      <ns0:c r="C1981" s="27" t="n"/>
      <ns0:c r="D1981" s="27" t="n"/>
      <ns0:c r="E1981" s="28" t="str">
        <ns0:f>IF(A1981="","",YEAR(A1981)&amp;"-"&amp;RIGHT("0"&amp;MONTH(A1981),2))</ns0:f>
        <ns0:v/>
      </ns0:c>
      <ns0:c r="F1981" s="28" t="str">
        <ns0:f>IF(OR(A1981="",B1981="",C1981&lt;=0),"",IF(SUMPRODUCT(('Müşteriler'!$B$2:$B$101&lt;&gt;"")*ISNUMBER(SEARCH('Müşteriler'!$B$2:$B$101,B1981)))=1,IFERROR(INDEX('Müşteriler'!$A$2:$A$101,SUMPRODUCT(('Müşteriler'!$B$2:$B$101&lt;&gt;"")*ISNUMBER(SEARCH('Müşteriler'!$B$2:$B$101,B1981)),ROW('Müşteriler'!$B$2:$B$101)-ROW('Müşteriler'!$B$2)+1)),""),""))</ns0:f>
        <ns0:v/>
      </ns0:c>
      <ns0:c r="G1981" s="28" t="str">
        <ns0:f>IF(F1981="","",IFERROR(INDEX('Müşteriler'!$C$2:$C$101,MATCH(F1981,'Müşteriler'!$A$2:$A$101,0)),""))</ns0:f>
        <ns0:v/>
      </ns0:c>
      <ns0:c r="H1981" s="28" t="str">
        <ns0:f>IF(A1981="","",IF(C1981&lt;=0,"Satış dışı",IF(OR(F1981="",G1981=""),"Eşleşmedi","Eşleşti")))</ns0:f>
        <ns0:v/>
      </ns0:c>
      <ns0:c r="I1981" s="28">
        <ns0:f>I1980+IF(AND(H1981="Eşleşmedi",E1981='Panel'!$B$4),1,0)</ns0:f>
        <ns0:v>3.0</ns0:v>
      </ns0:c>
    </ns0:row>
    <ns0:row r="1982" ht="21" customHeight="1">
      <ns0:c r="A1982" s="25" t="n"/>
      <ns0:c r="B1982" s="26" t="n"/>
      <ns0:c r="C1982" s="27" t="n"/>
      <ns0:c r="D1982" s="27" t="n"/>
      <ns0:c r="E1982" s="28" t="str">
        <ns0:f>IF(A1982="","",YEAR(A1982)&amp;"-"&amp;RIGHT("0"&amp;MONTH(A1982),2))</ns0:f>
        <ns0:v/>
      </ns0:c>
      <ns0:c r="F1982" s="28" t="str">
        <ns0:f>IF(OR(A1982="",B1982="",C1982&lt;=0),"",IF(SUMPRODUCT(('Müşteriler'!$B$2:$B$101&lt;&gt;"")*ISNUMBER(SEARCH('Müşteriler'!$B$2:$B$101,B1982)))=1,IFERROR(INDEX('Müşteriler'!$A$2:$A$101,SUMPRODUCT(('Müşteriler'!$B$2:$B$101&lt;&gt;"")*ISNUMBER(SEARCH('Müşteriler'!$B$2:$B$101,B1982)),ROW('Müşteriler'!$B$2:$B$101)-ROW('Müşteriler'!$B$2)+1)),""),""))</ns0:f>
        <ns0:v/>
      </ns0:c>
      <ns0:c r="G1982" s="28" t="str">
        <ns0:f>IF(F1982="","",IFERROR(INDEX('Müşteriler'!$C$2:$C$101,MATCH(F1982,'Müşteriler'!$A$2:$A$101,0)),""))</ns0:f>
        <ns0:v/>
      </ns0:c>
      <ns0:c r="H1982" s="28" t="str">
        <ns0:f>IF(A1982="","",IF(C1982&lt;=0,"Satış dışı",IF(OR(F1982="",G1982=""),"Eşleşmedi","Eşleşti")))</ns0:f>
        <ns0:v/>
      </ns0:c>
      <ns0:c r="I1982" s="28">
        <ns0:f>I1981+IF(AND(H1982="Eşleşmedi",E1982='Panel'!$B$4),1,0)</ns0:f>
        <ns0:v>3.0</ns0:v>
      </ns0:c>
    </ns0:row>
    <ns0:row r="1983" ht="21" customHeight="1">
      <ns0:c r="A1983" s="25" t="n"/>
      <ns0:c r="B1983" s="26" t="n"/>
      <ns0:c r="C1983" s="27" t="n"/>
      <ns0:c r="D1983" s="27" t="n"/>
      <ns0:c r="E1983" s="28" t="str">
        <ns0:f>IF(A1983="","",YEAR(A1983)&amp;"-"&amp;RIGHT("0"&amp;MONTH(A1983),2))</ns0:f>
        <ns0:v/>
      </ns0:c>
      <ns0:c r="F1983" s="28" t="str">
        <ns0:f>IF(OR(A1983="",B1983="",C1983&lt;=0),"",IF(SUMPRODUCT(('Müşteriler'!$B$2:$B$101&lt;&gt;"")*ISNUMBER(SEARCH('Müşteriler'!$B$2:$B$101,B1983)))=1,IFERROR(INDEX('Müşteriler'!$A$2:$A$101,SUMPRODUCT(('Müşteriler'!$B$2:$B$101&lt;&gt;"")*ISNUMBER(SEARCH('Müşteriler'!$B$2:$B$101,B1983)),ROW('Müşteriler'!$B$2:$B$101)-ROW('Müşteriler'!$B$2)+1)),""),""))</ns0:f>
        <ns0:v/>
      </ns0:c>
      <ns0:c r="G1983" s="28" t="str">
        <ns0:f>IF(F1983="","",IFERROR(INDEX('Müşteriler'!$C$2:$C$101,MATCH(F1983,'Müşteriler'!$A$2:$A$101,0)),""))</ns0:f>
        <ns0:v/>
      </ns0:c>
      <ns0:c r="H1983" s="28" t="str">
        <ns0:f>IF(A1983="","",IF(C1983&lt;=0,"Satış dışı",IF(OR(F1983="",G1983=""),"Eşleşmedi","Eşleşti")))</ns0:f>
        <ns0:v/>
      </ns0:c>
      <ns0:c r="I1983" s="28">
        <ns0:f>I1982+IF(AND(H1983="Eşleşmedi",E1983='Panel'!$B$4),1,0)</ns0:f>
        <ns0:v>3.0</ns0:v>
      </ns0:c>
    </ns0:row>
    <ns0:row r="1984" ht="21" customHeight="1">
      <ns0:c r="A1984" s="25" t="n"/>
      <ns0:c r="B1984" s="26" t="n"/>
      <ns0:c r="C1984" s="27" t="n"/>
      <ns0:c r="D1984" s="27" t="n"/>
      <ns0:c r="E1984" s="28" t="str">
        <ns0:f>IF(A1984="","",YEAR(A1984)&amp;"-"&amp;RIGHT("0"&amp;MONTH(A1984),2))</ns0:f>
        <ns0:v/>
      </ns0:c>
      <ns0:c r="F1984" s="28" t="str">
        <ns0:f>IF(OR(A1984="",B1984="",C1984&lt;=0),"",IF(SUMPRODUCT(('Müşteriler'!$B$2:$B$101&lt;&gt;"")*ISNUMBER(SEARCH('Müşteriler'!$B$2:$B$101,B1984)))=1,IFERROR(INDEX('Müşteriler'!$A$2:$A$101,SUMPRODUCT(('Müşteriler'!$B$2:$B$101&lt;&gt;"")*ISNUMBER(SEARCH('Müşteriler'!$B$2:$B$101,B1984)),ROW('Müşteriler'!$B$2:$B$101)-ROW('Müşteriler'!$B$2)+1)),""),""))</ns0:f>
        <ns0:v/>
      </ns0:c>
      <ns0:c r="G1984" s="28" t="str">
        <ns0:f>IF(F1984="","",IFERROR(INDEX('Müşteriler'!$C$2:$C$101,MATCH(F1984,'Müşteriler'!$A$2:$A$101,0)),""))</ns0:f>
        <ns0:v/>
      </ns0:c>
      <ns0:c r="H1984" s="28" t="str">
        <ns0:f>IF(A1984="","",IF(C1984&lt;=0,"Satış dışı",IF(OR(F1984="",G1984=""),"Eşleşmedi","Eşleşti")))</ns0:f>
        <ns0:v/>
      </ns0:c>
      <ns0:c r="I1984" s="28">
        <ns0:f>I1983+IF(AND(H1984="Eşleşmedi",E1984='Panel'!$B$4),1,0)</ns0:f>
        <ns0:v>3.0</ns0:v>
      </ns0:c>
    </ns0:row>
    <ns0:row r="1985" ht="21" customHeight="1">
      <ns0:c r="A1985" s="25" t="n"/>
      <ns0:c r="B1985" s="26" t="n"/>
      <ns0:c r="C1985" s="27" t="n"/>
      <ns0:c r="D1985" s="27" t="n"/>
      <ns0:c r="E1985" s="28" t="str">
        <ns0:f>IF(A1985="","",YEAR(A1985)&amp;"-"&amp;RIGHT("0"&amp;MONTH(A1985),2))</ns0:f>
        <ns0:v/>
      </ns0:c>
      <ns0:c r="F1985" s="28" t="str">
        <ns0:f>IF(OR(A1985="",B1985="",C1985&lt;=0),"",IF(SUMPRODUCT(('Müşteriler'!$B$2:$B$101&lt;&gt;"")*ISNUMBER(SEARCH('Müşteriler'!$B$2:$B$101,B1985)))=1,IFERROR(INDEX('Müşteriler'!$A$2:$A$101,SUMPRODUCT(('Müşteriler'!$B$2:$B$101&lt;&gt;"")*ISNUMBER(SEARCH('Müşteriler'!$B$2:$B$101,B1985)),ROW('Müşteriler'!$B$2:$B$101)-ROW('Müşteriler'!$B$2)+1)),""),""))</ns0:f>
        <ns0:v/>
      </ns0:c>
      <ns0:c r="G1985" s="28" t="str">
        <ns0:f>IF(F1985="","",IFERROR(INDEX('Müşteriler'!$C$2:$C$101,MATCH(F1985,'Müşteriler'!$A$2:$A$101,0)),""))</ns0:f>
        <ns0:v/>
      </ns0:c>
      <ns0:c r="H1985" s="28" t="str">
        <ns0:f>IF(A1985="","",IF(C1985&lt;=0,"Satış dışı",IF(OR(F1985="",G1985=""),"Eşleşmedi","Eşleşti")))</ns0:f>
        <ns0:v/>
      </ns0:c>
      <ns0:c r="I1985" s="28">
        <ns0:f>I1984+IF(AND(H1985="Eşleşmedi",E1985='Panel'!$B$4),1,0)</ns0:f>
        <ns0:v>3.0</ns0:v>
      </ns0:c>
    </ns0:row>
    <ns0:row r="1986" ht="21" customHeight="1">
      <ns0:c r="A1986" s="25" t="n"/>
      <ns0:c r="B1986" s="26" t="n"/>
      <ns0:c r="C1986" s="27" t="n"/>
      <ns0:c r="D1986" s="27" t="n"/>
      <ns0:c r="E1986" s="28" t="str">
        <ns0:f>IF(A1986="","",YEAR(A1986)&amp;"-"&amp;RIGHT("0"&amp;MONTH(A1986),2))</ns0:f>
        <ns0:v/>
      </ns0:c>
      <ns0:c r="F1986" s="28" t="str">
        <ns0:f>IF(OR(A1986="",B1986="",C1986&lt;=0),"",IF(SUMPRODUCT(('Müşteriler'!$B$2:$B$101&lt;&gt;"")*ISNUMBER(SEARCH('Müşteriler'!$B$2:$B$101,B1986)))=1,IFERROR(INDEX('Müşteriler'!$A$2:$A$101,SUMPRODUCT(('Müşteriler'!$B$2:$B$101&lt;&gt;"")*ISNUMBER(SEARCH('Müşteriler'!$B$2:$B$101,B1986)),ROW('Müşteriler'!$B$2:$B$101)-ROW('Müşteriler'!$B$2)+1)),""),""))</ns0:f>
        <ns0:v/>
      </ns0:c>
      <ns0:c r="G1986" s="28" t="str">
        <ns0:f>IF(F1986="","",IFERROR(INDEX('Müşteriler'!$C$2:$C$101,MATCH(F1986,'Müşteriler'!$A$2:$A$101,0)),""))</ns0:f>
        <ns0:v/>
      </ns0:c>
      <ns0:c r="H1986" s="28" t="str">
        <ns0:f>IF(A1986="","",IF(C1986&lt;=0,"Satış dışı",IF(OR(F1986="",G1986=""),"Eşleşmedi","Eşleşti")))</ns0:f>
        <ns0:v/>
      </ns0:c>
      <ns0:c r="I1986" s="28">
        <ns0:f>I1985+IF(AND(H1986="Eşleşmedi",E1986='Panel'!$B$4),1,0)</ns0:f>
        <ns0:v>3.0</ns0:v>
      </ns0:c>
    </ns0:row>
    <ns0:row r="1987" ht="21" customHeight="1">
      <ns0:c r="A1987" s="25" t="n"/>
      <ns0:c r="B1987" s="26" t="n"/>
      <ns0:c r="C1987" s="27" t="n"/>
      <ns0:c r="D1987" s="27" t="n"/>
      <ns0:c r="E1987" s="28" t="str">
        <ns0:f>IF(A1987="","",YEAR(A1987)&amp;"-"&amp;RIGHT("0"&amp;MONTH(A1987),2))</ns0:f>
        <ns0:v/>
      </ns0:c>
      <ns0:c r="F1987" s="28" t="str">
        <ns0:f>IF(OR(A1987="",B1987="",C1987&lt;=0),"",IF(SUMPRODUCT(('Müşteriler'!$B$2:$B$101&lt;&gt;"")*ISNUMBER(SEARCH('Müşteriler'!$B$2:$B$101,B1987)))=1,IFERROR(INDEX('Müşteriler'!$A$2:$A$101,SUMPRODUCT(('Müşteriler'!$B$2:$B$101&lt;&gt;"")*ISNUMBER(SEARCH('Müşteriler'!$B$2:$B$101,B1987)),ROW('Müşteriler'!$B$2:$B$101)-ROW('Müşteriler'!$B$2)+1)),""),""))</ns0:f>
        <ns0:v/>
      </ns0:c>
      <ns0:c r="G1987" s="28" t="str">
        <ns0:f>IF(F1987="","",IFERROR(INDEX('Müşteriler'!$C$2:$C$101,MATCH(F1987,'Müşteriler'!$A$2:$A$101,0)),""))</ns0:f>
        <ns0:v/>
      </ns0:c>
      <ns0:c r="H1987" s="28" t="str">
        <ns0:f>IF(A1987="","",IF(C1987&lt;=0,"Satış dışı",IF(OR(F1987="",G1987=""),"Eşleşmedi","Eşleşti")))</ns0:f>
        <ns0:v/>
      </ns0:c>
      <ns0:c r="I1987" s="28">
        <ns0:f>I1986+IF(AND(H1987="Eşleşmedi",E1987='Panel'!$B$4),1,0)</ns0:f>
        <ns0:v>3.0</ns0:v>
      </ns0:c>
    </ns0:row>
    <ns0:row r="1988" ht="21" customHeight="1">
      <ns0:c r="A1988" s="25" t="n"/>
      <ns0:c r="B1988" s="26" t="n"/>
      <ns0:c r="C1988" s="27" t="n"/>
      <ns0:c r="D1988" s="27" t="n"/>
      <ns0:c r="E1988" s="28" t="str">
        <ns0:f>IF(A1988="","",YEAR(A1988)&amp;"-"&amp;RIGHT("0"&amp;MONTH(A1988),2))</ns0:f>
        <ns0:v/>
      </ns0:c>
      <ns0:c r="F1988" s="28" t="str">
        <ns0:f>IF(OR(A1988="",B1988="",C1988&lt;=0),"",IF(SUMPRODUCT(('Müşteriler'!$B$2:$B$101&lt;&gt;"")*ISNUMBER(SEARCH('Müşteriler'!$B$2:$B$101,B1988)))=1,IFERROR(INDEX('Müşteriler'!$A$2:$A$101,SUMPRODUCT(('Müşteriler'!$B$2:$B$101&lt;&gt;"")*ISNUMBER(SEARCH('Müşteriler'!$B$2:$B$101,B1988)),ROW('Müşteriler'!$B$2:$B$101)-ROW('Müşteriler'!$B$2)+1)),""),""))</ns0:f>
        <ns0:v/>
      </ns0:c>
      <ns0:c r="G1988" s="28" t="str">
        <ns0:f>IF(F1988="","",IFERROR(INDEX('Müşteriler'!$C$2:$C$101,MATCH(F1988,'Müşteriler'!$A$2:$A$101,0)),""))</ns0:f>
        <ns0:v/>
      </ns0:c>
      <ns0:c r="H1988" s="28" t="str">
        <ns0:f>IF(A1988="","",IF(C1988&lt;=0,"Satış dışı",IF(OR(F1988="",G1988=""),"Eşleşmedi","Eşleşti")))</ns0:f>
        <ns0:v/>
      </ns0:c>
      <ns0:c r="I1988" s="28">
        <ns0:f>I1987+IF(AND(H1988="Eşleşmedi",E1988='Panel'!$B$4),1,0)</ns0:f>
        <ns0:v>3.0</ns0:v>
      </ns0:c>
    </ns0:row>
    <ns0:row r="1989" ht="21" customHeight="1">
      <ns0:c r="A1989" s="25" t="n"/>
      <ns0:c r="B1989" s="26" t="n"/>
      <ns0:c r="C1989" s="27" t="n"/>
      <ns0:c r="D1989" s="27" t="n"/>
      <ns0:c r="E1989" s="28" t="str">
        <ns0:f>IF(A1989="","",YEAR(A1989)&amp;"-"&amp;RIGHT("0"&amp;MONTH(A1989),2))</ns0:f>
        <ns0:v/>
      </ns0:c>
      <ns0:c r="F1989" s="28" t="str">
        <ns0:f>IF(OR(A1989="",B1989="",C1989&lt;=0),"",IF(SUMPRODUCT(('Müşteriler'!$B$2:$B$101&lt;&gt;"")*ISNUMBER(SEARCH('Müşteriler'!$B$2:$B$101,B1989)))=1,IFERROR(INDEX('Müşteriler'!$A$2:$A$101,SUMPRODUCT(('Müşteriler'!$B$2:$B$101&lt;&gt;"")*ISNUMBER(SEARCH('Müşteriler'!$B$2:$B$101,B1989)),ROW('Müşteriler'!$B$2:$B$101)-ROW('Müşteriler'!$B$2)+1)),""),""))</ns0:f>
        <ns0:v/>
      </ns0:c>
      <ns0:c r="G1989" s="28" t="str">
        <ns0:f>IF(F1989="","",IFERROR(INDEX('Müşteriler'!$C$2:$C$101,MATCH(F1989,'Müşteriler'!$A$2:$A$101,0)),""))</ns0:f>
        <ns0:v/>
      </ns0:c>
      <ns0:c r="H1989" s="28" t="str">
        <ns0:f>IF(A1989="","",IF(C1989&lt;=0,"Satış dışı",IF(OR(F1989="",G1989=""),"Eşleşmedi","Eşleşti")))</ns0:f>
        <ns0:v/>
      </ns0:c>
      <ns0:c r="I1989" s="28">
        <ns0:f>I1988+IF(AND(H1989="Eşleşmedi",E1989='Panel'!$B$4),1,0)</ns0:f>
        <ns0:v>3.0</ns0:v>
      </ns0:c>
    </ns0:row>
    <ns0:row r="1990" ht="21" customHeight="1">
      <ns0:c r="A1990" s="25" t="n"/>
      <ns0:c r="B1990" s="26" t="n"/>
      <ns0:c r="C1990" s="27" t="n"/>
      <ns0:c r="D1990" s="27" t="n"/>
      <ns0:c r="E1990" s="28" t="str">
        <ns0:f>IF(A1990="","",YEAR(A1990)&amp;"-"&amp;RIGHT("0"&amp;MONTH(A1990),2))</ns0:f>
        <ns0:v/>
      </ns0:c>
      <ns0:c r="F1990" s="28" t="str">
        <ns0:f>IF(OR(A1990="",B1990="",C1990&lt;=0),"",IF(SUMPRODUCT(('Müşteriler'!$B$2:$B$101&lt;&gt;"")*ISNUMBER(SEARCH('Müşteriler'!$B$2:$B$101,B1990)))=1,IFERROR(INDEX('Müşteriler'!$A$2:$A$101,SUMPRODUCT(('Müşteriler'!$B$2:$B$101&lt;&gt;"")*ISNUMBER(SEARCH('Müşteriler'!$B$2:$B$101,B1990)),ROW('Müşteriler'!$B$2:$B$101)-ROW('Müşteriler'!$B$2)+1)),""),""))</ns0:f>
        <ns0:v/>
      </ns0:c>
      <ns0:c r="G1990" s="28" t="str">
        <ns0:f>IF(F1990="","",IFERROR(INDEX('Müşteriler'!$C$2:$C$101,MATCH(F1990,'Müşteriler'!$A$2:$A$101,0)),""))</ns0:f>
        <ns0:v/>
      </ns0:c>
      <ns0:c r="H1990" s="28" t="str">
        <ns0:f>IF(A1990="","",IF(C1990&lt;=0,"Satış dışı",IF(OR(F1990="",G1990=""),"Eşleşmedi","Eşleşti")))</ns0:f>
        <ns0:v/>
      </ns0:c>
      <ns0:c r="I1990" s="28">
        <ns0:f>I1989+IF(AND(H1990="Eşleşmedi",E1990='Panel'!$B$4),1,0)</ns0:f>
        <ns0:v>3.0</ns0:v>
      </ns0:c>
    </ns0:row>
    <ns0:row r="1991" ht="21" customHeight="1">
      <ns0:c r="A1991" s="25" t="n"/>
      <ns0:c r="B1991" s="26" t="n"/>
      <ns0:c r="C1991" s="27" t="n"/>
      <ns0:c r="D1991" s="27" t="n"/>
      <ns0:c r="E1991" s="28" t="str">
        <ns0:f>IF(A1991="","",YEAR(A1991)&amp;"-"&amp;RIGHT("0"&amp;MONTH(A1991),2))</ns0:f>
        <ns0:v/>
      </ns0:c>
      <ns0:c r="F1991" s="28" t="str">
        <ns0:f>IF(OR(A1991="",B1991="",C1991&lt;=0),"",IF(SUMPRODUCT(('Müşteriler'!$B$2:$B$101&lt;&gt;"")*ISNUMBER(SEARCH('Müşteriler'!$B$2:$B$101,B1991)))=1,IFERROR(INDEX('Müşteriler'!$A$2:$A$101,SUMPRODUCT(('Müşteriler'!$B$2:$B$101&lt;&gt;"")*ISNUMBER(SEARCH('Müşteriler'!$B$2:$B$101,B1991)),ROW('Müşteriler'!$B$2:$B$101)-ROW('Müşteriler'!$B$2)+1)),""),""))</ns0:f>
        <ns0:v/>
      </ns0:c>
      <ns0:c r="G1991" s="28" t="str">
        <ns0:f>IF(F1991="","",IFERROR(INDEX('Müşteriler'!$C$2:$C$101,MATCH(F1991,'Müşteriler'!$A$2:$A$101,0)),""))</ns0:f>
        <ns0:v/>
      </ns0:c>
      <ns0:c r="H1991" s="28" t="str">
        <ns0:f>IF(A1991="","",IF(C1991&lt;=0,"Satış dışı",IF(OR(F1991="",G1991=""),"Eşleşmedi","Eşleşti")))</ns0:f>
        <ns0:v/>
      </ns0:c>
      <ns0:c r="I1991" s="28">
        <ns0:f>I1990+IF(AND(H1991="Eşleşmedi",E1991='Panel'!$B$4),1,0)</ns0:f>
        <ns0:v>3.0</ns0:v>
      </ns0:c>
    </ns0:row>
    <ns0:row r="1992" ht="21" customHeight="1">
      <ns0:c r="A1992" s="25" t="n"/>
      <ns0:c r="B1992" s="26" t="n"/>
      <ns0:c r="C1992" s="27" t="n"/>
      <ns0:c r="D1992" s="27" t="n"/>
      <ns0:c r="E1992" s="28" t="str">
        <ns0:f>IF(A1992="","",YEAR(A1992)&amp;"-"&amp;RIGHT("0"&amp;MONTH(A1992),2))</ns0:f>
        <ns0:v/>
      </ns0:c>
      <ns0:c r="F1992" s="28" t="str">
        <ns0:f>IF(OR(A1992="",B1992="",C1992&lt;=0),"",IF(SUMPRODUCT(('Müşteriler'!$B$2:$B$101&lt;&gt;"")*ISNUMBER(SEARCH('Müşteriler'!$B$2:$B$101,B1992)))=1,IFERROR(INDEX('Müşteriler'!$A$2:$A$101,SUMPRODUCT(('Müşteriler'!$B$2:$B$101&lt;&gt;"")*ISNUMBER(SEARCH('Müşteriler'!$B$2:$B$101,B1992)),ROW('Müşteriler'!$B$2:$B$101)-ROW('Müşteriler'!$B$2)+1)),""),""))</ns0:f>
        <ns0:v/>
      </ns0:c>
      <ns0:c r="G1992" s="28" t="str">
        <ns0:f>IF(F1992="","",IFERROR(INDEX('Müşteriler'!$C$2:$C$101,MATCH(F1992,'Müşteriler'!$A$2:$A$101,0)),""))</ns0:f>
        <ns0:v/>
      </ns0:c>
      <ns0:c r="H1992" s="28" t="str">
        <ns0:f>IF(A1992="","",IF(C1992&lt;=0,"Satış dışı",IF(OR(F1992="",G1992=""),"Eşleşmedi","Eşleşti")))</ns0:f>
        <ns0:v/>
      </ns0:c>
      <ns0:c r="I1992" s="28">
        <ns0:f>I1991+IF(AND(H1992="Eşleşmedi",E1992='Panel'!$B$4),1,0)</ns0:f>
        <ns0:v>3.0</ns0:v>
      </ns0:c>
    </ns0:row>
    <ns0:row r="1993" ht="21" customHeight="1">
      <ns0:c r="A1993" s="25" t="n"/>
      <ns0:c r="B1993" s="26" t="n"/>
      <ns0:c r="C1993" s="27" t="n"/>
      <ns0:c r="D1993" s="27" t="n"/>
      <ns0:c r="E1993" s="28" t="str">
        <ns0:f>IF(A1993="","",YEAR(A1993)&amp;"-"&amp;RIGHT("0"&amp;MONTH(A1993),2))</ns0:f>
        <ns0:v/>
      </ns0:c>
      <ns0:c r="F1993" s="28" t="str">
        <ns0:f>IF(OR(A1993="",B1993="",C1993&lt;=0),"",IF(SUMPRODUCT(('Müşteriler'!$B$2:$B$101&lt;&gt;"")*ISNUMBER(SEARCH('Müşteriler'!$B$2:$B$101,B1993)))=1,IFERROR(INDEX('Müşteriler'!$A$2:$A$101,SUMPRODUCT(('Müşteriler'!$B$2:$B$101&lt;&gt;"")*ISNUMBER(SEARCH('Müşteriler'!$B$2:$B$101,B1993)),ROW('Müşteriler'!$B$2:$B$101)-ROW('Müşteriler'!$B$2)+1)),""),""))</ns0:f>
        <ns0:v/>
      </ns0:c>
      <ns0:c r="G1993" s="28" t="str">
        <ns0:f>IF(F1993="","",IFERROR(INDEX('Müşteriler'!$C$2:$C$101,MATCH(F1993,'Müşteriler'!$A$2:$A$101,0)),""))</ns0:f>
        <ns0:v/>
      </ns0:c>
      <ns0:c r="H1993" s="28" t="str">
        <ns0:f>IF(A1993="","",IF(C1993&lt;=0,"Satış dışı",IF(OR(F1993="",G1993=""),"Eşleşmedi","Eşleşti")))</ns0:f>
        <ns0:v/>
      </ns0:c>
      <ns0:c r="I1993" s="28">
        <ns0:f>I1992+IF(AND(H1993="Eşleşmedi",E1993='Panel'!$B$4),1,0)</ns0:f>
        <ns0:v>3.0</ns0:v>
      </ns0:c>
    </ns0:row>
    <ns0:row r="1994" ht="21" customHeight="1">
      <ns0:c r="A1994" s="25" t="n"/>
      <ns0:c r="B1994" s="26" t="n"/>
      <ns0:c r="C1994" s="27" t="n"/>
      <ns0:c r="D1994" s="27" t="n"/>
      <ns0:c r="E1994" s="28" t="str">
        <ns0:f>IF(A1994="","",YEAR(A1994)&amp;"-"&amp;RIGHT("0"&amp;MONTH(A1994),2))</ns0:f>
        <ns0:v/>
      </ns0:c>
      <ns0:c r="F1994" s="28" t="str">
        <ns0:f>IF(OR(A1994="",B1994="",C1994&lt;=0),"",IF(SUMPRODUCT(('Müşteriler'!$B$2:$B$101&lt;&gt;"")*ISNUMBER(SEARCH('Müşteriler'!$B$2:$B$101,B1994)))=1,IFERROR(INDEX('Müşteriler'!$A$2:$A$101,SUMPRODUCT(('Müşteriler'!$B$2:$B$101&lt;&gt;"")*ISNUMBER(SEARCH('Müşteriler'!$B$2:$B$101,B1994)),ROW('Müşteriler'!$B$2:$B$101)-ROW('Müşteriler'!$B$2)+1)),""),""))</ns0:f>
        <ns0:v/>
      </ns0:c>
      <ns0:c r="G1994" s="28" t="str">
        <ns0:f>IF(F1994="","",IFERROR(INDEX('Müşteriler'!$C$2:$C$101,MATCH(F1994,'Müşteriler'!$A$2:$A$101,0)),""))</ns0:f>
        <ns0:v/>
      </ns0:c>
      <ns0:c r="H1994" s="28" t="str">
        <ns0:f>IF(A1994="","",IF(C1994&lt;=0,"Satış dışı",IF(OR(F1994="",G1994=""),"Eşleşmedi","Eşleşti")))</ns0:f>
        <ns0:v/>
      </ns0:c>
      <ns0:c r="I1994" s="28">
        <ns0:f>I1993+IF(AND(H1994="Eşleşmedi",E1994='Panel'!$B$4),1,0)</ns0:f>
        <ns0:v>3.0</ns0:v>
      </ns0:c>
    </ns0:row>
    <ns0:row r="1995" ht="21" customHeight="1">
      <ns0:c r="A1995" s="25" t="n"/>
      <ns0:c r="B1995" s="26" t="n"/>
      <ns0:c r="C1995" s="27" t="n"/>
      <ns0:c r="D1995" s="27" t="n"/>
      <ns0:c r="E1995" s="28" t="str">
        <ns0:f>IF(A1995="","",YEAR(A1995)&amp;"-"&amp;RIGHT("0"&amp;MONTH(A1995),2))</ns0:f>
        <ns0:v/>
      </ns0:c>
      <ns0:c r="F1995" s="28" t="str">
        <ns0:f>IF(OR(A1995="",B1995="",C1995&lt;=0),"",IF(SUMPRODUCT(('Müşteriler'!$B$2:$B$101&lt;&gt;"")*ISNUMBER(SEARCH('Müşteriler'!$B$2:$B$101,B1995)))=1,IFERROR(INDEX('Müşteriler'!$A$2:$A$101,SUMPRODUCT(('Müşteriler'!$B$2:$B$101&lt;&gt;"")*ISNUMBER(SEARCH('Müşteriler'!$B$2:$B$101,B1995)),ROW('Müşteriler'!$B$2:$B$101)-ROW('Müşteriler'!$B$2)+1)),""),""))</ns0:f>
        <ns0:v/>
      </ns0:c>
      <ns0:c r="G1995" s="28" t="str">
        <ns0:f>IF(F1995="","",IFERROR(INDEX('Müşteriler'!$C$2:$C$101,MATCH(F1995,'Müşteriler'!$A$2:$A$101,0)),""))</ns0:f>
        <ns0:v/>
      </ns0:c>
      <ns0:c r="H1995" s="28" t="str">
        <ns0:f>IF(A1995="","",IF(C1995&lt;=0,"Satış dışı",IF(OR(F1995="",G1995=""),"Eşleşmedi","Eşleşti")))</ns0:f>
        <ns0:v/>
      </ns0:c>
      <ns0:c r="I1995" s="28">
        <ns0:f>I1994+IF(AND(H1995="Eşleşmedi",E1995='Panel'!$B$4),1,0)</ns0:f>
        <ns0:v>3.0</ns0:v>
      </ns0:c>
    </ns0:row>
    <ns0:row r="1996" ht="21" customHeight="1">
      <ns0:c r="A1996" s="25" t="n"/>
      <ns0:c r="B1996" s="26" t="n"/>
      <ns0:c r="C1996" s="27" t="n"/>
      <ns0:c r="D1996" s="27" t="n"/>
      <ns0:c r="E1996" s="28" t="str">
        <ns0:f>IF(A1996="","",YEAR(A1996)&amp;"-"&amp;RIGHT("0"&amp;MONTH(A1996),2))</ns0:f>
        <ns0:v/>
      </ns0:c>
      <ns0:c r="F1996" s="28" t="str">
        <ns0:f>IF(OR(A1996="",B1996="",C1996&lt;=0),"",IF(SUMPRODUCT(('Müşteriler'!$B$2:$B$101&lt;&gt;"")*ISNUMBER(SEARCH('Müşteriler'!$B$2:$B$101,B1996)))=1,IFERROR(INDEX('Müşteriler'!$A$2:$A$101,SUMPRODUCT(('Müşteriler'!$B$2:$B$101&lt;&gt;"")*ISNUMBER(SEARCH('Müşteriler'!$B$2:$B$101,B1996)),ROW('Müşteriler'!$B$2:$B$101)-ROW('Müşteriler'!$B$2)+1)),""),""))</ns0:f>
        <ns0:v/>
      </ns0:c>
      <ns0:c r="G1996" s="28" t="str">
        <ns0:f>IF(F1996="","",IFERROR(INDEX('Müşteriler'!$C$2:$C$101,MATCH(F1996,'Müşteriler'!$A$2:$A$101,0)),""))</ns0:f>
        <ns0:v/>
      </ns0:c>
      <ns0:c r="H1996" s="28" t="str">
        <ns0:f>IF(A1996="","",IF(C1996&lt;=0,"Satış dışı",IF(OR(F1996="",G1996=""),"Eşleşmedi","Eşleşti")))</ns0:f>
        <ns0:v/>
      </ns0:c>
      <ns0:c r="I1996" s="28">
        <ns0:f>I1995+IF(AND(H1996="Eşleşmedi",E1996='Panel'!$B$4),1,0)</ns0:f>
        <ns0:v>3.0</ns0:v>
      </ns0:c>
    </ns0:row>
    <ns0:row r="1997" ht="21" customHeight="1">
      <ns0:c r="A1997" s="25" t="n"/>
      <ns0:c r="B1997" s="26" t="n"/>
      <ns0:c r="C1997" s="27" t="n"/>
      <ns0:c r="D1997" s="27" t="n"/>
      <ns0:c r="E1997" s="28" t="str">
        <ns0:f>IF(A1997="","",YEAR(A1997)&amp;"-"&amp;RIGHT("0"&amp;MONTH(A1997),2))</ns0:f>
        <ns0:v/>
      </ns0:c>
      <ns0:c r="F1997" s="28" t="str">
        <ns0:f>IF(OR(A1997="",B1997="",C1997&lt;=0),"",IF(SUMPRODUCT(('Müşteriler'!$B$2:$B$101&lt;&gt;"")*ISNUMBER(SEARCH('Müşteriler'!$B$2:$B$101,B1997)))=1,IFERROR(INDEX('Müşteriler'!$A$2:$A$101,SUMPRODUCT(('Müşteriler'!$B$2:$B$101&lt;&gt;"")*ISNUMBER(SEARCH('Müşteriler'!$B$2:$B$101,B1997)),ROW('Müşteriler'!$B$2:$B$101)-ROW('Müşteriler'!$B$2)+1)),""),""))</ns0:f>
        <ns0:v/>
      </ns0:c>
      <ns0:c r="G1997" s="28" t="str">
        <ns0:f>IF(F1997="","",IFERROR(INDEX('Müşteriler'!$C$2:$C$101,MATCH(F1997,'Müşteriler'!$A$2:$A$101,0)),""))</ns0:f>
        <ns0:v/>
      </ns0:c>
      <ns0:c r="H1997" s="28" t="str">
        <ns0:f>IF(A1997="","",IF(C1997&lt;=0,"Satış dışı",IF(OR(F1997="",G1997=""),"Eşleşmedi","Eşleşti")))</ns0:f>
        <ns0:v/>
      </ns0:c>
      <ns0:c r="I1997" s="28">
        <ns0:f>I1996+IF(AND(H1997="Eşleşmedi",E1997='Panel'!$B$4),1,0)</ns0:f>
        <ns0:v>3.0</ns0:v>
      </ns0:c>
    </ns0:row>
    <ns0:row r="1998" ht="21" customHeight="1">
      <ns0:c r="A1998" s="25" t="n"/>
      <ns0:c r="B1998" s="26" t="n"/>
      <ns0:c r="C1998" s="27" t="n"/>
      <ns0:c r="D1998" s="27" t="n"/>
      <ns0:c r="E1998" s="28" t="str">
        <ns0:f>IF(A1998="","",YEAR(A1998)&amp;"-"&amp;RIGHT("0"&amp;MONTH(A1998),2))</ns0:f>
        <ns0:v/>
      </ns0:c>
      <ns0:c r="F1998" s="28" t="str">
        <ns0:f>IF(OR(A1998="",B1998="",C1998&lt;=0),"",IF(SUMPRODUCT(('Müşteriler'!$B$2:$B$101&lt;&gt;"")*ISNUMBER(SEARCH('Müşteriler'!$B$2:$B$101,B1998)))=1,IFERROR(INDEX('Müşteriler'!$A$2:$A$101,SUMPRODUCT(('Müşteriler'!$B$2:$B$101&lt;&gt;"")*ISNUMBER(SEARCH('Müşteriler'!$B$2:$B$101,B1998)),ROW('Müşteriler'!$B$2:$B$101)-ROW('Müşteriler'!$B$2)+1)),""),""))</ns0:f>
        <ns0:v/>
      </ns0:c>
      <ns0:c r="G1998" s="28" t="str">
        <ns0:f>IF(F1998="","",IFERROR(INDEX('Müşteriler'!$C$2:$C$101,MATCH(F1998,'Müşteriler'!$A$2:$A$101,0)),""))</ns0:f>
        <ns0:v/>
      </ns0:c>
      <ns0:c r="H1998" s="28" t="str">
        <ns0:f>IF(A1998="","",IF(C1998&lt;=0,"Satış dışı",IF(OR(F1998="",G1998=""),"Eşleşmedi","Eşleşti")))</ns0:f>
        <ns0:v/>
      </ns0:c>
      <ns0:c r="I1998" s="28">
        <ns0:f>I1997+IF(AND(H1998="Eşleşmedi",E1998='Panel'!$B$4),1,0)</ns0:f>
        <ns0:v>3.0</ns0:v>
      </ns0:c>
    </ns0:row>
    <ns0:row r="1999" ht="21" customHeight="1">
      <ns0:c r="A1999" s="25" t="n"/>
      <ns0:c r="B1999" s="26" t="n"/>
      <ns0:c r="C1999" s="27" t="n"/>
      <ns0:c r="D1999" s="27" t="n"/>
      <ns0:c r="E1999" s="28" t="str">
        <ns0:f>IF(A1999="","",YEAR(A1999)&amp;"-"&amp;RIGHT("0"&amp;MONTH(A1999),2))</ns0:f>
        <ns0:v/>
      </ns0:c>
      <ns0:c r="F1999" s="28" t="str">
        <ns0:f>IF(OR(A1999="",B1999="",C1999&lt;=0),"",IF(SUMPRODUCT(('Müşteriler'!$B$2:$B$101&lt;&gt;"")*ISNUMBER(SEARCH('Müşteriler'!$B$2:$B$101,B1999)))=1,IFERROR(INDEX('Müşteriler'!$A$2:$A$101,SUMPRODUCT(('Müşteriler'!$B$2:$B$101&lt;&gt;"")*ISNUMBER(SEARCH('Müşteriler'!$B$2:$B$101,B1999)),ROW('Müşteriler'!$B$2:$B$101)-ROW('Müşteriler'!$B$2)+1)),""),""))</ns0:f>
        <ns0:v/>
      </ns0:c>
      <ns0:c r="G1999" s="28" t="str">
        <ns0:f>IF(F1999="","",IFERROR(INDEX('Müşteriler'!$C$2:$C$101,MATCH(F1999,'Müşteriler'!$A$2:$A$101,0)),""))</ns0:f>
        <ns0:v/>
      </ns0:c>
      <ns0:c r="H1999" s="28" t="str">
        <ns0:f>IF(A1999="","",IF(C1999&lt;=0,"Satış dışı",IF(OR(F1999="",G1999=""),"Eşleşmedi","Eşleşti")))</ns0:f>
        <ns0:v/>
      </ns0:c>
      <ns0:c r="I1999" s="28">
        <ns0:f>I1998+IF(AND(H1999="Eşleşmedi",E1999='Panel'!$B$4),1,0)</ns0:f>
        <ns0:v>3.0</ns0:v>
      </ns0:c>
    </ns0:row>
    <ns0:row r="2000" ht="21" customHeight="1">
      <ns0:c r="A2000" s="25" t="n"/>
      <ns0:c r="B2000" s="26" t="n"/>
      <ns0:c r="C2000" s="27" t="n"/>
      <ns0:c r="D2000" s="27" t="n"/>
      <ns0:c r="E2000" s="28" t="str">
        <ns0:f>IF(A2000="","",YEAR(A2000)&amp;"-"&amp;RIGHT("0"&amp;MONTH(A2000),2))</ns0:f>
        <ns0:v/>
      </ns0:c>
      <ns0:c r="F2000" s="28" t="str">
        <ns0:f>IF(OR(A2000="",B2000="",C2000&lt;=0),"",IF(SUMPRODUCT(('Müşteriler'!$B$2:$B$101&lt;&gt;"")*ISNUMBER(SEARCH('Müşteriler'!$B$2:$B$101,B2000)))=1,IFERROR(INDEX('Müşteriler'!$A$2:$A$101,SUMPRODUCT(('Müşteriler'!$B$2:$B$101&lt;&gt;"")*ISNUMBER(SEARCH('Müşteriler'!$B$2:$B$101,B2000)),ROW('Müşteriler'!$B$2:$B$101)-ROW('Müşteriler'!$B$2)+1)),""),""))</ns0:f>
        <ns0:v/>
      </ns0:c>
      <ns0:c r="G2000" s="28" t="str">
        <ns0:f>IF(F2000="","",IFERROR(INDEX('Müşteriler'!$C$2:$C$101,MATCH(F2000,'Müşteriler'!$A$2:$A$101,0)),""))</ns0:f>
        <ns0:v/>
      </ns0:c>
      <ns0:c r="H2000" s="28" t="str">
        <ns0:f>IF(A2000="","",IF(C2000&lt;=0,"Satış dışı",IF(OR(F2000="",G2000=""),"Eşleşmedi","Eşleşti")))</ns0:f>
        <ns0:v/>
      </ns0:c>
      <ns0:c r="I2000" s="28">
        <ns0:f>I1999+IF(AND(H2000="Eşleşmedi",E2000='Panel'!$B$4),1,0)</ns0:f>
        <ns0:v>3.0</ns0:v>
      </ns0:c>
    </ns0:row>
    <ns0:row r="2001" ht="21" customHeight="1">
      <ns0:c r="A2001" s="25" t="n"/>
      <ns0:c r="B2001" s="26" t="n"/>
      <ns0:c r="C2001" s="27" t="n"/>
      <ns0:c r="D2001" s="27" t="n"/>
      <ns0:c r="E2001" s="28" t="str">
        <ns0:f>IF(A2001="","",YEAR(A2001)&amp;"-"&amp;RIGHT("0"&amp;MONTH(A2001),2))</ns0:f>
        <ns0:v/>
      </ns0:c>
      <ns0:c r="F2001" s="28" t="str">
        <ns0:f>IF(OR(A2001="",B2001="",C2001&lt;=0),"",IF(SUMPRODUCT(('Müşteriler'!$B$2:$B$101&lt;&gt;"")*ISNUMBER(SEARCH('Müşteriler'!$B$2:$B$101,B2001)))=1,IFERROR(INDEX('Müşteriler'!$A$2:$A$101,SUMPRODUCT(('Müşteriler'!$B$2:$B$101&lt;&gt;"")*ISNUMBER(SEARCH('Müşteriler'!$B$2:$B$101,B2001)),ROW('Müşteriler'!$B$2:$B$101)-ROW('Müşteriler'!$B$2)+1)),""),""))</ns0:f>
        <ns0:v/>
      </ns0:c>
      <ns0:c r="G2001" s="28" t="str">
        <ns0:f>IF(F2001="","",IFERROR(INDEX('Müşteriler'!$C$2:$C$101,MATCH(F2001,'Müşteriler'!$A$2:$A$101,0)),""))</ns0:f>
        <ns0:v/>
      </ns0:c>
      <ns0:c r="H2001" s="28" t="str">
        <ns0:f>IF(A2001="","",IF(C2001&lt;=0,"Satış dışı",IF(OR(F2001="",G2001=""),"Eşleşmedi","Eşleşti")))</ns0:f>
        <ns0:v/>
      </ns0:c>
      <ns0:c r="I2001" s="28">
        <ns0:f>I2000+IF(AND(H2001="Eşleşmedi",E2001='Panel'!$B$4),1,0)</ns0:f>
        <ns0:v>3.0</ns0:v>
      </ns0:c>
    </ns0:row>
  </ns0:sheetData>
  <ns0:conditionalFormatting sqref="H2:H2001">
    <ns0:cfRule type="expression" priority="1" dxfId="0">
      <ns0:formula>H2="Eşleşmedi"</ns0:formula>
    </ns0:cfRule>
  </ns0:conditionalFormatting>
  <ns0:pageMargins left="0.75" right="0.75" top="1" bottom="1" header="0.5" footer="0.5"/>
  <ns0:legacyDrawing ns1:id="anysvml"/>
  <ns0:tableParts count="1">
    <ns0:tablePart ns1:id="rId1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0"/>
    <ns0:pageSetUpPr fitToPage="1"/>
  </ns0:sheetPr>
  <ns0:dimension ref="A1:F2001"/>
  <ns0:sheetViews>
    <ns0:sheetView showGridLines="0" zoomScale="9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4" customWidth="1" min="1" max="1"/>
    <ns0:col width="25" customWidth="1" min="2" max="2"/>
    <ns0:col width="38" customWidth="1" min="3" max="3"/>
    <ns0:col width="18" customWidth="1" min="4" max="4"/>
    <ns0:col width="20" customWidth="1" min="5" max="5"/>
    <ns0:col width="14" customWidth="1" min="6" max="6"/>
  </ns0:cols>
  <ns0:sheetData>
    <ns0:row r="1" ht="30" customHeight="1">
      <ns0:c r="A1" s="14" t="inlineStr">
        <ns0:is>
          <ns0:t>Tarih</ns0:t>
        </ns0:is>
      </ns0:c>
      <ns0:c r="B1" s="14" t="inlineStr">
        <ns0:is>
          <ns0:t>Fatura no</ns0:t>
        </ns0:is>
      </ns0:c>
      <ns0:c r="C1" s="14" t="inlineStr">
        <ns0:is>
          <ns0:t>Müşteri</ns0:t>
        </ns0:is>
      </ns0:c>
      <ns0:c r="D1" s="14" t="inlineStr">
        <ns0:is>
          <ns0:t>İl</ns0:t>
        </ns0:is>
      </ns0:c>
      <ns0:c r="E1" s="14" t="inlineStr">
        <ns0:is>
          <ns0:t>Tutar</ns0:t>
        </ns0:is>
      </ns0:c>
      <ns0:c r="F1" s="14" t="inlineStr">
        <ns0:is>
          <ns0:t>Ay</ns0:t>
        </ns0:is>
      </ns0:c>
    </ns0:row>
    <ns0:row r="2" ht="21" customHeight="1">
      <ns0:c r="A2" s="25" t="n">
        <ns0:v>46266</ns0:v>
      </ns0:c>
      <ns0:c r="B2" s="26" t="inlineStr">
        <ns0:is>
          <ns0:t>TSL-202609-044</ns0:t>
        </ns0:is>
      </ns0:c>
      <ns0:c r="C2" s="26" t="inlineStr">
        <ns0:is>
          <ns0:t>Ardılyel Dağıtım Örnek İşletme</ns0:t>
        </ns0:is>
      </ns0:c>
      <ns0:c r="D2" s="26" t="inlineStr">
        <ns0:is>
          <ns0:t>Kayseri</ns0:t>
        </ns0:is>
      </ns0:c>
      <ns0:c r="E2" s="27" t="n">
        <ns0:v>6806.84</ns0:v>
      </ns0:c>
      <ns0:c r="F2" s="28" t="str">
        <ns0:f>IF(A2="","",YEAR(A2)&amp;"-"&amp;RIGHT("0"&amp;MONTH(A2),2))</ns0:f>
        <ns0:v>2026-09</ns0:v>
      </ns0:c>
    </ns0:row>
    <ns0:row r="3" ht="21" customHeight="1">
      <ns0:c r="A3" s="25" t="n">
        <ns0:v>46268</ns0:v>
      </ns0:c>
      <ns0:c r="B3" s="26" t="inlineStr">
        <ns0:is>
          <ns0:t>TSL-202609-005</ns0:t>
        </ns0:is>
      </ns0:c>
      <ns0:c r="C3" s="26" t="inlineStr">
        <ns0:is>
          <ns0:t>Ayvenk Ticaret Örnek İşletme</ns0:t>
        </ns0:is>
      </ns0:c>
      <ns0:c r="D3" s="26" t="inlineStr">
        <ns0:is>
          <ns0:t>Antalya</ns0:t>
        </ns0:is>
      </ns0:c>
      <ns0:c r="E3" s="27" t="n">
        <ns0:v>8375.309999999999</ns0:v>
      </ns0:c>
      <ns0:c r="F3" s="28" t="str">
        <ns0:f>IF(A3="","",YEAR(A3)&amp;"-"&amp;RIGHT("0"&amp;MONTH(A3),2))</ns0:f>
        <ns0:v>2026-09</ns0:v>
      </ns0:c>
    </ns0:row>
    <ns0:row r="4" ht="21" customHeight="1">
      <ns0:c r="A4" s="25" t="n">
        <ns0:v>46268</ns0:v>
      </ns0:c>
      <ns0:c r="B4" s="26" t="inlineStr">
        <ns0:is>
          <ns0:t>TSL-202609-036</ns0:t>
        </ns0:is>
      </ns0:c>
      <ns0:c r="C4" s="26" t="inlineStr">
        <ns0:is>
          <ns0:t>Çiyrota Gıda Örnek İşletme</ns0:t>
        </ns0:is>
      </ns0:c>
      <ns0:c r="D4" s="26" t="inlineStr">
        <ns0:is>
          <ns0:t>İstanbul</ns0:t>
        </ns0:is>
      </ns0:c>
      <ns0:c r="E4" s="27" t="n">
        <ns0:v>19445.78</ns0:v>
      </ns0:c>
      <ns0:c r="F4" s="28" t="str">
        <ns0:f>IF(A4="","",YEAR(A4)&amp;"-"&amp;RIGHT("0"&amp;MONTH(A4),2))</ns0:f>
        <ns0:v>2026-09</ns0:v>
      </ns0:c>
    </ns0:row>
    <ns0:row r="5" ht="21" customHeight="1">
      <ns0:c r="A5" s="25" t="n">
        <ns0:v>46268</ns0:v>
      </ns0:c>
      <ns0:c r="B5" s="26" t="inlineStr">
        <ns0:is>
          <ns0:t>TSL-202609-067</ns0:t>
        </ns0:is>
      </ns0:c>
      <ns0:c r="C5" s="26" t="inlineStr">
        <ns0:is>
          <ns0:t>Gölvera Dağıtım Örnek İşletme</ns0:t>
        </ns0:is>
      </ns0:c>
      <ns0:c r="D5" s="26" t="inlineStr">
        <ns0:is>
          <ns0:t>Kayseri</ns0:t>
        </ns0:is>
      </ns0:c>
      <ns0:c r="E5" s="27" t="n">
        <ns0:v>4658.61</ns0:v>
      </ns0:c>
      <ns0:c r="F5" s="28" t="str">
        <ns0:f>IF(A5="","",YEAR(A5)&amp;"-"&amp;RIGHT("0"&amp;MONTH(A5),2))</ns0:f>
        <ns0:v>2026-09</ns0:v>
      </ns0:c>
    </ns0:row>
    <ns0:row r="6" ht="21" customHeight="1">
      <ns0:c r="A6" s="25" t="n">
        <ns0:v>46269</ns0:v>
      </ns0:c>
      <ns0:c r="B6" s="26" t="inlineStr">
        <ns0:is>
          <ns0:t>TSL-202609-013</ns0:t>
        </ns0:is>
      </ns0:c>
      <ns0:c r="C6" s="26" t="inlineStr">
        <ns0:is>
          <ns0:t>Kervola Tedarik Örnek İşletme</ns0:t>
        </ns0:is>
      </ns0:c>
      <ns0:c r="D6" s="26" t="inlineStr">
        <ns0:is>
          <ns0:t>İzmir</ns0:t>
        </ns0:is>
      </ns0:c>
      <ns0:c r="E6" s="27" t="n">
        <ns0:v>9702.370000000001</ns0:v>
      </ns0:c>
      <ns0:c r="F6" s="28" t="str">
        <ns0:f>IF(A6="","",YEAR(A6)&amp;"-"&amp;RIGHT("0"&amp;MONTH(A6),2))</ns0:f>
        <ns0:v>2026-09</ns0:v>
      </ns0:c>
    </ns0:row>
    <ns0:row r="7" ht="21" customHeight="1">
      <ns0:c r="A7" s="25" t="n">
        <ns0:v>46269</ns0:v>
      </ns0:c>
      <ns0:c r="B7" s="26" t="inlineStr">
        <ns0:is>
          <ns0:t>TSL-202609-063</ns0:t>
        </ns0:is>
      </ns0:c>
      <ns0:c r="C7" s="26" t="inlineStr">
        <ns0:is>
          <ns0:t>Ayserin Dağıtım Örnek İşletme</ns0:t>
        </ns0:is>
      </ns0:c>
      <ns0:c r="D7" s="26" t="inlineStr">
        <ns0:is>
          <ns0:t>Bursa</ns0:t>
        </ns0:is>
      </ns0:c>
      <ns0:c r="E7" s="27" t="n">
        <ns0:v>7085.52</ns0:v>
      </ns0:c>
      <ns0:c r="F7" s="28" t="str">
        <ns0:f>IF(A7="","",YEAR(A7)&amp;"-"&amp;RIGHT("0"&amp;MONTH(A7),2))</ns0:f>
        <ns0:v>2026-09</ns0:v>
      </ns0:c>
    </ns0:row>
    <ns0:row r="8" ht="21" customHeight="1">
      <ns0:c r="A8" s="25" t="n">
        <ns0:v>46270</ns0:v>
      </ns0:c>
      <ns0:c r="B8" s="26" t="inlineStr">
        <ns0:is>
          <ns0:t>TSL-202609-016</ns0:t>
        </ns0:is>
      </ns0:c>
      <ns0:c r="C8" s="26" t="inlineStr">
        <ns0:is>
          <ns0:t>Denizova Gıda Örnek İşletme</ns0:t>
        </ns0:is>
      </ns0:c>
      <ns0:c r="D8" s="26" t="inlineStr">
        <ns0:is>
          <ns0:t>Konya</ns0:t>
        </ns0:is>
      </ns0:c>
      <ns0:c r="E8" s="27" t="n">
        <ns0:v>12013.35</ns0:v>
      </ns0:c>
      <ns0:c r="F8" s="28" t="str">
        <ns0:f>IF(A8="","",YEAR(A8)&amp;"-"&amp;RIGHT("0"&amp;MONTH(A8),2))</ns0:f>
        <ns0:v>2026-09</ns0:v>
      </ns0:c>
    </ns0:row>
    <ns0:row r="9" ht="21" customHeight="1">
      <ns0:c r="A9" s="25" t="n">
        <ns0:v>46270</ns0:v>
      </ns0:c>
      <ns0:c r="B9" s="26" t="inlineStr">
        <ns0:is>
          <ns0:t>TSL-202609-049</ns0:t>
        </ns0:is>
      </ns0:c>
      <ns0:c r="C9" s="26" t="inlineStr">
        <ns0:is>
          <ns0:t>Lalrota Dağıtım Örnek İşletme</ns0:t>
        </ns0:is>
      </ns0:c>
      <ns0:c r="D9" s="26" t="inlineStr">
        <ns0:is>
          <ns0:t>Bursa</ns0:t>
        </ns0:is>
      </ns0:c>
      <ns0:c r="E9" s="27" t="n">
        <ns0:v>10314.72</ns0:v>
      </ns0:c>
      <ns0:c r="F9" s="28" t="str">
        <ns0:f>IF(A9="","",YEAR(A9)&amp;"-"&amp;RIGHT("0"&amp;MONTH(A9),2))</ns0:f>
        <ns0:v>2026-09</ns0:v>
      </ns0:c>
    </ns0:row>
    <ns0:row r="10" ht="21" customHeight="1">
      <ns0:c r="A10" s="25" t="n">
        <ns0:v>46271</ns0:v>
      </ns0:c>
      <ns0:c r="B10" s="26" t="inlineStr">
        <ns0:is>
          <ns0:t>TSL-202609-012</ns0:t>
        </ns0:is>
      </ns0:c>
      <ns0:c r="C10" s="26" t="inlineStr">
        <ns0:is>
          <ns0:t>Bulutiz Market Örnek İşletme</ns0:t>
        </ns0:is>
      </ns0:c>
      <ns0:c r="D10" s="26" t="inlineStr">
        <ns0:is>
          <ns0:t>Ankara</ns0:t>
        </ns0:is>
      </ns0:c>
      <ns0:c r="E10" s="27" t="n">
        <ns0:v>5363.46</ns0:v>
      </ns0:c>
      <ns0:c r="F10" s="28" t="str">
        <ns0:f>IF(A10="","",YEAR(A10)&amp;"-"&amp;RIGHT("0"&amp;MONTH(A10),2))</ns0:f>
        <ns0:v>2026-09</ns0:v>
      </ns0:c>
    </ns0:row>
    <ns0:row r="11" ht="21" customHeight="1">
      <ns0:c r="A11" s="25" t="n">
        <ns0:v>46272</ns0:v>
      </ns0:c>
      <ns0:c r="B11" s="26" t="inlineStr">
        <ns0:is>
          <ns0:t>TSL-202609-007</ns0:t>
        </ns0:is>
      </ns0:c>
      <ns0:c r="C11" s="26" t="inlineStr">
        <ns0:is>
          <ns0:t>Yelmino Market Örnek İşletme</ns0:t>
        </ns0:is>
      </ns0:c>
      <ns0:c r="D11" s="26" t="inlineStr">
        <ns0:is>
          <ns0:t>Kocaeli</ns0:t>
        </ns0:is>
      </ns0:c>
      <ns0:c r="E11" s="27" t="n">
        <ns0:v>9123.01</ns0:v>
      </ns0:c>
      <ns0:c r="F11" s="28" t="str">
        <ns0:f>IF(A11="","",YEAR(A11)&amp;"-"&amp;RIGHT("0"&amp;MONTH(A11),2))</ns0:f>
        <ns0:v>2026-09</ns0:v>
      </ns0:c>
    </ns0:row>
    <ns0:row r="12" ht="21" customHeight="1">
      <ns0:c r="A12" s="25" t="n">
        <ns0:v>46272</ns0:v>
      </ns0:c>
      <ns0:c r="B12" s="26" t="inlineStr">
        <ns0:is>
          <ns0:t>TSL-202609-009</ns0:t>
        </ns0:is>
      </ns0:c>
      <ns0:c r="C12" s="26" t="inlineStr">
        <ns0:is>
          <ns0:t>Gölvera Dağıtım Örnek İşletme</ns0:t>
        </ns0:is>
      </ns0:c>
      <ns0:c r="D12" s="26" t="inlineStr">
        <ns0:is>
          <ns0:t>Kayseri</ns0:t>
        </ns0:is>
      </ns0:c>
      <ns0:c r="E12" s="27" t="n">
        <ns0:v>7487.41</ns0:v>
      </ns0:c>
      <ns0:c r="F12" s="28" t="str">
        <ns0:f>IF(A12="","",YEAR(A12)&amp;"-"&amp;RIGHT("0"&amp;MONTH(A12),2))</ns0:f>
        <ns0:v>2026-09</ns0:v>
      </ns0:c>
    </ns0:row>
    <ns0:row r="13" ht="21" customHeight="1">
      <ns0:c r="A13" s="25" t="n">
        <ns0:v>46272</ns0:v>
      </ns0:c>
      <ns0:c r="B13" s="26" t="inlineStr">
        <ns0:is>
          <ns0:t>TSL-202609-065</ns0:t>
        </ns0:is>
      </ns0:c>
      <ns0:c r="C13" s="26" t="inlineStr">
        <ns0:is>
          <ns0:t>Gölvera Dağıtım Örnek İşletme</ns0:t>
        </ns0:is>
      </ns0:c>
      <ns0:c r="D13" s="26" t="inlineStr">
        <ns0:is>
          <ns0:t>Kayseri</ns0:t>
        </ns0:is>
      </ns0:c>
      <ns0:c r="E13" s="27" t="n">
        <ns0:v>7355.47</ns0:v>
      </ns0:c>
      <ns0:c r="F13" s="28" t="str">
        <ns0:f>IF(A13="","",YEAR(A13)&amp;"-"&amp;RIGHT("0"&amp;MONTH(A13),2))</ns0:f>
        <ns0:v>2026-09</ns0:v>
      </ns0:c>
    </ns0:row>
    <ns0:row r="14" ht="21" customHeight="1">
      <ns0:c r="A14" s="25" t="n">
        <ns0:v>46273</ns0:v>
      </ns0:c>
      <ns0:c r="B14" s="26" t="inlineStr">
        <ns0:is>
          <ns0:t>TSL-202609-051</ns0:t>
        </ns0:is>
      </ns0:c>
      <ns0:c r="C14" s="26" t="inlineStr">
        <ns0:is>
          <ns0:t>Zerova Tedarik Örnek İşletme</ns0:t>
        </ns0:is>
      </ns0:c>
      <ns0:c r="D14" s="26" t="inlineStr">
        <ns0:is>
          <ns0:t>Sakarya</ns0:t>
        </ns0:is>
      </ns0:c>
      <ns0:c r="E14" s="27" t="n">
        <ns0:v>13335.76</ns0:v>
      </ns0:c>
      <ns0:c r="F14" s="28" t="str">
        <ns0:f>IF(A14="","",YEAR(A14)&amp;"-"&amp;RIGHT("0"&amp;MONTH(A14),2))</ns0:f>
        <ns0:v>2026-09</ns0:v>
      </ns0:c>
    </ns0:row>
    <ns0:row r="15" ht="21" customHeight="1">
      <ns0:c r="A15" s="25" t="n">
        <ns0:v>46274</ns0:v>
      </ns0:c>
      <ns0:c r="B15" s="26" t="inlineStr">
        <ns0:is>
          <ns0:t>TSL-202609-002</ns0:t>
        </ns0:is>
      </ns0:c>
      <ns0:c r="C15" s="26" t="inlineStr">
        <ns0:is>
          <ns0:t>Düşova Market Örnek İşletme</ns0:t>
        </ns0:is>
      </ns0:c>
      <ns0:c r="D15" s="26" t="inlineStr">
        <ns0:is>
          <ns0:t>Ankara</ns0:t>
        </ns0:is>
      </ns0:c>
      <ns0:c r="E15" s="27" t="n">
        <ns0:v>6061.76</ns0:v>
      </ns0:c>
      <ns0:c r="F15" s="28" t="str">
        <ns0:f>IF(A15="","",YEAR(A15)&amp;"-"&amp;RIGHT("0"&amp;MONTH(A15),2))</ns0:f>
        <ns0:v>2026-09</ns0:v>
      </ns0:c>
    </ns0:row>
    <ns0:row r="16" ht="21" customHeight="1">
      <ns0:c r="A16" s="25" t="n">
        <ns0:v>46275</ns0:v>
      </ns0:c>
      <ns0:c r="B16" s="26" t="inlineStr">
        <ns0:is>
          <ns0:t>TSL-202609-015</ns0:t>
        </ns0:is>
      </ns0:c>
      <ns0:c r="C16" s="26" t="inlineStr">
        <ns0:is>
          <ns0:t>Yapriva Ticaret Örnek İşletme</ns0:t>
        </ns0:is>
      </ns0:c>
      <ns0:c r="D16" s="26" t="inlineStr">
        <ns0:is>
          <ns0:t>Antalya</ns0:t>
        </ns0:is>
      </ns0:c>
      <ns0:c r="E16" s="27" t="n">
        <ns0:v>13461.01</ns0:v>
      </ns0:c>
      <ns0:c r="F16" s="28" t="str">
        <ns0:f>IF(A16="","",YEAR(A16)&amp;"-"&amp;RIGHT("0"&amp;MONTH(A16),2))</ns0:f>
        <ns0:v>2026-09</ns0:v>
      </ns0:c>
    </ns0:row>
    <ns0:row r="17" ht="21" customHeight="1">
      <ns0:c r="A17" s="25" t="n">
        <ns0:v>46275</ns0:v>
      </ns0:c>
      <ns0:c r="B17" s="26" t="inlineStr">
        <ns0:is>
          <ns0:t>TSL-202609-027</ns0:t>
        </ns0:is>
      </ns0:c>
      <ns0:c r="C17" s="26" t="inlineStr">
        <ns0:is>
          <ns0:t>Düşova Market Örnek İşletme</ns0:t>
        </ns0:is>
      </ns0:c>
      <ns0:c r="D17" s="26" t="inlineStr">
        <ns0:is>
          <ns0:t>Ankara</ns0:t>
        </ns0:is>
      </ns0:c>
      <ns0:c r="E17" s="27" t="n">
        <ns0:v>16474.75</ns0:v>
      </ns0:c>
      <ns0:c r="F17" s="28" t="str">
        <ns0:f>IF(A17="","",YEAR(A17)&amp;"-"&amp;RIGHT("0"&amp;MONTH(A17),2))</ns0:f>
        <ns0:v>2026-09</ns0:v>
      </ns0:c>
    </ns0:row>
    <ns0:row r="18" ht="21" customHeight="1">
      <ns0:c r="A18" s="25" t="n">
        <ns0:v>46275</ns0:v>
      </ns0:c>
      <ns0:c r="B18" s="26" t="inlineStr">
        <ns0:is>
          <ns0:t>TSL-202609-043</ns0:t>
        </ns0:is>
      </ns0:c>
      <ns0:c r="C18" s="26" t="inlineStr">
        <ns0:is>
          <ns0:t>Zerova Tedarik Örnek İşletme</ns0:t>
        </ns0:is>
      </ns0:c>
      <ns0:c r="D18" s="26" t="inlineStr">
        <ns0:is>
          <ns0:t>Sakarya</ns0:t>
        </ns0:is>
      </ns0:c>
      <ns0:c r="E18" s="27" t="n">
        <ns0:v>13900.71</ns0:v>
      </ns0:c>
      <ns0:c r="F18" s="28" t="str">
        <ns0:f>IF(A18="","",YEAR(A18)&amp;"-"&amp;RIGHT("0"&amp;MONTH(A18),2))</ns0:f>
        <ns0:v>2026-09</ns0:v>
      </ns0:c>
    </ns0:row>
    <ns0:row r="19" ht="21" customHeight="1">
      <ns0:c r="A19" s="25" t="n">
        <ns0:v>46276</ns0:v>
      </ns0:c>
      <ns0:c r="B19" s="26" t="inlineStr">
        <ns0:is>
          <ns0:t>TSL-202609-029</ns0:t>
        </ns0:is>
      </ns0:c>
      <ns0:c r="C19" s="26" t="inlineStr">
        <ns0:is>
          <ns0:t>Çınariz Dağıtım Örnek İşletme</ns0:t>
        </ns0:is>
      </ns0:c>
      <ns0:c r="D19" s="26" t="inlineStr">
        <ns0:is>
          <ns0:t>Bursa</ns0:t>
        </ns0:is>
      </ns0:c>
      <ns0:c r="E19" s="27" t="n">
        <ns0:v>13047.67</ns0:v>
      </ns0:c>
      <ns0:c r="F19" s="28" t="str">
        <ns0:f>IF(A19="","",YEAR(A19)&amp;"-"&amp;RIGHT("0"&amp;MONTH(A19),2))</ns0:f>
        <ns0:v>2026-09</ns0:v>
      </ns0:c>
    </ns0:row>
    <ns0:row r="20" ht="21" customHeight="1">
      <ns0:c r="A20" s="25" t="n">
        <ns0:v>46276</ns0:v>
      </ns0:c>
      <ns0:c r="B20" s="26" t="inlineStr">
        <ns0:is>
          <ns0:t>TSL-202609-037</ns0:t>
        </ns0:is>
      </ns0:c>
      <ns0:c r="C20" s="26" t="inlineStr">
        <ns0:is>
          <ns0:t>Bulutiz Market Örnek İşletme</ns0:t>
        </ns0:is>
      </ns0:c>
      <ns0:c r="D20" s="26" t="inlineStr">
        <ns0:is>
          <ns0:t>Ankara</ns0:t>
        </ns0:is>
      </ns0:c>
      <ns0:c r="E20" s="27" t="n">
        <ns0:v>11106.29</ns0:v>
      </ns0:c>
      <ns0:c r="F20" s="28" t="str">
        <ns0:f>IF(A20="","",YEAR(A20)&amp;"-"&amp;RIGHT("0"&amp;MONTH(A20),2))</ns0:f>
        <ns0:v>2026-09</ns0:v>
      </ns0:c>
    </ns0:row>
    <ns0:row r="21" ht="21" customHeight="1">
      <ns0:c r="A21" s="25" t="n">
        <ns0:v>46276</ns0:v>
      </ns0:c>
      <ns0:c r="B21" s="26" t="inlineStr">
        <ns0:is>
          <ns0:t>TSL-202609-048</ns0:t>
        </ns0:is>
      </ns0:c>
      <ns0:c r="C21" s="26" t="inlineStr">
        <ns0:is>
          <ns0:t>Kumvadi Tedarik Örnek İşletme</ns0:t>
        </ns0:is>
      </ns0:c>
      <ns0:c r="D21" s="26" t="inlineStr">
        <ns0:is>
          <ns0:t>İzmir</ns0:t>
        </ns0:is>
      </ns0:c>
      <ns0:c r="E21" s="27" t="n">
        <ns0:v>8806.940000000001</ns0:v>
      </ns0:c>
      <ns0:c r="F21" s="28" t="str">
        <ns0:f>IF(A21="","",YEAR(A21)&amp;"-"&amp;RIGHT("0"&amp;MONTH(A21),2))</ns0:f>
        <ns0:v>2026-09</ns0:v>
      </ns0:c>
    </ns0:row>
    <ns0:row r="22" ht="21" customHeight="1">
      <ns0:c r="A22" s="25" t="n">
        <ns0:v>46277</ns0:v>
      </ns0:c>
      <ns0:c r="B22" s="26" t="inlineStr">
        <ns0:is>
          <ns0:t>TSL-202609-034</ns0:t>
        </ns0:is>
      </ns0:c>
      <ns0:c r="C22" s="26" t="inlineStr">
        <ns0:is>
          <ns0:t>Gölvera Dağıtım Örnek İşletme</ns0:t>
        </ns0:is>
      </ns0:c>
      <ns0:c r="D22" s="26" t="inlineStr">
        <ns0:is>
          <ns0:t>Kayseri</ns0:t>
        </ns0:is>
      </ns0:c>
      <ns0:c r="E22" s="27" t="n">
        <ns0:v>16578.1</ns0:v>
      </ns0:c>
      <ns0:c r="F22" s="28" t="str">
        <ns0:f>IF(A22="","",YEAR(A22)&amp;"-"&amp;RIGHT("0"&amp;MONTH(A22),2))</ns0:f>
        <ns0:v>2026-09</ns0:v>
      </ns0:c>
    </ns0:row>
    <ns0:row r="23" ht="21" customHeight="1">
      <ns0:c r="A23" s="25" t="n">
        <ns0:v>46277</ns0:v>
      </ns0:c>
      <ns0:c r="B23" s="26" t="inlineStr">
        <ns0:is>
          <ns0:t>TSL-202609-059</ns0:t>
        </ns0:is>
      </ns0:c>
      <ns0:c r="C23" s="26" t="inlineStr">
        <ns0:is>
          <ns0:t>Lalrota Dağıtım Örnek İşletme</ns0:t>
        </ns0:is>
      </ns0:c>
      <ns0:c r="D23" s="26" t="inlineStr">
        <ns0:is>
          <ns0:t>Bursa</ns0:t>
        </ns0:is>
      </ns0:c>
      <ns0:c r="E23" s="27" t="n">
        <ns0:v>11161.39</ns0:v>
      </ns0:c>
      <ns0:c r="F23" s="28" t="str">
        <ns0:f>IF(A23="","",YEAR(A23)&amp;"-"&amp;RIGHT("0"&amp;MONTH(A23),2))</ns0:f>
        <ns0:v>2026-09</ns0:v>
      </ns0:c>
    </ns0:row>
    <ns0:row r="24" ht="21" customHeight="1">
      <ns0:c r="A24" s="25" t="n">
        <ns0:v>46278</ns0:v>
      </ns0:c>
      <ns0:c r="B24" s="26" t="inlineStr">
        <ns0:is>
          <ns0:t>TSL-202609-008</ns0:t>
        </ns0:is>
      </ns0:c>
      <ns0:c r="C24" s="26" t="inlineStr">
        <ns0:is>
          <ns0:t>Morçatı Tedarik Örnek İşletme</ns0:t>
        </ns0:is>
      </ns0:c>
      <ns0:c r="D24" s="26" t="inlineStr">
        <ns0:is>
          <ns0:t>Sakarya</ns0:t>
        </ns0:is>
      </ns0:c>
      <ns0:c r="E24" s="27" t="n">
        <ns0:v>12471.62</ns0:v>
      </ns0:c>
      <ns0:c r="F24" s="28" t="str">
        <ns0:f>IF(A24="","",YEAR(A24)&amp;"-"&amp;RIGHT("0"&amp;MONTH(A24),2))</ns0:f>
        <ns0:v>2026-09</ns0:v>
      </ns0:c>
    </ns0:row>
    <ns0:row r="25" ht="21" customHeight="1">
      <ns0:c r="A25" s="25" t="n">
        <ns0:v>46279</ns0:v>
      </ns0:c>
      <ns0:c r="B25" s="26" t="inlineStr">
        <ns0:is>
          <ns0:t>TSL-202609-021</ns0:t>
        </ns0:is>
      </ns0:c>
      <ns0:c r="C25" s="26" t="inlineStr">
        <ns0:is>
          <ns0:t>Tanyuva Gıda Örnek İşletme</ns0:t>
        </ns0:is>
      </ns0:c>
      <ns0:c r="D25" s="26" t="inlineStr">
        <ns0:is>
          <ns0:t>İstanbul</ns0:t>
        </ns0:is>
      </ns0:c>
      <ns0:c r="E25" s="27" t="n">
        <ns0:v>11692.08</ns0:v>
      </ns0:c>
      <ns0:c r="F25" s="28" t="str">
        <ns0:f>IF(A25="","",YEAR(A25)&amp;"-"&amp;RIGHT("0"&amp;MONTH(A25),2))</ns0:f>
        <ns0:v>2026-09</ns0:v>
      </ns0:c>
    </ns0:row>
    <ns0:row r="26" ht="21" customHeight="1">
      <ns0:c r="A26" s="25" t="n">
        <ns0:v>46279</ns0:v>
      </ns0:c>
      <ns0:c r="B26" s="26" t="inlineStr">
        <ns0:is>
          <ns0:t>TSL-202609-028</ns0:t>
        </ns0:is>
      </ns0:c>
      <ns0:c r="C26" s="26" t="inlineStr">
        <ns0:is>
          <ns0:t>Pusuyel Tedarik Örnek İşletme</ns0:t>
        </ns0:is>
      </ns0:c>
      <ns0:c r="D26" s="26" t="inlineStr">
        <ns0:is>
          <ns0:t>İzmir</ns0:t>
        </ns0:is>
      </ns0:c>
      <ns0:c r="E26" s="27" t="n">
        <ns0:v>16552.56</ns0:v>
      </ns0:c>
      <ns0:c r="F26" s="28" t="str">
        <ns0:f>IF(A26="","",YEAR(A26)&amp;"-"&amp;RIGHT("0"&amp;MONTH(A26),2))</ns0:f>
        <ns0:v>2026-09</ns0:v>
      </ns0:c>
    </ns0:row>
    <ns0:row r="27" ht="21" customHeight="1">
      <ns0:c r="A27" s="25" t="n">
        <ns0:v>46279</ns0:v>
      </ns0:c>
      <ns0:c r="B27" s="26" t="inlineStr">
        <ns0:is>
          <ns0:t>TSL-202609-039</ns0:t>
        </ns0:is>
      </ns0:c>
      <ns0:c r="C27" s="26" t="inlineStr">
        <ns0:is>
          <ns0:t>Ayserin Dağıtım Örnek İşletme</ns0:t>
        </ns0:is>
      </ns0:c>
      <ns0:c r="D27" s="26" t="inlineStr">
        <ns0:is>
          <ns0:t>Bursa</ns0:t>
        </ns0:is>
      </ns0:c>
      <ns0:c r="E27" s="27" t="n">
        <ns0:v>13149.02</ns0:v>
      </ns0:c>
      <ns0:c r="F27" s="28" t="str">
        <ns0:f>IF(A27="","",YEAR(A27)&amp;"-"&amp;RIGHT("0"&amp;MONTH(A27),2))</ns0:f>
        <ns0:v>2026-09</ns0:v>
      </ns0:c>
    </ns0:row>
    <ns0:row r="28" ht="21" customHeight="1">
      <ns0:c r="A28" s="25" t="n">
        <ns0:v>46279</ns0:v>
      </ns0:c>
      <ns0:c r="B28" s="26" t="inlineStr">
        <ns0:is>
          <ns0:t>TSL-202609-040</ns0:t>
        </ns0:is>
      </ns0:c>
      <ns0:c r="C28" s="26" t="inlineStr">
        <ns0:is>
          <ns0:t>Yapriva Ticaret Örnek İşletme</ns0:t>
        </ns0:is>
      </ns0:c>
      <ns0:c r="D28" s="26" t="inlineStr">
        <ns0:is>
          <ns0:t>Antalya</ns0:t>
        </ns0:is>
      </ns0:c>
      <ns0:c r="E28" s="27" t="n">
        <ns0:v>15538.62</ns0:v>
      </ns0:c>
      <ns0:c r="F28" s="28" t="str">
        <ns0:f>IF(A28="","",YEAR(A28)&amp;"-"&amp;RIGHT("0"&amp;MONTH(A28),2))</ns0:f>
        <ns0:v>2026-09</ns0:v>
      </ns0:c>
    </ns0:row>
    <ns0:row r="29" ht="21" customHeight="1">
      <ns0:c r="A29" s="25" t="n">
        <ns0:v>46279</ns0:v>
      </ns0:c>
      <ns0:c r="B29" s="26" t="inlineStr">
        <ns0:is>
          <ns0:t>TSL-202609-045</ns0:t>
        </ns0:is>
      </ns0:c>
      <ns0:c r="C29" s="26" t="inlineStr">
        <ns0:is>
          <ns0:t>Günsera Ticaret Örnek İşletme</ns0:t>
        </ns0:is>
      </ns0:c>
      <ns0:c r="D29" s="26" t="inlineStr">
        <ns0:is>
          <ns0:t>Gaziantep</ns0:t>
        </ns0:is>
      </ns0:c>
      <ns0:c r="E29" s="27" t="n">
        <ns0:v>17541.52</ns0:v>
      </ns0:c>
      <ns0:c r="F29" s="28" t="str">
        <ns0:f>IF(A29="","",YEAR(A29)&amp;"-"&amp;RIGHT("0"&amp;MONTH(A29),2))</ns0:f>
        <ns0:v>2026-09</ns0:v>
      </ns0:c>
    </ns0:row>
    <ns0:row r="30" ht="21" customHeight="1">
      <ns0:c r="A30" s="25" t="n">
        <ns0:v>46279</ns0:v>
      </ns0:c>
      <ns0:c r="B30" s="26" t="inlineStr">
        <ns0:is>
          <ns0:t>TSL-202609-053</ns0:t>
        </ns0:is>
      </ns0:c>
      <ns0:c r="C30" s="26" t="inlineStr">
        <ns0:is>
          <ns0:t>Morçatı Tedarik Örnek İşletme</ns0:t>
        </ns0:is>
      </ns0:c>
      <ns0:c r="D30" s="26" t="inlineStr">
        <ns0:is>
          <ns0:t>Sakarya</ns0:t>
        </ns0:is>
      </ns0:c>
      <ns0:c r="E30" s="27" t="n">
        <ns0:v>18923.57</ns0:v>
      </ns0:c>
      <ns0:c r="F30" s="28" t="str">
        <ns0:f>IF(A30="","",YEAR(A30)&amp;"-"&amp;RIGHT("0"&amp;MONTH(A30),2))</ns0:f>
        <ns0:v>2026-09</ns0:v>
      </ns0:c>
    </ns0:row>
    <ns0:row r="31" ht="21" customHeight="1">
      <ns0:c r="A31" s="25" t="n">
        <ns0:v>46280</ns0:v>
      </ns0:c>
      <ns0:c r="B31" s="26" t="inlineStr">
        <ns0:is>
          <ns0:t>TSL-202609-019</ns0:t>
        </ns0:is>
      </ns0:c>
      <ns0:c r="C31" s="26" t="inlineStr">
        <ns0:is>
          <ns0:t>Ardılyel Dağıtım Örnek İşletme</ns0:t>
        </ns0:is>
      </ns0:c>
      <ns0:c r="D31" s="26" t="inlineStr">
        <ns0:is>
          <ns0:t>Kayseri</ns0:t>
        </ns0:is>
      </ns0:c>
      <ns0:c r="E31" s="27" t="n">
        <ns0:v>15879.45</ns0:v>
      </ns0:c>
      <ns0:c r="F31" s="28" t="str">
        <ns0:f>IF(A31="","",YEAR(A31)&amp;"-"&amp;RIGHT("0"&amp;MONTH(A31),2))</ns0:f>
        <ns0:v>2026-09</ns0:v>
      </ns0:c>
    </ns0:row>
    <ns0:row r="32" ht="21" customHeight="1">
      <ns0:c r="A32" s="25" t="n">
        <ns0:v>46280</ns0:v>
      </ns0:c>
      <ns0:c r="B32" s="26" t="inlineStr">
        <ns0:is>
          <ns0:t>TSL-202609-030</ns0:t>
        </ns0:is>
      </ns0:c>
      <ns0:c r="C32" s="26" t="inlineStr">
        <ns0:is>
          <ns0:t>Ayvenk Ticaret Örnek İşletme</ns0:t>
        </ns0:is>
      </ns0:c>
      <ns0:c r="D32" s="26" t="inlineStr">
        <ns0:is>
          <ns0:t>Antalya</ns0:t>
        </ns0:is>
      </ns0:c>
      <ns0:c r="E32" s="27" t="n">
        <ns0:v>5905.48</ns0:v>
      </ns0:c>
      <ns0:c r="F32" s="28" t="str">
        <ns0:f>IF(A32="","",YEAR(A32)&amp;"-"&amp;RIGHT("0"&amp;MONTH(A32),2))</ns0:f>
        <ns0:v>2026-09</ns0:v>
      </ns0:c>
    </ns0:row>
    <ns0:row r="33" ht="21" customHeight="1">
      <ns0:c r="A33" s="25" t="n">
        <ns0:v>46280</ns0:v>
      </ns0:c>
      <ns0:c r="B33" s="26" t="inlineStr">
        <ns0:is>
          <ns0:t>TSL-202609-038</ns0:t>
        </ns0:is>
      </ns0:c>
      <ns0:c r="C33" s="26" t="inlineStr">
        <ns0:is>
          <ns0:t>Kervola Tedarik Örnek İşletme</ns0:t>
        </ns0:is>
      </ns0:c>
      <ns0:c r="D33" s="26" t="inlineStr">
        <ns0:is>
          <ns0:t>İzmir</ns0:t>
        </ns0:is>
      </ns0:c>
      <ns0:c r="E33" s="27" t="n">
        <ns0:v>8690.809999999999</ns0:v>
      </ns0:c>
      <ns0:c r="F33" s="28" t="str">
        <ns0:f>IF(A33="","",YEAR(A33)&amp;"-"&amp;RIGHT("0"&amp;MONTH(A33),2))</ns0:f>
        <ns0:v>2026-09</ns0:v>
      </ns0:c>
    </ns0:row>
    <ns0:row r="34" ht="21" customHeight="1">
      <ns0:c r="A34" s="25" t="n">
        <ns0:v>46280</ns0:v>
      </ns0:c>
      <ns0:c r="B34" s="26" t="inlineStr">
        <ns0:is>
          <ns0:t>TSL-202609-042</ns0:t>
        </ns0:is>
      </ns0:c>
      <ns0:c r="C34" s="26" t="inlineStr">
        <ns0:is>
          <ns0:t>Koralin Market Örnek İşletme</ns0:t>
        </ns0:is>
      </ns0:c>
      <ns0:c r="D34" s="26" t="inlineStr">
        <ns0:is>
          <ns0:t>Kocaeli</ns0:t>
        </ns0:is>
      </ns0:c>
      <ns0:c r="E34" s="27" t="n">
        <ns0:v>17986.16</ns0:v>
      </ns0:c>
      <ns0:c r="F34" s="28" t="str">
        <ns0:f>IF(A34="","",YEAR(A34)&amp;"-"&amp;RIGHT("0"&amp;MONTH(A34),2))</ns0:f>
        <ns0:v>2026-09</ns0:v>
      </ns0:c>
    </ns0:row>
    <ns0:row r="35" ht="21" customHeight="1">
      <ns0:c r="A35" s="25" t="n">
        <ns0:v>46281</ns0:v>
      </ns0:c>
      <ns0:c r="B35" s="26" t="inlineStr">
        <ns0:is>
          <ns0:t>TSL-202609-020</ns0:t>
        </ns0:is>
      </ns0:c>
      <ns0:c r="C35" s="26" t="inlineStr">
        <ns0:is>
          <ns0:t>Günsera Ticaret Örnek İşletme</ns0:t>
        </ns0:is>
      </ns0:c>
      <ns0:c r="D35" s="26" t="inlineStr">
        <ns0:is>
          <ns0:t>Gaziantep</ns0:t>
        </ns0:is>
      </ns0:c>
      <ns0:c r="E35" s="27" t="n">
        <ns0:v>16276.65</ns0:v>
      </ns0:c>
      <ns0:c r="F35" s="28" t="str">
        <ns0:f>IF(A35="","",YEAR(A35)&amp;"-"&amp;RIGHT("0"&amp;MONTH(A35),2))</ns0:f>
        <ns0:v>2026-09</ns0:v>
      </ns0:c>
    </ns0:row>
    <ns0:row r="36" ht="21" customHeight="1">
      <ns0:c r="A36" s="25" t="n">
        <ns0:v>46281</ns0:v>
      </ns0:c>
      <ns0:c r="B36" s="26" t="inlineStr">
        <ns0:is>
          <ns0:t>TSL-202609-023</ns0:t>
        </ns0:is>
      </ns0:c>
      <ns0:c r="C36" s="26" t="inlineStr">
        <ns0:is>
          <ns0:t>Kumvadi Tedarik Örnek İşletme</ns0:t>
        </ns0:is>
      </ns0:c>
      <ns0:c r="D36" s="26" t="inlineStr">
        <ns0:is>
          <ns0:t>İzmir</ns0:t>
        </ns0:is>
      </ns0:c>
      <ns0:c r="E36" s="27" t="n">
        <ns0:v>3558.68</ns0:v>
      </ns0:c>
      <ns0:c r="F36" s="28" t="str">
        <ns0:f>IF(A36="","",YEAR(A36)&amp;"-"&amp;RIGHT("0"&amp;MONTH(A36),2))</ns0:f>
        <ns0:v>2026-09</ns0:v>
      </ns0:c>
    </ns0:row>
    <ns0:row r="37" ht="21" customHeight="1">
      <ns0:c r="A37" s="25" t="n">
        <ns0:v>46281</ns0:v>
      </ns0:c>
      <ns0:c r="B37" s="26" t="inlineStr">
        <ns0:is>
          <ns0:t>TSL-202609-047</ns0:t>
        </ns0:is>
      </ns0:c>
      <ns0:c r="C37" s="26" t="inlineStr">
        <ns0:is>
          <ns0:t>Erguven Market Örnek İşletme</ns0:t>
        </ns0:is>
      </ns0:c>
      <ns0:c r="D37" s="26" t="inlineStr">
        <ns0:is>
          <ns0:t>Ankara</ns0:t>
        </ns0:is>
      </ns0:c>
      <ns0:c r="E37" s="27" t="n">
        <ns0:v>15992.81</ns0:v>
      </ns0:c>
      <ns0:c r="F37" s="28" t="str">
        <ns0:f>IF(A37="","",YEAR(A37)&amp;"-"&amp;RIGHT("0"&amp;MONTH(A37),2))</ns0:f>
        <ns0:v>2026-09</ns0:v>
      </ns0:c>
    </ns0:row>
    <ns0:row r="38" ht="21" customHeight="1">
      <ns0:c r="A38" s="25" t="n">
        <ns0:v>46281</ns0:v>
      </ns0:c>
      <ns0:c r="B38" s="26" t="inlineStr">
        <ns0:is>
          <ns0:t>TSL-202609-056</ns0:t>
        </ns0:is>
      </ns0:c>
      <ns0:c r="C38" s="26" t="inlineStr">
        <ns0:is>
          <ns0:t>Yapriva Ticaret Örnek İşletme</ns0:t>
        </ns0:is>
      </ns0:c>
      <ns0:c r="D38" s="26" t="inlineStr">
        <ns0:is>
          <ns0:t>Antalya</ns0:t>
        </ns0:is>
      </ns0:c>
      <ns0:c r="E38" s="27" t="n">
        <ns0:v>8315</ns0:v>
      </ns0:c>
      <ns0:c r="F38" s="28" t="str">
        <ns0:f>IF(A38="","",YEAR(A38)&amp;"-"&amp;RIGHT("0"&amp;MONTH(A38),2))</ns0:f>
        <ns0:v>2026-09</ns0:v>
      </ns0:c>
    </ns0:row>
    <ns0:row r="39" ht="21" customHeight="1">
      <ns0:c r="A39" s="25" t="n">
        <ns0:v>46282</ns0:v>
      </ns0:c>
      <ns0:c r="B39" s="26" t="inlineStr">
        <ns0:is>
          <ns0:t>TSL-202609-001</ns0:t>
        </ns0:is>
      </ns0:c>
      <ns0:c r="C39" s="26" t="inlineStr">
        <ns0:is>
          <ns0:t>Mavidal Gıda Örnek İşletme</ns0:t>
        </ns0:is>
      </ns0:c>
      <ns0:c r="D39" s="26" t="inlineStr">
        <ns0:is>
          <ns0:t>İstanbul</ns0:t>
        </ns0:is>
      </ns0:c>
      <ns0:c r="E39" s="27" t="n">
        <ns0:v>8097.57</ns0:v>
      </ns0:c>
      <ns0:c r="F39" s="28" t="str">
        <ns0:f>IF(A39="","",YEAR(A39)&amp;"-"&amp;RIGHT("0"&amp;MONTH(A39),2))</ns0:f>
        <ns0:v>2026-09</ns0:v>
      </ns0:c>
    </ns0:row>
    <ns0:row r="40" ht="21" customHeight="1">
      <ns0:c r="A40" s="25" t="n">
        <ns0:v>46282</ns0:v>
      </ns0:c>
      <ns0:c r="B40" s="26" t="inlineStr">
        <ns0:is>
          <ns0:t>TSL-202609-010</ns0:t>
        </ns0:is>
      </ns0:c>
      <ns0:c r="C40" s="26" t="inlineStr">
        <ns0:is>
          <ns0:t>Narvadi Ticaret Örnek İşletme</ns0:t>
        </ns0:is>
      </ns0:c>
      <ns0:c r="D40" s="26" t="inlineStr">
        <ns0:is>
          <ns0:t>Gaziantep</ns0:t>
        </ns0:is>
      </ns0:c>
      <ns0:c r="E40" s="27" t="n">
        <ns0:v>14221.24</ns0:v>
      </ns0:c>
      <ns0:c r="F40" s="28" t="str">
        <ns0:f>IF(A40="","",YEAR(A40)&amp;"-"&amp;RIGHT("0"&amp;MONTH(A40),2))</ns0:f>
        <ns0:v>2026-09</ns0:v>
      </ns0:c>
    </ns0:row>
    <ns0:row r="41" ht="21" customHeight="1">
      <ns0:c r="A41" s="25" t="n">
        <ns0:v>46282</ns0:v>
      </ns0:c>
      <ns0:c r="B41" s="26" t="inlineStr">
        <ns0:is>
          <ns0:t>TSL-202609-025</ns0:t>
        </ns0:is>
      </ns0:c>
      <ns0:c r="C41" s="26" t="inlineStr">
        <ns0:is>
          <ns0:t>Çisenta Ticaret Örnek İşletme</ns0:t>
        </ns0:is>
      </ns0:c>
      <ns0:c r="D41" s="26" t="inlineStr">
        <ns0:is>
          <ns0:t>Antalya</ns0:t>
        </ns0:is>
      </ns0:c>
      <ns0:c r="E41" s="27" t="n">
        <ns0:v>4097.08</ns0:v>
      </ns0:c>
      <ns0:c r="F41" s="28" t="str">
        <ns0:f>IF(A41="","",YEAR(A41)&amp;"-"&amp;RIGHT("0"&amp;MONTH(A41),2))</ns0:f>
        <ns0:v>2026-09</ns0:v>
      </ns0:c>
    </ns0:row>
    <ns0:row r="42" ht="21" customHeight="1">
      <ns0:c r="A42" s="25" t="n">
        <ns0:v>46282</ns0:v>
      </ns0:c>
      <ns0:c r="B42" s="26" t="inlineStr">
        <ns0:is>
          <ns0:t>TSL-202609-050</ns0:t>
        </ns0:is>
      </ns0:c>
      <ns0:c r="C42" s="26" t="inlineStr">
        <ns0:is>
          <ns0:t>Çisenta Ticaret Örnek İşletme</ns0:t>
        </ns0:is>
      </ns0:c>
      <ns0:c r="D42" s="26" t="inlineStr">
        <ns0:is>
          <ns0:t>Antalya</ns0:t>
        </ns0:is>
      </ns0:c>
      <ns0:c r="E42" s="27" t="n">
        <ns0:v>8904.52</ns0:v>
      </ns0:c>
      <ns0:c r="F42" s="28" t="str">
        <ns0:f>IF(A42="","",YEAR(A42)&amp;"-"&amp;RIGHT("0"&amp;MONTH(A42),2))</ns0:f>
        <ns0:v>2026-09</ns0:v>
      </ns0:c>
    </ns0:row>
    <ns0:row r="43" ht="21" customHeight="1">
      <ns0:c r="A43" s="25" t="n">
        <ns0:v>46283</ns0:v>
      </ns0:c>
      <ns0:c r="B43" s="26" t="inlineStr">
        <ns0:is>
          <ns0:t>TSL-202609-017</ns0:t>
        </ns0:is>
      </ns0:c>
      <ns0:c r="C43" s="26" t="inlineStr">
        <ns0:is>
          <ns0:t>Koralin Market Örnek İşletme</ns0:t>
        </ns0:is>
      </ns0:c>
      <ns0:c r="D43" s="26" t="inlineStr">
        <ns0:is>
          <ns0:t>Kocaeli</ns0:t>
        </ns0:is>
      </ns0:c>
      <ns0:c r="E43" s="27" t="n">
        <ns0:v>6092.53</ns0:v>
      </ns0:c>
      <ns0:c r="F43" s="28" t="str">
        <ns0:f>IF(A43="","",YEAR(A43)&amp;"-"&amp;RIGHT("0"&amp;MONTH(A43),2))</ns0:f>
        <ns0:v>2026-09</ns0:v>
      </ns0:c>
    </ns0:row>
    <ns0:row r="44" ht="21" customHeight="1">
      <ns0:c r="A44" s="25" t="n">
        <ns0:v>46283</ns0:v>
      </ns0:c>
      <ns0:c r="B44" s="26" t="inlineStr">
        <ns0:is>
          <ns0:t>TSL-202609-035</ns0:t>
        </ns0:is>
      </ns0:c>
      <ns0:c r="C44" s="26" t="inlineStr">
        <ns0:is>
          <ns0:t>Narvadi Ticaret Örnek İşletme</ns0:t>
        </ns0:is>
      </ns0:c>
      <ns0:c r="D44" s="26" t="inlineStr">
        <ns0:is>
          <ns0:t>Gaziantep</ns0:t>
        </ns0:is>
      </ns0:c>
      <ns0:c r="E44" s="27" t="n">
        <ns0:v>17952.91</ns0:v>
      </ns0:c>
      <ns0:c r="F44" s="28" t="str">
        <ns0:f>IF(A44="","",YEAR(A44)&amp;"-"&amp;RIGHT("0"&amp;MONTH(A44),2))</ns0:f>
        <ns0:v>2026-09</ns0:v>
      </ns0:c>
    </ns0:row>
    <ns0:row r="45" ht="21" customHeight="1">
      <ns0:c r="A45" s="25" t="n">
        <ns0:v>46283</ns0:v>
      </ns0:c>
      <ns0:c r="B45" s="26" t="inlineStr">
        <ns0:is>
          <ns0:t>TSL-202609-068</ns0:t>
        </ns0:is>
      </ns0:c>
      <ns0:c r="C45" s="26" t="inlineStr">
        <ns0:is>
          <ns0:t>Ayvenk Ticaret Örnek İşletme</ns0:t>
        </ns0:is>
      </ns0:c>
      <ns0:c r="D45" s="26" t="inlineStr">
        <ns0:is>
          <ns0:t>Antalya</ns0:t>
        </ns0:is>
      </ns0:c>
      <ns0:c r="E45" s="27" t="n">
        <ns0:v>10149.91</ns0:v>
      </ns0:c>
      <ns0:c r="F45" s="28" t="str">
        <ns0:f>IF(A45="","",YEAR(A45)&amp;"-"&amp;RIGHT("0"&amp;MONTH(A45),2))</ns0:f>
        <ns0:v>2026-09</ns0:v>
      </ns0:c>
    </ns0:row>
    <ns0:row r="46" ht="21" customHeight="1">
      <ns0:c r="A46" s="25" t="n">
        <ns0:v>46284</ns0:v>
      </ns0:c>
      <ns0:c r="B46" s="26" t="inlineStr">
        <ns0:is>
          <ns0:t>TSL-202609-003</ns0:t>
        </ns0:is>
      </ns0:c>
      <ns0:c r="C46" s="26" t="inlineStr">
        <ns0:is>
          <ns0:t>Pusuyel Tedarik Örnek İşletme</ns0:t>
        </ns0:is>
      </ns0:c>
      <ns0:c r="D46" s="26" t="inlineStr">
        <ns0:is>
          <ns0:t>İzmir</ns0:t>
        </ns0:is>
      </ns0:c>
      <ns0:c r="E46" s="27" t="n">
        <ns0:v>10854.49</ns0:v>
      </ns0:c>
      <ns0:c r="F46" s="28" t="str">
        <ns0:f>IF(A46="","",YEAR(A46)&amp;"-"&amp;RIGHT("0"&amp;MONTH(A46),2))</ns0:f>
        <ns0:v>2026-09</ns0:v>
      </ns0:c>
    </ns0:row>
    <ns0:row r="47" ht="21" customHeight="1">
      <ns0:c r="A47" s="25" t="n">
        <ns0:v>46284</ns0:v>
      </ns0:c>
      <ns0:c r="B47" s="26" t="inlineStr">
        <ns0:is>
          <ns0:t>TSL-202609-058</ns0:t>
        </ns0:is>
      </ns0:c>
      <ns0:c r="C47" s="26" t="inlineStr">
        <ns0:is>
          <ns0:t>Kumsera Gıda Örnek İşletme</ns0:t>
        </ns0:is>
      </ns0:c>
      <ns0:c r="D47" s="26" t="inlineStr">
        <ns0:is>
          <ns0:t>Konya</ns0:t>
        </ns0:is>
      </ns0:c>
      <ns0:c r="E47" s="27" t="n">
        <ns0:v>4028.62</ns0:v>
      </ns0:c>
      <ns0:c r="F47" s="28" t="str">
        <ns0:f>IF(A47="","",YEAR(A47)&amp;"-"&amp;RIGHT("0"&amp;MONTH(A47),2))</ns0:f>
        <ns0:v>2026-09</ns0:v>
      </ns0:c>
    </ns0:row>
    <ns0:row r="48" ht="21" customHeight="1">
      <ns0:c r="A48" s="25" t="n">
        <ns0:v>46285</ns0:v>
      </ns0:c>
      <ns0:c r="B48" s="26" t="inlineStr">
        <ns0:is>
          <ns0:t>TSL-202609-066</ns0:t>
        </ns0:is>
      </ns0:c>
      <ns0:c r="C48" s="26" t="inlineStr">
        <ns0:is>
          <ns0:t>Kumvadi Tedarik Örnek İşletme</ns0:t>
        </ns0:is>
      </ns0:c>
      <ns0:c r="D48" s="26" t="inlineStr">
        <ns0:is>
          <ns0:t>İzmir</ns0:t>
        </ns0:is>
      </ns0:c>
      <ns0:c r="E48" s="27" t="n">
        <ns0:v>15827.24</ns0:v>
      </ns0:c>
      <ns0:c r="F48" s="28" t="str">
        <ns0:f>IF(A48="","",YEAR(A48)&amp;"-"&amp;RIGHT("0"&amp;MONTH(A48),2))</ns0:f>
        <ns0:v>2026-09</ns0:v>
      </ns0:c>
    </ns0:row>
    <ns0:row r="49" ht="21" customHeight="1">
      <ns0:c r="A49" s="25" t="n">
        <ns0:v>46286</ns0:v>
      </ns0:c>
      <ns0:c r="B49" s="26" t="inlineStr">
        <ns0:is>
          <ns0:t>TSL-202609-006</ns0:t>
        </ns0:is>
      </ns0:c>
      <ns0:c r="C49" s="26" t="inlineStr">
        <ns0:is>
          <ns0:t>Kumsera Gıda Örnek İşletme</ns0:t>
        </ns0:is>
      </ns0:c>
      <ns0:c r="D49" s="26" t="inlineStr">
        <ns0:is>
          <ns0:t>Konya</ns0:t>
        </ns0:is>
      </ns0:c>
      <ns0:c r="E49" s="27" t="n">
        <ns0:v>9805.91</ns0:v>
      </ns0:c>
      <ns0:c r="F49" s="28" t="str">
        <ns0:f>IF(A49="","",YEAR(A49)&amp;"-"&amp;RIGHT("0"&amp;MONTH(A49),2))</ns0:f>
        <ns0:v>2026-09</ns0:v>
      </ns0:c>
    </ns0:row>
    <ns0:row r="50" ht="21" customHeight="1">
      <ns0:c r="A50" s="25" t="n">
        <ns0:v>46286</ns0:v>
      </ns0:c>
      <ns0:c r="B50" s="26" t="inlineStr">
        <ns0:is>
          <ns0:t>TSL-202609-014</ns0:t>
        </ns0:is>
      </ns0:c>
      <ns0:c r="C50" s="26" t="inlineStr">
        <ns0:is>
          <ns0:t>Ayserin Dağıtım Örnek İşletme</ns0:t>
        </ns0:is>
      </ns0:c>
      <ns0:c r="D50" s="26" t="inlineStr">
        <ns0:is>
          <ns0:t>Bursa</ns0:t>
        </ns0:is>
      </ns0:c>
      <ns0:c r="E50" s="27" t="n">
        <ns0:v>7735.95</ns0:v>
      </ns0:c>
      <ns0:c r="F50" s="28" t="str">
        <ns0:f>IF(A50="","",YEAR(A50)&amp;"-"&amp;RIGHT("0"&amp;MONTH(A50),2))</ns0:f>
        <ns0:v>2026-09</ns0:v>
      </ns0:c>
    </ns0:row>
    <ns0:row r="51" ht="21" customHeight="1">
      <ns0:c r="A51" s="25" t="n">
        <ns0:v>46286</ns0:v>
      </ns0:c>
      <ns0:c r="B51" s="26" t="inlineStr">
        <ns0:is>
          <ns0:t>TSL-202609-026</ns0:t>
        </ns0:is>
      </ns0:c>
      <ns0:c r="C51" s="26" t="inlineStr">
        <ns0:is>
          <ns0:t>Mavidal Gıda Örnek İşletme</ns0:t>
        </ns0:is>
      </ns0:c>
      <ns0:c r="D51" s="26" t="inlineStr">
        <ns0:is>
          <ns0:t>İstanbul</ns0:t>
        </ns0:is>
      </ns0:c>
      <ns0:c r="E51" s="27" t="n">
        <ns0:v>15725.18</ns0:v>
      </ns0:c>
      <ns0:c r="F51" s="28" t="str">
        <ns0:f>IF(A51="","",YEAR(A51)&amp;"-"&amp;RIGHT("0"&amp;MONTH(A51),2))</ns0:f>
        <ns0:v>2026-09</ns0:v>
      </ns0:c>
    </ns0:row>
    <ns0:row r="52" ht="21" customHeight="1">
      <ns0:c r="A52" s="25" t="n">
        <ns0:v>46286</ns0:v>
      </ns0:c>
      <ns0:c r="B52" s="26" t="inlineStr">
        <ns0:is>
          <ns0:t>TSL-202609-031</ns0:t>
        </ns0:is>
      </ns0:c>
      <ns0:c r="C52" s="26" t="inlineStr">
        <ns0:is>
          <ns0:t>Kumsera Gıda Örnek İşletme</ns0:t>
        </ns0:is>
      </ns0:c>
      <ns0:c r="D52" s="26" t="inlineStr">
        <ns0:is>
          <ns0:t>Konya</ns0:t>
        </ns0:is>
      </ns0:c>
      <ns0:c r="E52" s="27" t="n">
        <ns0:v>12501.29</ns0:v>
      </ns0:c>
      <ns0:c r="F52" s="28" t="str">
        <ns0:f>IF(A52="","",YEAR(A52)&amp;"-"&amp;RIGHT("0"&amp;MONTH(A52),2))</ns0:f>
        <ns0:v>2026-09</ns0:v>
      </ns0:c>
    </ns0:row>
    <ns0:row r="53" ht="21" customHeight="1">
      <ns0:c r="A53" s="25" t="n">
        <ns0:v>46286</ns0:v>
      </ns0:c>
      <ns0:c r="B53" s="26" t="inlineStr">
        <ns0:is>
          <ns0:t>TSL-202609-041</ns0:t>
        </ns0:is>
      </ns0:c>
      <ns0:c r="C53" s="26" t="inlineStr">
        <ns0:is>
          <ns0:t>Denizova Gıda Örnek İşletme</ns0:t>
        </ns0:is>
      </ns0:c>
      <ns0:c r="D53" s="26" t="inlineStr">
        <ns0:is>
          <ns0:t>Konya</ns0:t>
        </ns0:is>
      </ns0:c>
      <ns0:c r="E53" s="27" t="n">
        <ns0:v>8814.77</ns0:v>
      </ns0:c>
      <ns0:c r="F53" s="28" t="str">
        <ns0:f>IF(A53="","",YEAR(A53)&amp;"-"&amp;RIGHT("0"&amp;MONTH(A53),2))</ns0:f>
        <ns0:v>2026-09</ns0:v>
      </ns0:c>
    </ns0:row>
    <ns0:row r="54" ht="21" customHeight="1">
      <ns0:c r="A54" s="25" t="n">
        <ns0:v>46286</ns0:v>
      </ns0:c>
      <ns0:c r="B54" s="26" t="inlineStr">
        <ns0:is>
          <ns0:t>TSL-202609-069</ns0:t>
        </ns0:is>
      </ns0:c>
      <ns0:c r="C54" s="26" t="inlineStr">
        <ns0:is>
          <ns0:t>Ayserin Dağıtım Örnek İşletme</ns0:t>
        </ns0:is>
      </ns0:c>
      <ns0:c r="D54" s="26" t="inlineStr">
        <ns0:is>
          <ns0:t>Bursa</ns0:t>
        </ns0:is>
      </ns0:c>
      <ns0:c r="E54" s="27" t="n">
        <ns0:v>12345.21</ns0:v>
      </ns0:c>
      <ns0:c r="F54" s="28" t="str">
        <ns0:f>IF(A54="","",YEAR(A54)&amp;"-"&amp;RIGHT("0"&amp;MONTH(A54),2))</ns0:f>
        <ns0:v>2026-09</ns0:v>
      </ns0:c>
    </ns0:row>
    <ns0:row r="55" ht="21" customHeight="1">
      <ns0:c r="A55" s="25" t="n">
        <ns0:v>46288</ns0:v>
      </ns0:c>
      <ns0:c r="B55" s="26" t="inlineStr">
        <ns0:is>
          <ns0:t>TSL-202609-070</ns0:t>
        </ns0:is>
      </ns0:c>
      <ns0:c r="C55" s="26" t="inlineStr">
        <ns0:is>
          <ns0:t>Erguven Market Örnek İşletme</ns0:t>
        </ns0:is>
      </ns0:c>
      <ns0:c r="D55" s="26" t="inlineStr">
        <ns0:is>
          <ns0:t>Ankara</ns0:t>
        </ns0:is>
      </ns0:c>
      <ns0:c r="E55" s="27" t="n">
        <ns0:v>12760.24</ns0:v>
      </ns0:c>
      <ns0:c r="F55" s="28" t="str">
        <ns0:f>IF(A55="","",YEAR(A55)&amp;"-"&amp;RIGHT("0"&amp;MONTH(A55),2))</ns0:f>
        <ns0:v>2026-09</ns0:v>
      </ns0:c>
    </ns0:row>
    <ns0:row r="56" ht="21" customHeight="1">
      <ns0:c r="A56" s="25" t="n">
        <ns0:v>46289</ns0:v>
      </ns0:c>
      <ns0:c r="B56" s="26" t="inlineStr">
        <ns0:is>
          <ns0:t>TSL-202609-032</ns0:t>
        </ns0:is>
      </ns0:c>
      <ns0:c r="C56" s="26" t="inlineStr">
        <ns0:is>
          <ns0:t>Yelmino Market Örnek İşletme</ns0:t>
        </ns0:is>
      </ns0:c>
      <ns0:c r="D56" s="26" t="inlineStr">
        <ns0:is>
          <ns0:t>Kocaeli</ns0:t>
        </ns0:is>
      </ns0:c>
      <ns0:c r="E56" s="27" t="n">
        <ns0:v>9697.6</ns0:v>
      </ns0:c>
      <ns0:c r="F56" s="28" t="str">
        <ns0:f>IF(A56="","",YEAR(A56)&amp;"-"&amp;RIGHT("0"&amp;MONTH(A56),2))</ns0:f>
        <ns0:v>2026-09</ns0:v>
      </ns0:c>
    </ns0:row>
    <ns0:row r="57" ht="21" customHeight="1">
      <ns0:c r="A57" s="25" t="n">
        <ns0:v>46289</ns0:v>
      </ns0:c>
      <ns0:c r="B57" s="26" t="inlineStr">
        <ns0:is>
          <ns0:t>TSL-202609-054</ns0:t>
        </ns0:is>
      </ns0:c>
      <ns0:c r="C57" s="26" t="inlineStr">
        <ns0:is>
          <ns0:t>Tanyuva Gıda Örnek İşletme</ns0:t>
        </ns0:is>
      </ns0:c>
      <ns0:c r="D57" s="26" t="inlineStr">
        <ns0:is>
          <ns0:t>İstanbul</ns0:t>
        </ns0:is>
      </ns0:c>
      <ns0:c r="E57" s="27" t="n">
        <ns0:v>15001.76</ns0:v>
      </ns0:c>
      <ns0:c r="F57" s="28" t="str">
        <ns0:f>IF(A57="","",YEAR(A57)&amp;"-"&amp;RIGHT("0"&amp;MONTH(A57),2))</ns0:f>
        <ns0:v>2026-09</ns0:v>
      </ns0:c>
    </ns0:row>
    <ns0:row r="58" ht="21" customHeight="1">
      <ns0:c r="A58" s="25" t="n">
        <ns0:v>46289</ns0:v>
      </ns0:c>
      <ns0:c r="B58" s="26" t="inlineStr">
        <ns0:is>
          <ns0:t>TSL-202609-060</ns0:t>
        </ns0:is>
      </ns0:c>
      <ns0:c r="C58" s="26" t="inlineStr">
        <ns0:is>
          <ns0:t>Erguven Market Örnek İşletme</ns0:t>
        </ns0:is>
      </ns0:c>
      <ns0:c r="D58" s="26" t="inlineStr">
        <ns0:is>
          <ns0:t>Ankara</ns0:t>
        </ns0:is>
      </ns0:c>
      <ns0:c r="E58" s="27" t="n">
        <ns0:v>17252</ns0:v>
      </ns0:c>
      <ns0:c r="F58" s="28" t="str">
        <ns0:f>IF(A58="","",YEAR(A58)&amp;"-"&amp;RIGHT("0"&amp;MONTH(A58),2))</ns0:f>
        <ns0:v>2026-09</ns0:v>
      </ns0:c>
    </ns0:row>
    <ns0:row r="59" ht="21" customHeight="1">
      <ns0:c r="A59" s="25" t="n">
        <ns0:v>46290</ns0:v>
      </ns0:c>
      <ns0:c r="B59" s="26" t="inlineStr">
        <ns0:is>
          <ns0:t>TSL-202609-004</ns0:t>
        </ns0:is>
      </ns0:c>
      <ns0:c r="C59" s="26" t="inlineStr">
        <ns0:is>
          <ns0:t>Çınariz Dağıtım Örnek İşletme</ns0:t>
        </ns0:is>
      </ns0:c>
      <ns0:c r="D59" s="26" t="inlineStr">
        <ns0:is>
          <ns0:t>Bursa</ns0:t>
        </ns0:is>
      </ns0:c>
      <ns0:c r="E59" s="27" t="n">
        <ns0:v>5442.25</ns0:v>
      </ns0:c>
      <ns0:c r="F59" s="28" t="str">
        <ns0:f>IF(A59="","",YEAR(A59)&amp;"-"&amp;RIGHT("0"&amp;MONTH(A59),2))</ns0:f>
        <ns0:v>2026-09</ns0:v>
      </ns0:c>
    </ns0:row>
    <ns0:row r="60" ht="21" customHeight="1">
      <ns0:c r="A60" s="25" t="n">
        <ns0:v>46290</ns0:v>
      </ns0:c>
      <ns0:c r="B60" s="26" t="inlineStr">
        <ns0:is>
          <ns0:t>TSL-202609-022</ns0:t>
        </ns0:is>
      </ns0:c>
      <ns0:c r="C60" s="26" t="inlineStr">
        <ns0:is>
          <ns0:t>Erguven Market Örnek İşletme</ns0:t>
        </ns0:is>
      </ns0:c>
      <ns0:c r="D60" s="26" t="inlineStr">
        <ns0:is>
          <ns0:t>Ankara</ns0:t>
        </ns0:is>
      </ns0:c>
      <ns0:c r="E60" s="27" t="n">
        <ns0:v>19062.09</ns0:v>
      </ns0:c>
      <ns0:c r="F60" s="28" t="str">
        <ns0:f>IF(A60="","",YEAR(A60)&amp;"-"&amp;RIGHT("0"&amp;MONTH(A60),2))</ns0:f>
        <ns0:v>2026-09</ns0:v>
      </ns0:c>
    </ns0:row>
    <ns0:row r="61" ht="21" customHeight="1">
      <ns0:c r="A61" s="25" t="n">
        <ns0:v>46290</ns0:v>
      </ns0:c>
      <ns0:c r="B61" s="26" t="inlineStr">
        <ns0:is>
          <ns0:t>TSL-202609-024</ns0:t>
        </ns0:is>
      </ns0:c>
      <ns0:c r="C61" s="26" t="inlineStr">
        <ns0:is>
          <ns0:t>Lalrota Dağıtım Örnek İşletme</ns0:t>
        </ns0:is>
      </ns0:c>
      <ns0:c r="D61" s="26" t="inlineStr">
        <ns0:is>
          <ns0:t>Bursa</ns0:t>
        </ns0:is>
      </ns0:c>
      <ns0:c r="E61" s="27" t="n">
        <ns0:v>15782.24</ns0:v>
      </ns0:c>
      <ns0:c r="F61" s="28" t="str">
        <ns0:f>IF(A61="","",YEAR(A61)&amp;"-"&amp;RIGHT("0"&amp;MONTH(A61),2))</ns0:f>
        <ns0:v>2026-09</ns0:v>
      </ns0:c>
    </ns0:row>
    <ns0:row r="62" ht="21" customHeight="1">
      <ns0:c r="A62" s="25" t="n">
        <ns0:v>46290</ns0:v>
      </ns0:c>
      <ns0:c r="B62" s="26" t="inlineStr">
        <ns0:is>
          <ns0:t>TSL-202609-055</ns0:t>
        </ns0:is>
      </ns0:c>
      <ns0:c r="C62" s="26" t="inlineStr">
        <ns0:is>
          <ns0:t>Bulutiz Market Örnek İşletme</ns0:t>
        </ns0:is>
      </ns0:c>
      <ns0:c r="D62" s="26" t="inlineStr">
        <ns0:is>
          <ns0:t>Ankara</ns0:t>
        </ns0:is>
      </ns0:c>
      <ns0:c r="E62" s="27" t="n">
        <ns0:v>6027.81</ns0:v>
      </ns0:c>
      <ns0:c r="F62" s="28" t="str">
        <ns0:f>IF(A62="","",YEAR(A62)&amp;"-"&amp;RIGHT("0"&amp;MONTH(A62),2))</ns0:f>
        <ns0:v>2026-09</ns0:v>
      </ns0:c>
    </ns0:row>
    <ns0:row r="63" ht="21" customHeight="1">
      <ns0:c r="A63" s="25" t="n">
        <ns0:v>46290</ns0:v>
      </ns0:c>
      <ns0:c r="B63" s="26" t="inlineStr">
        <ns0:is>
          <ns0:t>TSL-202609-057</ns0:t>
        </ns0:is>
      </ns0:c>
      <ns0:c r="C63" s="26" t="inlineStr">
        <ns0:is>
          <ns0:t>Narvadi Ticaret Örnek İşletme</ns0:t>
        </ns0:is>
      </ns0:c>
      <ns0:c r="D63" s="26" t="inlineStr">
        <ns0:is>
          <ns0:t>Gaziantep</ns0:t>
        </ns0:is>
      </ns0:c>
      <ns0:c r="E63" s="27" t="n">
        <ns0:v>10108.7</ns0:v>
      </ns0:c>
      <ns0:c r="F63" s="28" t="str">
        <ns0:f>IF(A63="","",YEAR(A63)&amp;"-"&amp;RIGHT("0"&amp;MONTH(A63),2))</ns0:f>
        <ns0:v>2026-09</ns0:v>
      </ns0:c>
    </ns0:row>
    <ns0:row r="64" ht="21" customHeight="1">
      <ns0:c r="A64" s="25" t="n">
        <ns0:v>46290</ns0:v>
      </ns0:c>
      <ns0:c r="B64" s="26" t="inlineStr">
        <ns0:is>
          <ns0:t>TSL-202609-061</ns0:t>
        </ns0:is>
      </ns0:c>
      <ns0:c r="C64" s="26" t="inlineStr">
        <ns0:is>
          <ns0:t>Yapriva Ticaret Örnek İşletme</ns0:t>
        </ns0:is>
      </ns0:c>
      <ns0:c r="D64" s="26" t="inlineStr">
        <ns0:is>
          <ns0:t>Antalya</ns0:t>
        </ns0:is>
      </ns0:c>
      <ns0:c r="E64" s="27" t="n">
        <ns0:v>4647.43</ns0:v>
      </ns0:c>
      <ns0:c r="F64" s="28" t="str">
        <ns0:f>IF(A64="","",YEAR(A64)&amp;"-"&amp;RIGHT("0"&amp;MONTH(A64),2))</ns0:f>
        <ns0:v>2026-09</ns0:v>
      </ns0:c>
    </ns0:row>
    <ns0:row r="65" ht="21" customHeight="1">
      <ns0:c r="A65" s="25" t="n">
        <ns0:v>46291</ns0:v>
      </ns0:c>
      <ns0:c r="B65" s="26" t="inlineStr">
        <ns0:is>
          <ns0:t>TSL-202609-033</ns0:t>
        </ns0:is>
      </ns0:c>
      <ns0:c r="C65" s="26" t="inlineStr">
        <ns0:is>
          <ns0:t>Morçatı Tedarik Örnek İşletme</ns0:t>
        </ns0:is>
      </ns0:c>
      <ns0:c r="D65" s="26" t="inlineStr">
        <ns0:is>
          <ns0:t>Sakarya</ns0:t>
        </ns0:is>
      </ns0:c>
      <ns0:c r="E65" s="27" t="n">
        <ns0:v>6791.3</ns0:v>
      </ns0:c>
      <ns0:c r="F65" s="28" t="str">
        <ns0:f>IF(A65="","",YEAR(A65)&amp;"-"&amp;RIGHT("0"&amp;MONTH(A65),2))</ns0:f>
        <ns0:v>2026-09</ns0:v>
      </ns0:c>
    </ns0:row>
    <ns0:row r="66" ht="21" customHeight="1">
      <ns0:c r="A66" s="25" t="n">
        <ns0:v>46291</ns0:v>
      </ns0:c>
      <ns0:c r="B66" s="26" t="inlineStr">
        <ns0:is>
          <ns0:t>TSL-202609-052</ns0:t>
        </ns0:is>
      </ns0:c>
      <ns0:c r="C66" s="26" t="inlineStr">
        <ns0:is>
          <ns0:t>Yapriva Ticaret Örnek İşletme</ns0:t>
        </ns0:is>
      </ns0:c>
      <ns0:c r="D66" s="26" t="inlineStr">
        <ns0:is>
          <ns0:t>Antalya</ns0:t>
        </ns0:is>
      </ns0:c>
      <ns0:c r="E66" s="27" t="n">
        <ns0:v>14296.55</ns0:v>
      </ns0:c>
      <ns0:c r="F66" s="28" t="str">
        <ns0:f>IF(A66="","",YEAR(A66)&amp;"-"&amp;RIGHT("0"&amp;MONTH(A66),2))</ns0:f>
        <ns0:v>2026-09</ns0:v>
      </ns0:c>
    </ns0:row>
    <ns0:row r="67" ht="21" customHeight="1">
      <ns0:c r="A67" s="25" t="n">
        <ns0:v>46291</ns0:v>
      </ns0:c>
      <ns0:c r="B67" s="26" t="inlineStr">
        <ns0:is>
          <ns0:t>TSL-202609-064</ns0:t>
        </ns0:is>
      </ns0:c>
      <ns0:c r="C67" s="26" t="inlineStr">
        <ns0:is>
          <ns0:t>Pusuyel Tedarik Örnek İşletme</ns0:t>
        </ns0:is>
      </ns0:c>
      <ns0:c r="D67" s="26" t="inlineStr">
        <ns0:is>
          <ns0:t>İzmir</ns0:t>
        </ns0:is>
      </ns0:c>
      <ns0:c r="E67" s="27" t="n">
        <ns0:v>3498.37</ns0:v>
      </ns0:c>
      <ns0:c r="F67" s="28" t="str">
        <ns0:f>IF(A67="","",YEAR(A67)&amp;"-"&amp;RIGHT("0"&amp;MONTH(A67),2))</ns0:f>
        <ns0:v>2026-09</ns0:v>
      </ns0:c>
    </ns0:row>
    <ns0:row r="68" ht="21" customHeight="1">
      <ns0:c r="A68" s="25" t="n">
        <ns0:v>46292</ns0:v>
      </ns0:c>
      <ns0:c r="B68" s="26" t="inlineStr">
        <ns0:is>
          <ns0:t>TSL-202609-062</ns0:t>
        </ns0:is>
      </ns0:c>
      <ns0:c r="C68" s="26" t="inlineStr">
        <ns0:is>
          <ns0:t>Kumvadi Tedarik Örnek İşletme</ns0:t>
        </ns0:is>
      </ns0:c>
      <ns0:c r="D68" s="26" t="inlineStr">
        <ns0:is>
          <ns0:t>İzmir</ns0:t>
        </ns0:is>
      </ns0:c>
      <ns0:c r="E68" s="27" t="n">
        <ns0:v>16397.13</ns0:v>
      </ns0:c>
      <ns0:c r="F68" s="28" t="str">
        <ns0:f>IF(A68="","",YEAR(A68)&amp;"-"&amp;RIGHT("0"&amp;MONTH(A68),2))</ns0:f>
        <ns0:v>2026-09</ns0:v>
      </ns0:c>
    </ns0:row>
    <ns0:row r="69" ht="21" customHeight="1">
      <ns0:c r="A69" s="25" t="n">
        <ns0:v>46293</ns0:v>
      </ns0:c>
      <ns0:c r="B69" s="26" t="inlineStr">
        <ns0:is>
          <ns0:t>TSL-202609-011</ns0:t>
        </ns0:is>
      </ns0:c>
      <ns0:c r="C69" s="26" t="inlineStr">
        <ns0:is>
          <ns0:t>Çiyrota Gıda Örnek İşletme</ns0:t>
        </ns0:is>
      </ns0:c>
      <ns0:c r="D69" s="26" t="inlineStr">
        <ns0:is>
          <ns0:t>İstanbul</ns0:t>
        </ns0:is>
      </ns0:c>
      <ns0:c r="E69" s="27" t="n">
        <ns0:v>5807.69</ns0:v>
      </ns0:c>
      <ns0:c r="F69" s="28" t="str">
        <ns0:f>IF(A69="","",YEAR(A69)&amp;"-"&amp;RIGHT("0"&amp;MONTH(A69),2))</ns0:f>
        <ns0:v>2026-09</ns0:v>
      </ns0:c>
    </ns0:row>
    <ns0:row r="70" ht="21" customHeight="1">
      <ns0:c r="A70" s="25" t="n">
        <ns0:v>46293</ns0:v>
      </ns0:c>
      <ns0:c r="B70" s="26" t="inlineStr">
        <ns0:is>
          <ns0:t>TSL-202609-018</ns0:t>
        </ns0:is>
      </ns0:c>
      <ns0:c r="C70" s="26" t="inlineStr">
        <ns0:is>
          <ns0:t>Zerova Tedarik Örnek İşletme</ns0:t>
        </ns0:is>
      </ns0:c>
      <ns0:c r="D70" s="26" t="inlineStr">
        <ns0:is>
          <ns0:t>Sakarya</ns0:t>
        </ns0:is>
      </ns0:c>
      <ns0:c r="E70" s="27" t="n">
        <ns0:v>12145.19</ns0:v>
      </ns0:c>
      <ns0:c r="F70" s="28" t="str">
        <ns0:f>IF(A70="","",YEAR(A70)&amp;"-"&amp;RIGHT("0"&amp;MONTH(A70),2))</ns0:f>
        <ns0:v>2026-09</ns0:v>
      </ns0:c>
    </ns0:row>
    <ns0:row r="71" ht="21" customHeight="1">
      <ns0:c r="A71" s="25" t="n">
        <ns0:v>46293</ns0:v>
      </ns0:c>
      <ns0:c r="B71" s="26" t="inlineStr">
        <ns0:is>
          <ns0:t>TSL-202609-046</ns0:t>
        </ns0:is>
      </ns0:c>
      <ns0:c r="C71" s="26" t="inlineStr">
        <ns0:is>
          <ns0:t>Tanyuva Gıda Örnek İşletme</ns0:t>
        </ns0:is>
      </ns0:c>
      <ns0:c r="D71" s="26" t="inlineStr">
        <ns0:is>
          <ns0:t>İstanbul</ns0:t>
        </ns0:is>
      </ns0:c>
      <ns0:c r="E71" s="27" t="n">
        <ns0:v>7913.67</ns0:v>
      </ns0:c>
      <ns0:c r="F71" s="28" t="str">
        <ns0:f>IF(A71="","",YEAR(A71)&amp;"-"&amp;RIGHT("0"&amp;MONTH(A71),2))</ns0:f>
        <ns0:v>2026-09</ns0:v>
      </ns0:c>
    </ns0:row>
    <ns0:row r="72" ht="21" customHeight="1">
      <ns0:c r="A72" s="25" t="n">
        <ns0:v>46297</ns0:v>
      </ns0:c>
      <ns0:c r="B72" s="26" t="inlineStr">
        <ns0:is>
          <ns0:t>TSL-202610-003</ns0:t>
        </ns0:is>
      </ns0:c>
      <ns0:c r="C72" s="26" t="inlineStr">
        <ns0:is>
          <ns0:t>Pusuyel Tedarik Örnek İşletme</ns0:t>
        </ns0:is>
      </ns0:c>
      <ns0:c r="D72" s="26" t="inlineStr">
        <ns0:is>
          <ns0:t>İzmir</ns0:t>
        </ns0:is>
      </ns0:c>
      <ns0:c r="E72" s="27" t="n">
        <ns0:v>16434.19</ns0:v>
      </ns0:c>
      <ns0:c r="F72" s="28" t="str">
        <ns0:f>IF(A72="","",YEAR(A72)&amp;"-"&amp;RIGHT("0"&amp;MONTH(A72),2))</ns0:f>
        <ns0:v>2026-10</ns0:v>
      </ns0:c>
    </ns0:row>
    <ns0:row r="73" ht="21" customHeight="1">
      <ns0:c r="A73" s="25" t="n">
        <ns0:v>46297</ns0:v>
      </ns0:c>
      <ns0:c r="B73" s="26" t="inlineStr">
        <ns0:is>
          <ns0:t>TSL-202610-005</ns0:t>
        </ns0:is>
      </ns0:c>
      <ns0:c r="C73" s="26" t="inlineStr">
        <ns0:is>
          <ns0:t>Ayvenk Ticaret Örnek İşletme</ns0:t>
        </ns0:is>
      </ns0:c>
      <ns0:c r="D73" s="26" t="inlineStr">
        <ns0:is>
          <ns0:t>Antalya</ns0:t>
        </ns0:is>
      </ns0:c>
      <ns0:c r="E73" s="27" t="n">
        <ns0:v>8927.469999999999</ns0:v>
      </ns0:c>
      <ns0:c r="F73" s="28" t="str">
        <ns0:f>IF(A73="","",YEAR(A73)&amp;"-"&amp;RIGHT("0"&amp;MONTH(A73),2))</ns0:f>
        <ns0:v>2026-10</ns0:v>
      </ns0:c>
    </ns0:row>
    <ns0:row r="74" ht="21" customHeight="1">
      <ns0:c r="A74" s="25" t="n">
        <ns0:v>46297</ns0:v>
      </ns0:c>
      <ns0:c r="B74" s="26" t="inlineStr">
        <ns0:is>
          <ns0:t>TSL-202610-010</ns0:t>
        </ns0:is>
      </ns0:c>
      <ns0:c r="C74" s="26" t="inlineStr">
        <ns0:is>
          <ns0:t>Narvadi Ticaret Örnek İşletme</ns0:t>
        </ns0:is>
      </ns0:c>
      <ns0:c r="D74" s="26" t="inlineStr">
        <ns0:is>
          <ns0:t>Gaziantep</ns0:t>
        </ns0:is>
      </ns0:c>
      <ns0:c r="E74" s="27" t="n">
        <ns0:v>18708.44</ns0:v>
      </ns0:c>
      <ns0:c r="F74" s="28" t="str">
        <ns0:f>IF(A74="","",YEAR(A74)&amp;"-"&amp;RIGHT("0"&amp;MONTH(A74),2))</ns0:f>
        <ns0:v>2026-10</ns0:v>
      </ns0:c>
    </ns0:row>
    <ns0:row r="75" ht="21" customHeight="1">
      <ns0:c r="A75" s="25" t="n">
        <ns0:v>46297</ns0:v>
      </ns0:c>
      <ns0:c r="B75" s="26" t="inlineStr">
        <ns0:is>
          <ns0:t>TSL-202610-021</ns0:t>
        </ns0:is>
      </ns0:c>
      <ns0:c r="C75" s="26" t="inlineStr">
        <ns0:is>
          <ns0:t>Tanyuva Gıda Örnek İşletme</ns0:t>
        </ns0:is>
      </ns0:c>
      <ns0:c r="D75" s="26" t="inlineStr">
        <ns0:is>
          <ns0:t>İstanbul</ns0:t>
        </ns0:is>
      </ns0:c>
      <ns0:c r="E75" s="27" t="n">
        <ns0:v>12049.79</ns0:v>
      </ns0:c>
      <ns0:c r="F75" s="28" t="str">
        <ns0:f>IF(A75="","",YEAR(A75)&amp;"-"&amp;RIGHT("0"&amp;MONTH(A75),2))</ns0:f>
        <ns0:v>2026-10</ns0:v>
      </ns0:c>
    </ns0:row>
    <ns0:row r="76" ht="21" customHeight="1">
      <ns0:c r="A76" s="25" t="n">
        <ns0:v>46297</ns0:v>
      </ns0:c>
      <ns0:c r="B76" s="26" t="inlineStr">
        <ns0:is>
          <ns0:t>TSL-202610-028</ns0:t>
        </ns0:is>
      </ns0:c>
      <ns0:c r="C76" s="26" t="inlineStr">
        <ns0:is>
          <ns0:t>Pusuyel Tedarik Örnek İşletme</ns0:t>
        </ns0:is>
      </ns0:c>
      <ns0:c r="D76" s="26" t="inlineStr">
        <ns0:is>
          <ns0:t>İzmir</ns0:t>
        </ns0:is>
      </ns0:c>
      <ns0:c r="E76" s="27" t="n">
        <ns0:v>16439.18</ns0:v>
      </ns0:c>
      <ns0:c r="F76" s="28" t="str">
        <ns0:f>IF(A76="","",YEAR(A76)&amp;"-"&amp;RIGHT("0"&amp;MONTH(A76),2))</ns0:f>
        <ns0:v>2026-10</ns0:v>
      </ns0:c>
    </ns0:row>
    <ns0:row r="77" ht="21" customHeight="1">
      <ns0:c r="A77" s="25" t="n">
        <ns0:v>46298</ns0:v>
      </ns0:c>
      <ns0:c r="B77" s="26" t="inlineStr">
        <ns0:is>
          <ns0:t>TSL-202610-009</ns0:t>
        </ns0:is>
      </ns0:c>
      <ns0:c r="C77" s="26" t="inlineStr">
        <ns0:is>
          <ns0:t>Gölvera Dağıtım Örnek İşletme</ns0:t>
        </ns0:is>
      </ns0:c>
      <ns0:c r="D77" s="26" t="inlineStr">
        <ns0:is>
          <ns0:t>Kayseri</ns0:t>
        </ns0:is>
      </ns0:c>
      <ns0:c r="E77" s="27" t="n">
        <ns0:v>4453.42</ns0:v>
      </ns0:c>
      <ns0:c r="F77" s="28" t="str">
        <ns0:f>IF(A77="","",YEAR(A77)&amp;"-"&amp;RIGHT("0"&amp;MONTH(A77),2))</ns0:f>
        <ns0:v>2026-10</ns0:v>
      </ns0:c>
    </ns0:row>
    <ns0:row r="78" ht="21" customHeight="1">
      <ns0:c r="A78" s="25" t="n">
        <ns0:v>46299</ns0:v>
      </ns0:c>
      <ns0:c r="B78" s="26" t="inlineStr">
        <ns0:is>
          <ns0:t>TSL-202610-037</ns0:t>
        </ns0:is>
      </ns0:c>
      <ns0:c r="C78" s="26" t="inlineStr">
        <ns0:is>
          <ns0:t>Bulutiz Market Örnek İşletme</ns0:t>
        </ns0:is>
      </ns0:c>
      <ns0:c r="D78" s="26" t="inlineStr">
        <ns0:is>
          <ns0:t>Ankara</ns0:t>
        </ns0:is>
      </ns0:c>
      <ns0:c r="E78" s="27" t="n">
        <ns0:v>15280.58</ns0:v>
      </ns0:c>
      <ns0:c r="F78" s="28" t="str">
        <ns0:f>IF(A78="","",YEAR(A78)&amp;"-"&amp;RIGHT("0"&amp;MONTH(A78),2))</ns0:f>
        <ns0:v>2026-10</ns0:v>
      </ns0:c>
    </ns0:row>
    <ns0:row r="79" ht="21" customHeight="1">
      <ns0:c r="A79" s="25" t="n">
        <ns0:v>46300</ns0:v>
      </ns0:c>
      <ns0:c r="B79" s="26" t="inlineStr">
        <ns0:is>
          <ns0:t>TSL-202610-027</ns0:t>
        </ns0:is>
      </ns0:c>
      <ns0:c r="C79" s="26" t="inlineStr">
        <ns0:is>
          <ns0:t>Düşova Market Örnek İşletme</ns0:t>
        </ns0:is>
      </ns0:c>
      <ns0:c r="D79" s="26" t="inlineStr">
        <ns0:is>
          <ns0:t>Ankara</ns0:t>
        </ns0:is>
      </ns0:c>
      <ns0:c r="E79" s="27" t="n">
        <ns0:v>4561.91</ns0:v>
      </ns0:c>
      <ns0:c r="F79" s="28" t="str">
        <ns0:f>IF(A79="","",YEAR(A79)&amp;"-"&amp;RIGHT("0"&amp;MONTH(A79),2))</ns0:f>
        <ns0:v>2026-10</ns0:v>
      </ns0:c>
    </ns0:row>
    <ns0:row r="80" ht="21" customHeight="1">
      <ns0:c r="A80" s="25" t="n">
        <ns0:v>46300</ns0:v>
      </ns0:c>
      <ns0:c r="B80" s="26" t="inlineStr">
        <ns0:is>
          <ns0:t>TSL-202610-035</ns0:t>
        </ns0:is>
      </ns0:c>
      <ns0:c r="C80" s="26" t="inlineStr">
        <ns0:is>
          <ns0:t>Narvadi Ticaret Örnek İşletme</ns0:t>
        </ns0:is>
      </ns0:c>
      <ns0:c r="D80" s="26" t="inlineStr">
        <ns0:is>
          <ns0:t>Gaziantep</ns0:t>
        </ns0:is>
      </ns0:c>
      <ns0:c r="E80" s="27" t="n">
        <ns0:v>18731.84</ns0:v>
      </ns0:c>
      <ns0:c r="F80" s="28" t="str">
        <ns0:f>IF(A80="","",YEAR(A80)&amp;"-"&amp;RIGHT("0"&amp;MONTH(A80),2))</ns0:f>
        <ns0:v>2026-10</ns0:v>
      </ns0:c>
    </ns0:row>
    <ns0:row r="81" ht="21" customHeight="1">
      <ns0:c r="A81" s="25" t="n">
        <ns0:v>46301</ns0:v>
      </ns0:c>
      <ns0:c r="B81" s="26" t="inlineStr">
        <ns0:is>
          <ns0:t>TSL-202610-007</ns0:t>
        </ns0:is>
      </ns0:c>
      <ns0:c r="C81" s="26" t="inlineStr">
        <ns0:is>
          <ns0:t>Yelmino Market Örnek İşletme</ns0:t>
        </ns0:is>
      </ns0:c>
      <ns0:c r="D81" s="26" t="inlineStr">
        <ns0:is>
          <ns0:t>Kocaeli</ns0:t>
        </ns0:is>
      </ns0:c>
      <ns0:c r="E81" s="27" t="n">
        <ns0:v>3263.85</ns0:v>
      </ns0:c>
      <ns0:c r="F81" s="28" t="str">
        <ns0:f>IF(A81="","",YEAR(A81)&amp;"-"&amp;RIGHT("0"&amp;MONTH(A81),2))</ns0:f>
        <ns0:v>2026-10</ns0:v>
      </ns0:c>
    </ns0:row>
    <ns0:row r="82" ht="21" customHeight="1">
      <ns0:c r="A82" s="25" t="n">
        <ns0:v>46301</ns0:v>
      </ns0:c>
      <ns0:c r="B82" s="26" t="inlineStr">
        <ns0:is>
          <ns0:t>TSL-202610-013</ns0:t>
        </ns0:is>
      </ns0:c>
      <ns0:c r="C82" s="26" t="inlineStr">
        <ns0:is>
          <ns0:t>Kervola Tedarik Örnek İşletme</ns0:t>
        </ns0:is>
      </ns0:c>
      <ns0:c r="D82" s="26" t="inlineStr">
        <ns0:is>
          <ns0:t>İzmir</ns0:t>
        </ns0:is>
      </ns0:c>
      <ns0:c r="E82" s="27" t="n">
        <ns0:v>17632.7</ns0:v>
      </ns0:c>
      <ns0:c r="F82" s="28" t="str">
        <ns0:f>IF(A82="","",YEAR(A82)&amp;"-"&amp;RIGHT("0"&amp;MONTH(A82),2))</ns0:f>
        <ns0:v>2026-10</ns0:v>
      </ns0:c>
    </ns0:row>
    <ns0:row r="83" ht="21" customHeight="1">
      <ns0:c r="A83" s="25" t="n">
        <ns0:v>46301</ns0:v>
      </ns0:c>
      <ns0:c r="B83" s="26" t="inlineStr">
        <ns0:is>
          <ns0:t>TSL-202610-042</ns0:t>
        </ns0:is>
      </ns0:c>
      <ns0:c r="C83" s="26" t="inlineStr">
        <ns0:is>
          <ns0:t>Koralin Market Örnek İşletme</ns0:t>
        </ns0:is>
      </ns0:c>
      <ns0:c r="D83" s="26" t="inlineStr">
        <ns0:is>
          <ns0:t>Kocaeli</ns0:t>
        </ns0:is>
      </ns0:c>
      <ns0:c r="E83" s="27" t="n">
        <ns0:v>18765.98</ns0:v>
      </ns0:c>
      <ns0:c r="F83" s="28" t="str">
        <ns0:f>IF(A83="","",YEAR(A83)&amp;"-"&amp;RIGHT("0"&amp;MONTH(A83),2))</ns0:f>
        <ns0:v>2026-10</ns0:v>
      </ns0:c>
    </ns0:row>
    <ns0:row r="84" ht="21" customHeight="1">
      <ns0:c r="A84" s="25" t="n">
        <ns0:v>46301</ns0:v>
      </ns0:c>
      <ns0:c r="B84" s="26" t="inlineStr">
        <ns0:is>
          <ns0:t>TSL-202610-068</ns0:t>
        </ns0:is>
      </ns0:c>
      <ns0:c r="C84" s="26" t="inlineStr">
        <ns0:is>
          <ns0:t>Kumsera Gıda Örnek İşletme</ns0:t>
        </ns0:is>
      </ns0:c>
      <ns0:c r="D84" s="26" t="inlineStr">
        <ns0:is>
          <ns0:t>Konya</ns0:t>
        </ns0:is>
      </ns0:c>
      <ns0:c r="E84" s="27" t="n">
        <ns0:v>6702.32</ns0:v>
      </ns0:c>
      <ns0:c r="F84" s="28" t="str">
        <ns0:f>IF(A84="","",YEAR(A84)&amp;"-"&amp;RIGHT("0"&amp;MONTH(A84),2))</ns0:f>
        <ns0:v>2026-10</ns0:v>
      </ns0:c>
    </ns0:row>
    <ns0:row r="85" ht="21" customHeight="1">
      <ns0:c r="A85" s="25" t="n">
        <ns0:v>46302</ns0:v>
      </ns0:c>
      <ns0:c r="B85" s="26" t="inlineStr">
        <ns0:is>
          <ns0:t>TSL-202610-059</ns0:t>
        </ns0:is>
      </ns0:c>
      <ns0:c r="C85" s="26" t="inlineStr">
        <ns0:is>
          <ns0:t>Gölvera Dağıtım Örnek İşletme</ns0:t>
        </ns0:is>
      </ns0:c>
      <ns0:c r="D85" s="26" t="inlineStr">
        <ns0:is>
          <ns0:t>Kayseri</ns0:t>
        </ns0:is>
      </ns0:c>
      <ns0:c r="E85" s="27" t="n">
        <ns0:v>13846.69</ns0:v>
      </ns0:c>
      <ns0:c r="F85" s="28" t="str">
        <ns0:f>IF(A85="","",YEAR(A85)&amp;"-"&amp;RIGHT("0"&amp;MONTH(A85),2))</ns0:f>
        <ns0:v>2026-10</ns0:v>
      </ns0:c>
    </ns0:row>
    <ns0:row r="86" ht="21" customHeight="1">
      <ns0:c r="A86" s="25" t="n">
        <ns0:v>46303</ns0:v>
      </ns0:c>
      <ns0:c r="B86" s="26" t="inlineStr">
        <ns0:is>
          <ns0:t>TSL-202610-043</ns0:t>
        </ns0:is>
      </ns0:c>
      <ns0:c r="C86" s="26" t="inlineStr">
        <ns0:is>
          <ns0:t>Zerova Tedarik Örnek İşletme</ns0:t>
        </ns0:is>
      </ns0:c>
      <ns0:c r="D86" s="26" t="inlineStr">
        <ns0:is>
          <ns0:t>Sakarya</ns0:t>
        </ns0:is>
      </ns0:c>
      <ns0:c r="E86" s="27" t="n">
        <ns0:v>11243.78</ns0:v>
      </ns0:c>
      <ns0:c r="F86" s="28" t="str">
        <ns0:f>IF(A86="","",YEAR(A86)&amp;"-"&amp;RIGHT("0"&amp;MONTH(A86),2))</ns0:f>
        <ns0:v>2026-10</ns0:v>
      </ns0:c>
    </ns0:row>
    <ns0:row r="87" ht="21" customHeight="1">
      <ns0:c r="A87" s="25" t="n">
        <ns0:v>46303</ns0:v>
      </ns0:c>
      <ns0:c r="B87" s="26" t="inlineStr">
        <ns0:is>
          <ns0:t>TSL-202610-063</ns0:t>
        </ns0:is>
      </ns0:c>
      <ns0:c r="C87" s="26" t="inlineStr">
        <ns0:is>
          <ns0:t>Kumvadi Tedarik Örnek İşletme</ns0:t>
        </ns0:is>
      </ns0:c>
      <ns0:c r="D87" s="26" t="inlineStr">
        <ns0:is>
          <ns0:t>İzmir</ns0:t>
        </ns0:is>
      </ns0:c>
      <ns0:c r="E87" s="27" t="n">
        <ns0:v>4027.78</ns0:v>
      </ns0:c>
      <ns0:c r="F87" s="28" t="str">
        <ns0:f>IF(A87="","",YEAR(A87)&amp;"-"&amp;RIGHT("0"&amp;MONTH(A87),2))</ns0:f>
        <ns0:v>2026-10</ns0:v>
      </ns0:c>
    </ns0:row>
    <ns0:row r="88" ht="21" customHeight="1">
      <ns0:c r="A88" s="25" t="n">
        <ns0:v>46304</ns0:v>
      </ns0:c>
      <ns0:c r="B88" s="26" t="inlineStr">
        <ns0:is>
          <ns0:t>TSL-202610-023</ns0:t>
        </ns0:is>
      </ns0:c>
      <ns0:c r="C88" s="26" t="inlineStr">
        <ns0:is>
          <ns0:t>Kumvadi Tedarik Örnek İşletme</ns0:t>
        </ns0:is>
      </ns0:c>
      <ns0:c r="D88" s="26" t="inlineStr">
        <ns0:is>
          <ns0:t>İzmir</ns0:t>
        </ns0:is>
      </ns0:c>
      <ns0:c r="E88" s="27" t="n">
        <ns0:v>5317.47</ns0:v>
      </ns0:c>
      <ns0:c r="F88" s="28" t="str">
        <ns0:f>IF(A88="","",YEAR(A88)&amp;"-"&amp;RIGHT("0"&amp;MONTH(A88),2))</ns0:f>
        <ns0:v>2026-10</ns0:v>
      </ns0:c>
    </ns0:row>
    <ns0:row r="89" ht="21" customHeight="1">
      <ns0:c r="A89" s="25" t="n">
        <ns0:v>46304</ns0:v>
      </ns0:c>
      <ns0:c r="B89" s="26" t="inlineStr">
        <ns0:is>
          <ns0:t>TSL-202610-038</ns0:t>
        </ns0:is>
      </ns0:c>
      <ns0:c r="C89" s="26" t="inlineStr">
        <ns0:is>
          <ns0:t>Kervola Tedarik Örnek İşletme</ns0:t>
        </ns0:is>
      </ns0:c>
      <ns0:c r="D89" s="26" t="inlineStr">
        <ns0:is>
          <ns0:t>İzmir</ns0:t>
        </ns0:is>
      </ns0:c>
      <ns0:c r="E89" s="27" t="n">
        <ns0:v>19092.34</ns0:v>
      </ns0:c>
      <ns0:c r="F89" s="28" t="str">
        <ns0:f>IF(A89="","",YEAR(A89)&amp;"-"&amp;RIGHT("0"&amp;MONTH(A89),2))</ns0:f>
        <ns0:v>2026-10</ns0:v>
      </ns0:c>
    </ns0:row>
    <ns0:row r="90" ht="21" customHeight="1">
      <ns0:c r="A90" s="25" t="n">
        <ns0:v>46304</ns0:v>
      </ns0:c>
      <ns0:c r="B90" s="26" t="inlineStr">
        <ns0:is>
          <ns0:t>TSL-202610-051</ns0:t>
        </ns0:is>
      </ns0:c>
      <ns0:c r="C90" s="26" t="inlineStr">
        <ns0:is>
          <ns0:t>Düşova Market Örnek İşletme</ns0:t>
        </ns0:is>
      </ns0:c>
      <ns0:c r="D90" s="26" t="inlineStr">
        <ns0:is>
          <ns0:t>Ankara</ns0:t>
        </ns0:is>
      </ns0:c>
      <ns0:c r="E90" s="27" t="n">
        <ns0:v>6486.21</ns0:v>
      </ns0:c>
      <ns0:c r="F90" s="28" t="str">
        <ns0:f>IF(A90="","",YEAR(A90)&amp;"-"&amp;RIGHT("0"&amp;MONTH(A90),2))</ns0:f>
        <ns0:v>2026-10</ns0:v>
      </ns0:c>
    </ns0:row>
    <ns0:row r="91" ht="21" customHeight="1">
      <ns0:c r="A91" s="25" t="n">
        <ns0:v>46305</ns0:v>
      </ns0:c>
      <ns0:c r="B91" s="26" t="inlineStr">
        <ns0:is>
          <ns0:t>TSL-202610-014</ns0:t>
        </ns0:is>
      </ns0:c>
      <ns0:c r="C91" s="26" t="inlineStr">
        <ns0:is>
          <ns0:t>Ayserin Dağıtım Örnek İşletme</ns0:t>
        </ns0:is>
      </ns0:c>
      <ns0:c r="D91" s="26" t="inlineStr">
        <ns0:is>
          <ns0:t>Bursa</ns0:t>
        </ns0:is>
      </ns0:c>
      <ns0:c r="E91" s="27" t="n">
        <ns0:v>11311.64</ns0:v>
      </ns0:c>
      <ns0:c r="F91" s="28" t="str">
        <ns0:f>IF(A91="","",YEAR(A91)&amp;"-"&amp;RIGHT("0"&amp;MONTH(A91),2))</ns0:f>
        <ns0:v>2026-10</ns0:v>
      </ns0:c>
    </ns0:row>
    <ns0:row r="92" ht="21" customHeight="1">
      <ns0:c r="A92" s="25" t="n">
        <ns0:v>46305</ns0:v>
      </ns0:c>
      <ns0:c r="B92" s="26" t="inlineStr">
        <ns0:is>
          <ns0:t>TSL-202610-054</ns0:t>
        </ns0:is>
      </ns0:c>
      <ns0:c r="C92" s="26" t="inlineStr">
        <ns0:is>
          <ns0:t>Koralin Market Örnek İşletme</ns0:t>
        </ns0:is>
      </ns0:c>
      <ns0:c r="D92" s="26" t="inlineStr">
        <ns0:is>
          <ns0:t>Kocaeli</ns0:t>
        </ns0:is>
      </ns0:c>
      <ns0:c r="E92" s="27" t="n">
        <ns0:v>5492.82</ns0:v>
      </ns0:c>
      <ns0:c r="F92" s="28" t="str">
        <ns0:f>IF(A92="","",YEAR(A92)&amp;"-"&amp;RIGHT("0"&amp;MONTH(A92),2))</ns0:f>
        <ns0:v>2026-10</ns0:v>
      </ns0:c>
    </ns0:row>
    <ns0:row r="93" ht="21" customHeight="1">
      <ns0:c r="A93" s="25" t="n">
        <ns0:v>46306</ns0:v>
      </ns0:c>
      <ns0:c r="B93" s="26" t="inlineStr">
        <ns0:is>
          <ns0:t>TSL-202610-004</ns0:t>
        </ns0:is>
      </ns0:c>
      <ns0:c r="C93" s="26" t="inlineStr">
        <ns0:is>
          <ns0:t>Çınariz Dağıtım Örnek İşletme</ns0:t>
        </ns0:is>
      </ns0:c>
      <ns0:c r="D93" s="26" t="inlineStr">
        <ns0:is>
          <ns0:t>Bursa</ns0:t>
        </ns0:is>
      </ns0:c>
      <ns0:c r="E93" s="27" t="n">
        <ns0:v>17922.76</ns0:v>
      </ns0:c>
      <ns0:c r="F93" s="28" t="str">
        <ns0:f>IF(A93="","",YEAR(A93)&amp;"-"&amp;RIGHT("0"&amp;MONTH(A93),2))</ns0:f>
        <ns0:v>2026-10</ns0:v>
      </ns0:c>
    </ns0:row>
    <ns0:row r="94" ht="21" customHeight="1">
      <ns0:c r="A94" s="25" t="n">
        <ns0:v>46306</ns0:v>
      </ns0:c>
      <ns0:c r="B94" s="26" t="inlineStr">
        <ns0:is>
          <ns0:t>TSL-202610-029</ns0:t>
        </ns0:is>
      </ns0:c>
      <ns0:c r="C94" s="26" t="inlineStr">
        <ns0:is>
          <ns0:t>Çınariz Dağıtım Örnek İşletme</ns0:t>
        </ns0:is>
      </ns0:c>
      <ns0:c r="D94" s="26" t="inlineStr">
        <ns0:is>
          <ns0:t>Bursa</ns0:t>
        </ns0:is>
      </ns0:c>
      <ns0:c r="E94" s="27" t="n">
        <ns0:v>12453.84</ns0:v>
      </ns0:c>
      <ns0:c r="F94" s="28" t="str">
        <ns0:f>IF(A94="","",YEAR(A94)&amp;"-"&amp;RIGHT("0"&amp;MONTH(A94),2))</ns0:f>
        <ns0:v>2026-10</ns0:v>
      </ns0:c>
    </ns0:row>
    <ns0:row r="95" ht="21" customHeight="1">
      <ns0:c r="A95" s="25" t="n">
        <ns0:v>46306</ns0:v>
      </ns0:c>
      <ns0:c r="B95" s="26" t="inlineStr">
        <ns0:is>
          <ns0:t>TSL-202610-052</ns0:t>
        </ns0:is>
      </ns0:c>
      <ns0:c r="C95" s="26" t="inlineStr">
        <ns0:is>
          <ns0:t>Ayvenk Ticaret Örnek İşletme</ns0:t>
        </ns0:is>
      </ns0:c>
      <ns0:c r="D95" s="26" t="inlineStr">
        <ns0:is>
          <ns0:t>Antalya</ns0:t>
        </ns0:is>
      </ns0:c>
      <ns0:c r="E95" s="27" t="n">
        <ns0:v>4602.19</ns0:v>
      </ns0:c>
      <ns0:c r="F95" s="28" t="str">
        <ns0:f>IF(A95="","",YEAR(A95)&amp;"-"&amp;RIGHT("0"&amp;MONTH(A95),2))</ns0:f>
        <ns0:v>2026-10</ns0:v>
      </ns0:c>
    </ns0:row>
    <ns0:row r="96" ht="21" customHeight="1">
      <ns0:c r="A96" s="25" t="n">
        <ns0:v>46306</ns0:v>
      </ns0:c>
      <ns0:c r="B96" s="26" t="inlineStr">
        <ns0:is>
          <ns0:t>TSL-202610-060</ns0:t>
        </ns0:is>
      </ns0:c>
      <ns0:c r="C96" s="26" t="inlineStr">
        <ns0:is>
          <ns0:t>Tanyuva Gıda Örnek İşletme</ns0:t>
        </ns0:is>
      </ns0:c>
      <ns0:c r="D96" s="26" t="inlineStr">
        <ns0:is>
          <ns0:t>İstanbul</ns0:t>
        </ns0:is>
      </ns0:c>
      <ns0:c r="E96" s="27" t="n">
        <ns0:v>7295.46</ns0:v>
      </ns0:c>
      <ns0:c r="F96" s="28" t="str">
        <ns0:f>IF(A96="","",YEAR(A96)&amp;"-"&amp;RIGHT("0"&amp;MONTH(A96),2))</ns0:f>
        <ns0:v>2026-10</ns0:v>
      </ns0:c>
    </ns0:row>
    <ns0:row r="97" ht="21" customHeight="1">
      <ns0:c r="A97" s="25" t="n">
        <ns0:v>46307</ns0:v>
      </ns0:c>
      <ns0:c r="B97" s="26" t="inlineStr">
        <ns0:is>
          <ns0:t>TSL-202610-015</ns0:t>
        </ns0:is>
      </ns0:c>
      <ns0:c r="C97" s="26" t="inlineStr">
        <ns0:is>
          <ns0:t>Yapriva Ticaret Örnek İşletme</ns0:t>
        </ns0:is>
      </ns0:c>
      <ns0:c r="D97" s="26" t="inlineStr">
        <ns0:is>
          <ns0:t>Antalya</ns0:t>
        </ns0:is>
      </ns0:c>
      <ns0:c r="E97" s="27" t="n">
        <ns0:v>4104.4</ns0:v>
      </ns0:c>
      <ns0:c r="F97" s="28" t="str">
        <ns0:f>IF(A97="","",YEAR(A97)&amp;"-"&amp;RIGHT("0"&amp;MONTH(A97),2))</ns0:f>
        <ns0:v>2026-10</ns0:v>
      </ns0:c>
    </ns0:row>
    <ns0:row r="98" ht="21" customHeight="1">
      <ns0:c r="A98" s="25" t="n">
        <ns0:v>46308</ns0:v>
      </ns0:c>
      <ns0:c r="B98" s="26" t="inlineStr">
        <ns0:is>
          <ns0:t>TSL-202610-058</ns0:t>
        </ns0:is>
      </ns0:c>
      <ns0:c r="C98" s="26" t="inlineStr">
        <ns0:is>
          <ns0:t>Narvadi Ticaret Örnek İşletme</ns0:t>
        </ns0:is>
      </ns0:c>
      <ns0:c r="D98" s="26" t="inlineStr">
        <ns0:is>
          <ns0:t>Gaziantep</ns0:t>
        </ns0:is>
      </ns0:c>
      <ns0:c r="E98" s="27" t="n">
        <ns0:v>16050.73</ns0:v>
      </ns0:c>
      <ns0:c r="F98" s="28" t="str">
        <ns0:f>IF(A98="","",YEAR(A98)&amp;"-"&amp;RIGHT("0"&amp;MONTH(A98),2))</ns0:f>
        <ns0:v>2026-10</ns0:v>
      </ns0:c>
    </ns0:row>
    <ns0:row r="99" ht="21" customHeight="1">
      <ns0:c r="A99" s="25" t="n">
        <ns0:v>46309</ns0:v>
      </ns0:c>
      <ns0:c r="B99" s="26" t="inlineStr">
        <ns0:is>
          <ns0:t>TSL-202610-022</ns0:t>
        </ns0:is>
      </ns0:c>
      <ns0:c r="C99" s="26" t="inlineStr">
        <ns0:is>
          <ns0:t>Erguven Market Örnek İşletme</ns0:t>
        </ns0:is>
      </ns0:c>
      <ns0:c r="D99" s="26" t="inlineStr">
        <ns0:is>
          <ns0:t>Ankara</ns0:t>
        </ns0:is>
      </ns0:c>
      <ns0:c r="E99" s="27" t="n">
        <ns0:v>7595.95</ns0:v>
      </ns0:c>
      <ns0:c r="F99" s="28" t="str">
        <ns0:f>IF(A99="","",YEAR(A99)&amp;"-"&amp;RIGHT("0"&amp;MONTH(A99),2))</ns0:f>
        <ns0:v>2026-10</ns0:v>
      </ns0:c>
    </ns0:row>
    <ns0:row r="100" ht="21" customHeight="1">
      <ns0:c r="A100" s="25" t="n">
        <ns0:v>46309</ns0:v>
      </ns0:c>
      <ns0:c r="B100" s="26" t="inlineStr">
        <ns0:is>
          <ns0:t>TSL-202610-057</ns0:t>
        </ns0:is>
      </ns0:c>
      <ns0:c r="C100" s="26" t="inlineStr">
        <ns0:is>
          <ns0:t>Lalrota Dağıtım Örnek İşletme</ns0:t>
        </ns0:is>
      </ns0:c>
      <ns0:c r="D100" s="26" t="inlineStr">
        <ns0:is>
          <ns0:t>Bursa</ns0:t>
        </ns0:is>
      </ns0:c>
      <ns0:c r="E100" s="27" t="n">
        <ns0:v>10584.77</ns0:v>
      </ns0:c>
      <ns0:c r="F100" s="28" t="str">
        <ns0:f>IF(A100="","",YEAR(A100)&amp;"-"&amp;RIGHT("0"&amp;MONTH(A100),2))</ns0:f>
        <ns0:v>2026-10</ns0:v>
      </ns0:c>
    </ns0:row>
    <ns0:row r="101" ht="21" customHeight="1">
      <ns0:c r="A101" s="25" t="n">
        <ns0:v>46309</ns0:v>
      </ns0:c>
      <ns0:c r="B101" s="26" t="inlineStr">
        <ns0:is>
          <ns0:t>TSL-202610-066</ns0:t>
        </ns0:is>
      </ns0:c>
      <ns0:c r="C101" s="26" t="inlineStr">
        <ns0:is>
          <ns0:t>Yelmino Market Örnek İşletme</ns0:t>
        </ns0:is>
      </ns0:c>
      <ns0:c r="D101" s="26" t="inlineStr">
        <ns0:is>
          <ns0:t>Kocaeli</ns0:t>
        </ns0:is>
      </ns0:c>
      <ns0:c r="E101" s="27" t="n">
        <ns0:v>8869.42</ns0:v>
      </ns0:c>
      <ns0:c r="F101" s="28" t="str">
        <ns0:f>IF(A101="","",YEAR(A101)&amp;"-"&amp;RIGHT("0"&amp;MONTH(A101),2))</ns0:f>
        <ns0:v>2026-10</ns0:v>
      </ns0:c>
    </ns0:row>
    <ns0:row r="102" ht="21" customHeight="1">
      <ns0:c r="A102" s="25" t="n">
        <ns0:v>46310</ns0:v>
      </ns0:c>
      <ns0:c r="B102" s="26" t="inlineStr">
        <ns0:is>
          <ns0:t>TSL-202610-044</ns0:t>
        </ns0:is>
      </ns0:c>
      <ns0:c r="C102" s="26" t="inlineStr">
        <ns0:is>
          <ns0:t>Ardılyel Dağıtım Örnek İşletme</ns0:t>
        </ns0:is>
      </ns0:c>
      <ns0:c r="D102" s="26" t="inlineStr">
        <ns0:is>
          <ns0:t>Kayseri</ns0:t>
        </ns0:is>
      </ns0:c>
      <ns0:c r="E102" s="27" t="n">
        <ns0:v>18130.56</ns0:v>
      </ns0:c>
      <ns0:c r="F102" s="28" t="str">
        <ns0:f>IF(A102="","",YEAR(A102)&amp;"-"&amp;RIGHT("0"&amp;MONTH(A102),2))</ns0:f>
        <ns0:v>2026-10</ns0:v>
      </ns0:c>
    </ns0:row>
    <ns0:row r="103" ht="21" customHeight="1">
      <ns0:c r="A103" s="25" t="n">
        <ns0:v>46310</ns0:v>
      </ns0:c>
      <ns0:c r="B103" s="26" t="inlineStr">
        <ns0:is>
          <ns0:t>TSL-202610-048</ns0:t>
        </ns0:is>
      </ns0:c>
      <ns0:c r="C103" s="26" t="inlineStr">
        <ns0:is>
          <ns0:t>Kumvadi Tedarik Örnek İşletme</ns0:t>
        </ns0:is>
      </ns0:c>
      <ns0:c r="D103" s="26" t="inlineStr">
        <ns0:is>
          <ns0:t>İzmir</ns0:t>
        </ns0:is>
      </ns0:c>
      <ns0:c r="E103" s="27" t="n">
        <ns0:v>14152.6</ns0:v>
      </ns0:c>
      <ns0:c r="F103" s="28" t="str">
        <ns0:f>IF(A103="","",YEAR(A103)&amp;"-"&amp;RIGHT("0"&amp;MONTH(A103),2))</ns0:f>
        <ns0:v>2026-10</ns0:v>
      </ns0:c>
    </ns0:row>
    <ns0:row r="104" ht="21" customHeight="1">
      <ns0:c r="A104" s="25" t="n">
        <ns0:v>46311</ns0:v>
      </ns0:c>
      <ns0:c r="B104" s="26" t="inlineStr">
        <ns0:is>
          <ns0:t>TSL-202610-002</ns0:t>
        </ns0:is>
      </ns0:c>
      <ns0:c r="C104" s="26" t="inlineStr">
        <ns0:is>
          <ns0:t>Düşova Market Örnek İşletme</ns0:t>
        </ns0:is>
      </ns0:c>
      <ns0:c r="D104" s="26" t="inlineStr">
        <ns0:is>
          <ns0:t>Ankara</ns0:t>
        </ns0:is>
      </ns0:c>
      <ns0:c r="E104" s="27" t="n">
        <ns0:v>14206.85</ns0:v>
      </ns0:c>
      <ns0:c r="F104" s="28" t="str">
        <ns0:f>IF(A104="","",YEAR(A104)&amp;"-"&amp;RIGHT("0"&amp;MONTH(A104),2))</ns0:f>
        <ns0:v>2026-10</ns0:v>
      </ns0:c>
    </ns0:row>
    <ns0:row r="105" ht="21" customHeight="1">
      <ns0:c r="A105" s="25" t="n">
        <ns0:v>46311</ns0:v>
      </ns0:c>
      <ns0:c r="B105" s="26" t="inlineStr">
        <ns0:is>
          <ns0:t>TSL-202610-049</ns0:t>
        </ns0:is>
      </ns0:c>
      <ns0:c r="C105" s="26" t="inlineStr">
        <ns0:is>
          <ns0:t>Lalrota Dağıtım Örnek İşletme</ns0:t>
        </ns0:is>
      </ns0:c>
      <ns0:c r="D105" s="26" t="inlineStr">
        <ns0:is>
          <ns0:t>Bursa</ns0:t>
        </ns0:is>
      </ns0:c>
      <ns0:c r="E105" s="27" t="n">
        <ns0:v>8104.96</ns0:v>
      </ns0:c>
      <ns0:c r="F105" s="28" t="str">
        <ns0:f>IF(A105="","",YEAR(A105)&amp;"-"&amp;RIGHT("0"&amp;MONTH(A105),2))</ns0:f>
        <ns0:v>2026-10</ns0:v>
      </ns0:c>
    </ns0:row>
    <ns0:row r="106" ht="21" customHeight="1">
      <ns0:c r="A106" s="25" t="n">
        <ns0:v>46311</ns0:v>
      </ns0:c>
      <ns0:c r="B106" s="26" t="inlineStr">
        <ns0:is>
          <ns0:t>TSL-202610-055</ns0:t>
        </ns0:is>
      </ns0:c>
      <ns0:c r="C106" s="26" t="inlineStr">
        <ns0:is>
          <ns0:t>Yelmino Market Örnek İşletme</ns0:t>
        </ns0:is>
      </ns0:c>
      <ns0:c r="D106" s="26" t="inlineStr">
        <ns0:is>
          <ns0:t>Kocaeli</ns0:t>
        </ns0:is>
      </ns0:c>
      <ns0:c r="E106" s="27" t="n">
        <ns0:v>11210.21</ns0:v>
      </ns0:c>
      <ns0:c r="F106" s="28" t="str">
        <ns0:f>IF(A106="","",YEAR(A106)&amp;"-"&amp;RIGHT("0"&amp;MONTH(A106),2))</ns0:f>
        <ns0:v>2026-10</ns0:v>
      </ns0:c>
    </ns0:row>
    <ns0:row r="107" ht="21" customHeight="1">
      <ns0:c r="A107" s="25" t="n">
        <ns0:v>46312</ns0:v>
      </ns0:c>
      <ns0:c r="B107" s="26" t="inlineStr">
        <ns0:is>
          <ns0:t>TSL-202610-016</ns0:t>
        </ns0:is>
      </ns0:c>
      <ns0:c r="C107" s="26" t="inlineStr">
        <ns0:is>
          <ns0:t>Denizova Gıda Örnek İşletme</ns0:t>
        </ns0:is>
      </ns0:c>
      <ns0:c r="D107" s="26" t="inlineStr">
        <ns0:is>
          <ns0:t>Konya</ns0:t>
        </ns0:is>
      </ns0:c>
      <ns0:c r="E107" s="27" t="n">
        <ns0:v>7740.37</ns0:v>
      </ns0:c>
      <ns0:c r="F107" s="28" t="str">
        <ns0:f>IF(A107="","",YEAR(A107)&amp;"-"&amp;RIGHT("0"&amp;MONTH(A107),2))</ns0:f>
        <ns0:v>2026-10</ns0:v>
      </ns0:c>
    </ns0:row>
    <ns0:row r="108" ht="21" customHeight="1">
      <ns0:c r="A108" s="25" t="n">
        <ns0:v>46312</ns0:v>
      </ns0:c>
      <ns0:c r="B108" s="26" t="inlineStr">
        <ns0:is>
          <ns0:t>TSL-202610-033</ns0:t>
        </ns0:is>
      </ns0:c>
      <ns0:c r="C108" s="26" t="inlineStr">
        <ns0:is>
          <ns0:t>Morçatı Tedarik Örnek İşletme</ns0:t>
        </ns0:is>
      </ns0:c>
      <ns0:c r="D108" s="26" t="inlineStr">
        <ns0:is>
          <ns0:t>Sakarya</ns0:t>
        </ns0:is>
      </ns0:c>
      <ns0:c r="E108" s="27" t="n">
        <ns0:v>17199.78</ns0:v>
      </ns0:c>
      <ns0:c r="F108" s="28" t="str">
        <ns0:f>IF(A108="","",YEAR(A108)&amp;"-"&amp;RIGHT("0"&amp;MONTH(A108),2))</ns0:f>
        <ns0:v>2026-10</ns0:v>
      </ns0:c>
    </ns0:row>
    <ns0:row r="109" ht="21" customHeight="1">
      <ns0:c r="A109" s="25" t="n">
        <ns0:v>46313</ns0:v>
      </ns0:c>
      <ns0:c r="B109" s="26" t="inlineStr">
        <ns0:is>
          <ns0:t>TSL-202610-006</ns0:t>
        </ns0:is>
      </ns0:c>
      <ns0:c r="C109" s="26" t="inlineStr">
        <ns0:is>
          <ns0:t>Kumsera Gıda Örnek İşletme</ns0:t>
        </ns0:is>
      </ns0:c>
      <ns0:c r="D109" s="26" t="inlineStr">
        <ns0:is>
          <ns0:t>Konya</ns0:t>
        </ns0:is>
      </ns0:c>
      <ns0:c r="E109" s="27" t="n">
        <ns0:v>16383.67</ns0:v>
      </ns0:c>
      <ns0:c r="F109" s="28" t="str">
        <ns0:f>IF(A109="","",YEAR(A109)&amp;"-"&amp;RIGHT("0"&amp;MONTH(A109),2))</ns0:f>
        <ns0:v>2026-10</ns0:v>
      </ns0:c>
    </ns0:row>
    <ns0:row r="110" ht="21" customHeight="1">
      <ns0:c r="A110" s="25" t="n">
        <ns0:v>46313</ns0:v>
      </ns0:c>
      <ns0:c r="B110" s="26" t="inlineStr">
        <ns0:is>
          <ns0:t>TSL-202610-040</ns0:t>
        </ns0:is>
      </ns0:c>
      <ns0:c r="C110" s="26" t="inlineStr">
        <ns0:is>
          <ns0:t>Yapriva Ticaret Örnek İşletme</ns0:t>
        </ns0:is>
      </ns0:c>
      <ns0:c r="D110" s="26" t="inlineStr">
        <ns0:is>
          <ns0:t>Antalya</ns0:t>
        </ns0:is>
      </ns0:c>
      <ns0:c r="E110" s="27" t="n">
        <ns0:v>5459.69</ns0:v>
      </ns0:c>
      <ns0:c r="F110" s="28" t="str">
        <ns0:f>IF(A110="","",YEAR(A110)&amp;"-"&amp;RIGHT("0"&amp;MONTH(A110),2))</ns0:f>
        <ns0:v>2026-10</ns0:v>
      </ns0:c>
    </ns0:row>
    <ns0:row r="111" ht="21" customHeight="1">
      <ns0:c r="A111" s="25" t="n">
        <ns0:v>46313</ns0:v>
      </ns0:c>
      <ns0:c r="B111" s="26" t="inlineStr">
        <ns0:is>
          <ns0:t>TSL-202610-050</ns0:t>
        </ns0:is>
      </ns0:c>
      <ns0:c r="C111" s="26" t="inlineStr">
        <ns0:is>
          <ns0:t>Çisenta Ticaret Örnek İşletme</ns0:t>
        </ns0:is>
      </ns0:c>
      <ns0:c r="D111" s="26" t="inlineStr">
        <ns0:is>
          <ns0:t>Antalya</ns0:t>
        </ns0:is>
      </ns0:c>
      <ns0:c r="E111" s="27" t="n">
        <ns0:v>8643.040000000001</ns0:v>
      </ns0:c>
      <ns0:c r="F111" s="28" t="str">
        <ns0:f>IF(A111="","",YEAR(A111)&amp;"-"&amp;RIGHT("0"&amp;MONTH(A111),2))</ns0:f>
        <ns0:v>2026-10</ns0:v>
      </ns0:c>
    </ns0:row>
    <ns0:row r="112" ht="21" customHeight="1">
      <ns0:c r="A112" s="25" t="n">
        <ns0:v>46313</ns0:v>
      </ns0:c>
      <ns0:c r="B112" s="26" t="inlineStr">
        <ns0:is>
          <ns0:t>TSL-202610-061</ns0:t>
        </ns0:is>
      </ns0:c>
      <ns0:c r="C112" s="26" t="inlineStr">
        <ns0:is>
          <ns0:t>Tanyuva Gıda Örnek İşletme</ns0:t>
        </ns0:is>
      </ns0:c>
      <ns0:c r="D112" s="26" t="inlineStr">
        <ns0:is>
          <ns0:t>İstanbul</ns0:t>
        </ns0:is>
      </ns0:c>
      <ns0:c r="E112" s="27" t="n">
        <ns0:v>5428.43</ns0:v>
      </ns0:c>
      <ns0:c r="F112" s="28" t="str">
        <ns0:f>IF(A112="","",YEAR(A112)&amp;"-"&amp;RIGHT("0"&amp;MONTH(A112),2))</ns0:f>
        <ns0:v>2026-10</ns0:v>
      </ns0:c>
    </ns0:row>
    <ns0:row r="113" ht="21" customHeight="1">
      <ns0:c r="A113" s="25" t="n">
        <ns0:v>46314</ns0:v>
      </ns0:c>
      <ns0:c r="B113" s="26" t="inlineStr">
        <ns0:is>
          <ns0:t>TSL-202610-017</ns0:t>
        </ns0:is>
      </ns0:c>
      <ns0:c r="C113" s="26" t="inlineStr">
        <ns0:is>
          <ns0:t>Koralin Market Örnek İşletme</ns0:t>
        </ns0:is>
      </ns0:c>
      <ns0:c r="D113" s="26" t="inlineStr">
        <ns0:is>
          <ns0:t>Kocaeli</ns0:t>
        </ns0:is>
      </ns0:c>
      <ns0:c r="E113" s="27" t="n">
        <ns0:v>4887.11</ns0:v>
      </ns0:c>
      <ns0:c r="F113" s="28" t="str">
        <ns0:f>IF(A113="","",YEAR(A113)&amp;"-"&amp;RIGHT("0"&amp;MONTH(A113),2))</ns0:f>
        <ns0:v>2026-10</ns0:v>
      </ns0:c>
    </ns0:row>
    <ns0:row r="114" ht="21" customHeight="1">
      <ns0:c r="A114" s="25" t="n">
        <ns0:v>46314</ns0:v>
      </ns0:c>
      <ns0:c r="B114" s="26" t="inlineStr">
        <ns0:is>
          <ns0:t>TSL-202610-030</ns0:t>
        </ns0:is>
      </ns0:c>
      <ns0:c r="C114" s="26" t="inlineStr">
        <ns0:is>
          <ns0:t>Ayvenk Ticaret Örnek İşletme</ns0:t>
        </ns0:is>
      </ns0:c>
      <ns0:c r="D114" s="26" t="inlineStr">
        <ns0:is>
          <ns0:t>Antalya</ns0:t>
        </ns0:is>
      </ns0:c>
      <ns0:c r="E114" s="27" t="n">
        <ns0:v>11474.52</ns0:v>
      </ns0:c>
      <ns0:c r="F114" s="28" t="str">
        <ns0:f>IF(A114="","",YEAR(A114)&amp;"-"&amp;RIGHT("0"&amp;MONTH(A114),2))</ns0:f>
        <ns0:v>2026-10</ns0:v>
      </ns0:c>
    </ns0:row>
    <ns0:row r="115" ht="21" customHeight="1">
      <ns0:c r="A115" s="25" t="n">
        <ns0:v>46314</ns0:v>
      </ns0:c>
      <ns0:c r="B115" s="26" t="inlineStr">
        <ns0:is>
          <ns0:t>TSL-202610-031</ns0:t>
        </ns0:is>
      </ns0:c>
      <ns0:c r="C115" s="26" t="inlineStr">
        <ns0:is>
          <ns0:t>Kumsera Gıda Örnek İşletme</ns0:t>
        </ns0:is>
      </ns0:c>
      <ns0:c r="D115" s="26" t="inlineStr">
        <ns0:is>
          <ns0:t>Konya</ns0:t>
        </ns0:is>
      </ns0:c>
      <ns0:c r="E115" s="27" t="n">
        <ns0:v>11464.62</ns0:v>
      </ns0:c>
      <ns0:c r="F115" s="28" t="str">
        <ns0:f>IF(A115="","",YEAR(A115)&amp;"-"&amp;RIGHT("0"&amp;MONTH(A115),2))</ns0:f>
        <ns0:v>2026-10</ns0:v>
      </ns0:c>
    </ns0:row>
    <ns0:row r="116" ht="21" customHeight="1">
      <ns0:c r="A116" s="25" t="n">
        <ns0:v>46314</ns0:v>
      </ns0:c>
      <ns0:c r="B116" s="26" t="inlineStr">
        <ns0:is>
          <ns0:t>TSL-202610-039</ns0:t>
        </ns0:is>
      </ns0:c>
      <ns0:c r="C116" s="26" t="inlineStr">
        <ns0:is>
          <ns0:t>Ayserin Dağıtım Örnek İşletme</ns0:t>
        </ns0:is>
      </ns0:c>
      <ns0:c r="D116" s="26" t="inlineStr">
        <ns0:is>
          <ns0:t>Bursa</ns0:t>
        </ns0:is>
      </ns0:c>
      <ns0:c r="E116" s="27" t="n">
        <ns0:v>9609.85</ns0:v>
      </ns0:c>
      <ns0:c r="F116" s="28" t="str">
        <ns0:f>IF(A116="","",YEAR(A116)&amp;"-"&amp;RIGHT("0"&amp;MONTH(A116),2))</ns0:f>
        <ns0:v>2026-10</ns0:v>
      </ns0:c>
    </ns0:row>
    <ns0:row r="117" ht="21" customHeight="1">
      <ns0:c r="A117" s="25" t="n">
        <ns0:v>46314</ns0:v>
      </ns0:c>
      <ns0:c r="B117" s="26" t="inlineStr">
        <ns0:is>
          <ns0:t>TSL-202610-062</ns0:t>
        </ns0:is>
      </ns0:c>
      <ns0:c r="C117" s="26" t="inlineStr">
        <ns0:is>
          <ns0:t>Kumsera Gıda Örnek İşletme</ns0:t>
        </ns0:is>
      </ns0:c>
      <ns0:c r="D117" s="26" t="inlineStr">
        <ns0:is>
          <ns0:t>Konya</ns0:t>
        </ns0:is>
      </ns0:c>
      <ns0:c r="E117" s="27" t="n">
        <ns0:v>12267.89</ns0:v>
      </ns0:c>
      <ns0:c r="F117" s="28" t="str">
        <ns0:f>IF(A117="","",YEAR(A117)&amp;"-"&amp;RIGHT("0"&amp;MONTH(A117),2))</ns0:f>
        <ns0:v>2026-10</ns0:v>
      </ns0:c>
    </ns0:row>
    <ns0:row r="118" ht="21" customHeight="1">
      <ns0:c r="A118" s="25" t="n">
        <ns0:v>46315</ns0:v>
      </ns0:c>
      <ns0:c r="B118" s="26" t="inlineStr">
        <ns0:is>
          <ns0:t>TSL-202610-018</ns0:t>
        </ns0:is>
      </ns0:c>
      <ns0:c r="C118" s="26" t="inlineStr">
        <ns0:is>
          <ns0:t>Zerova Tedarik Örnek İşletme</ns0:t>
        </ns0:is>
      </ns0:c>
      <ns0:c r="D118" s="26" t="inlineStr">
        <ns0:is>
          <ns0:t>Sakarya</ns0:t>
        </ns0:is>
      </ns0:c>
      <ns0:c r="E118" s="27" t="n">
        <ns0:v>5606.67</ns0:v>
      </ns0:c>
      <ns0:c r="F118" s="28" t="str">
        <ns0:f>IF(A118="","",YEAR(A118)&amp;"-"&amp;RIGHT("0"&amp;MONTH(A118),2))</ns0:f>
        <ns0:v>2026-10</ns0:v>
      </ns0:c>
    </ns0:row>
    <ns0:row r="119" ht="21" customHeight="1">
      <ns0:c r="A119" s="25" t="n">
        <ns0:v>46316</ns0:v>
      </ns0:c>
      <ns0:c r="B119" s="26" t="inlineStr">
        <ns0:is>
          <ns0:t>TSL-202610-011</ns0:t>
        </ns0:is>
      </ns0:c>
      <ns0:c r="C119" s="26" t="inlineStr">
        <ns0:is>
          <ns0:t>Çiyrota Gıda Örnek İşletme</ns0:t>
        </ns0:is>
      </ns0:c>
      <ns0:c r="D119" s="26" t="inlineStr">
        <ns0:is>
          <ns0:t>İstanbul</ns0:t>
        </ns0:is>
      </ns0:c>
      <ns0:c r="E119" s="27" t="n">
        <ns0:v>3418.92</ns0:v>
      </ns0:c>
      <ns0:c r="F119" s="28" t="str">
        <ns0:f>IF(A119="","",YEAR(A119)&amp;"-"&amp;RIGHT("0"&amp;MONTH(A119),2))</ns0:f>
        <ns0:v>2026-10</ns0:v>
      </ns0:c>
    </ns0:row>
    <ns0:row r="120" ht="21" customHeight="1">
      <ns0:c r="A120" s="25" t="n">
        <ns0:v>46316</ns0:v>
      </ns0:c>
      <ns0:c r="B120" s="26" t="inlineStr">
        <ns0:is>
          <ns0:t>TSL-202610-041</ns0:t>
        </ns0:is>
      </ns0:c>
      <ns0:c r="C120" s="26" t="inlineStr">
        <ns0:is>
          <ns0:t>Denizova Gıda Örnek İşletme</ns0:t>
        </ns0:is>
      </ns0:c>
      <ns0:c r="D120" s="26" t="inlineStr">
        <ns0:is>
          <ns0:t>Konya</ns0:t>
        </ns0:is>
      </ns0:c>
      <ns0:c r="E120" s="27" t="n">
        <ns0:v>15135.14</ns0:v>
      </ns0:c>
      <ns0:c r="F120" s="28" t="str">
        <ns0:f>IF(A120="","",YEAR(A120)&amp;"-"&amp;RIGHT("0"&amp;MONTH(A120),2))</ns0:f>
        <ns0:v>2026-10</ns0:v>
      </ns0:c>
    </ns0:row>
    <ns0:row r="121" ht="21" customHeight="1">
      <ns0:c r="A121" s="25" t="n">
        <ns0:v>46316</ns0:v>
      </ns0:c>
      <ns0:c r="B121" s="26" t="inlineStr">
        <ns0:is>
          <ns0:t>TSL-202610-064</ns0:t>
        </ns0:is>
      </ns0:c>
      <ns0:c r="C121" s="26" t="inlineStr">
        <ns0:is>
          <ns0:t>Ayserin Dağıtım Örnek İşletme</ns0:t>
        </ns0:is>
      </ns0:c>
      <ns0:c r="D121" s="26" t="inlineStr">
        <ns0:is>
          <ns0:t>Bursa</ns0:t>
        </ns0:is>
      </ns0:c>
      <ns0:c r="E121" s="27" t="n">
        <ns0:v>15084.54</ns0:v>
      </ns0:c>
      <ns0:c r="F121" s="28" t="str">
        <ns0:f>IF(A121="","",YEAR(A121)&amp;"-"&amp;RIGHT("0"&amp;MONTH(A121),2))</ns0:f>
        <ns0:v>2026-10</ns0:v>
      </ns0:c>
    </ns0:row>
    <ns0:row r="122" ht="21" customHeight="1">
      <ns0:c r="A122" s="25" t="n">
        <ns0:v>46316</ns0:v>
      </ns0:c>
      <ns0:c r="B122" s="26" t="inlineStr">
        <ns0:is>
          <ns0:t>TSL-202610-070</ns0:t>
        </ns0:is>
      </ns0:c>
      <ns0:c r="C122" s="26" t="inlineStr">
        <ns0:is>
          <ns0:t>Kumvadi Tedarik Örnek İşletme</ns0:t>
        </ns0:is>
      </ns0:c>
      <ns0:c r="D122" s="26" t="inlineStr">
        <ns0:is>
          <ns0:t>İzmir</ns0:t>
        </ns0:is>
      </ns0:c>
      <ns0:c r="E122" s="27" t="n">
        <ns0:v>16770.23</ns0:v>
      </ns0:c>
      <ns0:c r="F122" s="28" t="str">
        <ns0:f>IF(A122="","",YEAR(A122)&amp;"-"&amp;RIGHT("0"&amp;MONTH(A122),2))</ns0:f>
        <ns0:v>2026-10</ns0:v>
      </ns0:c>
    </ns0:row>
    <ns0:row r="123" ht="21" customHeight="1">
      <ns0:c r="A123" s="25" t="n">
        <ns0:v>46317</ns0:v>
      </ns0:c>
      <ns0:c r="B123" s="26" t="inlineStr">
        <ns0:is>
          <ns0:t>TSL-202610-036</ns0:t>
        </ns0:is>
      </ns0:c>
      <ns0:c r="C123" s="26" t="inlineStr">
        <ns0:is>
          <ns0:t>Çiyrota Gıda Örnek İşletme</ns0:t>
        </ns0:is>
      </ns0:c>
      <ns0:c r="D123" s="26" t="inlineStr">
        <ns0:is>
          <ns0:t>İstanbul</ns0:t>
        </ns0:is>
      </ns0:c>
      <ns0:c r="E123" s="27" t="n">
        <ns0:v>5357.96</ns0:v>
      </ns0:c>
      <ns0:c r="F123" s="28" t="str">
        <ns0:f>IF(A123="","",YEAR(A123)&amp;"-"&amp;RIGHT("0"&amp;MONTH(A123),2))</ns0:f>
        <ns0:v>2026-10</ns0:v>
      </ns0:c>
    </ns0:row>
    <ns0:row r="124" ht="21" customHeight="1">
      <ns0:c r="A124" s="25" t="n">
        <ns0:v>46317</ns0:v>
      </ns0:c>
      <ns0:c r="B124" s="26" t="inlineStr">
        <ns0:is>
          <ns0:t>TSL-202610-046</ns0:t>
        </ns0:is>
      </ns0:c>
      <ns0:c r="C124" s="26" t="inlineStr">
        <ns0:is>
          <ns0:t>Tanyuva Gıda Örnek İşletme</ns0:t>
        </ns0:is>
      </ns0:c>
      <ns0:c r="D124" s="26" t="inlineStr">
        <ns0:is>
          <ns0:t>İstanbul</ns0:t>
        </ns0:is>
      </ns0:c>
      <ns0:c r="E124" s="27" t="n">
        <ns0:v>3688.35</ns0:v>
      </ns0:c>
      <ns0:c r="F124" s="28" t="str">
        <ns0:f>IF(A124="","",YEAR(A124)&amp;"-"&amp;RIGHT("0"&amp;MONTH(A124),2))</ns0:f>
        <ns0:v>2026-10</ns0:v>
      </ns0:c>
    </ns0:row>
    <ns0:row r="125" ht="21" customHeight="1">
      <ns0:c r="A125" s="25" t="n">
        <ns0:v>46317</ns0:v>
      </ns0:c>
      <ns0:c r="B125" s="26" t="inlineStr">
        <ns0:is>
          <ns0:t>TSL-202610-065</ns0:t>
        </ns0:is>
      </ns0:c>
      <ns0:c r="C125" s="26" t="inlineStr">
        <ns0:is>
          <ns0:t>Tanyuva Gıda Örnek İşletme</ns0:t>
        </ns0:is>
      </ns0:c>
      <ns0:c r="D125" s="26" t="inlineStr">
        <ns0:is>
          <ns0:t>İstanbul</ns0:t>
        </ns0:is>
      </ns0:c>
      <ns0:c r="E125" s="27" t="n">
        <ns0:v>15755.14</ns0:v>
      </ns0:c>
      <ns0:c r="F125" s="28" t="str">
        <ns0:f>IF(A125="","",YEAR(A125)&amp;"-"&amp;RIGHT("0"&amp;MONTH(A125),2))</ns0:f>
        <ns0:v>2026-10</ns0:v>
      </ns0:c>
    </ns0:row>
    <ns0:row r="126" ht="21" customHeight="1">
      <ns0:c r="A126" s="25" t="n">
        <ns0:v>46318</ns0:v>
      </ns0:c>
      <ns0:c r="B126" s="26" t="inlineStr">
        <ns0:is>
          <ns0:t>TSL-202610-012</ns0:t>
        </ns0:is>
      </ns0:c>
      <ns0:c r="C126" s="26" t="inlineStr">
        <ns0:is>
          <ns0:t>Bulutiz Market Örnek İşletme</ns0:t>
        </ns0:is>
      </ns0:c>
      <ns0:c r="D126" s="26" t="inlineStr">
        <ns0:is>
          <ns0:t>Ankara</ns0:t>
        </ns0:is>
      </ns0:c>
      <ns0:c r="E126" s="27" t="n">
        <ns0:v>8915.99</ns0:v>
      </ns0:c>
      <ns0:c r="F126" s="28" t="str">
        <ns0:f>IF(A126="","",YEAR(A126)&amp;"-"&amp;RIGHT("0"&amp;MONTH(A126),2))</ns0:f>
        <ns0:v>2026-10</ns0:v>
      </ns0:c>
    </ns0:row>
    <ns0:row r="127" ht="21" customHeight="1">
      <ns0:c r="A127" s="25" t="n">
        <ns0:v>46318</ns0:v>
      </ns0:c>
      <ns0:c r="B127" s="26" t="inlineStr">
        <ns0:is>
          <ns0:t>TSL-202610-026</ns0:t>
        </ns0:is>
      </ns0:c>
      <ns0:c r="C127" s="26" t="inlineStr">
        <ns0:is>
          <ns0:t>Mavidal Gıda Örnek İşletme</ns0:t>
        </ns0:is>
      </ns0:c>
      <ns0:c r="D127" s="26" t="inlineStr">
        <ns0:is>
          <ns0:t>İstanbul</ns0:t>
        </ns0:is>
      </ns0:c>
      <ns0:c r="E127" s="27" t="n">
        <ns0:v>3793.83</ns0:v>
      </ns0:c>
      <ns0:c r="F127" s="28" t="str">
        <ns0:f>IF(A127="","",YEAR(A127)&amp;"-"&amp;RIGHT("0"&amp;MONTH(A127),2))</ns0:f>
        <ns0:v>2026-10</ns0:v>
      </ns0:c>
    </ns0:row>
    <ns0:row r="128" ht="21" customHeight="1">
      <ns0:c r="A128" s="25" t="n">
        <ns0:v>46318</ns0:v>
      </ns0:c>
      <ns0:c r="B128" s="26" t="inlineStr">
        <ns0:is>
          <ns0:t>TSL-202610-053</ns0:t>
        </ns0:is>
      </ns0:c>
      <ns0:c r="C128" s="26" t="inlineStr">
        <ns0:is>
          <ns0:t>Zerova Tedarik Örnek İşletme</ns0:t>
        </ns0:is>
      </ns0:c>
      <ns0:c r="D128" s="26" t="inlineStr">
        <ns0:is>
          <ns0:t>Sakarya</ns0:t>
        </ns0:is>
      </ns0:c>
      <ns0:c r="E128" s="27" t="n">
        <ns0:v>15698.04</ns0:v>
      </ns0:c>
      <ns0:c r="F128" s="28" t="str">
        <ns0:f>IF(A128="","",YEAR(A128)&amp;"-"&amp;RIGHT("0"&amp;MONTH(A128),2))</ns0:f>
        <ns0:v>2026-10</ns0:v>
      </ns0:c>
    </ns0:row>
    <ns0:row r="129" ht="21" customHeight="1">
      <ns0:c r="A129" s="25" t="n">
        <ns0:v>46319</ns0:v>
      </ns0:c>
      <ns0:c r="B129" s="26" t="inlineStr">
        <ns0:is>
          <ns0:t>TSL-202610-024</ns0:t>
        </ns0:is>
      </ns0:c>
      <ns0:c r="C129" s="26" t="inlineStr">
        <ns0:is>
          <ns0:t>Lalrota Dağıtım Örnek İşletme</ns0:t>
        </ns0:is>
      </ns0:c>
      <ns0:c r="D129" s="26" t="inlineStr">
        <ns0:is>
          <ns0:t>Bursa</ns0:t>
        </ns0:is>
      </ns0:c>
      <ns0:c r="E129" s="27" t="n">
        <ns0:v>18004.42</ns0:v>
      </ns0:c>
      <ns0:c r="F129" s="28" t="str">
        <ns0:f>IF(A129="","",YEAR(A129)&amp;"-"&amp;RIGHT("0"&amp;MONTH(A129),2))</ns0:f>
        <ns0:v>2026-10</ns0:v>
      </ns0:c>
    </ns0:row>
    <ns0:row r="130" ht="21" customHeight="1">
      <ns0:c r="A130" s="25" t="n">
        <ns0:v>46319</ns0:v>
      </ns0:c>
      <ns0:c r="B130" s="26" t="inlineStr">
        <ns0:is>
          <ns0:t>TSL-202610-025</ns0:t>
        </ns0:is>
      </ns0:c>
      <ns0:c r="C130" s="26" t="inlineStr">
        <ns0:is>
          <ns0:t>Çisenta Ticaret Örnek İşletme</ns0:t>
        </ns0:is>
      </ns0:c>
      <ns0:c r="D130" s="26" t="inlineStr">
        <ns0:is>
          <ns0:t>Antalya</ns0:t>
        </ns0:is>
      </ns0:c>
      <ns0:c r="E130" s="27" t="n">
        <ns0:v>16255.98</ns0:v>
      </ns0:c>
      <ns0:c r="F130" s="28" t="str">
        <ns0:f>IF(A130="","",YEAR(A130)&amp;"-"&amp;RIGHT("0"&amp;MONTH(A130),2))</ns0:f>
        <ns0:v>2026-10</ns0:v>
      </ns0:c>
    </ns0:row>
    <ns0:row r="131" ht="21" customHeight="1">
      <ns0:c r="A131" s="25" t="n">
        <ns0:v>46319</ns0:v>
      </ns0:c>
      <ns0:c r="B131" s="26" t="inlineStr">
        <ns0:is>
          <ns0:t>TSL-202610-045</ns0:t>
        </ns0:is>
      </ns0:c>
      <ns0:c r="C131" s="26" t="inlineStr">
        <ns0:is>
          <ns0:t>Günsera Ticaret Örnek İşletme</ns0:t>
        </ns0:is>
      </ns0:c>
      <ns0:c r="D131" s="26" t="inlineStr">
        <ns0:is>
          <ns0:t>Gaziantep</ns0:t>
        </ns0:is>
      </ns0:c>
      <ns0:c r="E131" s="27" t="n">
        <ns0:v>14967.88</ns0:v>
      </ns0:c>
      <ns0:c r="F131" s="28" t="str">
        <ns0:f>IF(A131="","",YEAR(A131)&amp;"-"&amp;RIGHT("0"&amp;MONTH(A131),2))</ns0:f>
        <ns0:v>2026-10</ns0:v>
      </ns0:c>
    </ns0:row>
    <ns0:row r="132" ht="21" customHeight="1">
      <ns0:c r="A132" s="25" t="n">
        <ns0:v>46320</ns0:v>
      </ns0:c>
      <ns0:c r="B132" s="26" t="inlineStr">
        <ns0:is>
          <ns0:t>TSL-202610-032</ns0:t>
        </ns0:is>
      </ns0:c>
      <ns0:c r="C132" s="26" t="inlineStr">
        <ns0:is>
          <ns0:t>Yelmino Market Örnek İşletme</ns0:t>
        </ns0:is>
      </ns0:c>
      <ns0:c r="D132" s="26" t="inlineStr">
        <ns0:is>
          <ns0:t>Kocaeli</ns0:t>
        </ns0:is>
      </ns0:c>
      <ns0:c r="E132" s="27" t="n">
        <ns0:v>14866.32</ns0:v>
      </ns0:c>
      <ns0:c r="F132" s="28" t="str">
        <ns0:f>IF(A132="","",YEAR(A132)&amp;"-"&amp;RIGHT("0"&amp;MONTH(A132),2))</ns0:f>
        <ns0:v>2026-10</ns0:v>
      </ns0:c>
    </ns0:row>
    <ns0:row r="133" ht="21" customHeight="1">
      <ns0:c r="A133" s="25" t="n">
        <ns0:v>46320</ns0:v>
      </ns0:c>
      <ns0:c r="B133" s="26" t="inlineStr">
        <ns0:is>
          <ns0:t>TSL-202610-047</ns0:t>
        </ns0:is>
      </ns0:c>
      <ns0:c r="C133" s="26" t="inlineStr">
        <ns0:is>
          <ns0:t>Erguven Market Örnek İşletme</ns0:t>
        </ns0:is>
      </ns0:c>
      <ns0:c r="D133" s="26" t="inlineStr">
        <ns0:is>
          <ns0:t>Ankara</ns0:t>
        </ns0:is>
      </ns0:c>
      <ns0:c r="E133" s="27" t="n">
        <ns0:v>11910.2</ns0:v>
      </ns0:c>
      <ns0:c r="F133" s="28" t="str">
        <ns0:f>IF(A133="","",YEAR(A133)&amp;"-"&amp;RIGHT("0"&amp;MONTH(A133),2))</ns0:f>
        <ns0:v>2026-10</ns0:v>
      </ns0:c>
    </ns0:row>
    <ns0:row r="134" ht="21" customHeight="1">
      <ns0:c r="A134" s="25" t="n">
        <ns0:v>46320</ns0:v>
      </ns0:c>
      <ns0:c r="B134" s="26" t="inlineStr">
        <ns0:is>
          <ns0:t>TSL-202610-069</ns0:t>
        </ns0:is>
      </ns0:c>
      <ns0:c r="C134" s="26" t="inlineStr">
        <ns0:is>
          <ns0:t>Çınariz Dağıtım Örnek İşletme</ns0:t>
        </ns0:is>
      </ns0:c>
      <ns0:c r="D134" s="26" t="inlineStr">
        <ns0:is>
          <ns0:t>Bursa</ns0:t>
        </ns0:is>
      </ns0:c>
      <ns0:c r="E134" s="27" t="n">
        <ns0:v>4508.98</ns0:v>
      </ns0:c>
      <ns0:c r="F134" s="28" t="str">
        <ns0:f>IF(A134="","",YEAR(A134)&amp;"-"&amp;RIGHT("0"&amp;MONTH(A134),2))</ns0:f>
        <ns0:v>2026-10</ns0:v>
      </ns0:c>
    </ns0:row>
    <ns0:row r="135" ht="21" customHeight="1">
      <ns0:c r="A135" s="25" t="n">
        <ns0:v>46321</ns0:v>
      </ns0:c>
      <ns0:c r="B135" s="26" t="inlineStr">
        <ns0:is>
          <ns0:t>TSL-202610-001</ns0:t>
        </ns0:is>
      </ns0:c>
      <ns0:c r="C135" s="26" t="inlineStr">
        <ns0:is>
          <ns0:t>Mavidal Gıda Örnek İşletme</ns0:t>
        </ns0:is>
      </ns0:c>
      <ns0:c r="D135" s="26" t="inlineStr">
        <ns0:is>
          <ns0:t>İstanbul</ns0:t>
        </ns0:is>
      </ns0:c>
      <ns0:c r="E135" s="27" t="n">
        <ns0:v>9302.07</ns0:v>
      </ns0:c>
      <ns0:c r="F135" s="28" t="str">
        <ns0:f>IF(A135="","",YEAR(A135)&amp;"-"&amp;RIGHT("0"&amp;MONTH(A135),2))</ns0:f>
        <ns0:v>2026-10</ns0:v>
      </ns0:c>
    </ns0:row>
    <ns0:row r="136" ht="21" customHeight="1">
      <ns0:c r="A136" s="25" t="n">
        <ns0:v>46321</ns0:v>
      </ns0:c>
      <ns0:c r="B136" s="26" t="inlineStr">
        <ns0:is>
          <ns0:t>TSL-202610-067</ns0:t>
        </ns0:is>
      </ns0:c>
      <ns0:c r="C136" s="26" t="inlineStr">
        <ns0:is>
          <ns0:t>Kumsera Gıda Örnek İşletme</ns0:t>
        </ns0:is>
      </ns0:c>
      <ns0:c r="D136" s="26" t="inlineStr">
        <ns0:is>
          <ns0:t>Konya</ns0:t>
        </ns0:is>
      </ns0:c>
      <ns0:c r="E136" s="27" t="n">
        <ns0:v>18979.35</ns0:v>
      </ns0:c>
      <ns0:c r="F136" s="28" t="str">
        <ns0:f>IF(A136="","",YEAR(A136)&amp;"-"&amp;RIGHT("0"&amp;MONTH(A136),2))</ns0:f>
        <ns0:v>2026-10</ns0:v>
      </ns0:c>
    </ns0:row>
    <ns0:row r="137" ht="21" customHeight="1">
      <ns0:c r="A137" s="25" t="n">
        <ns0:v>46322</ns0:v>
      </ns0:c>
      <ns0:c r="B137" s="26" t="inlineStr">
        <ns0:is>
          <ns0:t>TSL-202610-020</ns0:t>
        </ns0:is>
      </ns0:c>
      <ns0:c r="C137" s="26" t="inlineStr">
        <ns0:is>
          <ns0:t>Günsera Ticaret Örnek İşletme</ns0:t>
        </ns0:is>
      </ns0:c>
      <ns0:c r="D137" s="26" t="inlineStr">
        <ns0:is>
          <ns0:t>Gaziantep</ns0:t>
        </ns0:is>
      </ns0:c>
      <ns0:c r="E137" s="27" t="n">
        <ns0:v>3408.9</ns0:v>
      </ns0:c>
      <ns0:c r="F137" s="28" t="str">
        <ns0:f>IF(A137="","",YEAR(A137)&amp;"-"&amp;RIGHT("0"&amp;MONTH(A137),2))</ns0:f>
        <ns0:v>2026-10</ns0:v>
      </ns0:c>
    </ns0:row>
    <ns0:row r="138" ht="21" customHeight="1">
      <ns0:c r="A138" s="25" t="n">
        <ns0:v>46323</ns0:v>
      </ns0:c>
      <ns0:c r="B138" s="26" t="inlineStr">
        <ns0:is>
          <ns0:t>TSL-202610-008</ns0:t>
        </ns0:is>
      </ns0:c>
      <ns0:c r="C138" s="26" t="inlineStr">
        <ns0:is>
          <ns0:t>Morçatı Tedarik Örnek İşletme</ns0:t>
        </ns0:is>
      </ns0:c>
      <ns0:c r="D138" s="26" t="inlineStr">
        <ns0:is>
          <ns0:t>Sakarya</ns0:t>
        </ns0:is>
      </ns0:c>
      <ns0:c r="E138" s="27" t="n">
        <ns0:v>15045.67</ns0:v>
      </ns0:c>
      <ns0:c r="F138" s="28" t="str">
        <ns0:f>IF(A138="","",YEAR(A138)&amp;"-"&amp;RIGHT("0"&amp;MONTH(A138),2))</ns0:f>
        <ns0:v>2026-10</ns0:v>
      </ns0:c>
    </ns0:row>
    <ns0:row r="139" ht="21" customHeight="1">
      <ns0:c r="A139" s="25" t="n">
        <ns0:v>46323</ns0:v>
      </ns0:c>
      <ns0:c r="B139" s="26" t="inlineStr">
        <ns0:is>
          <ns0:t>TSL-202610-019</ns0:t>
        </ns0:is>
      </ns0:c>
      <ns0:c r="C139" s="26" t="inlineStr">
        <ns0:is>
          <ns0:t>Ardılyel Dağıtım Örnek İşletme</ns0:t>
        </ns0:is>
      </ns0:c>
      <ns0:c r="D139" s="26" t="inlineStr">
        <ns0:is>
          <ns0:t>Kayseri</ns0:t>
        </ns0:is>
      </ns0:c>
      <ns0:c r="E139" s="27" t="n">
        <ns0:v>7543.31</ns0:v>
      </ns0:c>
      <ns0:c r="F139" s="28" t="str">
        <ns0:f>IF(A139="","",YEAR(A139)&amp;"-"&amp;RIGHT("0"&amp;MONTH(A139),2))</ns0:f>
        <ns0:v>2026-10</ns0:v>
      </ns0:c>
    </ns0:row>
    <ns0:row r="140" ht="21" customHeight="1">
      <ns0:c r="A140" s="25" t="n">
        <ns0:v>46323</ns0:v>
      </ns0:c>
      <ns0:c r="B140" s="26" t="inlineStr">
        <ns0:is>
          <ns0:t>TSL-202610-034</ns0:t>
        </ns0:is>
      </ns0:c>
      <ns0:c r="C140" s="26" t="inlineStr">
        <ns0:is>
          <ns0:t>Gölvera Dağıtım Örnek İşletme</ns0:t>
        </ns0:is>
      </ns0:c>
      <ns0:c r="D140" s="26" t="inlineStr">
        <ns0:is>
          <ns0:t>Kayseri</ns0:t>
        </ns0:is>
      </ns0:c>
      <ns0:c r="E140" s="27" t="n">
        <ns0:v>14999.26</ns0:v>
      </ns0:c>
      <ns0:c r="F140" s="28" t="str">
        <ns0:f>IF(A140="","",YEAR(A140)&amp;"-"&amp;RIGHT("0"&amp;MONTH(A140),2))</ns0:f>
        <ns0:v>2026-10</ns0:v>
      </ns0:c>
    </ns0:row>
    <ns0:row r="141" ht="21" customHeight="1">
      <ns0:c r="A141" s="25" t="n">
        <ns0:v>46323</ns0:v>
      </ns0:c>
      <ns0:c r="B141" s="26" t="inlineStr">
        <ns0:is>
          <ns0:t>TSL-202610-056</ns0:t>
        </ns0:is>
      </ns0:c>
      <ns0:c r="C141" s="26" t="inlineStr">
        <ns0:is>
          <ns0:t>Kumvadi Tedarik Örnek İşletme</ns0:t>
        </ns0:is>
      </ns0:c>
      <ns0:c r="D141" s="26" t="inlineStr">
        <ns0:is>
          <ns0:t>İzmir</ns0:t>
        </ns0:is>
      </ns0:c>
      <ns0:c r="E141" s="27" t="n">
        <ns0:v>12993.1</ns0:v>
      </ns0:c>
      <ns0:c r="F141" s="28" t="str">
        <ns0:f>IF(A141="","",YEAR(A141)&amp;"-"&amp;RIGHT("0"&amp;MONTH(A141),2))</ns0:f>
        <ns0:v>2026-10</ns0:v>
      </ns0:c>
    </ns0:row>
    <ns0:row r="142" ht="21" customHeight="1">
      <ns0:c r="A142" s="25" t="n"/>
      <ns0:c r="B142" s="26" t="n"/>
      <ns0:c r="C142" s="26" t="n"/>
      <ns0:c r="D142" s="26" t="n"/>
      <ns0:c r="E142" s="27" t="n"/>
      <ns0:c r="F142" s="28" t="str">
        <ns0:f>IF(A142="","",YEAR(A142)&amp;"-"&amp;RIGHT("0"&amp;MONTH(A142),2))</ns0:f>
        <ns0:v/>
      </ns0:c>
    </ns0:row>
    <ns0:row r="143" ht="21" customHeight="1">
      <ns0:c r="A143" s="25" t="n"/>
      <ns0:c r="B143" s="26" t="n"/>
      <ns0:c r="C143" s="26" t="n"/>
      <ns0:c r="D143" s="26" t="n"/>
      <ns0:c r="E143" s="27" t="n"/>
      <ns0:c r="F143" s="28" t="str">
        <ns0:f>IF(A143="","",YEAR(A143)&amp;"-"&amp;RIGHT("0"&amp;MONTH(A143),2))</ns0:f>
        <ns0:v/>
      </ns0:c>
    </ns0:row>
    <ns0:row r="144" ht="21" customHeight="1">
      <ns0:c r="A144" s="25" t="n"/>
      <ns0:c r="B144" s="26" t="n"/>
      <ns0:c r="C144" s="26" t="n"/>
      <ns0:c r="D144" s="26" t="n"/>
      <ns0:c r="E144" s="27" t="n"/>
      <ns0:c r="F144" s="28" t="str">
        <ns0:f>IF(A144="","",YEAR(A144)&amp;"-"&amp;RIGHT("0"&amp;MONTH(A144),2))</ns0:f>
        <ns0:v/>
      </ns0:c>
    </ns0:row>
    <ns0:row r="145" ht="21" customHeight="1">
      <ns0:c r="A145" s="25" t="n"/>
      <ns0:c r="B145" s="26" t="n"/>
      <ns0:c r="C145" s="26" t="n"/>
      <ns0:c r="D145" s="26" t="n"/>
      <ns0:c r="E145" s="27" t="n"/>
      <ns0:c r="F145" s="28" t="str">
        <ns0:f>IF(A145="","",YEAR(A145)&amp;"-"&amp;RIGHT("0"&amp;MONTH(A145),2))</ns0:f>
        <ns0:v/>
      </ns0:c>
    </ns0:row>
    <ns0:row r="146" ht="21" customHeight="1">
      <ns0:c r="A146" s="25" t="n"/>
      <ns0:c r="B146" s="26" t="n"/>
      <ns0:c r="C146" s="26" t="n"/>
      <ns0:c r="D146" s="26" t="n"/>
      <ns0:c r="E146" s="27" t="n"/>
      <ns0:c r="F146" s="28" t="str">
        <ns0:f>IF(A146="","",YEAR(A146)&amp;"-"&amp;RIGHT("0"&amp;MONTH(A146),2))</ns0:f>
        <ns0:v/>
      </ns0:c>
    </ns0:row>
    <ns0:row r="147" ht="21" customHeight="1">
      <ns0:c r="A147" s="25" t="n"/>
      <ns0:c r="B147" s="26" t="n"/>
      <ns0:c r="C147" s="26" t="n"/>
      <ns0:c r="D147" s="26" t="n"/>
      <ns0:c r="E147" s="27" t="n"/>
      <ns0:c r="F147" s="28" t="str">
        <ns0:f>IF(A147="","",YEAR(A147)&amp;"-"&amp;RIGHT("0"&amp;MONTH(A147),2))</ns0:f>
        <ns0:v/>
      </ns0:c>
    </ns0:row>
    <ns0:row r="148" ht="21" customHeight="1">
      <ns0:c r="A148" s="25" t="n"/>
      <ns0:c r="B148" s="26" t="n"/>
      <ns0:c r="C148" s="26" t="n"/>
      <ns0:c r="D148" s="26" t="n"/>
      <ns0:c r="E148" s="27" t="n"/>
      <ns0:c r="F148" s="28" t="str">
        <ns0:f>IF(A148="","",YEAR(A148)&amp;"-"&amp;RIGHT("0"&amp;MONTH(A148),2))</ns0:f>
        <ns0:v/>
      </ns0:c>
    </ns0:row>
    <ns0:row r="149" ht="21" customHeight="1">
      <ns0:c r="A149" s="25" t="n"/>
      <ns0:c r="B149" s="26" t="n"/>
      <ns0:c r="C149" s="26" t="n"/>
      <ns0:c r="D149" s="26" t="n"/>
      <ns0:c r="E149" s="27" t="n"/>
      <ns0:c r="F149" s="28" t="str">
        <ns0:f>IF(A149="","",YEAR(A149)&amp;"-"&amp;RIGHT("0"&amp;MONTH(A149),2))</ns0:f>
        <ns0:v/>
      </ns0:c>
    </ns0:row>
    <ns0:row r="150" ht="21" customHeight="1">
      <ns0:c r="A150" s="25" t="n"/>
      <ns0:c r="B150" s="26" t="n"/>
      <ns0:c r="C150" s="26" t="n"/>
      <ns0:c r="D150" s="26" t="n"/>
      <ns0:c r="E150" s="27" t="n"/>
      <ns0:c r="F150" s="28" t="str">
        <ns0:f>IF(A150="","",YEAR(A150)&amp;"-"&amp;RIGHT("0"&amp;MONTH(A150),2))</ns0:f>
        <ns0:v/>
      </ns0:c>
    </ns0:row>
    <ns0:row r="151" ht="21" customHeight="1">
      <ns0:c r="A151" s="25" t="n"/>
      <ns0:c r="B151" s="26" t="n"/>
      <ns0:c r="C151" s="26" t="n"/>
      <ns0:c r="D151" s="26" t="n"/>
      <ns0:c r="E151" s="27" t="n"/>
      <ns0:c r="F151" s="28" t="str">
        <ns0:f>IF(A151="","",YEAR(A151)&amp;"-"&amp;RIGHT("0"&amp;MONTH(A151),2))</ns0:f>
        <ns0:v/>
      </ns0:c>
    </ns0:row>
    <ns0:row r="152" ht="21" customHeight="1">
      <ns0:c r="A152" s="25" t="n"/>
      <ns0:c r="B152" s="26" t="n"/>
      <ns0:c r="C152" s="26" t="n"/>
      <ns0:c r="D152" s="26" t="n"/>
      <ns0:c r="E152" s="27" t="n"/>
      <ns0:c r="F152" s="28" t="str">
        <ns0:f>IF(A152="","",YEAR(A152)&amp;"-"&amp;RIGHT("0"&amp;MONTH(A152),2))</ns0:f>
        <ns0:v/>
      </ns0:c>
    </ns0:row>
    <ns0:row r="153" ht="21" customHeight="1">
      <ns0:c r="A153" s="25" t="n"/>
      <ns0:c r="B153" s="26" t="n"/>
      <ns0:c r="C153" s="26" t="n"/>
      <ns0:c r="D153" s="26" t="n"/>
      <ns0:c r="E153" s="27" t="n"/>
      <ns0:c r="F153" s="28" t="str">
        <ns0:f>IF(A153="","",YEAR(A153)&amp;"-"&amp;RIGHT("0"&amp;MONTH(A153),2))</ns0:f>
        <ns0:v/>
      </ns0:c>
    </ns0:row>
    <ns0:row r="154" ht="21" customHeight="1">
      <ns0:c r="A154" s="25" t="n"/>
      <ns0:c r="B154" s="26" t="n"/>
      <ns0:c r="C154" s="26" t="n"/>
      <ns0:c r="D154" s="26" t="n"/>
      <ns0:c r="E154" s="27" t="n"/>
      <ns0:c r="F154" s="28" t="str">
        <ns0:f>IF(A154="","",YEAR(A154)&amp;"-"&amp;RIGHT("0"&amp;MONTH(A154),2))</ns0:f>
        <ns0:v/>
      </ns0:c>
    </ns0:row>
    <ns0:row r="155" ht="21" customHeight="1">
      <ns0:c r="A155" s="25" t="n"/>
      <ns0:c r="B155" s="26" t="n"/>
      <ns0:c r="C155" s="26" t="n"/>
      <ns0:c r="D155" s="26" t="n"/>
      <ns0:c r="E155" s="27" t="n"/>
      <ns0:c r="F155" s="28" t="str">
        <ns0:f>IF(A155="","",YEAR(A155)&amp;"-"&amp;RIGHT("0"&amp;MONTH(A155),2))</ns0:f>
        <ns0:v/>
      </ns0:c>
    </ns0:row>
    <ns0:row r="156" ht="21" customHeight="1">
      <ns0:c r="A156" s="25" t="n"/>
      <ns0:c r="B156" s="26" t="n"/>
      <ns0:c r="C156" s="26" t="n"/>
      <ns0:c r="D156" s="26" t="n"/>
      <ns0:c r="E156" s="27" t="n"/>
      <ns0:c r="F156" s="28" t="str">
        <ns0:f>IF(A156="","",YEAR(A156)&amp;"-"&amp;RIGHT("0"&amp;MONTH(A156),2))</ns0:f>
        <ns0:v/>
      </ns0:c>
    </ns0:row>
    <ns0:row r="157" ht="21" customHeight="1">
      <ns0:c r="A157" s="25" t="n"/>
      <ns0:c r="B157" s="26" t="n"/>
      <ns0:c r="C157" s="26" t="n"/>
      <ns0:c r="D157" s="26" t="n"/>
      <ns0:c r="E157" s="27" t="n"/>
      <ns0:c r="F157" s="28" t="str">
        <ns0:f>IF(A157="","",YEAR(A157)&amp;"-"&amp;RIGHT("0"&amp;MONTH(A157),2))</ns0:f>
        <ns0:v/>
      </ns0:c>
    </ns0:row>
    <ns0:row r="158" ht="21" customHeight="1">
      <ns0:c r="A158" s="25" t="n"/>
      <ns0:c r="B158" s="26" t="n"/>
      <ns0:c r="C158" s="26" t="n"/>
      <ns0:c r="D158" s="26" t="n"/>
      <ns0:c r="E158" s="27" t="n"/>
      <ns0:c r="F158" s="28" t="str">
        <ns0:f>IF(A158="","",YEAR(A158)&amp;"-"&amp;RIGHT("0"&amp;MONTH(A158),2))</ns0:f>
        <ns0:v/>
      </ns0:c>
    </ns0:row>
    <ns0:row r="159" ht="21" customHeight="1">
      <ns0:c r="A159" s="25" t="n"/>
      <ns0:c r="B159" s="26" t="n"/>
      <ns0:c r="C159" s="26" t="n"/>
      <ns0:c r="D159" s="26" t="n"/>
      <ns0:c r="E159" s="27" t="n"/>
      <ns0:c r="F159" s="28" t="str">
        <ns0:f>IF(A159="","",YEAR(A159)&amp;"-"&amp;RIGHT("0"&amp;MONTH(A159),2))</ns0:f>
        <ns0:v/>
      </ns0:c>
    </ns0:row>
    <ns0:row r="160" ht="21" customHeight="1">
      <ns0:c r="A160" s="25" t="n"/>
      <ns0:c r="B160" s="26" t="n"/>
      <ns0:c r="C160" s="26" t="n"/>
      <ns0:c r="D160" s="26" t="n"/>
      <ns0:c r="E160" s="27" t="n"/>
      <ns0:c r="F160" s="28" t="str">
        <ns0:f>IF(A160="","",YEAR(A160)&amp;"-"&amp;RIGHT("0"&amp;MONTH(A160),2))</ns0:f>
        <ns0:v/>
      </ns0:c>
    </ns0:row>
    <ns0:row r="161" ht="21" customHeight="1">
      <ns0:c r="A161" s="25" t="n"/>
      <ns0:c r="B161" s="26" t="n"/>
      <ns0:c r="C161" s="26" t="n"/>
      <ns0:c r="D161" s="26" t="n"/>
      <ns0:c r="E161" s="27" t="n"/>
      <ns0:c r="F161" s="28" t="str">
        <ns0:f>IF(A161="","",YEAR(A161)&amp;"-"&amp;RIGHT("0"&amp;MONTH(A161),2))</ns0:f>
        <ns0:v/>
      </ns0:c>
    </ns0:row>
    <ns0:row r="162" ht="21" customHeight="1">
      <ns0:c r="A162" s="25" t="n"/>
      <ns0:c r="B162" s="26" t="n"/>
      <ns0:c r="C162" s="26" t="n"/>
      <ns0:c r="D162" s="26" t="n"/>
      <ns0:c r="E162" s="27" t="n"/>
      <ns0:c r="F162" s="28" t="str">
        <ns0:f>IF(A162="","",YEAR(A162)&amp;"-"&amp;RIGHT("0"&amp;MONTH(A162),2))</ns0:f>
        <ns0:v/>
      </ns0:c>
    </ns0:row>
    <ns0:row r="163" ht="21" customHeight="1">
      <ns0:c r="A163" s="25" t="n"/>
      <ns0:c r="B163" s="26" t="n"/>
      <ns0:c r="C163" s="26" t="n"/>
      <ns0:c r="D163" s="26" t="n"/>
      <ns0:c r="E163" s="27" t="n"/>
      <ns0:c r="F163" s="28" t="str">
        <ns0:f>IF(A163="","",YEAR(A163)&amp;"-"&amp;RIGHT("0"&amp;MONTH(A163),2))</ns0:f>
        <ns0:v/>
      </ns0:c>
    </ns0:row>
    <ns0:row r="164" ht="21" customHeight="1">
      <ns0:c r="A164" s="25" t="n"/>
      <ns0:c r="B164" s="26" t="n"/>
      <ns0:c r="C164" s="26" t="n"/>
      <ns0:c r="D164" s="26" t="n"/>
      <ns0:c r="E164" s="27" t="n"/>
      <ns0:c r="F164" s="28" t="str">
        <ns0:f>IF(A164="","",YEAR(A164)&amp;"-"&amp;RIGHT("0"&amp;MONTH(A164),2))</ns0:f>
        <ns0:v/>
      </ns0:c>
    </ns0:row>
    <ns0:row r="165" ht="21" customHeight="1">
      <ns0:c r="A165" s="25" t="n"/>
      <ns0:c r="B165" s="26" t="n"/>
      <ns0:c r="C165" s="26" t="n"/>
      <ns0:c r="D165" s="26" t="n"/>
      <ns0:c r="E165" s="27" t="n"/>
      <ns0:c r="F165" s="28" t="str">
        <ns0:f>IF(A165="","",YEAR(A165)&amp;"-"&amp;RIGHT("0"&amp;MONTH(A165),2))</ns0:f>
        <ns0:v/>
      </ns0:c>
    </ns0:row>
    <ns0:row r="166" ht="21" customHeight="1">
      <ns0:c r="A166" s="25" t="n"/>
      <ns0:c r="B166" s="26" t="n"/>
      <ns0:c r="C166" s="26" t="n"/>
      <ns0:c r="D166" s="26" t="n"/>
      <ns0:c r="E166" s="27" t="n"/>
      <ns0:c r="F166" s="28" t="str">
        <ns0:f>IF(A166="","",YEAR(A166)&amp;"-"&amp;RIGHT("0"&amp;MONTH(A166),2))</ns0:f>
        <ns0:v/>
      </ns0:c>
    </ns0:row>
    <ns0:row r="167" ht="21" customHeight="1">
      <ns0:c r="A167" s="25" t="n"/>
      <ns0:c r="B167" s="26" t="n"/>
      <ns0:c r="C167" s="26" t="n"/>
      <ns0:c r="D167" s="26" t="n"/>
      <ns0:c r="E167" s="27" t="n"/>
      <ns0:c r="F167" s="28" t="str">
        <ns0:f>IF(A167="","",YEAR(A167)&amp;"-"&amp;RIGHT("0"&amp;MONTH(A167),2))</ns0:f>
        <ns0:v/>
      </ns0:c>
    </ns0:row>
    <ns0:row r="168" ht="21" customHeight="1">
      <ns0:c r="A168" s="25" t="n"/>
      <ns0:c r="B168" s="26" t="n"/>
      <ns0:c r="C168" s="26" t="n"/>
      <ns0:c r="D168" s="26" t="n"/>
      <ns0:c r="E168" s="27" t="n"/>
      <ns0:c r="F168" s="28" t="str">
        <ns0:f>IF(A168="","",YEAR(A168)&amp;"-"&amp;RIGHT("0"&amp;MONTH(A168),2))</ns0:f>
        <ns0:v/>
      </ns0:c>
    </ns0:row>
    <ns0:row r="169" ht="21" customHeight="1">
      <ns0:c r="A169" s="25" t="n"/>
      <ns0:c r="B169" s="26" t="n"/>
      <ns0:c r="C169" s="26" t="n"/>
      <ns0:c r="D169" s="26" t="n"/>
      <ns0:c r="E169" s="27" t="n"/>
      <ns0:c r="F169" s="28" t="str">
        <ns0:f>IF(A169="","",YEAR(A169)&amp;"-"&amp;RIGHT("0"&amp;MONTH(A169),2))</ns0:f>
        <ns0:v/>
      </ns0:c>
    </ns0:row>
    <ns0:row r="170" ht="21" customHeight="1">
      <ns0:c r="A170" s="25" t="n"/>
      <ns0:c r="B170" s="26" t="n"/>
      <ns0:c r="C170" s="26" t="n"/>
      <ns0:c r="D170" s="26" t="n"/>
      <ns0:c r="E170" s="27" t="n"/>
      <ns0:c r="F170" s="28" t="str">
        <ns0:f>IF(A170="","",YEAR(A170)&amp;"-"&amp;RIGHT("0"&amp;MONTH(A170),2))</ns0:f>
        <ns0:v/>
      </ns0:c>
    </ns0:row>
    <ns0:row r="171" ht="21" customHeight="1">
      <ns0:c r="A171" s="25" t="n"/>
      <ns0:c r="B171" s="26" t="n"/>
      <ns0:c r="C171" s="26" t="n"/>
      <ns0:c r="D171" s="26" t="n"/>
      <ns0:c r="E171" s="27" t="n"/>
      <ns0:c r="F171" s="28" t="str">
        <ns0:f>IF(A171="","",YEAR(A171)&amp;"-"&amp;RIGHT("0"&amp;MONTH(A171),2))</ns0:f>
        <ns0:v/>
      </ns0:c>
    </ns0:row>
    <ns0:row r="172" ht="21" customHeight="1">
      <ns0:c r="A172" s="25" t="n"/>
      <ns0:c r="B172" s="26" t="n"/>
      <ns0:c r="C172" s="26" t="n"/>
      <ns0:c r="D172" s="26" t="n"/>
      <ns0:c r="E172" s="27" t="n"/>
      <ns0:c r="F172" s="28" t="str">
        <ns0:f>IF(A172="","",YEAR(A172)&amp;"-"&amp;RIGHT("0"&amp;MONTH(A172),2))</ns0:f>
        <ns0:v/>
      </ns0:c>
    </ns0:row>
    <ns0:row r="173" ht="21" customHeight="1">
      <ns0:c r="A173" s="25" t="n"/>
      <ns0:c r="B173" s="26" t="n"/>
      <ns0:c r="C173" s="26" t="n"/>
      <ns0:c r="D173" s="26" t="n"/>
      <ns0:c r="E173" s="27" t="n"/>
      <ns0:c r="F173" s="28" t="str">
        <ns0:f>IF(A173="","",YEAR(A173)&amp;"-"&amp;RIGHT("0"&amp;MONTH(A173),2))</ns0:f>
        <ns0:v/>
      </ns0:c>
    </ns0:row>
    <ns0:row r="174" ht="21" customHeight="1">
      <ns0:c r="A174" s="25" t="n"/>
      <ns0:c r="B174" s="26" t="n"/>
      <ns0:c r="C174" s="26" t="n"/>
      <ns0:c r="D174" s="26" t="n"/>
      <ns0:c r="E174" s="27" t="n"/>
      <ns0:c r="F174" s="28" t="str">
        <ns0:f>IF(A174="","",YEAR(A174)&amp;"-"&amp;RIGHT("0"&amp;MONTH(A174),2))</ns0:f>
        <ns0:v/>
      </ns0:c>
    </ns0:row>
    <ns0:row r="175" ht="21" customHeight="1">
      <ns0:c r="A175" s="25" t="n"/>
      <ns0:c r="B175" s="26" t="n"/>
      <ns0:c r="C175" s="26" t="n"/>
      <ns0:c r="D175" s="26" t="n"/>
      <ns0:c r="E175" s="27" t="n"/>
      <ns0:c r="F175" s="28" t="str">
        <ns0:f>IF(A175="","",YEAR(A175)&amp;"-"&amp;RIGHT("0"&amp;MONTH(A175),2))</ns0:f>
        <ns0:v/>
      </ns0:c>
    </ns0:row>
    <ns0:row r="176" ht="21" customHeight="1">
      <ns0:c r="A176" s="25" t="n"/>
      <ns0:c r="B176" s="26" t="n"/>
      <ns0:c r="C176" s="26" t="n"/>
      <ns0:c r="D176" s="26" t="n"/>
      <ns0:c r="E176" s="27" t="n"/>
      <ns0:c r="F176" s="28" t="str">
        <ns0:f>IF(A176="","",YEAR(A176)&amp;"-"&amp;RIGHT("0"&amp;MONTH(A176),2))</ns0:f>
        <ns0:v/>
      </ns0:c>
    </ns0:row>
    <ns0:row r="177" ht="21" customHeight="1">
      <ns0:c r="A177" s="25" t="n"/>
      <ns0:c r="B177" s="26" t="n"/>
      <ns0:c r="C177" s="26" t="n"/>
      <ns0:c r="D177" s="26" t="n"/>
      <ns0:c r="E177" s="27" t="n"/>
      <ns0:c r="F177" s="28" t="str">
        <ns0:f>IF(A177="","",YEAR(A177)&amp;"-"&amp;RIGHT("0"&amp;MONTH(A177),2))</ns0:f>
        <ns0:v/>
      </ns0:c>
    </ns0:row>
    <ns0:row r="178" ht="21" customHeight="1">
      <ns0:c r="A178" s="25" t="n"/>
      <ns0:c r="B178" s="26" t="n"/>
      <ns0:c r="C178" s="26" t="n"/>
      <ns0:c r="D178" s="26" t="n"/>
      <ns0:c r="E178" s="27" t="n"/>
      <ns0:c r="F178" s="28" t="str">
        <ns0:f>IF(A178="","",YEAR(A178)&amp;"-"&amp;RIGHT("0"&amp;MONTH(A178),2))</ns0:f>
        <ns0:v/>
      </ns0:c>
    </ns0:row>
    <ns0:row r="179" ht="21" customHeight="1">
      <ns0:c r="A179" s="25" t="n"/>
      <ns0:c r="B179" s="26" t="n"/>
      <ns0:c r="C179" s="26" t="n"/>
      <ns0:c r="D179" s="26" t="n"/>
      <ns0:c r="E179" s="27" t="n"/>
      <ns0:c r="F179" s="28" t="str">
        <ns0:f>IF(A179="","",YEAR(A179)&amp;"-"&amp;RIGHT("0"&amp;MONTH(A179),2))</ns0:f>
        <ns0:v/>
      </ns0:c>
    </ns0:row>
    <ns0:row r="180" ht="21" customHeight="1">
      <ns0:c r="A180" s="25" t="n"/>
      <ns0:c r="B180" s="26" t="n"/>
      <ns0:c r="C180" s="26" t="n"/>
      <ns0:c r="D180" s="26" t="n"/>
      <ns0:c r="E180" s="27" t="n"/>
      <ns0:c r="F180" s="28" t="str">
        <ns0:f>IF(A180="","",YEAR(A180)&amp;"-"&amp;RIGHT("0"&amp;MONTH(A180),2))</ns0:f>
        <ns0:v/>
      </ns0:c>
    </ns0:row>
    <ns0:row r="181" ht="21" customHeight="1">
      <ns0:c r="A181" s="25" t="n"/>
      <ns0:c r="B181" s="26" t="n"/>
      <ns0:c r="C181" s="26" t="n"/>
      <ns0:c r="D181" s="26" t="n"/>
      <ns0:c r="E181" s="27" t="n"/>
      <ns0:c r="F181" s="28" t="str">
        <ns0:f>IF(A181="","",YEAR(A181)&amp;"-"&amp;RIGHT("0"&amp;MONTH(A181),2))</ns0:f>
        <ns0:v/>
      </ns0:c>
    </ns0:row>
    <ns0:row r="182" ht="21" customHeight="1">
      <ns0:c r="A182" s="25" t="n"/>
      <ns0:c r="B182" s="26" t="n"/>
      <ns0:c r="C182" s="26" t="n"/>
      <ns0:c r="D182" s="26" t="n"/>
      <ns0:c r="E182" s="27" t="n"/>
      <ns0:c r="F182" s="28" t="str">
        <ns0:f>IF(A182="","",YEAR(A182)&amp;"-"&amp;RIGHT("0"&amp;MONTH(A182),2))</ns0:f>
        <ns0:v/>
      </ns0:c>
    </ns0:row>
    <ns0:row r="183" ht="21" customHeight="1">
      <ns0:c r="A183" s="25" t="n"/>
      <ns0:c r="B183" s="26" t="n"/>
      <ns0:c r="C183" s="26" t="n"/>
      <ns0:c r="D183" s="26" t="n"/>
      <ns0:c r="E183" s="27" t="n"/>
      <ns0:c r="F183" s="28" t="str">
        <ns0:f>IF(A183="","",YEAR(A183)&amp;"-"&amp;RIGHT("0"&amp;MONTH(A183),2))</ns0:f>
        <ns0:v/>
      </ns0:c>
    </ns0:row>
    <ns0:row r="184" ht="21" customHeight="1">
      <ns0:c r="A184" s="25" t="n"/>
      <ns0:c r="B184" s="26" t="n"/>
      <ns0:c r="C184" s="26" t="n"/>
      <ns0:c r="D184" s="26" t="n"/>
      <ns0:c r="E184" s="27" t="n"/>
      <ns0:c r="F184" s="28" t="str">
        <ns0:f>IF(A184="","",YEAR(A184)&amp;"-"&amp;RIGHT("0"&amp;MONTH(A184),2))</ns0:f>
        <ns0:v/>
      </ns0:c>
    </ns0:row>
    <ns0:row r="185" ht="21" customHeight="1">
      <ns0:c r="A185" s="25" t="n"/>
      <ns0:c r="B185" s="26" t="n"/>
      <ns0:c r="C185" s="26" t="n"/>
      <ns0:c r="D185" s="26" t="n"/>
      <ns0:c r="E185" s="27" t="n"/>
      <ns0:c r="F185" s="28" t="str">
        <ns0:f>IF(A185="","",YEAR(A185)&amp;"-"&amp;RIGHT("0"&amp;MONTH(A185),2))</ns0:f>
        <ns0:v/>
      </ns0:c>
    </ns0:row>
    <ns0:row r="186" ht="21" customHeight="1">
      <ns0:c r="A186" s="25" t="n"/>
      <ns0:c r="B186" s="26" t="n"/>
      <ns0:c r="C186" s="26" t="n"/>
      <ns0:c r="D186" s="26" t="n"/>
      <ns0:c r="E186" s="27" t="n"/>
      <ns0:c r="F186" s="28" t="str">
        <ns0:f>IF(A186="","",YEAR(A186)&amp;"-"&amp;RIGHT("0"&amp;MONTH(A186),2))</ns0:f>
        <ns0:v/>
      </ns0:c>
    </ns0:row>
    <ns0:row r="187" ht="21" customHeight="1">
      <ns0:c r="A187" s="25" t="n"/>
      <ns0:c r="B187" s="26" t="n"/>
      <ns0:c r="C187" s="26" t="n"/>
      <ns0:c r="D187" s="26" t="n"/>
      <ns0:c r="E187" s="27" t="n"/>
      <ns0:c r="F187" s="28" t="str">
        <ns0:f>IF(A187="","",YEAR(A187)&amp;"-"&amp;RIGHT("0"&amp;MONTH(A187),2))</ns0:f>
        <ns0:v/>
      </ns0:c>
    </ns0:row>
    <ns0:row r="188" ht="21" customHeight="1">
      <ns0:c r="A188" s="25" t="n"/>
      <ns0:c r="B188" s="26" t="n"/>
      <ns0:c r="C188" s="26" t="n"/>
      <ns0:c r="D188" s="26" t="n"/>
      <ns0:c r="E188" s="27" t="n"/>
      <ns0:c r="F188" s="28" t="str">
        <ns0:f>IF(A188="","",YEAR(A188)&amp;"-"&amp;RIGHT("0"&amp;MONTH(A188),2))</ns0:f>
        <ns0:v/>
      </ns0:c>
    </ns0:row>
    <ns0:row r="189" ht="21" customHeight="1">
      <ns0:c r="A189" s="25" t="n"/>
      <ns0:c r="B189" s="26" t="n"/>
      <ns0:c r="C189" s="26" t="n"/>
      <ns0:c r="D189" s="26" t="n"/>
      <ns0:c r="E189" s="27" t="n"/>
      <ns0:c r="F189" s="28" t="str">
        <ns0:f>IF(A189="","",YEAR(A189)&amp;"-"&amp;RIGHT("0"&amp;MONTH(A189),2))</ns0:f>
        <ns0:v/>
      </ns0:c>
    </ns0:row>
    <ns0:row r="190" ht="21" customHeight="1">
      <ns0:c r="A190" s="25" t="n"/>
      <ns0:c r="B190" s="26" t="n"/>
      <ns0:c r="C190" s="26" t="n"/>
      <ns0:c r="D190" s="26" t="n"/>
      <ns0:c r="E190" s="27" t="n"/>
      <ns0:c r="F190" s="28" t="str">
        <ns0:f>IF(A190="","",YEAR(A190)&amp;"-"&amp;RIGHT("0"&amp;MONTH(A190),2))</ns0:f>
        <ns0:v/>
      </ns0:c>
    </ns0:row>
    <ns0:row r="191" ht="21" customHeight="1">
      <ns0:c r="A191" s="25" t="n"/>
      <ns0:c r="B191" s="26" t="n"/>
      <ns0:c r="C191" s="26" t="n"/>
      <ns0:c r="D191" s="26" t="n"/>
      <ns0:c r="E191" s="27" t="n"/>
      <ns0:c r="F191" s="28" t="str">
        <ns0:f>IF(A191="","",YEAR(A191)&amp;"-"&amp;RIGHT("0"&amp;MONTH(A191),2))</ns0:f>
        <ns0:v/>
      </ns0:c>
    </ns0:row>
    <ns0:row r="192" ht="21" customHeight="1">
      <ns0:c r="A192" s="25" t="n"/>
      <ns0:c r="B192" s="26" t="n"/>
      <ns0:c r="C192" s="26" t="n"/>
      <ns0:c r="D192" s="26" t="n"/>
      <ns0:c r="E192" s="27" t="n"/>
      <ns0:c r="F192" s="28" t="str">
        <ns0:f>IF(A192="","",YEAR(A192)&amp;"-"&amp;RIGHT("0"&amp;MONTH(A192),2))</ns0:f>
        <ns0:v/>
      </ns0:c>
    </ns0:row>
    <ns0:row r="193" ht="21" customHeight="1">
      <ns0:c r="A193" s="25" t="n"/>
      <ns0:c r="B193" s="26" t="n"/>
      <ns0:c r="C193" s="26" t="n"/>
      <ns0:c r="D193" s="26" t="n"/>
      <ns0:c r="E193" s="27" t="n"/>
      <ns0:c r="F193" s="28" t="str">
        <ns0:f>IF(A193="","",YEAR(A193)&amp;"-"&amp;RIGHT("0"&amp;MONTH(A193),2))</ns0:f>
        <ns0:v/>
      </ns0:c>
    </ns0:row>
    <ns0:row r="194" ht="21" customHeight="1">
      <ns0:c r="A194" s="25" t="n"/>
      <ns0:c r="B194" s="26" t="n"/>
      <ns0:c r="C194" s="26" t="n"/>
      <ns0:c r="D194" s="26" t="n"/>
      <ns0:c r="E194" s="27" t="n"/>
      <ns0:c r="F194" s="28" t="str">
        <ns0:f>IF(A194="","",YEAR(A194)&amp;"-"&amp;RIGHT("0"&amp;MONTH(A194),2))</ns0:f>
        <ns0:v/>
      </ns0:c>
    </ns0:row>
    <ns0:row r="195" ht="21" customHeight="1">
      <ns0:c r="A195" s="25" t="n"/>
      <ns0:c r="B195" s="26" t="n"/>
      <ns0:c r="C195" s="26" t="n"/>
      <ns0:c r="D195" s="26" t="n"/>
      <ns0:c r="E195" s="27" t="n"/>
      <ns0:c r="F195" s="28" t="str">
        <ns0:f>IF(A195="","",YEAR(A195)&amp;"-"&amp;RIGHT("0"&amp;MONTH(A195),2))</ns0:f>
        <ns0:v/>
      </ns0:c>
    </ns0:row>
    <ns0:row r="196" ht="21" customHeight="1">
      <ns0:c r="A196" s="25" t="n"/>
      <ns0:c r="B196" s="26" t="n"/>
      <ns0:c r="C196" s="26" t="n"/>
      <ns0:c r="D196" s="26" t="n"/>
      <ns0:c r="E196" s="27" t="n"/>
      <ns0:c r="F196" s="28" t="str">
        <ns0:f>IF(A196="","",YEAR(A196)&amp;"-"&amp;RIGHT("0"&amp;MONTH(A196),2))</ns0:f>
        <ns0:v/>
      </ns0:c>
    </ns0:row>
    <ns0:row r="197" ht="21" customHeight="1">
      <ns0:c r="A197" s="25" t="n"/>
      <ns0:c r="B197" s="26" t="n"/>
      <ns0:c r="C197" s="26" t="n"/>
      <ns0:c r="D197" s="26" t="n"/>
      <ns0:c r="E197" s="27" t="n"/>
      <ns0:c r="F197" s="28" t="str">
        <ns0:f>IF(A197="","",YEAR(A197)&amp;"-"&amp;RIGHT("0"&amp;MONTH(A197),2))</ns0:f>
        <ns0:v/>
      </ns0:c>
    </ns0:row>
    <ns0:row r="198" ht="21" customHeight="1">
      <ns0:c r="A198" s="25" t="n"/>
      <ns0:c r="B198" s="26" t="n"/>
      <ns0:c r="C198" s="26" t="n"/>
      <ns0:c r="D198" s="26" t="n"/>
      <ns0:c r="E198" s="27" t="n"/>
      <ns0:c r="F198" s="28" t="str">
        <ns0:f>IF(A198="","",YEAR(A198)&amp;"-"&amp;RIGHT("0"&amp;MONTH(A198),2))</ns0:f>
        <ns0:v/>
      </ns0:c>
    </ns0:row>
    <ns0:row r="199" ht="21" customHeight="1">
      <ns0:c r="A199" s="25" t="n"/>
      <ns0:c r="B199" s="26" t="n"/>
      <ns0:c r="C199" s="26" t="n"/>
      <ns0:c r="D199" s="26" t="n"/>
      <ns0:c r="E199" s="27" t="n"/>
      <ns0:c r="F199" s="28" t="str">
        <ns0:f>IF(A199="","",YEAR(A199)&amp;"-"&amp;RIGHT("0"&amp;MONTH(A199),2))</ns0:f>
        <ns0:v/>
      </ns0:c>
    </ns0:row>
    <ns0:row r="200" ht="21" customHeight="1">
      <ns0:c r="A200" s="25" t="n"/>
      <ns0:c r="B200" s="26" t="n"/>
      <ns0:c r="C200" s="26" t="n"/>
      <ns0:c r="D200" s="26" t="n"/>
      <ns0:c r="E200" s="27" t="n"/>
      <ns0:c r="F200" s="28" t="str">
        <ns0:f>IF(A200="","",YEAR(A200)&amp;"-"&amp;RIGHT("0"&amp;MONTH(A200),2))</ns0:f>
        <ns0:v/>
      </ns0:c>
    </ns0:row>
    <ns0:row r="201" ht="21" customHeight="1">
      <ns0:c r="A201" s="25" t="n"/>
      <ns0:c r="B201" s="26" t="n"/>
      <ns0:c r="C201" s="26" t="n"/>
      <ns0:c r="D201" s="26" t="n"/>
      <ns0:c r="E201" s="27" t="n"/>
      <ns0:c r="F201" s="28" t="str">
        <ns0:f>IF(A201="","",YEAR(A201)&amp;"-"&amp;RIGHT("0"&amp;MONTH(A201),2))</ns0:f>
        <ns0:v/>
      </ns0:c>
    </ns0:row>
    <ns0:row r="202" ht="21" customHeight="1">
      <ns0:c r="A202" s="25" t="n"/>
      <ns0:c r="B202" s="26" t="n"/>
      <ns0:c r="C202" s="26" t="n"/>
      <ns0:c r="D202" s="26" t="n"/>
      <ns0:c r="E202" s="27" t="n"/>
      <ns0:c r="F202" s="28" t="str">
        <ns0:f>IF(A202="","",YEAR(A202)&amp;"-"&amp;RIGHT("0"&amp;MONTH(A202),2))</ns0:f>
        <ns0:v/>
      </ns0:c>
    </ns0:row>
    <ns0:row r="203" ht="21" customHeight="1">
      <ns0:c r="A203" s="25" t="n"/>
      <ns0:c r="B203" s="26" t="n"/>
      <ns0:c r="C203" s="26" t="n"/>
      <ns0:c r="D203" s="26" t="n"/>
      <ns0:c r="E203" s="27" t="n"/>
      <ns0:c r="F203" s="28" t="str">
        <ns0:f>IF(A203="","",YEAR(A203)&amp;"-"&amp;RIGHT("0"&amp;MONTH(A203),2))</ns0:f>
        <ns0:v/>
      </ns0:c>
    </ns0:row>
    <ns0:row r="204" ht="21" customHeight="1">
      <ns0:c r="A204" s="25" t="n"/>
      <ns0:c r="B204" s="26" t="n"/>
      <ns0:c r="C204" s="26" t="n"/>
      <ns0:c r="D204" s="26" t="n"/>
      <ns0:c r="E204" s="27" t="n"/>
      <ns0:c r="F204" s="28" t="str">
        <ns0:f>IF(A204="","",YEAR(A204)&amp;"-"&amp;RIGHT("0"&amp;MONTH(A204),2))</ns0:f>
        <ns0:v/>
      </ns0:c>
    </ns0:row>
    <ns0:row r="205" ht="21" customHeight="1">
      <ns0:c r="A205" s="25" t="n"/>
      <ns0:c r="B205" s="26" t="n"/>
      <ns0:c r="C205" s="26" t="n"/>
      <ns0:c r="D205" s="26" t="n"/>
      <ns0:c r="E205" s="27" t="n"/>
      <ns0:c r="F205" s="28" t="str">
        <ns0:f>IF(A205="","",YEAR(A205)&amp;"-"&amp;RIGHT("0"&amp;MONTH(A205),2))</ns0:f>
        <ns0:v/>
      </ns0:c>
    </ns0:row>
    <ns0:row r="206" ht="21" customHeight="1">
      <ns0:c r="A206" s="25" t="n"/>
      <ns0:c r="B206" s="26" t="n"/>
      <ns0:c r="C206" s="26" t="n"/>
      <ns0:c r="D206" s="26" t="n"/>
      <ns0:c r="E206" s="27" t="n"/>
      <ns0:c r="F206" s="28" t="str">
        <ns0:f>IF(A206="","",YEAR(A206)&amp;"-"&amp;RIGHT("0"&amp;MONTH(A206),2))</ns0:f>
        <ns0:v/>
      </ns0:c>
    </ns0:row>
    <ns0:row r="207" ht="21" customHeight="1">
      <ns0:c r="A207" s="25" t="n"/>
      <ns0:c r="B207" s="26" t="n"/>
      <ns0:c r="C207" s="26" t="n"/>
      <ns0:c r="D207" s="26" t="n"/>
      <ns0:c r="E207" s="27" t="n"/>
      <ns0:c r="F207" s="28" t="str">
        <ns0:f>IF(A207="","",YEAR(A207)&amp;"-"&amp;RIGHT("0"&amp;MONTH(A207),2))</ns0:f>
        <ns0:v/>
      </ns0:c>
    </ns0:row>
    <ns0:row r="208" ht="21" customHeight="1">
      <ns0:c r="A208" s="25" t="n"/>
      <ns0:c r="B208" s="26" t="n"/>
      <ns0:c r="C208" s="26" t="n"/>
      <ns0:c r="D208" s="26" t="n"/>
      <ns0:c r="E208" s="27" t="n"/>
      <ns0:c r="F208" s="28" t="str">
        <ns0:f>IF(A208="","",YEAR(A208)&amp;"-"&amp;RIGHT("0"&amp;MONTH(A208),2))</ns0:f>
        <ns0:v/>
      </ns0:c>
    </ns0:row>
    <ns0:row r="209" ht="21" customHeight="1">
      <ns0:c r="A209" s="25" t="n"/>
      <ns0:c r="B209" s="26" t="n"/>
      <ns0:c r="C209" s="26" t="n"/>
      <ns0:c r="D209" s="26" t="n"/>
      <ns0:c r="E209" s="27" t="n"/>
      <ns0:c r="F209" s="28" t="str">
        <ns0:f>IF(A209="","",YEAR(A209)&amp;"-"&amp;RIGHT("0"&amp;MONTH(A209),2))</ns0:f>
        <ns0:v/>
      </ns0:c>
    </ns0:row>
    <ns0:row r="210" ht="21" customHeight="1">
      <ns0:c r="A210" s="25" t="n"/>
      <ns0:c r="B210" s="26" t="n"/>
      <ns0:c r="C210" s="26" t="n"/>
      <ns0:c r="D210" s="26" t="n"/>
      <ns0:c r="E210" s="27" t="n"/>
      <ns0:c r="F210" s="28" t="str">
        <ns0:f>IF(A210="","",YEAR(A210)&amp;"-"&amp;RIGHT("0"&amp;MONTH(A210),2))</ns0:f>
        <ns0:v/>
      </ns0:c>
    </ns0:row>
    <ns0:row r="211" ht="21" customHeight="1">
      <ns0:c r="A211" s="25" t="n"/>
      <ns0:c r="B211" s="26" t="n"/>
      <ns0:c r="C211" s="26" t="n"/>
      <ns0:c r="D211" s="26" t="n"/>
      <ns0:c r="E211" s="27" t="n"/>
      <ns0:c r="F211" s="28" t="str">
        <ns0:f>IF(A211="","",YEAR(A211)&amp;"-"&amp;RIGHT("0"&amp;MONTH(A211),2))</ns0:f>
        <ns0:v/>
      </ns0:c>
    </ns0:row>
    <ns0:row r="212" ht="21" customHeight="1">
      <ns0:c r="A212" s="25" t="n"/>
      <ns0:c r="B212" s="26" t="n"/>
      <ns0:c r="C212" s="26" t="n"/>
      <ns0:c r="D212" s="26" t="n"/>
      <ns0:c r="E212" s="27" t="n"/>
      <ns0:c r="F212" s="28" t="str">
        <ns0:f>IF(A212="","",YEAR(A212)&amp;"-"&amp;RIGHT("0"&amp;MONTH(A212),2))</ns0:f>
        <ns0:v/>
      </ns0:c>
    </ns0:row>
    <ns0:row r="213" ht="21" customHeight="1">
      <ns0:c r="A213" s="25" t="n"/>
      <ns0:c r="B213" s="26" t="n"/>
      <ns0:c r="C213" s="26" t="n"/>
      <ns0:c r="D213" s="26" t="n"/>
      <ns0:c r="E213" s="27" t="n"/>
      <ns0:c r="F213" s="28" t="str">
        <ns0:f>IF(A213="","",YEAR(A213)&amp;"-"&amp;RIGHT("0"&amp;MONTH(A213),2))</ns0:f>
        <ns0:v/>
      </ns0:c>
    </ns0:row>
    <ns0:row r="214" ht="21" customHeight="1">
      <ns0:c r="A214" s="25" t="n"/>
      <ns0:c r="B214" s="26" t="n"/>
      <ns0:c r="C214" s="26" t="n"/>
      <ns0:c r="D214" s="26" t="n"/>
      <ns0:c r="E214" s="27" t="n"/>
      <ns0:c r="F214" s="28" t="str">
        <ns0:f>IF(A214="","",YEAR(A214)&amp;"-"&amp;RIGHT("0"&amp;MONTH(A214),2))</ns0:f>
        <ns0:v/>
      </ns0:c>
    </ns0:row>
    <ns0:row r="215" ht="21" customHeight="1">
      <ns0:c r="A215" s="25" t="n"/>
      <ns0:c r="B215" s="26" t="n"/>
      <ns0:c r="C215" s="26" t="n"/>
      <ns0:c r="D215" s="26" t="n"/>
      <ns0:c r="E215" s="27" t="n"/>
      <ns0:c r="F215" s="28" t="str">
        <ns0:f>IF(A215="","",YEAR(A215)&amp;"-"&amp;RIGHT("0"&amp;MONTH(A215),2))</ns0:f>
        <ns0:v/>
      </ns0:c>
    </ns0:row>
    <ns0:row r="216" ht="21" customHeight="1">
      <ns0:c r="A216" s="25" t="n"/>
      <ns0:c r="B216" s="26" t="n"/>
      <ns0:c r="C216" s="26" t="n"/>
      <ns0:c r="D216" s="26" t="n"/>
      <ns0:c r="E216" s="27" t="n"/>
      <ns0:c r="F216" s="28" t="str">
        <ns0:f>IF(A216="","",YEAR(A216)&amp;"-"&amp;RIGHT("0"&amp;MONTH(A216),2))</ns0:f>
        <ns0:v/>
      </ns0:c>
    </ns0:row>
    <ns0:row r="217" ht="21" customHeight="1">
      <ns0:c r="A217" s="25" t="n"/>
      <ns0:c r="B217" s="26" t="n"/>
      <ns0:c r="C217" s="26" t="n"/>
      <ns0:c r="D217" s="26" t="n"/>
      <ns0:c r="E217" s="27" t="n"/>
      <ns0:c r="F217" s="28" t="str">
        <ns0:f>IF(A217="","",YEAR(A217)&amp;"-"&amp;RIGHT("0"&amp;MONTH(A217),2))</ns0:f>
        <ns0:v/>
      </ns0:c>
    </ns0:row>
    <ns0:row r="218" ht="21" customHeight="1">
      <ns0:c r="A218" s="25" t="n"/>
      <ns0:c r="B218" s="26" t="n"/>
      <ns0:c r="C218" s="26" t="n"/>
      <ns0:c r="D218" s="26" t="n"/>
      <ns0:c r="E218" s="27" t="n"/>
      <ns0:c r="F218" s="28" t="str">
        <ns0:f>IF(A218="","",YEAR(A218)&amp;"-"&amp;RIGHT("0"&amp;MONTH(A218),2))</ns0:f>
        <ns0:v/>
      </ns0:c>
    </ns0:row>
    <ns0:row r="219" ht="21" customHeight="1">
      <ns0:c r="A219" s="25" t="n"/>
      <ns0:c r="B219" s="26" t="n"/>
      <ns0:c r="C219" s="26" t="n"/>
      <ns0:c r="D219" s="26" t="n"/>
      <ns0:c r="E219" s="27" t="n"/>
      <ns0:c r="F219" s="28" t="str">
        <ns0:f>IF(A219="","",YEAR(A219)&amp;"-"&amp;RIGHT("0"&amp;MONTH(A219),2))</ns0:f>
        <ns0:v/>
      </ns0:c>
    </ns0:row>
    <ns0:row r="220" ht="21" customHeight="1">
      <ns0:c r="A220" s="25" t="n"/>
      <ns0:c r="B220" s="26" t="n"/>
      <ns0:c r="C220" s="26" t="n"/>
      <ns0:c r="D220" s="26" t="n"/>
      <ns0:c r="E220" s="27" t="n"/>
      <ns0:c r="F220" s="28" t="str">
        <ns0:f>IF(A220="","",YEAR(A220)&amp;"-"&amp;RIGHT("0"&amp;MONTH(A220),2))</ns0:f>
        <ns0:v/>
      </ns0:c>
    </ns0:row>
    <ns0:row r="221" ht="21" customHeight="1">
      <ns0:c r="A221" s="25" t="n"/>
      <ns0:c r="B221" s="26" t="n"/>
      <ns0:c r="C221" s="26" t="n"/>
      <ns0:c r="D221" s="26" t="n"/>
      <ns0:c r="E221" s="27" t="n"/>
      <ns0:c r="F221" s="28" t="str">
        <ns0:f>IF(A221="","",YEAR(A221)&amp;"-"&amp;RIGHT("0"&amp;MONTH(A221),2))</ns0:f>
        <ns0:v/>
      </ns0:c>
    </ns0:row>
    <ns0:row r="222" ht="21" customHeight="1">
      <ns0:c r="A222" s="25" t="n"/>
      <ns0:c r="B222" s="26" t="n"/>
      <ns0:c r="C222" s="26" t="n"/>
      <ns0:c r="D222" s="26" t="n"/>
      <ns0:c r="E222" s="27" t="n"/>
      <ns0:c r="F222" s="28" t="str">
        <ns0:f>IF(A222="","",YEAR(A222)&amp;"-"&amp;RIGHT("0"&amp;MONTH(A222),2))</ns0:f>
        <ns0:v/>
      </ns0:c>
    </ns0:row>
    <ns0:row r="223" ht="21" customHeight="1">
      <ns0:c r="A223" s="25" t="n"/>
      <ns0:c r="B223" s="26" t="n"/>
      <ns0:c r="C223" s="26" t="n"/>
      <ns0:c r="D223" s="26" t="n"/>
      <ns0:c r="E223" s="27" t="n"/>
      <ns0:c r="F223" s="28" t="str">
        <ns0:f>IF(A223="","",YEAR(A223)&amp;"-"&amp;RIGHT("0"&amp;MONTH(A223),2))</ns0:f>
        <ns0:v/>
      </ns0:c>
    </ns0:row>
    <ns0:row r="224" ht="21" customHeight="1">
      <ns0:c r="A224" s="25" t="n"/>
      <ns0:c r="B224" s="26" t="n"/>
      <ns0:c r="C224" s="26" t="n"/>
      <ns0:c r="D224" s="26" t="n"/>
      <ns0:c r="E224" s="27" t="n"/>
      <ns0:c r="F224" s="28" t="str">
        <ns0:f>IF(A224="","",YEAR(A224)&amp;"-"&amp;RIGHT("0"&amp;MONTH(A224),2))</ns0:f>
        <ns0:v/>
      </ns0:c>
    </ns0:row>
    <ns0:row r="225" ht="21" customHeight="1">
      <ns0:c r="A225" s="25" t="n"/>
      <ns0:c r="B225" s="26" t="n"/>
      <ns0:c r="C225" s="26" t="n"/>
      <ns0:c r="D225" s="26" t="n"/>
      <ns0:c r="E225" s="27" t="n"/>
      <ns0:c r="F225" s="28" t="str">
        <ns0:f>IF(A225="","",YEAR(A225)&amp;"-"&amp;RIGHT("0"&amp;MONTH(A225),2))</ns0:f>
        <ns0:v/>
      </ns0:c>
    </ns0:row>
    <ns0:row r="226" ht="21" customHeight="1">
      <ns0:c r="A226" s="25" t="n"/>
      <ns0:c r="B226" s="26" t="n"/>
      <ns0:c r="C226" s="26" t="n"/>
      <ns0:c r="D226" s="26" t="n"/>
      <ns0:c r="E226" s="27" t="n"/>
      <ns0:c r="F226" s="28" t="str">
        <ns0:f>IF(A226="","",YEAR(A226)&amp;"-"&amp;RIGHT("0"&amp;MONTH(A226),2))</ns0:f>
        <ns0:v/>
      </ns0:c>
    </ns0:row>
    <ns0:row r="227" ht="21" customHeight="1">
      <ns0:c r="A227" s="25" t="n"/>
      <ns0:c r="B227" s="26" t="n"/>
      <ns0:c r="C227" s="26" t="n"/>
      <ns0:c r="D227" s="26" t="n"/>
      <ns0:c r="E227" s="27" t="n"/>
      <ns0:c r="F227" s="28" t="str">
        <ns0:f>IF(A227="","",YEAR(A227)&amp;"-"&amp;RIGHT("0"&amp;MONTH(A227),2))</ns0:f>
        <ns0:v/>
      </ns0:c>
    </ns0:row>
    <ns0:row r="228" ht="21" customHeight="1">
      <ns0:c r="A228" s="25" t="n"/>
      <ns0:c r="B228" s="26" t="n"/>
      <ns0:c r="C228" s="26" t="n"/>
      <ns0:c r="D228" s="26" t="n"/>
      <ns0:c r="E228" s="27" t="n"/>
      <ns0:c r="F228" s="28" t="str">
        <ns0:f>IF(A228="","",YEAR(A228)&amp;"-"&amp;RIGHT("0"&amp;MONTH(A228),2))</ns0:f>
        <ns0:v/>
      </ns0:c>
    </ns0:row>
    <ns0:row r="229" ht="21" customHeight="1">
      <ns0:c r="A229" s="25" t="n"/>
      <ns0:c r="B229" s="26" t="n"/>
      <ns0:c r="C229" s="26" t="n"/>
      <ns0:c r="D229" s="26" t="n"/>
      <ns0:c r="E229" s="27" t="n"/>
      <ns0:c r="F229" s="28" t="str">
        <ns0:f>IF(A229="","",YEAR(A229)&amp;"-"&amp;RIGHT("0"&amp;MONTH(A229),2))</ns0:f>
        <ns0:v/>
      </ns0:c>
    </ns0:row>
    <ns0:row r="230" ht="21" customHeight="1">
      <ns0:c r="A230" s="25" t="n"/>
      <ns0:c r="B230" s="26" t="n"/>
      <ns0:c r="C230" s="26" t="n"/>
      <ns0:c r="D230" s="26" t="n"/>
      <ns0:c r="E230" s="27" t="n"/>
      <ns0:c r="F230" s="28" t="str">
        <ns0:f>IF(A230="","",YEAR(A230)&amp;"-"&amp;RIGHT("0"&amp;MONTH(A230),2))</ns0:f>
        <ns0:v/>
      </ns0:c>
    </ns0:row>
    <ns0:row r="231" ht="21" customHeight="1">
      <ns0:c r="A231" s="25" t="n"/>
      <ns0:c r="B231" s="26" t="n"/>
      <ns0:c r="C231" s="26" t="n"/>
      <ns0:c r="D231" s="26" t="n"/>
      <ns0:c r="E231" s="27" t="n"/>
      <ns0:c r="F231" s="28" t="str">
        <ns0:f>IF(A231="","",YEAR(A231)&amp;"-"&amp;RIGHT("0"&amp;MONTH(A231),2))</ns0:f>
        <ns0:v/>
      </ns0:c>
    </ns0:row>
    <ns0:row r="232" ht="21" customHeight="1">
      <ns0:c r="A232" s="25" t="n"/>
      <ns0:c r="B232" s="26" t="n"/>
      <ns0:c r="C232" s="26" t="n"/>
      <ns0:c r="D232" s="26" t="n"/>
      <ns0:c r="E232" s="27" t="n"/>
      <ns0:c r="F232" s="28" t="str">
        <ns0:f>IF(A232="","",YEAR(A232)&amp;"-"&amp;RIGHT("0"&amp;MONTH(A232),2))</ns0:f>
        <ns0:v/>
      </ns0:c>
    </ns0:row>
    <ns0:row r="233" ht="21" customHeight="1">
      <ns0:c r="A233" s="25" t="n"/>
      <ns0:c r="B233" s="26" t="n"/>
      <ns0:c r="C233" s="26" t="n"/>
      <ns0:c r="D233" s="26" t="n"/>
      <ns0:c r="E233" s="27" t="n"/>
      <ns0:c r="F233" s="28" t="str">
        <ns0:f>IF(A233="","",YEAR(A233)&amp;"-"&amp;RIGHT("0"&amp;MONTH(A233),2))</ns0:f>
        <ns0:v/>
      </ns0:c>
    </ns0:row>
    <ns0:row r="234" ht="21" customHeight="1">
      <ns0:c r="A234" s="25" t="n"/>
      <ns0:c r="B234" s="26" t="n"/>
      <ns0:c r="C234" s="26" t="n"/>
      <ns0:c r="D234" s="26" t="n"/>
      <ns0:c r="E234" s="27" t="n"/>
      <ns0:c r="F234" s="28" t="str">
        <ns0:f>IF(A234="","",YEAR(A234)&amp;"-"&amp;RIGHT("0"&amp;MONTH(A234),2))</ns0:f>
        <ns0:v/>
      </ns0:c>
    </ns0:row>
    <ns0:row r="235" ht="21" customHeight="1">
      <ns0:c r="A235" s="25" t="n"/>
      <ns0:c r="B235" s="26" t="n"/>
      <ns0:c r="C235" s="26" t="n"/>
      <ns0:c r="D235" s="26" t="n"/>
      <ns0:c r="E235" s="27" t="n"/>
      <ns0:c r="F235" s="28" t="str">
        <ns0:f>IF(A235="","",YEAR(A235)&amp;"-"&amp;RIGHT("0"&amp;MONTH(A235),2))</ns0:f>
        <ns0:v/>
      </ns0:c>
    </ns0:row>
    <ns0:row r="236" ht="21" customHeight="1">
      <ns0:c r="A236" s="25" t="n"/>
      <ns0:c r="B236" s="26" t="n"/>
      <ns0:c r="C236" s="26" t="n"/>
      <ns0:c r="D236" s="26" t="n"/>
      <ns0:c r="E236" s="27" t="n"/>
      <ns0:c r="F236" s="28" t="str">
        <ns0:f>IF(A236="","",YEAR(A236)&amp;"-"&amp;RIGHT("0"&amp;MONTH(A236),2))</ns0:f>
        <ns0:v/>
      </ns0:c>
    </ns0:row>
    <ns0:row r="237" ht="21" customHeight="1">
      <ns0:c r="A237" s="25" t="n"/>
      <ns0:c r="B237" s="26" t="n"/>
      <ns0:c r="C237" s="26" t="n"/>
      <ns0:c r="D237" s="26" t="n"/>
      <ns0:c r="E237" s="27" t="n"/>
      <ns0:c r="F237" s="28" t="str">
        <ns0:f>IF(A237="","",YEAR(A237)&amp;"-"&amp;RIGHT("0"&amp;MONTH(A237),2))</ns0:f>
        <ns0:v/>
      </ns0:c>
    </ns0:row>
    <ns0:row r="238" ht="21" customHeight="1">
      <ns0:c r="A238" s="25" t="n"/>
      <ns0:c r="B238" s="26" t="n"/>
      <ns0:c r="C238" s="26" t="n"/>
      <ns0:c r="D238" s="26" t="n"/>
      <ns0:c r="E238" s="27" t="n"/>
      <ns0:c r="F238" s="28" t="str">
        <ns0:f>IF(A238="","",YEAR(A238)&amp;"-"&amp;RIGHT("0"&amp;MONTH(A238),2))</ns0:f>
        <ns0:v/>
      </ns0:c>
    </ns0:row>
    <ns0:row r="239" ht="21" customHeight="1">
      <ns0:c r="A239" s="25" t="n"/>
      <ns0:c r="B239" s="26" t="n"/>
      <ns0:c r="C239" s="26" t="n"/>
      <ns0:c r="D239" s="26" t="n"/>
      <ns0:c r="E239" s="27" t="n"/>
      <ns0:c r="F239" s="28" t="str">
        <ns0:f>IF(A239="","",YEAR(A239)&amp;"-"&amp;RIGHT("0"&amp;MONTH(A239),2))</ns0:f>
        <ns0:v/>
      </ns0:c>
    </ns0:row>
    <ns0:row r="240" ht="21" customHeight="1">
      <ns0:c r="A240" s="25" t="n"/>
      <ns0:c r="B240" s="26" t="n"/>
      <ns0:c r="C240" s="26" t="n"/>
      <ns0:c r="D240" s="26" t="n"/>
      <ns0:c r="E240" s="27" t="n"/>
      <ns0:c r="F240" s="28" t="str">
        <ns0:f>IF(A240="","",YEAR(A240)&amp;"-"&amp;RIGHT("0"&amp;MONTH(A240),2))</ns0:f>
        <ns0:v/>
      </ns0:c>
    </ns0:row>
    <ns0:row r="241" ht="21" customHeight="1">
      <ns0:c r="A241" s="25" t="n"/>
      <ns0:c r="B241" s="26" t="n"/>
      <ns0:c r="C241" s="26" t="n"/>
      <ns0:c r="D241" s="26" t="n"/>
      <ns0:c r="E241" s="27" t="n"/>
      <ns0:c r="F241" s="28" t="str">
        <ns0:f>IF(A241="","",YEAR(A241)&amp;"-"&amp;RIGHT("0"&amp;MONTH(A241),2))</ns0:f>
        <ns0:v/>
      </ns0:c>
    </ns0:row>
    <ns0:row r="242" ht="21" customHeight="1">
      <ns0:c r="A242" s="25" t="n"/>
      <ns0:c r="B242" s="26" t="n"/>
      <ns0:c r="C242" s="26" t="n"/>
      <ns0:c r="D242" s="26" t="n"/>
      <ns0:c r="E242" s="27" t="n"/>
      <ns0:c r="F242" s="28" t="str">
        <ns0:f>IF(A242="","",YEAR(A242)&amp;"-"&amp;RIGHT("0"&amp;MONTH(A242),2))</ns0:f>
        <ns0:v/>
      </ns0:c>
    </ns0:row>
    <ns0:row r="243" ht="21" customHeight="1">
      <ns0:c r="A243" s="25" t="n"/>
      <ns0:c r="B243" s="26" t="n"/>
      <ns0:c r="C243" s="26" t="n"/>
      <ns0:c r="D243" s="26" t="n"/>
      <ns0:c r="E243" s="27" t="n"/>
      <ns0:c r="F243" s="28" t="str">
        <ns0:f>IF(A243="","",YEAR(A243)&amp;"-"&amp;RIGHT("0"&amp;MONTH(A243),2))</ns0:f>
        <ns0:v/>
      </ns0:c>
    </ns0:row>
    <ns0:row r="244" ht="21" customHeight="1">
      <ns0:c r="A244" s="25" t="n"/>
      <ns0:c r="B244" s="26" t="n"/>
      <ns0:c r="C244" s="26" t="n"/>
      <ns0:c r="D244" s="26" t="n"/>
      <ns0:c r="E244" s="27" t="n"/>
      <ns0:c r="F244" s="28" t="str">
        <ns0:f>IF(A244="","",YEAR(A244)&amp;"-"&amp;RIGHT("0"&amp;MONTH(A244),2))</ns0:f>
        <ns0:v/>
      </ns0:c>
    </ns0:row>
    <ns0:row r="245" ht="21" customHeight="1">
      <ns0:c r="A245" s="25" t="n"/>
      <ns0:c r="B245" s="26" t="n"/>
      <ns0:c r="C245" s="26" t="n"/>
      <ns0:c r="D245" s="26" t="n"/>
      <ns0:c r="E245" s="27" t="n"/>
      <ns0:c r="F245" s="28" t="str">
        <ns0:f>IF(A245="","",YEAR(A245)&amp;"-"&amp;RIGHT("0"&amp;MONTH(A245),2))</ns0:f>
        <ns0:v/>
      </ns0:c>
    </ns0:row>
    <ns0:row r="246" ht="21" customHeight="1">
      <ns0:c r="A246" s="25" t="n"/>
      <ns0:c r="B246" s="26" t="n"/>
      <ns0:c r="C246" s="26" t="n"/>
      <ns0:c r="D246" s="26" t="n"/>
      <ns0:c r="E246" s="27" t="n"/>
      <ns0:c r="F246" s="28" t="str">
        <ns0:f>IF(A246="","",YEAR(A246)&amp;"-"&amp;RIGHT("0"&amp;MONTH(A246),2))</ns0:f>
        <ns0:v/>
      </ns0:c>
    </ns0:row>
    <ns0:row r="247" ht="21" customHeight="1">
      <ns0:c r="A247" s="25" t="n"/>
      <ns0:c r="B247" s="26" t="n"/>
      <ns0:c r="C247" s="26" t="n"/>
      <ns0:c r="D247" s="26" t="n"/>
      <ns0:c r="E247" s="27" t="n"/>
      <ns0:c r="F247" s="28" t="str">
        <ns0:f>IF(A247="","",YEAR(A247)&amp;"-"&amp;RIGHT("0"&amp;MONTH(A247),2))</ns0:f>
        <ns0:v/>
      </ns0:c>
    </ns0:row>
    <ns0:row r="248" ht="21" customHeight="1">
      <ns0:c r="A248" s="25" t="n"/>
      <ns0:c r="B248" s="26" t="n"/>
      <ns0:c r="C248" s="26" t="n"/>
      <ns0:c r="D248" s="26" t="n"/>
      <ns0:c r="E248" s="27" t="n"/>
      <ns0:c r="F248" s="28" t="str">
        <ns0:f>IF(A248="","",YEAR(A248)&amp;"-"&amp;RIGHT("0"&amp;MONTH(A248),2))</ns0:f>
        <ns0:v/>
      </ns0:c>
    </ns0:row>
    <ns0:row r="249" ht="21" customHeight="1">
      <ns0:c r="A249" s="25" t="n"/>
      <ns0:c r="B249" s="26" t="n"/>
      <ns0:c r="C249" s="26" t="n"/>
      <ns0:c r="D249" s="26" t="n"/>
      <ns0:c r="E249" s="27" t="n"/>
      <ns0:c r="F249" s="28" t="str">
        <ns0:f>IF(A249="","",YEAR(A249)&amp;"-"&amp;RIGHT("0"&amp;MONTH(A249),2))</ns0:f>
        <ns0:v/>
      </ns0:c>
    </ns0:row>
    <ns0:row r="250" ht="21" customHeight="1">
      <ns0:c r="A250" s="25" t="n"/>
      <ns0:c r="B250" s="26" t="n"/>
      <ns0:c r="C250" s="26" t="n"/>
      <ns0:c r="D250" s="26" t="n"/>
      <ns0:c r="E250" s="27" t="n"/>
      <ns0:c r="F250" s="28" t="str">
        <ns0:f>IF(A250="","",YEAR(A250)&amp;"-"&amp;RIGHT("0"&amp;MONTH(A250),2))</ns0:f>
        <ns0:v/>
      </ns0:c>
    </ns0:row>
    <ns0:row r="251" ht="21" customHeight="1">
      <ns0:c r="A251" s="25" t="n"/>
      <ns0:c r="B251" s="26" t="n"/>
      <ns0:c r="C251" s="26" t="n"/>
      <ns0:c r="D251" s="26" t="n"/>
      <ns0:c r="E251" s="27" t="n"/>
      <ns0:c r="F251" s="28" t="str">
        <ns0:f>IF(A251="","",YEAR(A251)&amp;"-"&amp;RIGHT("0"&amp;MONTH(A251),2))</ns0:f>
        <ns0:v/>
      </ns0:c>
    </ns0:row>
    <ns0:row r="252" ht="21" customHeight="1">
      <ns0:c r="A252" s="25" t="n"/>
      <ns0:c r="B252" s="26" t="n"/>
      <ns0:c r="C252" s="26" t="n"/>
      <ns0:c r="D252" s="26" t="n"/>
      <ns0:c r="E252" s="27" t="n"/>
      <ns0:c r="F252" s="28" t="str">
        <ns0:f>IF(A252="","",YEAR(A252)&amp;"-"&amp;RIGHT("0"&amp;MONTH(A252),2))</ns0:f>
        <ns0:v/>
      </ns0:c>
    </ns0:row>
    <ns0:row r="253" ht="21" customHeight="1">
      <ns0:c r="A253" s="25" t="n"/>
      <ns0:c r="B253" s="26" t="n"/>
      <ns0:c r="C253" s="26" t="n"/>
      <ns0:c r="D253" s="26" t="n"/>
      <ns0:c r="E253" s="27" t="n"/>
      <ns0:c r="F253" s="28" t="str">
        <ns0:f>IF(A253="","",YEAR(A253)&amp;"-"&amp;RIGHT("0"&amp;MONTH(A253),2))</ns0:f>
        <ns0:v/>
      </ns0:c>
    </ns0:row>
    <ns0:row r="254" ht="21" customHeight="1">
      <ns0:c r="A254" s="25" t="n"/>
      <ns0:c r="B254" s="26" t="n"/>
      <ns0:c r="C254" s="26" t="n"/>
      <ns0:c r="D254" s="26" t="n"/>
      <ns0:c r="E254" s="27" t="n"/>
      <ns0:c r="F254" s="28" t="str">
        <ns0:f>IF(A254="","",YEAR(A254)&amp;"-"&amp;RIGHT("0"&amp;MONTH(A254),2))</ns0:f>
        <ns0:v/>
      </ns0:c>
    </ns0:row>
    <ns0:row r="255" ht="21" customHeight="1">
      <ns0:c r="A255" s="25" t="n"/>
      <ns0:c r="B255" s="26" t="n"/>
      <ns0:c r="C255" s="26" t="n"/>
      <ns0:c r="D255" s="26" t="n"/>
      <ns0:c r="E255" s="27" t="n"/>
      <ns0:c r="F255" s="28" t="str">
        <ns0:f>IF(A255="","",YEAR(A255)&amp;"-"&amp;RIGHT("0"&amp;MONTH(A255),2))</ns0:f>
        <ns0:v/>
      </ns0:c>
    </ns0:row>
    <ns0:row r="256" ht="21" customHeight="1">
      <ns0:c r="A256" s="25" t="n"/>
      <ns0:c r="B256" s="26" t="n"/>
      <ns0:c r="C256" s="26" t="n"/>
      <ns0:c r="D256" s="26" t="n"/>
      <ns0:c r="E256" s="27" t="n"/>
      <ns0:c r="F256" s="28" t="str">
        <ns0:f>IF(A256="","",YEAR(A256)&amp;"-"&amp;RIGHT("0"&amp;MONTH(A256),2))</ns0:f>
        <ns0:v/>
      </ns0:c>
    </ns0:row>
    <ns0:row r="257" ht="21" customHeight="1">
      <ns0:c r="A257" s="25" t="n"/>
      <ns0:c r="B257" s="26" t="n"/>
      <ns0:c r="C257" s="26" t="n"/>
      <ns0:c r="D257" s="26" t="n"/>
      <ns0:c r="E257" s="27" t="n"/>
      <ns0:c r="F257" s="28" t="str">
        <ns0:f>IF(A257="","",YEAR(A257)&amp;"-"&amp;RIGHT("0"&amp;MONTH(A257),2))</ns0:f>
        <ns0:v/>
      </ns0:c>
    </ns0:row>
    <ns0:row r="258" ht="21" customHeight="1">
      <ns0:c r="A258" s="25" t="n"/>
      <ns0:c r="B258" s="26" t="n"/>
      <ns0:c r="C258" s="26" t="n"/>
      <ns0:c r="D258" s="26" t="n"/>
      <ns0:c r="E258" s="27" t="n"/>
      <ns0:c r="F258" s="28" t="str">
        <ns0:f>IF(A258="","",YEAR(A258)&amp;"-"&amp;RIGHT("0"&amp;MONTH(A258),2))</ns0:f>
        <ns0:v/>
      </ns0:c>
    </ns0:row>
    <ns0:row r="259" ht="21" customHeight="1">
      <ns0:c r="A259" s="25" t="n"/>
      <ns0:c r="B259" s="26" t="n"/>
      <ns0:c r="C259" s="26" t="n"/>
      <ns0:c r="D259" s="26" t="n"/>
      <ns0:c r="E259" s="27" t="n"/>
      <ns0:c r="F259" s="28" t="str">
        <ns0:f>IF(A259="","",YEAR(A259)&amp;"-"&amp;RIGHT("0"&amp;MONTH(A259),2))</ns0:f>
        <ns0:v/>
      </ns0:c>
    </ns0:row>
    <ns0:row r="260" ht="21" customHeight="1">
      <ns0:c r="A260" s="25" t="n"/>
      <ns0:c r="B260" s="26" t="n"/>
      <ns0:c r="C260" s="26" t="n"/>
      <ns0:c r="D260" s="26" t="n"/>
      <ns0:c r="E260" s="27" t="n"/>
      <ns0:c r="F260" s="28" t="str">
        <ns0:f>IF(A260="","",YEAR(A260)&amp;"-"&amp;RIGHT("0"&amp;MONTH(A260),2))</ns0:f>
        <ns0:v/>
      </ns0:c>
    </ns0:row>
    <ns0:row r="261" ht="21" customHeight="1">
      <ns0:c r="A261" s="25" t="n"/>
      <ns0:c r="B261" s="26" t="n"/>
      <ns0:c r="C261" s="26" t="n"/>
      <ns0:c r="D261" s="26" t="n"/>
      <ns0:c r="E261" s="27" t="n"/>
      <ns0:c r="F261" s="28" t="str">
        <ns0:f>IF(A261="","",YEAR(A261)&amp;"-"&amp;RIGHT("0"&amp;MONTH(A261),2))</ns0:f>
        <ns0:v/>
      </ns0:c>
    </ns0:row>
    <ns0:row r="262" ht="21" customHeight="1">
      <ns0:c r="A262" s="25" t="n"/>
      <ns0:c r="B262" s="26" t="n"/>
      <ns0:c r="C262" s="26" t="n"/>
      <ns0:c r="D262" s="26" t="n"/>
      <ns0:c r="E262" s="27" t="n"/>
      <ns0:c r="F262" s="28" t="str">
        <ns0:f>IF(A262="","",YEAR(A262)&amp;"-"&amp;RIGHT("0"&amp;MONTH(A262),2))</ns0:f>
        <ns0:v/>
      </ns0:c>
    </ns0:row>
    <ns0:row r="263" ht="21" customHeight="1">
      <ns0:c r="A263" s="25" t="n"/>
      <ns0:c r="B263" s="26" t="n"/>
      <ns0:c r="C263" s="26" t="n"/>
      <ns0:c r="D263" s="26" t="n"/>
      <ns0:c r="E263" s="27" t="n"/>
      <ns0:c r="F263" s="28" t="str">
        <ns0:f>IF(A263="","",YEAR(A263)&amp;"-"&amp;RIGHT("0"&amp;MONTH(A263),2))</ns0:f>
        <ns0:v/>
      </ns0:c>
    </ns0:row>
    <ns0:row r="264" ht="21" customHeight="1">
      <ns0:c r="A264" s="25" t="n"/>
      <ns0:c r="B264" s="26" t="n"/>
      <ns0:c r="C264" s="26" t="n"/>
      <ns0:c r="D264" s="26" t="n"/>
      <ns0:c r="E264" s="27" t="n"/>
      <ns0:c r="F264" s="28" t="str">
        <ns0:f>IF(A264="","",YEAR(A264)&amp;"-"&amp;RIGHT("0"&amp;MONTH(A264),2))</ns0:f>
        <ns0:v/>
      </ns0:c>
    </ns0:row>
    <ns0:row r="265" ht="21" customHeight="1">
      <ns0:c r="A265" s="25" t="n"/>
      <ns0:c r="B265" s="26" t="n"/>
      <ns0:c r="C265" s="26" t="n"/>
      <ns0:c r="D265" s="26" t="n"/>
      <ns0:c r="E265" s="27" t="n"/>
      <ns0:c r="F265" s="28" t="str">
        <ns0:f>IF(A265="","",YEAR(A265)&amp;"-"&amp;RIGHT("0"&amp;MONTH(A265),2))</ns0:f>
        <ns0:v/>
      </ns0:c>
    </ns0:row>
    <ns0:row r="266" ht="21" customHeight="1">
      <ns0:c r="A266" s="25" t="n"/>
      <ns0:c r="B266" s="26" t="n"/>
      <ns0:c r="C266" s="26" t="n"/>
      <ns0:c r="D266" s="26" t="n"/>
      <ns0:c r="E266" s="27" t="n"/>
      <ns0:c r="F266" s="28" t="str">
        <ns0:f>IF(A266="","",YEAR(A266)&amp;"-"&amp;RIGHT("0"&amp;MONTH(A266),2))</ns0:f>
        <ns0:v/>
      </ns0:c>
    </ns0:row>
    <ns0:row r="267" ht="21" customHeight="1">
      <ns0:c r="A267" s="25" t="n"/>
      <ns0:c r="B267" s="26" t="n"/>
      <ns0:c r="C267" s="26" t="n"/>
      <ns0:c r="D267" s="26" t="n"/>
      <ns0:c r="E267" s="27" t="n"/>
      <ns0:c r="F267" s="28" t="str">
        <ns0:f>IF(A267="","",YEAR(A267)&amp;"-"&amp;RIGHT("0"&amp;MONTH(A267),2))</ns0:f>
        <ns0:v/>
      </ns0:c>
    </ns0:row>
    <ns0:row r="268" ht="21" customHeight="1">
      <ns0:c r="A268" s="25" t="n"/>
      <ns0:c r="B268" s="26" t="n"/>
      <ns0:c r="C268" s="26" t="n"/>
      <ns0:c r="D268" s="26" t="n"/>
      <ns0:c r="E268" s="27" t="n"/>
      <ns0:c r="F268" s="28" t="str">
        <ns0:f>IF(A268="","",YEAR(A268)&amp;"-"&amp;RIGHT("0"&amp;MONTH(A268),2))</ns0:f>
        <ns0:v/>
      </ns0:c>
    </ns0:row>
    <ns0:row r="269" ht="21" customHeight="1">
      <ns0:c r="A269" s="25" t="n"/>
      <ns0:c r="B269" s="26" t="n"/>
      <ns0:c r="C269" s="26" t="n"/>
      <ns0:c r="D269" s="26" t="n"/>
      <ns0:c r="E269" s="27" t="n"/>
      <ns0:c r="F269" s="28" t="str">
        <ns0:f>IF(A269="","",YEAR(A269)&amp;"-"&amp;RIGHT("0"&amp;MONTH(A269),2))</ns0:f>
        <ns0:v/>
      </ns0:c>
    </ns0:row>
    <ns0:row r="270" ht="21" customHeight="1">
      <ns0:c r="A270" s="25" t="n"/>
      <ns0:c r="B270" s="26" t="n"/>
      <ns0:c r="C270" s="26" t="n"/>
      <ns0:c r="D270" s="26" t="n"/>
      <ns0:c r="E270" s="27" t="n"/>
      <ns0:c r="F270" s="28" t="str">
        <ns0:f>IF(A270="","",YEAR(A270)&amp;"-"&amp;RIGHT("0"&amp;MONTH(A270),2))</ns0:f>
        <ns0:v/>
      </ns0:c>
    </ns0:row>
    <ns0:row r="271" ht="21" customHeight="1">
      <ns0:c r="A271" s="25" t="n"/>
      <ns0:c r="B271" s="26" t="n"/>
      <ns0:c r="C271" s="26" t="n"/>
      <ns0:c r="D271" s="26" t="n"/>
      <ns0:c r="E271" s="27" t="n"/>
      <ns0:c r="F271" s="28" t="str">
        <ns0:f>IF(A271="","",YEAR(A271)&amp;"-"&amp;RIGHT("0"&amp;MONTH(A271),2))</ns0:f>
        <ns0:v/>
      </ns0:c>
    </ns0:row>
    <ns0:row r="272" ht="21" customHeight="1">
      <ns0:c r="A272" s="25" t="n"/>
      <ns0:c r="B272" s="26" t="n"/>
      <ns0:c r="C272" s="26" t="n"/>
      <ns0:c r="D272" s="26" t="n"/>
      <ns0:c r="E272" s="27" t="n"/>
      <ns0:c r="F272" s="28" t="str">
        <ns0:f>IF(A272="","",YEAR(A272)&amp;"-"&amp;RIGHT("0"&amp;MONTH(A272),2))</ns0:f>
        <ns0:v/>
      </ns0:c>
    </ns0:row>
    <ns0:row r="273" ht="21" customHeight="1">
      <ns0:c r="A273" s="25" t="n"/>
      <ns0:c r="B273" s="26" t="n"/>
      <ns0:c r="C273" s="26" t="n"/>
      <ns0:c r="D273" s="26" t="n"/>
      <ns0:c r="E273" s="27" t="n"/>
      <ns0:c r="F273" s="28" t="str">
        <ns0:f>IF(A273="","",YEAR(A273)&amp;"-"&amp;RIGHT("0"&amp;MONTH(A273),2))</ns0:f>
        <ns0:v/>
      </ns0:c>
    </ns0:row>
    <ns0:row r="274" ht="21" customHeight="1">
      <ns0:c r="A274" s="25" t="n"/>
      <ns0:c r="B274" s="26" t="n"/>
      <ns0:c r="C274" s="26" t="n"/>
      <ns0:c r="D274" s="26" t="n"/>
      <ns0:c r="E274" s="27" t="n"/>
      <ns0:c r="F274" s="28" t="str">
        <ns0:f>IF(A274="","",YEAR(A274)&amp;"-"&amp;RIGHT("0"&amp;MONTH(A274),2))</ns0:f>
        <ns0:v/>
      </ns0:c>
    </ns0:row>
    <ns0:row r="275" ht="21" customHeight="1">
      <ns0:c r="A275" s="25" t="n"/>
      <ns0:c r="B275" s="26" t="n"/>
      <ns0:c r="C275" s="26" t="n"/>
      <ns0:c r="D275" s="26" t="n"/>
      <ns0:c r="E275" s="27" t="n"/>
      <ns0:c r="F275" s="28" t="str">
        <ns0:f>IF(A275="","",YEAR(A275)&amp;"-"&amp;RIGHT("0"&amp;MONTH(A275),2))</ns0:f>
        <ns0:v/>
      </ns0:c>
    </ns0:row>
    <ns0:row r="276" ht="21" customHeight="1">
      <ns0:c r="A276" s="25" t="n"/>
      <ns0:c r="B276" s="26" t="n"/>
      <ns0:c r="C276" s="26" t="n"/>
      <ns0:c r="D276" s="26" t="n"/>
      <ns0:c r="E276" s="27" t="n"/>
      <ns0:c r="F276" s="28" t="str">
        <ns0:f>IF(A276="","",YEAR(A276)&amp;"-"&amp;RIGHT("0"&amp;MONTH(A276),2))</ns0:f>
        <ns0:v/>
      </ns0:c>
    </ns0:row>
    <ns0:row r="277" ht="21" customHeight="1">
      <ns0:c r="A277" s="25" t="n"/>
      <ns0:c r="B277" s="26" t="n"/>
      <ns0:c r="C277" s="26" t="n"/>
      <ns0:c r="D277" s="26" t="n"/>
      <ns0:c r="E277" s="27" t="n"/>
      <ns0:c r="F277" s="28" t="str">
        <ns0:f>IF(A277="","",YEAR(A277)&amp;"-"&amp;RIGHT("0"&amp;MONTH(A277),2))</ns0:f>
        <ns0:v/>
      </ns0:c>
    </ns0:row>
    <ns0:row r="278" ht="21" customHeight="1">
      <ns0:c r="A278" s="25" t="n"/>
      <ns0:c r="B278" s="26" t="n"/>
      <ns0:c r="C278" s="26" t="n"/>
      <ns0:c r="D278" s="26" t="n"/>
      <ns0:c r="E278" s="27" t="n"/>
      <ns0:c r="F278" s="28" t="str">
        <ns0:f>IF(A278="","",YEAR(A278)&amp;"-"&amp;RIGHT("0"&amp;MONTH(A278),2))</ns0:f>
        <ns0:v/>
      </ns0:c>
    </ns0:row>
    <ns0:row r="279" ht="21" customHeight="1">
      <ns0:c r="A279" s="25" t="n"/>
      <ns0:c r="B279" s="26" t="n"/>
      <ns0:c r="C279" s="26" t="n"/>
      <ns0:c r="D279" s="26" t="n"/>
      <ns0:c r="E279" s="27" t="n"/>
      <ns0:c r="F279" s="28" t="str">
        <ns0:f>IF(A279="","",YEAR(A279)&amp;"-"&amp;RIGHT("0"&amp;MONTH(A279),2))</ns0:f>
        <ns0:v/>
      </ns0:c>
    </ns0:row>
    <ns0:row r="280" ht="21" customHeight="1">
      <ns0:c r="A280" s="25" t="n"/>
      <ns0:c r="B280" s="26" t="n"/>
      <ns0:c r="C280" s="26" t="n"/>
      <ns0:c r="D280" s="26" t="n"/>
      <ns0:c r="E280" s="27" t="n"/>
      <ns0:c r="F280" s="28" t="str">
        <ns0:f>IF(A280="","",YEAR(A280)&amp;"-"&amp;RIGHT("0"&amp;MONTH(A280),2))</ns0:f>
        <ns0:v/>
      </ns0:c>
    </ns0:row>
    <ns0:row r="281" ht="21" customHeight="1">
      <ns0:c r="A281" s="25" t="n"/>
      <ns0:c r="B281" s="26" t="n"/>
      <ns0:c r="C281" s="26" t="n"/>
      <ns0:c r="D281" s="26" t="n"/>
      <ns0:c r="E281" s="27" t="n"/>
      <ns0:c r="F281" s="28" t="str">
        <ns0:f>IF(A281="","",YEAR(A281)&amp;"-"&amp;RIGHT("0"&amp;MONTH(A281),2))</ns0:f>
        <ns0:v/>
      </ns0:c>
    </ns0:row>
    <ns0:row r="282" ht="21" customHeight="1">
      <ns0:c r="A282" s="25" t="n"/>
      <ns0:c r="B282" s="26" t="n"/>
      <ns0:c r="C282" s="26" t="n"/>
      <ns0:c r="D282" s="26" t="n"/>
      <ns0:c r="E282" s="27" t="n"/>
      <ns0:c r="F282" s="28" t="str">
        <ns0:f>IF(A282="","",YEAR(A282)&amp;"-"&amp;RIGHT("0"&amp;MONTH(A282),2))</ns0:f>
        <ns0:v/>
      </ns0:c>
    </ns0:row>
    <ns0:row r="283" ht="21" customHeight="1">
      <ns0:c r="A283" s="25" t="n"/>
      <ns0:c r="B283" s="26" t="n"/>
      <ns0:c r="C283" s="26" t="n"/>
      <ns0:c r="D283" s="26" t="n"/>
      <ns0:c r="E283" s="27" t="n"/>
      <ns0:c r="F283" s="28" t="str">
        <ns0:f>IF(A283="","",YEAR(A283)&amp;"-"&amp;RIGHT("0"&amp;MONTH(A283),2))</ns0:f>
        <ns0:v/>
      </ns0:c>
    </ns0:row>
    <ns0:row r="284" ht="21" customHeight="1">
      <ns0:c r="A284" s="25" t="n"/>
      <ns0:c r="B284" s="26" t="n"/>
      <ns0:c r="C284" s="26" t="n"/>
      <ns0:c r="D284" s="26" t="n"/>
      <ns0:c r="E284" s="27" t="n"/>
      <ns0:c r="F284" s="28" t="str">
        <ns0:f>IF(A284="","",YEAR(A284)&amp;"-"&amp;RIGHT("0"&amp;MONTH(A284),2))</ns0:f>
        <ns0:v/>
      </ns0:c>
    </ns0:row>
    <ns0:row r="285" ht="21" customHeight="1">
      <ns0:c r="A285" s="25" t="n"/>
      <ns0:c r="B285" s="26" t="n"/>
      <ns0:c r="C285" s="26" t="n"/>
      <ns0:c r="D285" s="26" t="n"/>
      <ns0:c r="E285" s="27" t="n"/>
      <ns0:c r="F285" s="28" t="str">
        <ns0:f>IF(A285="","",YEAR(A285)&amp;"-"&amp;RIGHT("0"&amp;MONTH(A285),2))</ns0:f>
        <ns0:v/>
      </ns0:c>
    </ns0:row>
    <ns0:row r="286" ht="21" customHeight="1">
      <ns0:c r="A286" s="25" t="n"/>
      <ns0:c r="B286" s="26" t="n"/>
      <ns0:c r="C286" s="26" t="n"/>
      <ns0:c r="D286" s="26" t="n"/>
      <ns0:c r="E286" s="27" t="n"/>
      <ns0:c r="F286" s="28" t="str">
        <ns0:f>IF(A286="","",YEAR(A286)&amp;"-"&amp;RIGHT("0"&amp;MONTH(A286),2))</ns0:f>
        <ns0:v/>
      </ns0:c>
    </ns0:row>
    <ns0:row r="287" ht="21" customHeight="1">
      <ns0:c r="A287" s="25" t="n"/>
      <ns0:c r="B287" s="26" t="n"/>
      <ns0:c r="C287" s="26" t="n"/>
      <ns0:c r="D287" s="26" t="n"/>
      <ns0:c r="E287" s="27" t="n"/>
      <ns0:c r="F287" s="28" t="str">
        <ns0:f>IF(A287="","",YEAR(A287)&amp;"-"&amp;RIGHT("0"&amp;MONTH(A287),2))</ns0:f>
        <ns0:v/>
      </ns0:c>
    </ns0:row>
    <ns0:row r="288" ht="21" customHeight="1">
      <ns0:c r="A288" s="25" t="n"/>
      <ns0:c r="B288" s="26" t="n"/>
      <ns0:c r="C288" s="26" t="n"/>
      <ns0:c r="D288" s="26" t="n"/>
      <ns0:c r="E288" s="27" t="n"/>
      <ns0:c r="F288" s="28" t="str">
        <ns0:f>IF(A288="","",YEAR(A288)&amp;"-"&amp;RIGHT("0"&amp;MONTH(A288),2))</ns0:f>
        <ns0:v/>
      </ns0:c>
    </ns0:row>
    <ns0:row r="289" ht="21" customHeight="1">
      <ns0:c r="A289" s="25" t="n"/>
      <ns0:c r="B289" s="26" t="n"/>
      <ns0:c r="C289" s="26" t="n"/>
      <ns0:c r="D289" s="26" t="n"/>
      <ns0:c r="E289" s="27" t="n"/>
      <ns0:c r="F289" s="28" t="str">
        <ns0:f>IF(A289="","",YEAR(A289)&amp;"-"&amp;RIGHT("0"&amp;MONTH(A289),2))</ns0:f>
        <ns0:v/>
      </ns0:c>
    </ns0:row>
    <ns0:row r="290" ht="21" customHeight="1">
      <ns0:c r="A290" s="25" t="n"/>
      <ns0:c r="B290" s="26" t="n"/>
      <ns0:c r="C290" s="26" t="n"/>
      <ns0:c r="D290" s="26" t="n"/>
      <ns0:c r="E290" s="27" t="n"/>
      <ns0:c r="F290" s="28" t="str">
        <ns0:f>IF(A290="","",YEAR(A290)&amp;"-"&amp;RIGHT("0"&amp;MONTH(A290),2))</ns0:f>
        <ns0:v/>
      </ns0:c>
    </ns0:row>
    <ns0:row r="291" ht="21" customHeight="1">
      <ns0:c r="A291" s="25" t="n"/>
      <ns0:c r="B291" s="26" t="n"/>
      <ns0:c r="C291" s="26" t="n"/>
      <ns0:c r="D291" s="26" t="n"/>
      <ns0:c r="E291" s="27" t="n"/>
      <ns0:c r="F291" s="28" t="str">
        <ns0:f>IF(A291="","",YEAR(A291)&amp;"-"&amp;RIGHT("0"&amp;MONTH(A291),2))</ns0:f>
        <ns0:v/>
      </ns0:c>
    </ns0:row>
    <ns0:row r="292" ht="21" customHeight="1">
      <ns0:c r="A292" s="25" t="n"/>
      <ns0:c r="B292" s="26" t="n"/>
      <ns0:c r="C292" s="26" t="n"/>
      <ns0:c r="D292" s="26" t="n"/>
      <ns0:c r="E292" s="27" t="n"/>
      <ns0:c r="F292" s="28" t="str">
        <ns0:f>IF(A292="","",YEAR(A292)&amp;"-"&amp;RIGHT("0"&amp;MONTH(A292),2))</ns0:f>
        <ns0:v/>
      </ns0:c>
    </ns0:row>
    <ns0:row r="293" ht="21" customHeight="1">
      <ns0:c r="A293" s="25" t="n"/>
      <ns0:c r="B293" s="26" t="n"/>
      <ns0:c r="C293" s="26" t="n"/>
      <ns0:c r="D293" s="26" t="n"/>
      <ns0:c r="E293" s="27" t="n"/>
      <ns0:c r="F293" s="28" t="str">
        <ns0:f>IF(A293="","",YEAR(A293)&amp;"-"&amp;RIGHT("0"&amp;MONTH(A293),2))</ns0:f>
        <ns0:v/>
      </ns0:c>
    </ns0:row>
    <ns0:row r="294" ht="21" customHeight="1">
      <ns0:c r="A294" s="25" t="n"/>
      <ns0:c r="B294" s="26" t="n"/>
      <ns0:c r="C294" s="26" t="n"/>
      <ns0:c r="D294" s="26" t="n"/>
      <ns0:c r="E294" s="27" t="n"/>
      <ns0:c r="F294" s="28" t="str">
        <ns0:f>IF(A294="","",YEAR(A294)&amp;"-"&amp;RIGHT("0"&amp;MONTH(A294),2))</ns0:f>
        <ns0:v/>
      </ns0:c>
    </ns0:row>
    <ns0:row r="295" ht="21" customHeight="1">
      <ns0:c r="A295" s="25" t="n"/>
      <ns0:c r="B295" s="26" t="n"/>
      <ns0:c r="C295" s="26" t="n"/>
      <ns0:c r="D295" s="26" t="n"/>
      <ns0:c r="E295" s="27" t="n"/>
      <ns0:c r="F295" s="28" t="str">
        <ns0:f>IF(A295="","",YEAR(A295)&amp;"-"&amp;RIGHT("0"&amp;MONTH(A295),2))</ns0:f>
        <ns0:v/>
      </ns0:c>
    </ns0:row>
    <ns0:row r="296" ht="21" customHeight="1">
      <ns0:c r="A296" s="25" t="n"/>
      <ns0:c r="B296" s="26" t="n"/>
      <ns0:c r="C296" s="26" t="n"/>
      <ns0:c r="D296" s="26" t="n"/>
      <ns0:c r="E296" s="27" t="n"/>
      <ns0:c r="F296" s="28" t="str">
        <ns0:f>IF(A296="","",YEAR(A296)&amp;"-"&amp;RIGHT("0"&amp;MONTH(A296),2))</ns0:f>
        <ns0:v/>
      </ns0:c>
    </ns0:row>
    <ns0:row r="297" ht="21" customHeight="1">
      <ns0:c r="A297" s="25" t="n"/>
      <ns0:c r="B297" s="26" t="n"/>
      <ns0:c r="C297" s="26" t="n"/>
      <ns0:c r="D297" s="26" t="n"/>
      <ns0:c r="E297" s="27" t="n"/>
      <ns0:c r="F297" s="28" t="str">
        <ns0:f>IF(A297="","",YEAR(A297)&amp;"-"&amp;RIGHT("0"&amp;MONTH(A297),2))</ns0:f>
        <ns0:v/>
      </ns0:c>
    </ns0:row>
    <ns0:row r="298" ht="21" customHeight="1">
      <ns0:c r="A298" s="25" t="n"/>
      <ns0:c r="B298" s="26" t="n"/>
      <ns0:c r="C298" s="26" t="n"/>
      <ns0:c r="D298" s="26" t="n"/>
      <ns0:c r="E298" s="27" t="n"/>
      <ns0:c r="F298" s="28" t="str">
        <ns0:f>IF(A298="","",YEAR(A298)&amp;"-"&amp;RIGHT("0"&amp;MONTH(A298),2))</ns0:f>
        <ns0:v/>
      </ns0:c>
    </ns0:row>
    <ns0:row r="299" ht="21" customHeight="1">
      <ns0:c r="A299" s="25" t="n"/>
      <ns0:c r="B299" s="26" t="n"/>
      <ns0:c r="C299" s="26" t="n"/>
      <ns0:c r="D299" s="26" t="n"/>
      <ns0:c r="E299" s="27" t="n"/>
      <ns0:c r="F299" s="28" t="str">
        <ns0:f>IF(A299="","",YEAR(A299)&amp;"-"&amp;RIGHT("0"&amp;MONTH(A299),2))</ns0:f>
        <ns0:v/>
      </ns0:c>
    </ns0:row>
    <ns0:row r="300" ht="21" customHeight="1">
      <ns0:c r="A300" s="25" t="n"/>
      <ns0:c r="B300" s="26" t="n"/>
      <ns0:c r="C300" s="26" t="n"/>
      <ns0:c r="D300" s="26" t="n"/>
      <ns0:c r="E300" s="27" t="n"/>
      <ns0:c r="F300" s="28" t="str">
        <ns0:f>IF(A300="","",YEAR(A300)&amp;"-"&amp;RIGHT("0"&amp;MONTH(A300),2))</ns0:f>
        <ns0:v/>
      </ns0:c>
    </ns0:row>
    <ns0:row r="301" ht="21" customHeight="1">
      <ns0:c r="A301" s="25" t="n"/>
      <ns0:c r="B301" s="26" t="n"/>
      <ns0:c r="C301" s="26" t="n"/>
      <ns0:c r="D301" s="26" t="n"/>
      <ns0:c r="E301" s="27" t="n"/>
      <ns0:c r="F301" s="28" t="str">
        <ns0:f>IF(A301="","",YEAR(A301)&amp;"-"&amp;RIGHT("0"&amp;MONTH(A301),2))</ns0:f>
        <ns0:v/>
      </ns0:c>
    </ns0:row>
    <ns0:row r="302" ht="21" customHeight="1">
      <ns0:c r="A302" s="25" t="n"/>
      <ns0:c r="B302" s="26" t="n"/>
      <ns0:c r="C302" s="26" t="n"/>
      <ns0:c r="D302" s="26" t="n"/>
      <ns0:c r="E302" s="27" t="n"/>
      <ns0:c r="F302" s="28" t="str">
        <ns0:f>IF(A302="","",YEAR(A302)&amp;"-"&amp;RIGHT("0"&amp;MONTH(A302),2))</ns0:f>
        <ns0:v/>
      </ns0:c>
    </ns0:row>
    <ns0:row r="303" ht="21" customHeight="1">
      <ns0:c r="A303" s="25" t="n"/>
      <ns0:c r="B303" s="26" t="n"/>
      <ns0:c r="C303" s="26" t="n"/>
      <ns0:c r="D303" s="26" t="n"/>
      <ns0:c r="E303" s="27" t="n"/>
      <ns0:c r="F303" s="28" t="str">
        <ns0:f>IF(A303="","",YEAR(A303)&amp;"-"&amp;RIGHT("0"&amp;MONTH(A303),2))</ns0:f>
        <ns0:v/>
      </ns0:c>
    </ns0:row>
    <ns0:row r="304" ht="21" customHeight="1">
      <ns0:c r="A304" s="25" t="n"/>
      <ns0:c r="B304" s="26" t="n"/>
      <ns0:c r="C304" s="26" t="n"/>
      <ns0:c r="D304" s="26" t="n"/>
      <ns0:c r="E304" s="27" t="n"/>
      <ns0:c r="F304" s="28" t="str">
        <ns0:f>IF(A304="","",YEAR(A304)&amp;"-"&amp;RIGHT("0"&amp;MONTH(A304),2))</ns0:f>
        <ns0:v/>
      </ns0:c>
    </ns0:row>
    <ns0:row r="305" ht="21" customHeight="1">
      <ns0:c r="A305" s="25" t="n"/>
      <ns0:c r="B305" s="26" t="n"/>
      <ns0:c r="C305" s="26" t="n"/>
      <ns0:c r="D305" s="26" t="n"/>
      <ns0:c r="E305" s="27" t="n"/>
      <ns0:c r="F305" s="28" t="str">
        <ns0:f>IF(A305="","",YEAR(A305)&amp;"-"&amp;RIGHT("0"&amp;MONTH(A305),2))</ns0:f>
        <ns0:v/>
      </ns0:c>
    </ns0:row>
    <ns0:row r="306" ht="21" customHeight="1">
      <ns0:c r="A306" s="25" t="n"/>
      <ns0:c r="B306" s="26" t="n"/>
      <ns0:c r="C306" s="26" t="n"/>
      <ns0:c r="D306" s="26" t="n"/>
      <ns0:c r="E306" s="27" t="n"/>
      <ns0:c r="F306" s="28" t="str">
        <ns0:f>IF(A306="","",YEAR(A306)&amp;"-"&amp;RIGHT("0"&amp;MONTH(A306),2))</ns0:f>
        <ns0:v/>
      </ns0:c>
    </ns0:row>
    <ns0:row r="307" ht="21" customHeight="1">
      <ns0:c r="A307" s="25" t="n"/>
      <ns0:c r="B307" s="26" t="n"/>
      <ns0:c r="C307" s="26" t="n"/>
      <ns0:c r="D307" s="26" t="n"/>
      <ns0:c r="E307" s="27" t="n"/>
      <ns0:c r="F307" s="28" t="str">
        <ns0:f>IF(A307="","",YEAR(A307)&amp;"-"&amp;RIGHT("0"&amp;MONTH(A307),2))</ns0:f>
        <ns0:v/>
      </ns0:c>
    </ns0:row>
    <ns0:row r="308" ht="21" customHeight="1">
      <ns0:c r="A308" s="25" t="n"/>
      <ns0:c r="B308" s="26" t="n"/>
      <ns0:c r="C308" s="26" t="n"/>
      <ns0:c r="D308" s="26" t="n"/>
      <ns0:c r="E308" s="27" t="n"/>
      <ns0:c r="F308" s="28" t="str">
        <ns0:f>IF(A308="","",YEAR(A308)&amp;"-"&amp;RIGHT("0"&amp;MONTH(A308),2))</ns0:f>
        <ns0:v/>
      </ns0:c>
    </ns0:row>
    <ns0:row r="309" ht="21" customHeight="1">
      <ns0:c r="A309" s="25" t="n"/>
      <ns0:c r="B309" s="26" t="n"/>
      <ns0:c r="C309" s="26" t="n"/>
      <ns0:c r="D309" s="26" t="n"/>
      <ns0:c r="E309" s="27" t="n"/>
      <ns0:c r="F309" s="28" t="str">
        <ns0:f>IF(A309="","",YEAR(A309)&amp;"-"&amp;RIGHT("0"&amp;MONTH(A309),2))</ns0:f>
        <ns0:v/>
      </ns0:c>
    </ns0:row>
    <ns0:row r="310" ht="21" customHeight="1">
      <ns0:c r="A310" s="25" t="n"/>
      <ns0:c r="B310" s="26" t="n"/>
      <ns0:c r="C310" s="26" t="n"/>
      <ns0:c r="D310" s="26" t="n"/>
      <ns0:c r="E310" s="27" t="n"/>
      <ns0:c r="F310" s="28" t="str">
        <ns0:f>IF(A310="","",YEAR(A310)&amp;"-"&amp;RIGHT("0"&amp;MONTH(A310),2))</ns0:f>
        <ns0:v/>
      </ns0:c>
    </ns0:row>
    <ns0:row r="311" ht="21" customHeight="1">
      <ns0:c r="A311" s="25" t="n"/>
      <ns0:c r="B311" s="26" t="n"/>
      <ns0:c r="C311" s="26" t="n"/>
      <ns0:c r="D311" s="26" t="n"/>
      <ns0:c r="E311" s="27" t="n"/>
      <ns0:c r="F311" s="28" t="str">
        <ns0:f>IF(A311="","",YEAR(A311)&amp;"-"&amp;RIGHT("0"&amp;MONTH(A311),2))</ns0:f>
        <ns0:v/>
      </ns0:c>
    </ns0:row>
    <ns0:row r="312" ht="21" customHeight="1">
      <ns0:c r="A312" s="25" t="n"/>
      <ns0:c r="B312" s="26" t="n"/>
      <ns0:c r="C312" s="26" t="n"/>
      <ns0:c r="D312" s="26" t="n"/>
      <ns0:c r="E312" s="27" t="n"/>
      <ns0:c r="F312" s="28" t="str">
        <ns0:f>IF(A312="","",YEAR(A312)&amp;"-"&amp;RIGHT("0"&amp;MONTH(A312),2))</ns0:f>
        <ns0:v/>
      </ns0:c>
    </ns0:row>
    <ns0:row r="313" ht="21" customHeight="1">
      <ns0:c r="A313" s="25" t="n"/>
      <ns0:c r="B313" s="26" t="n"/>
      <ns0:c r="C313" s="26" t="n"/>
      <ns0:c r="D313" s="26" t="n"/>
      <ns0:c r="E313" s="27" t="n"/>
      <ns0:c r="F313" s="28" t="str">
        <ns0:f>IF(A313="","",YEAR(A313)&amp;"-"&amp;RIGHT("0"&amp;MONTH(A313),2))</ns0:f>
        <ns0:v/>
      </ns0:c>
    </ns0:row>
    <ns0:row r="314" ht="21" customHeight="1">
      <ns0:c r="A314" s="25" t="n"/>
      <ns0:c r="B314" s="26" t="n"/>
      <ns0:c r="C314" s="26" t="n"/>
      <ns0:c r="D314" s="26" t="n"/>
      <ns0:c r="E314" s="27" t="n"/>
      <ns0:c r="F314" s="28" t="str">
        <ns0:f>IF(A314="","",YEAR(A314)&amp;"-"&amp;RIGHT("0"&amp;MONTH(A314),2))</ns0:f>
        <ns0:v/>
      </ns0:c>
    </ns0:row>
    <ns0:row r="315" ht="21" customHeight="1">
      <ns0:c r="A315" s="25" t="n"/>
      <ns0:c r="B315" s="26" t="n"/>
      <ns0:c r="C315" s="26" t="n"/>
      <ns0:c r="D315" s="26" t="n"/>
      <ns0:c r="E315" s="27" t="n"/>
      <ns0:c r="F315" s="28" t="str">
        <ns0:f>IF(A315="","",YEAR(A315)&amp;"-"&amp;RIGHT("0"&amp;MONTH(A315),2))</ns0:f>
        <ns0:v/>
      </ns0:c>
    </ns0:row>
    <ns0:row r="316" ht="21" customHeight="1">
      <ns0:c r="A316" s="25" t="n"/>
      <ns0:c r="B316" s="26" t="n"/>
      <ns0:c r="C316" s="26" t="n"/>
      <ns0:c r="D316" s="26" t="n"/>
      <ns0:c r="E316" s="27" t="n"/>
      <ns0:c r="F316" s="28" t="str">
        <ns0:f>IF(A316="","",YEAR(A316)&amp;"-"&amp;RIGHT("0"&amp;MONTH(A316),2))</ns0:f>
        <ns0:v/>
      </ns0:c>
    </ns0:row>
    <ns0:row r="317" ht="21" customHeight="1">
      <ns0:c r="A317" s="25" t="n"/>
      <ns0:c r="B317" s="26" t="n"/>
      <ns0:c r="C317" s="26" t="n"/>
      <ns0:c r="D317" s="26" t="n"/>
      <ns0:c r="E317" s="27" t="n"/>
      <ns0:c r="F317" s="28" t="str">
        <ns0:f>IF(A317="","",YEAR(A317)&amp;"-"&amp;RIGHT("0"&amp;MONTH(A317),2))</ns0:f>
        <ns0:v/>
      </ns0:c>
    </ns0:row>
    <ns0:row r="318" ht="21" customHeight="1">
      <ns0:c r="A318" s="25" t="n"/>
      <ns0:c r="B318" s="26" t="n"/>
      <ns0:c r="C318" s="26" t="n"/>
      <ns0:c r="D318" s="26" t="n"/>
      <ns0:c r="E318" s="27" t="n"/>
      <ns0:c r="F318" s="28" t="str">
        <ns0:f>IF(A318="","",YEAR(A318)&amp;"-"&amp;RIGHT("0"&amp;MONTH(A318),2))</ns0:f>
        <ns0:v/>
      </ns0:c>
    </ns0:row>
    <ns0:row r="319" ht="21" customHeight="1">
      <ns0:c r="A319" s="25" t="n"/>
      <ns0:c r="B319" s="26" t="n"/>
      <ns0:c r="C319" s="26" t="n"/>
      <ns0:c r="D319" s="26" t="n"/>
      <ns0:c r="E319" s="27" t="n"/>
      <ns0:c r="F319" s="28" t="str">
        <ns0:f>IF(A319="","",YEAR(A319)&amp;"-"&amp;RIGHT("0"&amp;MONTH(A319),2))</ns0:f>
        <ns0:v/>
      </ns0:c>
    </ns0:row>
    <ns0:row r="320" ht="21" customHeight="1">
      <ns0:c r="A320" s="25" t="n"/>
      <ns0:c r="B320" s="26" t="n"/>
      <ns0:c r="C320" s="26" t="n"/>
      <ns0:c r="D320" s="26" t="n"/>
      <ns0:c r="E320" s="27" t="n"/>
      <ns0:c r="F320" s="28" t="str">
        <ns0:f>IF(A320="","",YEAR(A320)&amp;"-"&amp;RIGHT("0"&amp;MONTH(A320),2))</ns0:f>
        <ns0:v/>
      </ns0:c>
    </ns0:row>
    <ns0:row r="321" ht="21" customHeight="1">
      <ns0:c r="A321" s="25" t="n"/>
      <ns0:c r="B321" s="26" t="n"/>
      <ns0:c r="C321" s="26" t="n"/>
      <ns0:c r="D321" s="26" t="n"/>
      <ns0:c r="E321" s="27" t="n"/>
      <ns0:c r="F321" s="28" t="str">
        <ns0:f>IF(A321="","",YEAR(A321)&amp;"-"&amp;RIGHT("0"&amp;MONTH(A321),2))</ns0:f>
        <ns0:v/>
      </ns0:c>
    </ns0:row>
    <ns0:row r="322" ht="21" customHeight="1">
      <ns0:c r="A322" s="25" t="n"/>
      <ns0:c r="B322" s="26" t="n"/>
      <ns0:c r="C322" s="26" t="n"/>
      <ns0:c r="D322" s="26" t="n"/>
      <ns0:c r="E322" s="27" t="n"/>
      <ns0:c r="F322" s="28" t="str">
        <ns0:f>IF(A322="","",YEAR(A322)&amp;"-"&amp;RIGHT("0"&amp;MONTH(A322),2))</ns0:f>
        <ns0:v/>
      </ns0:c>
    </ns0:row>
    <ns0:row r="323" ht="21" customHeight="1">
      <ns0:c r="A323" s="25" t="n"/>
      <ns0:c r="B323" s="26" t="n"/>
      <ns0:c r="C323" s="26" t="n"/>
      <ns0:c r="D323" s="26" t="n"/>
      <ns0:c r="E323" s="27" t="n"/>
      <ns0:c r="F323" s="28" t="str">
        <ns0:f>IF(A323="","",YEAR(A323)&amp;"-"&amp;RIGHT("0"&amp;MONTH(A323),2))</ns0:f>
        <ns0:v/>
      </ns0:c>
    </ns0:row>
    <ns0:row r="324" ht="21" customHeight="1">
      <ns0:c r="A324" s="25" t="n"/>
      <ns0:c r="B324" s="26" t="n"/>
      <ns0:c r="C324" s="26" t="n"/>
      <ns0:c r="D324" s="26" t="n"/>
      <ns0:c r="E324" s="27" t="n"/>
      <ns0:c r="F324" s="28" t="str">
        <ns0:f>IF(A324="","",YEAR(A324)&amp;"-"&amp;RIGHT("0"&amp;MONTH(A324),2))</ns0:f>
        <ns0:v/>
      </ns0:c>
    </ns0:row>
    <ns0:row r="325" ht="21" customHeight="1">
      <ns0:c r="A325" s="25" t="n"/>
      <ns0:c r="B325" s="26" t="n"/>
      <ns0:c r="C325" s="26" t="n"/>
      <ns0:c r="D325" s="26" t="n"/>
      <ns0:c r="E325" s="27" t="n"/>
      <ns0:c r="F325" s="28" t="str">
        <ns0:f>IF(A325="","",YEAR(A325)&amp;"-"&amp;RIGHT("0"&amp;MONTH(A325),2))</ns0:f>
        <ns0:v/>
      </ns0:c>
    </ns0:row>
    <ns0:row r="326" ht="21" customHeight="1">
      <ns0:c r="A326" s="25" t="n"/>
      <ns0:c r="B326" s="26" t="n"/>
      <ns0:c r="C326" s="26" t="n"/>
      <ns0:c r="D326" s="26" t="n"/>
      <ns0:c r="E326" s="27" t="n"/>
      <ns0:c r="F326" s="28" t="str">
        <ns0:f>IF(A326="","",YEAR(A326)&amp;"-"&amp;RIGHT("0"&amp;MONTH(A326),2))</ns0:f>
        <ns0:v/>
      </ns0:c>
    </ns0:row>
    <ns0:row r="327" ht="21" customHeight="1">
      <ns0:c r="A327" s="25" t="n"/>
      <ns0:c r="B327" s="26" t="n"/>
      <ns0:c r="C327" s="26" t="n"/>
      <ns0:c r="D327" s="26" t="n"/>
      <ns0:c r="E327" s="27" t="n"/>
      <ns0:c r="F327" s="28" t="str">
        <ns0:f>IF(A327="","",YEAR(A327)&amp;"-"&amp;RIGHT("0"&amp;MONTH(A327),2))</ns0:f>
        <ns0:v/>
      </ns0:c>
    </ns0:row>
    <ns0:row r="328" ht="21" customHeight="1">
      <ns0:c r="A328" s="25" t="n"/>
      <ns0:c r="B328" s="26" t="n"/>
      <ns0:c r="C328" s="26" t="n"/>
      <ns0:c r="D328" s="26" t="n"/>
      <ns0:c r="E328" s="27" t="n"/>
      <ns0:c r="F328" s="28" t="str">
        <ns0:f>IF(A328="","",YEAR(A328)&amp;"-"&amp;RIGHT("0"&amp;MONTH(A328),2))</ns0:f>
        <ns0:v/>
      </ns0:c>
    </ns0:row>
    <ns0:row r="329" ht="21" customHeight="1">
      <ns0:c r="A329" s="25" t="n"/>
      <ns0:c r="B329" s="26" t="n"/>
      <ns0:c r="C329" s="26" t="n"/>
      <ns0:c r="D329" s="26" t="n"/>
      <ns0:c r="E329" s="27" t="n"/>
      <ns0:c r="F329" s="28" t="str">
        <ns0:f>IF(A329="","",YEAR(A329)&amp;"-"&amp;RIGHT("0"&amp;MONTH(A329),2))</ns0:f>
        <ns0:v/>
      </ns0:c>
    </ns0:row>
    <ns0:row r="330" ht="21" customHeight="1">
      <ns0:c r="A330" s="25" t="n"/>
      <ns0:c r="B330" s="26" t="n"/>
      <ns0:c r="C330" s="26" t="n"/>
      <ns0:c r="D330" s="26" t="n"/>
      <ns0:c r="E330" s="27" t="n"/>
      <ns0:c r="F330" s="28" t="str">
        <ns0:f>IF(A330="","",YEAR(A330)&amp;"-"&amp;RIGHT("0"&amp;MONTH(A330),2))</ns0:f>
        <ns0:v/>
      </ns0:c>
    </ns0:row>
    <ns0:row r="331" ht="21" customHeight="1">
      <ns0:c r="A331" s="25" t="n"/>
      <ns0:c r="B331" s="26" t="n"/>
      <ns0:c r="C331" s="26" t="n"/>
      <ns0:c r="D331" s="26" t="n"/>
      <ns0:c r="E331" s="27" t="n"/>
      <ns0:c r="F331" s="28" t="str">
        <ns0:f>IF(A331="","",YEAR(A331)&amp;"-"&amp;RIGHT("0"&amp;MONTH(A331),2))</ns0:f>
        <ns0:v/>
      </ns0:c>
    </ns0:row>
    <ns0:row r="332" ht="21" customHeight="1">
      <ns0:c r="A332" s="25" t="n"/>
      <ns0:c r="B332" s="26" t="n"/>
      <ns0:c r="C332" s="26" t="n"/>
      <ns0:c r="D332" s="26" t="n"/>
      <ns0:c r="E332" s="27" t="n"/>
      <ns0:c r="F332" s="28" t="str">
        <ns0:f>IF(A332="","",YEAR(A332)&amp;"-"&amp;RIGHT("0"&amp;MONTH(A332),2))</ns0:f>
        <ns0:v/>
      </ns0:c>
    </ns0:row>
    <ns0:row r="333" ht="21" customHeight="1">
      <ns0:c r="A333" s="25" t="n"/>
      <ns0:c r="B333" s="26" t="n"/>
      <ns0:c r="C333" s="26" t="n"/>
      <ns0:c r="D333" s="26" t="n"/>
      <ns0:c r="E333" s="27" t="n"/>
      <ns0:c r="F333" s="28" t="str">
        <ns0:f>IF(A333="","",YEAR(A333)&amp;"-"&amp;RIGHT("0"&amp;MONTH(A333),2))</ns0:f>
        <ns0:v/>
      </ns0:c>
    </ns0:row>
    <ns0:row r="334" ht="21" customHeight="1">
      <ns0:c r="A334" s="25" t="n"/>
      <ns0:c r="B334" s="26" t="n"/>
      <ns0:c r="C334" s="26" t="n"/>
      <ns0:c r="D334" s="26" t="n"/>
      <ns0:c r="E334" s="27" t="n"/>
      <ns0:c r="F334" s="28" t="str">
        <ns0:f>IF(A334="","",YEAR(A334)&amp;"-"&amp;RIGHT("0"&amp;MONTH(A334),2))</ns0:f>
        <ns0:v/>
      </ns0:c>
    </ns0:row>
    <ns0:row r="335" ht="21" customHeight="1">
      <ns0:c r="A335" s="25" t="n"/>
      <ns0:c r="B335" s="26" t="n"/>
      <ns0:c r="C335" s="26" t="n"/>
      <ns0:c r="D335" s="26" t="n"/>
      <ns0:c r="E335" s="27" t="n"/>
      <ns0:c r="F335" s="28" t="str">
        <ns0:f>IF(A335="","",YEAR(A335)&amp;"-"&amp;RIGHT("0"&amp;MONTH(A335),2))</ns0:f>
        <ns0:v/>
      </ns0:c>
    </ns0:row>
    <ns0:row r="336" ht="21" customHeight="1">
      <ns0:c r="A336" s="25" t="n"/>
      <ns0:c r="B336" s="26" t="n"/>
      <ns0:c r="C336" s="26" t="n"/>
      <ns0:c r="D336" s="26" t="n"/>
      <ns0:c r="E336" s="27" t="n"/>
      <ns0:c r="F336" s="28" t="str">
        <ns0:f>IF(A336="","",YEAR(A336)&amp;"-"&amp;RIGHT("0"&amp;MONTH(A336),2))</ns0:f>
        <ns0:v/>
      </ns0:c>
    </ns0:row>
    <ns0:row r="337" ht="21" customHeight="1">
      <ns0:c r="A337" s="25" t="n"/>
      <ns0:c r="B337" s="26" t="n"/>
      <ns0:c r="C337" s="26" t="n"/>
      <ns0:c r="D337" s="26" t="n"/>
      <ns0:c r="E337" s="27" t="n"/>
      <ns0:c r="F337" s="28" t="str">
        <ns0:f>IF(A337="","",YEAR(A337)&amp;"-"&amp;RIGHT("0"&amp;MONTH(A337),2))</ns0:f>
        <ns0:v/>
      </ns0:c>
    </ns0:row>
    <ns0:row r="338" ht="21" customHeight="1">
      <ns0:c r="A338" s="25" t="n"/>
      <ns0:c r="B338" s="26" t="n"/>
      <ns0:c r="C338" s="26" t="n"/>
      <ns0:c r="D338" s="26" t="n"/>
      <ns0:c r="E338" s="27" t="n"/>
      <ns0:c r="F338" s="28" t="str">
        <ns0:f>IF(A338="","",YEAR(A338)&amp;"-"&amp;RIGHT("0"&amp;MONTH(A338),2))</ns0:f>
        <ns0:v/>
      </ns0:c>
    </ns0:row>
    <ns0:row r="339" ht="21" customHeight="1">
      <ns0:c r="A339" s="25" t="n"/>
      <ns0:c r="B339" s="26" t="n"/>
      <ns0:c r="C339" s="26" t="n"/>
      <ns0:c r="D339" s="26" t="n"/>
      <ns0:c r="E339" s="27" t="n"/>
      <ns0:c r="F339" s="28" t="str">
        <ns0:f>IF(A339="","",YEAR(A339)&amp;"-"&amp;RIGHT("0"&amp;MONTH(A339),2))</ns0:f>
        <ns0:v/>
      </ns0:c>
    </ns0:row>
    <ns0:row r="340" ht="21" customHeight="1">
      <ns0:c r="A340" s="25" t="n"/>
      <ns0:c r="B340" s="26" t="n"/>
      <ns0:c r="C340" s="26" t="n"/>
      <ns0:c r="D340" s="26" t="n"/>
      <ns0:c r="E340" s="27" t="n"/>
      <ns0:c r="F340" s="28" t="str">
        <ns0:f>IF(A340="","",YEAR(A340)&amp;"-"&amp;RIGHT("0"&amp;MONTH(A340),2))</ns0:f>
        <ns0:v/>
      </ns0:c>
    </ns0:row>
    <ns0:row r="341" ht="21" customHeight="1">
      <ns0:c r="A341" s="25" t="n"/>
      <ns0:c r="B341" s="26" t="n"/>
      <ns0:c r="C341" s="26" t="n"/>
      <ns0:c r="D341" s="26" t="n"/>
      <ns0:c r="E341" s="27" t="n"/>
      <ns0:c r="F341" s="28" t="str">
        <ns0:f>IF(A341="","",YEAR(A341)&amp;"-"&amp;RIGHT("0"&amp;MONTH(A341),2))</ns0:f>
        <ns0:v/>
      </ns0:c>
    </ns0:row>
    <ns0:row r="342" ht="21" customHeight="1">
      <ns0:c r="A342" s="25" t="n"/>
      <ns0:c r="B342" s="26" t="n"/>
      <ns0:c r="C342" s="26" t="n"/>
      <ns0:c r="D342" s="26" t="n"/>
      <ns0:c r="E342" s="27" t="n"/>
      <ns0:c r="F342" s="28" t="str">
        <ns0:f>IF(A342="","",YEAR(A342)&amp;"-"&amp;RIGHT("0"&amp;MONTH(A342),2))</ns0:f>
        <ns0:v/>
      </ns0:c>
    </ns0:row>
    <ns0:row r="343" ht="21" customHeight="1">
      <ns0:c r="A343" s="25" t="n"/>
      <ns0:c r="B343" s="26" t="n"/>
      <ns0:c r="C343" s="26" t="n"/>
      <ns0:c r="D343" s="26" t="n"/>
      <ns0:c r="E343" s="27" t="n"/>
      <ns0:c r="F343" s="28" t="str">
        <ns0:f>IF(A343="","",YEAR(A343)&amp;"-"&amp;RIGHT("0"&amp;MONTH(A343),2))</ns0:f>
        <ns0:v/>
      </ns0:c>
    </ns0:row>
    <ns0:row r="344" ht="21" customHeight="1">
      <ns0:c r="A344" s="25" t="n"/>
      <ns0:c r="B344" s="26" t="n"/>
      <ns0:c r="C344" s="26" t="n"/>
      <ns0:c r="D344" s="26" t="n"/>
      <ns0:c r="E344" s="27" t="n"/>
      <ns0:c r="F344" s="28" t="str">
        <ns0:f>IF(A344="","",YEAR(A344)&amp;"-"&amp;RIGHT("0"&amp;MONTH(A344),2))</ns0:f>
        <ns0:v/>
      </ns0:c>
    </ns0:row>
    <ns0:row r="345" ht="21" customHeight="1">
      <ns0:c r="A345" s="25" t="n"/>
      <ns0:c r="B345" s="26" t="n"/>
      <ns0:c r="C345" s="26" t="n"/>
      <ns0:c r="D345" s="26" t="n"/>
      <ns0:c r="E345" s="27" t="n"/>
      <ns0:c r="F345" s="28" t="str">
        <ns0:f>IF(A345="","",YEAR(A345)&amp;"-"&amp;RIGHT("0"&amp;MONTH(A345),2))</ns0:f>
        <ns0:v/>
      </ns0:c>
    </ns0:row>
    <ns0:row r="346" ht="21" customHeight="1">
      <ns0:c r="A346" s="25" t="n"/>
      <ns0:c r="B346" s="26" t="n"/>
      <ns0:c r="C346" s="26" t="n"/>
      <ns0:c r="D346" s="26" t="n"/>
      <ns0:c r="E346" s="27" t="n"/>
      <ns0:c r="F346" s="28" t="str">
        <ns0:f>IF(A346="","",YEAR(A346)&amp;"-"&amp;RIGHT("0"&amp;MONTH(A346),2))</ns0:f>
        <ns0:v/>
      </ns0:c>
    </ns0:row>
    <ns0:row r="347" ht="21" customHeight="1">
      <ns0:c r="A347" s="25" t="n"/>
      <ns0:c r="B347" s="26" t="n"/>
      <ns0:c r="C347" s="26" t="n"/>
      <ns0:c r="D347" s="26" t="n"/>
      <ns0:c r="E347" s="27" t="n"/>
      <ns0:c r="F347" s="28" t="str">
        <ns0:f>IF(A347="","",YEAR(A347)&amp;"-"&amp;RIGHT("0"&amp;MONTH(A347),2))</ns0:f>
        <ns0:v/>
      </ns0:c>
    </ns0:row>
    <ns0:row r="348" ht="21" customHeight="1">
      <ns0:c r="A348" s="25" t="n"/>
      <ns0:c r="B348" s="26" t="n"/>
      <ns0:c r="C348" s="26" t="n"/>
      <ns0:c r="D348" s="26" t="n"/>
      <ns0:c r="E348" s="27" t="n"/>
      <ns0:c r="F348" s="28" t="str">
        <ns0:f>IF(A348="","",YEAR(A348)&amp;"-"&amp;RIGHT("0"&amp;MONTH(A348),2))</ns0:f>
        <ns0:v/>
      </ns0:c>
    </ns0:row>
    <ns0:row r="349" ht="21" customHeight="1">
      <ns0:c r="A349" s="25" t="n"/>
      <ns0:c r="B349" s="26" t="n"/>
      <ns0:c r="C349" s="26" t="n"/>
      <ns0:c r="D349" s="26" t="n"/>
      <ns0:c r="E349" s="27" t="n"/>
      <ns0:c r="F349" s="28" t="str">
        <ns0:f>IF(A349="","",YEAR(A349)&amp;"-"&amp;RIGHT("0"&amp;MONTH(A349),2))</ns0:f>
        <ns0:v/>
      </ns0:c>
    </ns0:row>
    <ns0:row r="350" ht="21" customHeight="1">
      <ns0:c r="A350" s="25" t="n"/>
      <ns0:c r="B350" s="26" t="n"/>
      <ns0:c r="C350" s="26" t="n"/>
      <ns0:c r="D350" s="26" t="n"/>
      <ns0:c r="E350" s="27" t="n"/>
      <ns0:c r="F350" s="28" t="str">
        <ns0:f>IF(A350="","",YEAR(A350)&amp;"-"&amp;RIGHT("0"&amp;MONTH(A350),2))</ns0:f>
        <ns0:v/>
      </ns0:c>
    </ns0:row>
    <ns0:row r="351" ht="21" customHeight="1">
      <ns0:c r="A351" s="25" t="n"/>
      <ns0:c r="B351" s="26" t="n"/>
      <ns0:c r="C351" s="26" t="n"/>
      <ns0:c r="D351" s="26" t="n"/>
      <ns0:c r="E351" s="27" t="n"/>
      <ns0:c r="F351" s="28" t="str">
        <ns0:f>IF(A351="","",YEAR(A351)&amp;"-"&amp;RIGHT("0"&amp;MONTH(A351),2))</ns0:f>
        <ns0:v/>
      </ns0:c>
    </ns0:row>
    <ns0:row r="352" ht="21" customHeight="1">
      <ns0:c r="A352" s="25" t="n"/>
      <ns0:c r="B352" s="26" t="n"/>
      <ns0:c r="C352" s="26" t="n"/>
      <ns0:c r="D352" s="26" t="n"/>
      <ns0:c r="E352" s="27" t="n"/>
      <ns0:c r="F352" s="28" t="str">
        <ns0:f>IF(A352="","",YEAR(A352)&amp;"-"&amp;RIGHT("0"&amp;MONTH(A352),2))</ns0:f>
        <ns0:v/>
      </ns0:c>
    </ns0:row>
    <ns0:row r="353" ht="21" customHeight="1">
      <ns0:c r="A353" s="25" t="n"/>
      <ns0:c r="B353" s="26" t="n"/>
      <ns0:c r="C353" s="26" t="n"/>
      <ns0:c r="D353" s="26" t="n"/>
      <ns0:c r="E353" s="27" t="n"/>
      <ns0:c r="F353" s="28" t="str">
        <ns0:f>IF(A353="","",YEAR(A353)&amp;"-"&amp;RIGHT("0"&amp;MONTH(A353),2))</ns0:f>
        <ns0:v/>
      </ns0:c>
    </ns0:row>
    <ns0:row r="354" ht="21" customHeight="1">
      <ns0:c r="A354" s="25" t="n"/>
      <ns0:c r="B354" s="26" t="n"/>
      <ns0:c r="C354" s="26" t="n"/>
      <ns0:c r="D354" s="26" t="n"/>
      <ns0:c r="E354" s="27" t="n"/>
      <ns0:c r="F354" s="28" t="str">
        <ns0:f>IF(A354="","",YEAR(A354)&amp;"-"&amp;RIGHT("0"&amp;MONTH(A354),2))</ns0:f>
        <ns0:v/>
      </ns0:c>
    </ns0:row>
    <ns0:row r="355" ht="21" customHeight="1">
      <ns0:c r="A355" s="25" t="n"/>
      <ns0:c r="B355" s="26" t="n"/>
      <ns0:c r="C355" s="26" t="n"/>
      <ns0:c r="D355" s="26" t="n"/>
      <ns0:c r="E355" s="27" t="n"/>
      <ns0:c r="F355" s="28" t="str">
        <ns0:f>IF(A355="","",YEAR(A355)&amp;"-"&amp;RIGHT("0"&amp;MONTH(A355),2))</ns0:f>
        <ns0:v/>
      </ns0:c>
    </ns0:row>
    <ns0:row r="356" ht="21" customHeight="1">
      <ns0:c r="A356" s="25" t="n"/>
      <ns0:c r="B356" s="26" t="n"/>
      <ns0:c r="C356" s="26" t="n"/>
      <ns0:c r="D356" s="26" t="n"/>
      <ns0:c r="E356" s="27" t="n"/>
      <ns0:c r="F356" s="28" t="str">
        <ns0:f>IF(A356="","",YEAR(A356)&amp;"-"&amp;RIGHT("0"&amp;MONTH(A356),2))</ns0:f>
        <ns0:v/>
      </ns0:c>
    </ns0:row>
    <ns0:row r="357" ht="21" customHeight="1">
      <ns0:c r="A357" s="25" t="n"/>
      <ns0:c r="B357" s="26" t="n"/>
      <ns0:c r="C357" s="26" t="n"/>
      <ns0:c r="D357" s="26" t="n"/>
      <ns0:c r="E357" s="27" t="n"/>
      <ns0:c r="F357" s="28" t="str">
        <ns0:f>IF(A357="","",YEAR(A357)&amp;"-"&amp;RIGHT("0"&amp;MONTH(A357),2))</ns0:f>
        <ns0:v/>
      </ns0:c>
    </ns0:row>
    <ns0:row r="358" ht="21" customHeight="1">
      <ns0:c r="A358" s="25" t="n"/>
      <ns0:c r="B358" s="26" t="n"/>
      <ns0:c r="C358" s="26" t="n"/>
      <ns0:c r="D358" s="26" t="n"/>
      <ns0:c r="E358" s="27" t="n"/>
      <ns0:c r="F358" s="28" t="str">
        <ns0:f>IF(A358="","",YEAR(A358)&amp;"-"&amp;RIGHT("0"&amp;MONTH(A358),2))</ns0:f>
        <ns0:v/>
      </ns0:c>
    </ns0:row>
    <ns0:row r="359" ht="21" customHeight="1">
      <ns0:c r="A359" s="25" t="n"/>
      <ns0:c r="B359" s="26" t="n"/>
      <ns0:c r="C359" s="26" t="n"/>
      <ns0:c r="D359" s="26" t="n"/>
      <ns0:c r="E359" s="27" t="n"/>
      <ns0:c r="F359" s="28" t="str">
        <ns0:f>IF(A359="","",YEAR(A359)&amp;"-"&amp;RIGHT("0"&amp;MONTH(A359),2))</ns0:f>
        <ns0:v/>
      </ns0:c>
    </ns0:row>
    <ns0:row r="360" ht="21" customHeight="1">
      <ns0:c r="A360" s="25" t="n"/>
      <ns0:c r="B360" s="26" t="n"/>
      <ns0:c r="C360" s="26" t="n"/>
      <ns0:c r="D360" s="26" t="n"/>
      <ns0:c r="E360" s="27" t="n"/>
      <ns0:c r="F360" s="28" t="str">
        <ns0:f>IF(A360="","",YEAR(A360)&amp;"-"&amp;RIGHT("0"&amp;MONTH(A360),2))</ns0:f>
        <ns0:v/>
      </ns0:c>
    </ns0:row>
    <ns0:row r="361" ht="21" customHeight="1">
      <ns0:c r="A361" s="25" t="n"/>
      <ns0:c r="B361" s="26" t="n"/>
      <ns0:c r="C361" s="26" t="n"/>
      <ns0:c r="D361" s="26" t="n"/>
      <ns0:c r="E361" s="27" t="n"/>
      <ns0:c r="F361" s="28" t="str">
        <ns0:f>IF(A361="","",YEAR(A361)&amp;"-"&amp;RIGHT("0"&amp;MONTH(A361),2))</ns0:f>
        <ns0:v/>
      </ns0:c>
    </ns0:row>
    <ns0:row r="362" ht="21" customHeight="1">
      <ns0:c r="A362" s="25" t="n"/>
      <ns0:c r="B362" s="26" t="n"/>
      <ns0:c r="C362" s="26" t="n"/>
      <ns0:c r="D362" s="26" t="n"/>
      <ns0:c r="E362" s="27" t="n"/>
      <ns0:c r="F362" s="28" t="str">
        <ns0:f>IF(A362="","",YEAR(A362)&amp;"-"&amp;RIGHT("0"&amp;MONTH(A362),2))</ns0:f>
        <ns0:v/>
      </ns0:c>
    </ns0:row>
    <ns0:row r="363" ht="21" customHeight="1">
      <ns0:c r="A363" s="25" t="n"/>
      <ns0:c r="B363" s="26" t="n"/>
      <ns0:c r="C363" s="26" t="n"/>
      <ns0:c r="D363" s="26" t="n"/>
      <ns0:c r="E363" s="27" t="n"/>
      <ns0:c r="F363" s="28" t="str">
        <ns0:f>IF(A363="","",YEAR(A363)&amp;"-"&amp;RIGHT("0"&amp;MONTH(A363),2))</ns0:f>
        <ns0:v/>
      </ns0:c>
    </ns0:row>
    <ns0:row r="364" ht="21" customHeight="1">
      <ns0:c r="A364" s="25" t="n"/>
      <ns0:c r="B364" s="26" t="n"/>
      <ns0:c r="C364" s="26" t="n"/>
      <ns0:c r="D364" s="26" t="n"/>
      <ns0:c r="E364" s="27" t="n"/>
      <ns0:c r="F364" s="28" t="str">
        <ns0:f>IF(A364="","",YEAR(A364)&amp;"-"&amp;RIGHT("0"&amp;MONTH(A364),2))</ns0:f>
        <ns0:v/>
      </ns0:c>
    </ns0:row>
    <ns0:row r="365" ht="21" customHeight="1">
      <ns0:c r="A365" s="25" t="n"/>
      <ns0:c r="B365" s="26" t="n"/>
      <ns0:c r="C365" s="26" t="n"/>
      <ns0:c r="D365" s="26" t="n"/>
      <ns0:c r="E365" s="27" t="n"/>
      <ns0:c r="F365" s="28" t="str">
        <ns0:f>IF(A365="","",YEAR(A365)&amp;"-"&amp;RIGHT("0"&amp;MONTH(A365),2))</ns0:f>
        <ns0:v/>
      </ns0:c>
    </ns0:row>
    <ns0:row r="366" ht="21" customHeight="1">
      <ns0:c r="A366" s="25" t="n"/>
      <ns0:c r="B366" s="26" t="n"/>
      <ns0:c r="C366" s="26" t="n"/>
      <ns0:c r="D366" s="26" t="n"/>
      <ns0:c r="E366" s="27" t="n"/>
      <ns0:c r="F366" s="28" t="str">
        <ns0:f>IF(A366="","",YEAR(A366)&amp;"-"&amp;RIGHT("0"&amp;MONTH(A366),2))</ns0:f>
        <ns0:v/>
      </ns0:c>
    </ns0:row>
    <ns0:row r="367" ht="21" customHeight="1">
      <ns0:c r="A367" s="25" t="n"/>
      <ns0:c r="B367" s="26" t="n"/>
      <ns0:c r="C367" s="26" t="n"/>
      <ns0:c r="D367" s="26" t="n"/>
      <ns0:c r="E367" s="27" t="n"/>
      <ns0:c r="F367" s="28" t="str">
        <ns0:f>IF(A367="","",YEAR(A367)&amp;"-"&amp;RIGHT("0"&amp;MONTH(A367),2))</ns0:f>
        <ns0:v/>
      </ns0:c>
    </ns0:row>
    <ns0:row r="368" ht="21" customHeight="1">
      <ns0:c r="A368" s="25" t="n"/>
      <ns0:c r="B368" s="26" t="n"/>
      <ns0:c r="C368" s="26" t="n"/>
      <ns0:c r="D368" s="26" t="n"/>
      <ns0:c r="E368" s="27" t="n"/>
      <ns0:c r="F368" s="28" t="str">
        <ns0:f>IF(A368="","",YEAR(A368)&amp;"-"&amp;RIGHT("0"&amp;MONTH(A368),2))</ns0:f>
        <ns0:v/>
      </ns0:c>
    </ns0:row>
    <ns0:row r="369" ht="21" customHeight="1">
      <ns0:c r="A369" s="25" t="n"/>
      <ns0:c r="B369" s="26" t="n"/>
      <ns0:c r="C369" s="26" t="n"/>
      <ns0:c r="D369" s="26" t="n"/>
      <ns0:c r="E369" s="27" t="n"/>
      <ns0:c r="F369" s="28" t="str">
        <ns0:f>IF(A369="","",YEAR(A369)&amp;"-"&amp;RIGHT("0"&amp;MONTH(A369),2))</ns0:f>
        <ns0:v/>
      </ns0:c>
    </ns0:row>
    <ns0:row r="370" ht="21" customHeight="1">
      <ns0:c r="A370" s="25" t="n"/>
      <ns0:c r="B370" s="26" t="n"/>
      <ns0:c r="C370" s="26" t="n"/>
      <ns0:c r="D370" s="26" t="n"/>
      <ns0:c r="E370" s="27" t="n"/>
      <ns0:c r="F370" s="28" t="str">
        <ns0:f>IF(A370="","",YEAR(A370)&amp;"-"&amp;RIGHT("0"&amp;MONTH(A370),2))</ns0:f>
        <ns0:v/>
      </ns0:c>
    </ns0:row>
    <ns0:row r="371" ht="21" customHeight="1">
      <ns0:c r="A371" s="25" t="n"/>
      <ns0:c r="B371" s="26" t="n"/>
      <ns0:c r="C371" s="26" t="n"/>
      <ns0:c r="D371" s="26" t="n"/>
      <ns0:c r="E371" s="27" t="n"/>
      <ns0:c r="F371" s="28" t="str">
        <ns0:f>IF(A371="","",YEAR(A371)&amp;"-"&amp;RIGHT("0"&amp;MONTH(A371),2))</ns0:f>
        <ns0:v/>
      </ns0:c>
    </ns0:row>
    <ns0:row r="372" ht="21" customHeight="1">
      <ns0:c r="A372" s="25" t="n"/>
      <ns0:c r="B372" s="26" t="n"/>
      <ns0:c r="C372" s="26" t="n"/>
      <ns0:c r="D372" s="26" t="n"/>
      <ns0:c r="E372" s="27" t="n"/>
      <ns0:c r="F372" s="28" t="str">
        <ns0:f>IF(A372="","",YEAR(A372)&amp;"-"&amp;RIGHT("0"&amp;MONTH(A372),2))</ns0:f>
        <ns0:v/>
      </ns0:c>
    </ns0:row>
    <ns0:row r="373" ht="21" customHeight="1">
      <ns0:c r="A373" s="25" t="n"/>
      <ns0:c r="B373" s="26" t="n"/>
      <ns0:c r="C373" s="26" t="n"/>
      <ns0:c r="D373" s="26" t="n"/>
      <ns0:c r="E373" s="27" t="n"/>
      <ns0:c r="F373" s="28" t="str">
        <ns0:f>IF(A373="","",YEAR(A373)&amp;"-"&amp;RIGHT("0"&amp;MONTH(A373),2))</ns0:f>
        <ns0:v/>
      </ns0:c>
    </ns0:row>
    <ns0:row r="374" ht="21" customHeight="1">
      <ns0:c r="A374" s="25" t="n"/>
      <ns0:c r="B374" s="26" t="n"/>
      <ns0:c r="C374" s="26" t="n"/>
      <ns0:c r="D374" s="26" t="n"/>
      <ns0:c r="E374" s="27" t="n"/>
      <ns0:c r="F374" s="28" t="str">
        <ns0:f>IF(A374="","",YEAR(A374)&amp;"-"&amp;RIGHT("0"&amp;MONTH(A374),2))</ns0:f>
        <ns0:v/>
      </ns0:c>
    </ns0:row>
    <ns0:row r="375" ht="21" customHeight="1">
      <ns0:c r="A375" s="25" t="n"/>
      <ns0:c r="B375" s="26" t="n"/>
      <ns0:c r="C375" s="26" t="n"/>
      <ns0:c r="D375" s="26" t="n"/>
      <ns0:c r="E375" s="27" t="n"/>
      <ns0:c r="F375" s="28" t="str">
        <ns0:f>IF(A375="","",YEAR(A375)&amp;"-"&amp;RIGHT("0"&amp;MONTH(A375),2))</ns0:f>
        <ns0:v/>
      </ns0:c>
    </ns0:row>
    <ns0:row r="376" ht="21" customHeight="1">
      <ns0:c r="A376" s="25" t="n"/>
      <ns0:c r="B376" s="26" t="n"/>
      <ns0:c r="C376" s="26" t="n"/>
      <ns0:c r="D376" s="26" t="n"/>
      <ns0:c r="E376" s="27" t="n"/>
      <ns0:c r="F376" s="28" t="str">
        <ns0:f>IF(A376="","",YEAR(A376)&amp;"-"&amp;RIGHT("0"&amp;MONTH(A376),2))</ns0:f>
        <ns0:v/>
      </ns0:c>
    </ns0:row>
    <ns0:row r="377" ht="21" customHeight="1">
      <ns0:c r="A377" s="25" t="n"/>
      <ns0:c r="B377" s="26" t="n"/>
      <ns0:c r="C377" s="26" t="n"/>
      <ns0:c r="D377" s="26" t="n"/>
      <ns0:c r="E377" s="27" t="n"/>
      <ns0:c r="F377" s="28" t="str">
        <ns0:f>IF(A377="","",YEAR(A377)&amp;"-"&amp;RIGHT("0"&amp;MONTH(A377),2))</ns0:f>
        <ns0:v/>
      </ns0:c>
    </ns0:row>
    <ns0:row r="378" ht="21" customHeight="1">
      <ns0:c r="A378" s="25" t="n"/>
      <ns0:c r="B378" s="26" t="n"/>
      <ns0:c r="C378" s="26" t="n"/>
      <ns0:c r="D378" s="26" t="n"/>
      <ns0:c r="E378" s="27" t="n"/>
      <ns0:c r="F378" s="28" t="str">
        <ns0:f>IF(A378="","",YEAR(A378)&amp;"-"&amp;RIGHT("0"&amp;MONTH(A378),2))</ns0:f>
        <ns0:v/>
      </ns0:c>
    </ns0:row>
    <ns0:row r="379" ht="21" customHeight="1">
      <ns0:c r="A379" s="25" t="n"/>
      <ns0:c r="B379" s="26" t="n"/>
      <ns0:c r="C379" s="26" t="n"/>
      <ns0:c r="D379" s="26" t="n"/>
      <ns0:c r="E379" s="27" t="n"/>
      <ns0:c r="F379" s="28" t="str">
        <ns0:f>IF(A379="","",YEAR(A379)&amp;"-"&amp;RIGHT("0"&amp;MONTH(A379),2))</ns0:f>
        <ns0:v/>
      </ns0:c>
    </ns0:row>
    <ns0:row r="380" ht="21" customHeight="1">
      <ns0:c r="A380" s="25" t="n"/>
      <ns0:c r="B380" s="26" t="n"/>
      <ns0:c r="C380" s="26" t="n"/>
      <ns0:c r="D380" s="26" t="n"/>
      <ns0:c r="E380" s="27" t="n"/>
      <ns0:c r="F380" s="28" t="str">
        <ns0:f>IF(A380="","",YEAR(A380)&amp;"-"&amp;RIGHT("0"&amp;MONTH(A380),2))</ns0:f>
        <ns0:v/>
      </ns0:c>
    </ns0:row>
    <ns0:row r="381" ht="21" customHeight="1">
      <ns0:c r="A381" s="25" t="n"/>
      <ns0:c r="B381" s="26" t="n"/>
      <ns0:c r="C381" s="26" t="n"/>
      <ns0:c r="D381" s="26" t="n"/>
      <ns0:c r="E381" s="27" t="n"/>
      <ns0:c r="F381" s="28" t="str">
        <ns0:f>IF(A381="","",YEAR(A381)&amp;"-"&amp;RIGHT("0"&amp;MONTH(A381),2))</ns0:f>
        <ns0:v/>
      </ns0:c>
    </ns0:row>
    <ns0:row r="382" ht="21" customHeight="1">
      <ns0:c r="A382" s="25" t="n"/>
      <ns0:c r="B382" s="26" t="n"/>
      <ns0:c r="C382" s="26" t="n"/>
      <ns0:c r="D382" s="26" t="n"/>
      <ns0:c r="E382" s="27" t="n"/>
      <ns0:c r="F382" s="28" t="str">
        <ns0:f>IF(A382="","",YEAR(A382)&amp;"-"&amp;RIGHT("0"&amp;MONTH(A382),2))</ns0:f>
        <ns0:v/>
      </ns0:c>
    </ns0:row>
    <ns0:row r="383" ht="21" customHeight="1">
      <ns0:c r="A383" s="25" t="n"/>
      <ns0:c r="B383" s="26" t="n"/>
      <ns0:c r="C383" s="26" t="n"/>
      <ns0:c r="D383" s="26" t="n"/>
      <ns0:c r="E383" s="27" t="n"/>
      <ns0:c r="F383" s="28" t="str">
        <ns0:f>IF(A383="","",YEAR(A383)&amp;"-"&amp;RIGHT("0"&amp;MONTH(A383),2))</ns0:f>
        <ns0:v/>
      </ns0:c>
    </ns0:row>
    <ns0:row r="384" ht="21" customHeight="1">
      <ns0:c r="A384" s="25" t="n"/>
      <ns0:c r="B384" s="26" t="n"/>
      <ns0:c r="C384" s="26" t="n"/>
      <ns0:c r="D384" s="26" t="n"/>
      <ns0:c r="E384" s="27" t="n"/>
      <ns0:c r="F384" s="28" t="str">
        <ns0:f>IF(A384="","",YEAR(A384)&amp;"-"&amp;RIGHT("0"&amp;MONTH(A384),2))</ns0:f>
        <ns0:v/>
      </ns0:c>
    </ns0:row>
    <ns0:row r="385" ht="21" customHeight="1">
      <ns0:c r="A385" s="25" t="n"/>
      <ns0:c r="B385" s="26" t="n"/>
      <ns0:c r="C385" s="26" t="n"/>
      <ns0:c r="D385" s="26" t="n"/>
      <ns0:c r="E385" s="27" t="n"/>
      <ns0:c r="F385" s="28" t="str">
        <ns0:f>IF(A385="","",YEAR(A385)&amp;"-"&amp;RIGHT("0"&amp;MONTH(A385),2))</ns0:f>
        <ns0:v/>
      </ns0:c>
    </ns0:row>
    <ns0:row r="386" ht="21" customHeight="1">
      <ns0:c r="A386" s="25" t="n"/>
      <ns0:c r="B386" s="26" t="n"/>
      <ns0:c r="C386" s="26" t="n"/>
      <ns0:c r="D386" s="26" t="n"/>
      <ns0:c r="E386" s="27" t="n"/>
      <ns0:c r="F386" s="28" t="str">
        <ns0:f>IF(A386="","",YEAR(A386)&amp;"-"&amp;RIGHT("0"&amp;MONTH(A386),2))</ns0:f>
        <ns0:v/>
      </ns0:c>
    </ns0:row>
    <ns0:row r="387" ht="21" customHeight="1">
      <ns0:c r="A387" s="25" t="n"/>
      <ns0:c r="B387" s="26" t="n"/>
      <ns0:c r="C387" s="26" t="n"/>
      <ns0:c r="D387" s="26" t="n"/>
      <ns0:c r="E387" s="27" t="n"/>
      <ns0:c r="F387" s="28" t="str">
        <ns0:f>IF(A387="","",YEAR(A387)&amp;"-"&amp;RIGHT("0"&amp;MONTH(A387),2))</ns0:f>
        <ns0:v/>
      </ns0:c>
    </ns0:row>
    <ns0:row r="388" ht="21" customHeight="1">
      <ns0:c r="A388" s="25" t="n"/>
      <ns0:c r="B388" s="26" t="n"/>
      <ns0:c r="C388" s="26" t="n"/>
      <ns0:c r="D388" s="26" t="n"/>
      <ns0:c r="E388" s="27" t="n"/>
      <ns0:c r="F388" s="28" t="str">
        <ns0:f>IF(A388="","",YEAR(A388)&amp;"-"&amp;RIGHT("0"&amp;MONTH(A388),2))</ns0:f>
        <ns0:v/>
      </ns0:c>
    </ns0:row>
    <ns0:row r="389" ht="21" customHeight="1">
      <ns0:c r="A389" s="25" t="n"/>
      <ns0:c r="B389" s="26" t="n"/>
      <ns0:c r="C389" s="26" t="n"/>
      <ns0:c r="D389" s="26" t="n"/>
      <ns0:c r="E389" s="27" t="n"/>
      <ns0:c r="F389" s="28" t="str">
        <ns0:f>IF(A389="","",YEAR(A389)&amp;"-"&amp;RIGHT("0"&amp;MONTH(A389),2))</ns0:f>
        <ns0:v/>
      </ns0:c>
    </ns0:row>
    <ns0:row r="390" ht="21" customHeight="1">
      <ns0:c r="A390" s="25" t="n"/>
      <ns0:c r="B390" s="26" t="n"/>
      <ns0:c r="C390" s="26" t="n"/>
      <ns0:c r="D390" s="26" t="n"/>
      <ns0:c r="E390" s="27" t="n"/>
      <ns0:c r="F390" s="28" t="str">
        <ns0:f>IF(A390="","",YEAR(A390)&amp;"-"&amp;RIGHT("0"&amp;MONTH(A390),2))</ns0:f>
        <ns0:v/>
      </ns0:c>
    </ns0:row>
    <ns0:row r="391" ht="21" customHeight="1">
      <ns0:c r="A391" s="25" t="n"/>
      <ns0:c r="B391" s="26" t="n"/>
      <ns0:c r="C391" s="26" t="n"/>
      <ns0:c r="D391" s="26" t="n"/>
      <ns0:c r="E391" s="27" t="n"/>
      <ns0:c r="F391" s="28" t="str">
        <ns0:f>IF(A391="","",YEAR(A391)&amp;"-"&amp;RIGHT("0"&amp;MONTH(A391),2))</ns0:f>
        <ns0:v/>
      </ns0:c>
    </ns0:row>
    <ns0:row r="392" ht="21" customHeight="1">
      <ns0:c r="A392" s="25" t="n"/>
      <ns0:c r="B392" s="26" t="n"/>
      <ns0:c r="C392" s="26" t="n"/>
      <ns0:c r="D392" s="26" t="n"/>
      <ns0:c r="E392" s="27" t="n"/>
      <ns0:c r="F392" s="28" t="str">
        <ns0:f>IF(A392="","",YEAR(A392)&amp;"-"&amp;RIGHT("0"&amp;MONTH(A392),2))</ns0:f>
        <ns0:v/>
      </ns0:c>
    </ns0:row>
    <ns0:row r="393" ht="21" customHeight="1">
      <ns0:c r="A393" s="25" t="n"/>
      <ns0:c r="B393" s="26" t="n"/>
      <ns0:c r="C393" s="26" t="n"/>
      <ns0:c r="D393" s="26" t="n"/>
      <ns0:c r="E393" s="27" t="n"/>
      <ns0:c r="F393" s="28" t="str">
        <ns0:f>IF(A393="","",YEAR(A393)&amp;"-"&amp;RIGHT("0"&amp;MONTH(A393),2))</ns0:f>
        <ns0:v/>
      </ns0:c>
    </ns0:row>
    <ns0:row r="394" ht="21" customHeight="1">
      <ns0:c r="A394" s="25" t="n"/>
      <ns0:c r="B394" s="26" t="n"/>
      <ns0:c r="C394" s="26" t="n"/>
      <ns0:c r="D394" s="26" t="n"/>
      <ns0:c r="E394" s="27" t="n"/>
      <ns0:c r="F394" s="28" t="str">
        <ns0:f>IF(A394="","",YEAR(A394)&amp;"-"&amp;RIGHT("0"&amp;MONTH(A394),2))</ns0:f>
        <ns0:v/>
      </ns0:c>
    </ns0:row>
    <ns0:row r="395" ht="21" customHeight="1">
      <ns0:c r="A395" s="25" t="n"/>
      <ns0:c r="B395" s="26" t="n"/>
      <ns0:c r="C395" s="26" t="n"/>
      <ns0:c r="D395" s="26" t="n"/>
      <ns0:c r="E395" s="27" t="n"/>
      <ns0:c r="F395" s="28" t="str">
        <ns0:f>IF(A395="","",YEAR(A395)&amp;"-"&amp;RIGHT("0"&amp;MONTH(A395),2))</ns0:f>
        <ns0:v/>
      </ns0:c>
    </ns0:row>
    <ns0:row r="396" ht="21" customHeight="1">
      <ns0:c r="A396" s="25" t="n"/>
      <ns0:c r="B396" s="26" t="n"/>
      <ns0:c r="C396" s="26" t="n"/>
      <ns0:c r="D396" s="26" t="n"/>
      <ns0:c r="E396" s="27" t="n"/>
      <ns0:c r="F396" s="28" t="str">
        <ns0:f>IF(A396="","",YEAR(A396)&amp;"-"&amp;RIGHT("0"&amp;MONTH(A396),2))</ns0:f>
        <ns0:v/>
      </ns0:c>
    </ns0:row>
    <ns0:row r="397" ht="21" customHeight="1">
      <ns0:c r="A397" s="25" t="n"/>
      <ns0:c r="B397" s="26" t="n"/>
      <ns0:c r="C397" s="26" t="n"/>
      <ns0:c r="D397" s="26" t="n"/>
      <ns0:c r="E397" s="27" t="n"/>
      <ns0:c r="F397" s="28" t="str">
        <ns0:f>IF(A397="","",YEAR(A397)&amp;"-"&amp;RIGHT("0"&amp;MONTH(A397),2))</ns0:f>
        <ns0:v/>
      </ns0:c>
    </ns0:row>
    <ns0:row r="398" ht="21" customHeight="1">
      <ns0:c r="A398" s="25" t="n"/>
      <ns0:c r="B398" s="26" t="n"/>
      <ns0:c r="C398" s="26" t="n"/>
      <ns0:c r="D398" s="26" t="n"/>
      <ns0:c r="E398" s="27" t="n"/>
      <ns0:c r="F398" s="28" t="str">
        <ns0:f>IF(A398="","",YEAR(A398)&amp;"-"&amp;RIGHT("0"&amp;MONTH(A398),2))</ns0:f>
        <ns0:v/>
      </ns0:c>
    </ns0:row>
    <ns0:row r="399" ht="21" customHeight="1">
      <ns0:c r="A399" s="25" t="n"/>
      <ns0:c r="B399" s="26" t="n"/>
      <ns0:c r="C399" s="26" t="n"/>
      <ns0:c r="D399" s="26" t="n"/>
      <ns0:c r="E399" s="27" t="n"/>
      <ns0:c r="F399" s="28" t="str">
        <ns0:f>IF(A399="","",YEAR(A399)&amp;"-"&amp;RIGHT("0"&amp;MONTH(A399),2))</ns0:f>
        <ns0:v/>
      </ns0:c>
    </ns0:row>
    <ns0:row r="400" ht="21" customHeight="1">
      <ns0:c r="A400" s="25" t="n"/>
      <ns0:c r="B400" s="26" t="n"/>
      <ns0:c r="C400" s="26" t="n"/>
      <ns0:c r="D400" s="26" t="n"/>
      <ns0:c r="E400" s="27" t="n"/>
      <ns0:c r="F400" s="28" t="str">
        <ns0:f>IF(A400="","",YEAR(A400)&amp;"-"&amp;RIGHT("0"&amp;MONTH(A400),2))</ns0:f>
        <ns0:v/>
      </ns0:c>
    </ns0:row>
    <ns0:row r="401" ht="21" customHeight="1">
      <ns0:c r="A401" s="25" t="n"/>
      <ns0:c r="B401" s="26" t="n"/>
      <ns0:c r="C401" s="26" t="n"/>
      <ns0:c r="D401" s="26" t="n"/>
      <ns0:c r="E401" s="27" t="n"/>
      <ns0:c r="F401" s="28" t="str">
        <ns0:f>IF(A401="","",YEAR(A401)&amp;"-"&amp;RIGHT("0"&amp;MONTH(A401),2))</ns0:f>
        <ns0:v/>
      </ns0:c>
    </ns0:row>
    <ns0:row r="402" ht="21" customHeight="1">
      <ns0:c r="A402" s="25" t="n"/>
      <ns0:c r="B402" s="26" t="n"/>
      <ns0:c r="C402" s="26" t="n"/>
      <ns0:c r="D402" s="26" t="n"/>
      <ns0:c r="E402" s="27" t="n"/>
      <ns0:c r="F402" s="28" t="str">
        <ns0:f>IF(A402="","",YEAR(A402)&amp;"-"&amp;RIGHT("0"&amp;MONTH(A402),2))</ns0:f>
        <ns0:v/>
      </ns0:c>
    </ns0:row>
    <ns0:row r="403" ht="21" customHeight="1">
      <ns0:c r="A403" s="25" t="n"/>
      <ns0:c r="B403" s="26" t="n"/>
      <ns0:c r="C403" s="26" t="n"/>
      <ns0:c r="D403" s="26" t="n"/>
      <ns0:c r="E403" s="27" t="n"/>
      <ns0:c r="F403" s="28" t="str">
        <ns0:f>IF(A403="","",YEAR(A403)&amp;"-"&amp;RIGHT("0"&amp;MONTH(A403),2))</ns0:f>
        <ns0:v/>
      </ns0:c>
    </ns0:row>
    <ns0:row r="404" ht="21" customHeight="1">
      <ns0:c r="A404" s="25" t="n"/>
      <ns0:c r="B404" s="26" t="n"/>
      <ns0:c r="C404" s="26" t="n"/>
      <ns0:c r="D404" s="26" t="n"/>
      <ns0:c r="E404" s="27" t="n"/>
      <ns0:c r="F404" s="28" t="str">
        <ns0:f>IF(A404="","",YEAR(A404)&amp;"-"&amp;RIGHT("0"&amp;MONTH(A404),2))</ns0:f>
        <ns0:v/>
      </ns0:c>
    </ns0:row>
    <ns0:row r="405" ht="21" customHeight="1">
      <ns0:c r="A405" s="25" t="n"/>
      <ns0:c r="B405" s="26" t="n"/>
      <ns0:c r="C405" s="26" t="n"/>
      <ns0:c r="D405" s="26" t="n"/>
      <ns0:c r="E405" s="27" t="n"/>
      <ns0:c r="F405" s="28" t="str">
        <ns0:f>IF(A405="","",YEAR(A405)&amp;"-"&amp;RIGHT("0"&amp;MONTH(A405),2))</ns0:f>
        <ns0:v/>
      </ns0:c>
    </ns0:row>
    <ns0:row r="406" ht="21" customHeight="1">
      <ns0:c r="A406" s="25" t="n"/>
      <ns0:c r="B406" s="26" t="n"/>
      <ns0:c r="C406" s="26" t="n"/>
      <ns0:c r="D406" s="26" t="n"/>
      <ns0:c r="E406" s="27" t="n"/>
      <ns0:c r="F406" s="28" t="str">
        <ns0:f>IF(A406="","",YEAR(A406)&amp;"-"&amp;RIGHT("0"&amp;MONTH(A406),2))</ns0:f>
        <ns0:v/>
      </ns0:c>
    </ns0:row>
    <ns0:row r="407" ht="21" customHeight="1">
      <ns0:c r="A407" s="25" t="n"/>
      <ns0:c r="B407" s="26" t="n"/>
      <ns0:c r="C407" s="26" t="n"/>
      <ns0:c r="D407" s="26" t="n"/>
      <ns0:c r="E407" s="27" t="n"/>
      <ns0:c r="F407" s="28" t="str">
        <ns0:f>IF(A407="","",YEAR(A407)&amp;"-"&amp;RIGHT("0"&amp;MONTH(A407),2))</ns0:f>
        <ns0:v/>
      </ns0:c>
    </ns0:row>
    <ns0:row r="408" ht="21" customHeight="1">
      <ns0:c r="A408" s="25" t="n"/>
      <ns0:c r="B408" s="26" t="n"/>
      <ns0:c r="C408" s="26" t="n"/>
      <ns0:c r="D408" s="26" t="n"/>
      <ns0:c r="E408" s="27" t="n"/>
      <ns0:c r="F408" s="28" t="str">
        <ns0:f>IF(A408="","",YEAR(A408)&amp;"-"&amp;RIGHT("0"&amp;MONTH(A408),2))</ns0:f>
        <ns0:v/>
      </ns0:c>
    </ns0:row>
    <ns0:row r="409" ht="21" customHeight="1">
      <ns0:c r="A409" s="25" t="n"/>
      <ns0:c r="B409" s="26" t="n"/>
      <ns0:c r="C409" s="26" t="n"/>
      <ns0:c r="D409" s="26" t="n"/>
      <ns0:c r="E409" s="27" t="n"/>
      <ns0:c r="F409" s="28" t="str">
        <ns0:f>IF(A409="","",YEAR(A409)&amp;"-"&amp;RIGHT("0"&amp;MONTH(A409),2))</ns0:f>
        <ns0:v/>
      </ns0:c>
    </ns0:row>
    <ns0:row r="410" ht="21" customHeight="1">
      <ns0:c r="A410" s="25" t="n"/>
      <ns0:c r="B410" s="26" t="n"/>
      <ns0:c r="C410" s="26" t="n"/>
      <ns0:c r="D410" s="26" t="n"/>
      <ns0:c r="E410" s="27" t="n"/>
      <ns0:c r="F410" s="28" t="str">
        <ns0:f>IF(A410="","",YEAR(A410)&amp;"-"&amp;RIGHT("0"&amp;MONTH(A410),2))</ns0:f>
        <ns0:v/>
      </ns0:c>
    </ns0:row>
    <ns0:row r="411" ht="21" customHeight="1">
      <ns0:c r="A411" s="25" t="n"/>
      <ns0:c r="B411" s="26" t="n"/>
      <ns0:c r="C411" s="26" t="n"/>
      <ns0:c r="D411" s="26" t="n"/>
      <ns0:c r="E411" s="27" t="n"/>
      <ns0:c r="F411" s="28" t="str">
        <ns0:f>IF(A411="","",YEAR(A411)&amp;"-"&amp;RIGHT("0"&amp;MONTH(A411),2))</ns0:f>
        <ns0:v/>
      </ns0:c>
    </ns0:row>
    <ns0:row r="412" ht="21" customHeight="1">
      <ns0:c r="A412" s="25" t="n"/>
      <ns0:c r="B412" s="26" t="n"/>
      <ns0:c r="C412" s="26" t="n"/>
      <ns0:c r="D412" s="26" t="n"/>
      <ns0:c r="E412" s="27" t="n"/>
      <ns0:c r="F412" s="28" t="str">
        <ns0:f>IF(A412="","",YEAR(A412)&amp;"-"&amp;RIGHT("0"&amp;MONTH(A412),2))</ns0:f>
        <ns0:v/>
      </ns0:c>
    </ns0:row>
    <ns0:row r="413" ht="21" customHeight="1">
      <ns0:c r="A413" s="25" t="n"/>
      <ns0:c r="B413" s="26" t="n"/>
      <ns0:c r="C413" s="26" t="n"/>
      <ns0:c r="D413" s="26" t="n"/>
      <ns0:c r="E413" s="27" t="n"/>
      <ns0:c r="F413" s="28" t="str">
        <ns0:f>IF(A413="","",YEAR(A413)&amp;"-"&amp;RIGHT("0"&amp;MONTH(A413),2))</ns0:f>
        <ns0:v/>
      </ns0:c>
    </ns0:row>
    <ns0:row r="414" ht="21" customHeight="1">
      <ns0:c r="A414" s="25" t="n"/>
      <ns0:c r="B414" s="26" t="n"/>
      <ns0:c r="C414" s="26" t="n"/>
      <ns0:c r="D414" s="26" t="n"/>
      <ns0:c r="E414" s="27" t="n"/>
      <ns0:c r="F414" s="28" t="str">
        <ns0:f>IF(A414="","",YEAR(A414)&amp;"-"&amp;RIGHT("0"&amp;MONTH(A414),2))</ns0:f>
        <ns0:v/>
      </ns0:c>
    </ns0:row>
    <ns0:row r="415" ht="21" customHeight="1">
      <ns0:c r="A415" s="25" t="n"/>
      <ns0:c r="B415" s="26" t="n"/>
      <ns0:c r="C415" s="26" t="n"/>
      <ns0:c r="D415" s="26" t="n"/>
      <ns0:c r="E415" s="27" t="n"/>
      <ns0:c r="F415" s="28" t="str">
        <ns0:f>IF(A415="","",YEAR(A415)&amp;"-"&amp;RIGHT("0"&amp;MONTH(A415),2))</ns0:f>
        <ns0:v/>
      </ns0:c>
    </ns0:row>
    <ns0:row r="416" ht="21" customHeight="1">
      <ns0:c r="A416" s="25" t="n"/>
      <ns0:c r="B416" s="26" t="n"/>
      <ns0:c r="C416" s="26" t="n"/>
      <ns0:c r="D416" s="26" t="n"/>
      <ns0:c r="E416" s="27" t="n"/>
      <ns0:c r="F416" s="28" t="str">
        <ns0:f>IF(A416="","",YEAR(A416)&amp;"-"&amp;RIGHT("0"&amp;MONTH(A416),2))</ns0:f>
        <ns0:v/>
      </ns0:c>
    </ns0:row>
    <ns0:row r="417" ht="21" customHeight="1">
      <ns0:c r="A417" s="25" t="n"/>
      <ns0:c r="B417" s="26" t="n"/>
      <ns0:c r="C417" s="26" t="n"/>
      <ns0:c r="D417" s="26" t="n"/>
      <ns0:c r="E417" s="27" t="n"/>
      <ns0:c r="F417" s="28" t="str">
        <ns0:f>IF(A417="","",YEAR(A417)&amp;"-"&amp;RIGHT("0"&amp;MONTH(A417),2))</ns0:f>
        <ns0:v/>
      </ns0:c>
    </ns0:row>
    <ns0:row r="418" ht="21" customHeight="1">
      <ns0:c r="A418" s="25" t="n"/>
      <ns0:c r="B418" s="26" t="n"/>
      <ns0:c r="C418" s="26" t="n"/>
      <ns0:c r="D418" s="26" t="n"/>
      <ns0:c r="E418" s="27" t="n"/>
      <ns0:c r="F418" s="28" t="str">
        <ns0:f>IF(A418="","",YEAR(A418)&amp;"-"&amp;RIGHT("0"&amp;MONTH(A418),2))</ns0:f>
        <ns0:v/>
      </ns0:c>
    </ns0:row>
    <ns0:row r="419" ht="21" customHeight="1">
      <ns0:c r="A419" s="25" t="n"/>
      <ns0:c r="B419" s="26" t="n"/>
      <ns0:c r="C419" s="26" t="n"/>
      <ns0:c r="D419" s="26" t="n"/>
      <ns0:c r="E419" s="27" t="n"/>
      <ns0:c r="F419" s="28" t="str">
        <ns0:f>IF(A419="","",YEAR(A419)&amp;"-"&amp;RIGHT("0"&amp;MONTH(A419),2))</ns0:f>
        <ns0:v/>
      </ns0:c>
    </ns0:row>
    <ns0:row r="420" ht="21" customHeight="1">
      <ns0:c r="A420" s="25" t="n"/>
      <ns0:c r="B420" s="26" t="n"/>
      <ns0:c r="C420" s="26" t="n"/>
      <ns0:c r="D420" s="26" t="n"/>
      <ns0:c r="E420" s="27" t="n"/>
      <ns0:c r="F420" s="28" t="str">
        <ns0:f>IF(A420="","",YEAR(A420)&amp;"-"&amp;RIGHT("0"&amp;MONTH(A420),2))</ns0:f>
        <ns0:v/>
      </ns0:c>
    </ns0:row>
    <ns0:row r="421" ht="21" customHeight="1">
      <ns0:c r="A421" s="25" t="n"/>
      <ns0:c r="B421" s="26" t="n"/>
      <ns0:c r="C421" s="26" t="n"/>
      <ns0:c r="D421" s="26" t="n"/>
      <ns0:c r="E421" s="27" t="n"/>
      <ns0:c r="F421" s="28" t="str">
        <ns0:f>IF(A421="","",YEAR(A421)&amp;"-"&amp;RIGHT("0"&amp;MONTH(A421),2))</ns0:f>
        <ns0:v/>
      </ns0:c>
    </ns0:row>
    <ns0:row r="422" ht="21" customHeight="1">
      <ns0:c r="A422" s="25" t="n"/>
      <ns0:c r="B422" s="26" t="n"/>
      <ns0:c r="C422" s="26" t="n"/>
      <ns0:c r="D422" s="26" t="n"/>
      <ns0:c r="E422" s="27" t="n"/>
      <ns0:c r="F422" s="28" t="str">
        <ns0:f>IF(A422="","",YEAR(A422)&amp;"-"&amp;RIGHT("0"&amp;MONTH(A422),2))</ns0:f>
        <ns0:v/>
      </ns0:c>
    </ns0:row>
    <ns0:row r="423" ht="21" customHeight="1">
      <ns0:c r="A423" s="25" t="n"/>
      <ns0:c r="B423" s="26" t="n"/>
      <ns0:c r="C423" s="26" t="n"/>
      <ns0:c r="D423" s="26" t="n"/>
      <ns0:c r="E423" s="27" t="n"/>
      <ns0:c r="F423" s="28" t="str">
        <ns0:f>IF(A423="","",YEAR(A423)&amp;"-"&amp;RIGHT("0"&amp;MONTH(A423),2))</ns0:f>
        <ns0:v/>
      </ns0:c>
    </ns0:row>
    <ns0:row r="424" ht="21" customHeight="1">
      <ns0:c r="A424" s="25" t="n"/>
      <ns0:c r="B424" s="26" t="n"/>
      <ns0:c r="C424" s="26" t="n"/>
      <ns0:c r="D424" s="26" t="n"/>
      <ns0:c r="E424" s="27" t="n"/>
      <ns0:c r="F424" s="28" t="str">
        <ns0:f>IF(A424="","",YEAR(A424)&amp;"-"&amp;RIGHT("0"&amp;MONTH(A424),2))</ns0:f>
        <ns0:v/>
      </ns0:c>
    </ns0:row>
    <ns0:row r="425" ht="21" customHeight="1">
      <ns0:c r="A425" s="25" t="n"/>
      <ns0:c r="B425" s="26" t="n"/>
      <ns0:c r="C425" s="26" t="n"/>
      <ns0:c r="D425" s="26" t="n"/>
      <ns0:c r="E425" s="27" t="n"/>
      <ns0:c r="F425" s="28" t="str">
        <ns0:f>IF(A425="","",YEAR(A425)&amp;"-"&amp;RIGHT("0"&amp;MONTH(A425),2))</ns0:f>
        <ns0:v/>
      </ns0:c>
    </ns0:row>
    <ns0:row r="426" ht="21" customHeight="1">
      <ns0:c r="A426" s="25" t="n"/>
      <ns0:c r="B426" s="26" t="n"/>
      <ns0:c r="C426" s="26" t="n"/>
      <ns0:c r="D426" s="26" t="n"/>
      <ns0:c r="E426" s="27" t="n"/>
      <ns0:c r="F426" s="28" t="str">
        <ns0:f>IF(A426="","",YEAR(A426)&amp;"-"&amp;RIGHT("0"&amp;MONTH(A426),2))</ns0:f>
        <ns0:v/>
      </ns0:c>
    </ns0:row>
    <ns0:row r="427" ht="21" customHeight="1">
      <ns0:c r="A427" s="25" t="n"/>
      <ns0:c r="B427" s="26" t="n"/>
      <ns0:c r="C427" s="26" t="n"/>
      <ns0:c r="D427" s="26" t="n"/>
      <ns0:c r="E427" s="27" t="n"/>
      <ns0:c r="F427" s="28" t="str">
        <ns0:f>IF(A427="","",YEAR(A427)&amp;"-"&amp;RIGHT("0"&amp;MONTH(A427),2))</ns0:f>
        <ns0:v/>
      </ns0:c>
    </ns0:row>
    <ns0:row r="428" ht="21" customHeight="1">
      <ns0:c r="A428" s="25" t="n"/>
      <ns0:c r="B428" s="26" t="n"/>
      <ns0:c r="C428" s="26" t="n"/>
      <ns0:c r="D428" s="26" t="n"/>
      <ns0:c r="E428" s="27" t="n"/>
      <ns0:c r="F428" s="28" t="str">
        <ns0:f>IF(A428="","",YEAR(A428)&amp;"-"&amp;RIGHT("0"&amp;MONTH(A428),2))</ns0:f>
        <ns0:v/>
      </ns0:c>
    </ns0:row>
    <ns0:row r="429" ht="21" customHeight="1">
      <ns0:c r="A429" s="25" t="n"/>
      <ns0:c r="B429" s="26" t="n"/>
      <ns0:c r="C429" s="26" t="n"/>
      <ns0:c r="D429" s="26" t="n"/>
      <ns0:c r="E429" s="27" t="n"/>
      <ns0:c r="F429" s="28" t="str">
        <ns0:f>IF(A429="","",YEAR(A429)&amp;"-"&amp;RIGHT("0"&amp;MONTH(A429),2))</ns0:f>
        <ns0:v/>
      </ns0:c>
    </ns0:row>
    <ns0:row r="430" ht="21" customHeight="1">
      <ns0:c r="A430" s="25" t="n"/>
      <ns0:c r="B430" s="26" t="n"/>
      <ns0:c r="C430" s="26" t="n"/>
      <ns0:c r="D430" s="26" t="n"/>
      <ns0:c r="E430" s="27" t="n"/>
      <ns0:c r="F430" s="28" t="str">
        <ns0:f>IF(A430="","",YEAR(A430)&amp;"-"&amp;RIGHT("0"&amp;MONTH(A430),2))</ns0:f>
        <ns0:v/>
      </ns0:c>
    </ns0:row>
    <ns0:row r="431" ht="21" customHeight="1">
      <ns0:c r="A431" s="25" t="n"/>
      <ns0:c r="B431" s="26" t="n"/>
      <ns0:c r="C431" s="26" t="n"/>
      <ns0:c r="D431" s="26" t="n"/>
      <ns0:c r="E431" s="27" t="n"/>
      <ns0:c r="F431" s="28" t="str">
        <ns0:f>IF(A431="","",YEAR(A431)&amp;"-"&amp;RIGHT("0"&amp;MONTH(A431),2))</ns0:f>
        <ns0:v/>
      </ns0:c>
    </ns0:row>
    <ns0:row r="432" ht="21" customHeight="1">
      <ns0:c r="A432" s="25" t="n"/>
      <ns0:c r="B432" s="26" t="n"/>
      <ns0:c r="C432" s="26" t="n"/>
      <ns0:c r="D432" s="26" t="n"/>
      <ns0:c r="E432" s="27" t="n"/>
      <ns0:c r="F432" s="28" t="str">
        <ns0:f>IF(A432="","",YEAR(A432)&amp;"-"&amp;RIGHT("0"&amp;MONTH(A432),2))</ns0:f>
        <ns0:v/>
      </ns0:c>
    </ns0:row>
    <ns0:row r="433" ht="21" customHeight="1">
      <ns0:c r="A433" s="25" t="n"/>
      <ns0:c r="B433" s="26" t="n"/>
      <ns0:c r="C433" s="26" t="n"/>
      <ns0:c r="D433" s="26" t="n"/>
      <ns0:c r="E433" s="27" t="n"/>
      <ns0:c r="F433" s="28" t="str">
        <ns0:f>IF(A433="","",YEAR(A433)&amp;"-"&amp;RIGHT("0"&amp;MONTH(A433),2))</ns0:f>
        <ns0:v/>
      </ns0:c>
    </ns0:row>
    <ns0:row r="434" ht="21" customHeight="1">
      <ns0:c r="A434" s="25" t="n"/>
      <ns0:c r="B434" s="26" t="n"/>
      <ns0:c r="C434" s="26" t="n"/>
      <ns0:c r="D434" s="26" t="n"/>
      <ns0:c r="E434" s="27" t="n"/>
      <ns0:c r="F434" s="28" t="str">
        <ns0:f>IF(A434="","",YEAR(A434)&amp;"-"&amp;RIGHT("0"&amp;MONTH(A434),2))</ns0:f>
        <ns0:v/>
      </ns0:c>
    </ns0:row>
    <ns0:row r="435" ht="21" customHeight="1">
      <ns0:c r="A435" s="25" t="n"/>
      <ns0:c r="B435" s="26" t="n"/>
      <ns0:c r="C435" s="26" t="n"/>
      <ns0:c r="D435" s="26" t="n"/>
      <ns0:c r="E435" s="27" t="n"/>
      <ns0:c r="F435" s="28" t="str">
        <ns0:f>IF(A435="","",YEAR(A435)&amp;"-"&amp;RIGHT("0"&amp;MONTH(A435),2))</ns0:f>
        <ns0:v/>
      </ns0:c>
    </ns0:row>
    <ns0:row r="436" ht="21" customHeight="1">
      <ns0:c r="A436" s="25" t="n"/>
      <ns0:c r="B436" s="26" t="n"/>
      <ns0:c r="C436" s="26" t="n"/>
      <ns0:c r="D436" s="26" t="n"/>
      <ns0:c r="E436" s="27" t="n"/>
      <ns0:c r="F436" s="28" t="str">
        <ns0:f>IF(A436="","",YEAR(A436)&amp;"-"&amp;RIGHT("0"&amp;MONTH(A436),2))</ns0:f>
        <ns0:v/>
      </ns0:c>
    </ns0:row>
    <ns0:row r="437" ht="21" customHeight="1">
      <ns0:c r="A437" s="25" t="n"/>
      <ns0:c r="B437" s="26" t="n"/>
      <ns0:c r="C437" s="26" t="n"/>
      <ns0:c r="D437" s="26" t="n"/>
      <ns0:c r="E437" s="27" t="n"/>
      <ns0:c r="F437" s="28" t="str">
        <ns0:f>IF(A437="","",YEAR(A437)&amp;"-"&amp;RIGHT("0"&amp;MONTH(A437),2))</ns0:f>
        <ns0:v/>
      </ns0:c>
    </ns0:row>
    <ns0:row r="438" ht="21" customHeight="1">
      <ns0:c r="A438" s="25" t="n"/>
      <ns0:c r="B438" s="26" t="n"/>
      <ns0:c r="C438" s="26" t="n"/>
      <ns0:c r="D438" s="26" t="n"/>
      <ns0:c r="E438" s="27" t="n"/>
      <ns0:c r="F438" s="28" t="str">
        <ns0:f>IF(A438="","",YEAR(A438)&amp;"-"&amp;RIGHT("0"&amp;MONTH(A438),2))</ns0:f>
        <ns0:v/>
      </ns0:c>
    </ns0:row>
    <ns0:row r="439" ht="21" customHeight="1">
      <ns0:c r="A439" s="25" t="n"/>
      <ns0:c r="B439" s="26" t="n"/>
      <ns0:c r="C439" s="26" t="n"/>
      <ns0:c r="D439" s="26" t="n"/>
      <ns0:c r="E439" s="27" t="n"/>
      <ns0:c r="F439" s="28" t="str">
        <ns0:f>IF(A439="","",YEAR(A439)&amp;"-"&amp;RIGHT("0"&amp;MONTH(A439),2))</ns0:f>
        <ns0:v/>
      </ns0:c>
    </ns0:row>
    <ns0:row r="440" ht="21" customHeight="1">
      <ns0:c r="A440" s="25" t="n"/>
      <ns0:c r="B440" s="26" t="n"/>
      <ns0:c r="C440" s="26" t="n"/>
      <ns0:c r="D440" s="26" t="n"/>
      <ns0:c r="E440" s="27" t="n"/>
      <ns0:c r="F440" s="28" t="str">
        <ns0:f>IF(A440="","",YEAR(A440)&amp;"-"&amp;RIGHT("0"&amp;MONTH(A440),2))</ns0:f>
        <ns0:v/>
      </ns0:c>
    </ns0:row>
    <ns0:row r="441" ht="21" customHeight="1">
      <ns0:c r="A441" s="25" t="n"/>
      <ns0:c r="B441" s="26" t="n"/>
      <ns0:c r="C441" s="26" t="n"/>
      <ns0:c r="D441" s="26" t="n"/>
      <ns0:c r="E441" s="27" t="n"/>
      <ns0:c r="F441" s="28" t="str">
        <ns0:f>IF(A441="","",YEAR(A441)&amp;"-"&amp;RIGHT("0"&amp;MONTH(A441),2))</ns0:f>
        <ns0:v/>
      </ns0:c>
    </ns0:row>
    <ns0:row r="442" ht="21" customHeight="1">
      <ns0:c r="A442" s="25" t="n"/>
      <ns0:c r="B442" s="26" t="n"/>
      <ns0:c r="C442" s="26" t="n"/>
      <ns0:c r="D442" s="26" t="n"/>
      <ns0:c r="E442" s="27" t="n"/>
      <ns0:c r="F442" s="28" t="str">
        <ns0:f>IF(A442="","",YEAR(A442)&amp;"-"&amp;RIGHT("0"&amp;MONTH(A442),2))</ns0:f>
        <ns0:v/>
      </ns0:c>
    </ns0:row>
    <ns0:row r="443" ht="21" customHeight="1">
      <ns0:c r="A443" s="25" t="n"/>
      <ns0:c r="B443" s="26" t="n"/>
      <ns0:c r="C443" s="26" t="n"/>
      <ns0:c r="D443" s="26" t="n"/>
      <ns0:c r="E443" s="27" t="n"/>
      <ns0:c r="F443" s="28" t="str">
        <ns0:f>IF(A443="","",YEAR(A443)&amp;"-"&amp;RIGHT("0"&amp;MONTH(A443),2))</ns0:f>
        <ns0:v/>
      </ns0:c>
    </ns0:row>
    <ns0:row r="444" ht="21" customHeight="1">
      <ns0:c r="A444" s="25" t="n"/>
      <ns0:c r="B444" s="26" t="n"/>
      <ns0:c r="C444" s="26" t="n"/>
      <ns0:c r="D444" s="26" t="n"/>
      <ns0:c r="E444" s="27" t="n"/>
      <ns0:c r="F444" s="28" t="str">
        <ns0:f>IF(A444="","",YEAR(A444)&amp;"-"&amp;RIGHT("0"&amp;MONTH(A444),2))</ns0:f>
        <ns0:v/>
      </ns0:c>
    </ns0:row>
    <ns0:row r="445" ht="21" customHeight="1">
      <ns0:c r="A445" s="25" t="n"/>
      <ns0:c r="B445" s="26" t="n"/>
      <ns0:c r="C445" s="26" t="n"/>
      <ns0:c r="D445" s="26" t="n"/>
      <ns0:c r="E445" s="27" t="n"/>
      <ns0:c r="F445" s="28" t="str">
        <ns0:f>IF(A445="","",YEAR(A445)&amp;"-"&amp;RIGHT("0"&amp;MONTH(A445),2))</ns0:f>
        <ns0:v/>
      </ns0:c>
    </ns0:row>
    <ns0:row r="446" ht="21" customHeight="1">
      <ns0:c r="A446" s="25" t="n"/>
      <ns0:c r="B446" s="26" t="n"/>
      <ns0:c r="C446" s="26" t="n"/>
      <ns0:c r="D446" s="26" t="n"/>
      <ns0:c r="E446" s="27" t="n"/>
      <ns0:c r="F446" s="28" t="str">
        <ns0:f>IF(A446="","",YEAR(A446)&amp;"-"&amp;RIGHT("0"&amp;MONTH(A446),2))</ns0:f>
        <ns0:v/>
      </ns0:c>
    </ns0:row>
    <ns0:row r="447" ht="21" customHeight="1">
      <ns0:c r="A447" s="25" t="n"/>
      <ns0:c r="B447" s="26" t="n"/>
      <ns0:c r="C447" s="26" t="n"/>
      <ns0:c r="D447" s="26" t="n"/>
      <ns0:c r="E447" s="27" t="n"/>
      <ns0:c r="F447" s="28" t="str">
        <ns0:f>IF(A447="","",YEAR(A447)&amp;"-"&amp;RIGHT("0"&amp;MONTH(A447),2))</ns0:f>
        <ns0:v/>
      </ns0:c>
    </ns0:row>
    <ns0:row r="448" ht="21" customHeight="1">
      <ns0:c r="A448" s="25" t="n"/>
      <ns0:c r="B448" s="26" t="n"/>
      <ns0:c r="C448" s="26" t="n"/>
      <ns0:c r="D448" s="26" t="n"/>
      <ns0:c r="E448" s="27" t="n"/>
      <ns0:c r="F448" s="28" t="str">
        <ns0:f>IF(A448="","",YEAR(A448)&amp;"-"&amp;RIGHT("0"&amp;MONTH(A448),2))</ns0:f>
        <ns0:v/>
      </ns0:c>
    </ns0:row>
    <ns0:row r="449" ht="21" customHeight="1">
      <ns0:c r="A449" s="25" t="n"/>
      <ns0:c r="B449" s="26" t="n"/>
      <ns0:c r="C449" s="26" t="n"/>
      <ns0:c r="D449" s="26" t="n"/>
      <ns0:c r="E449" s="27" t="n"/>
      <ns0:c r="F449" s="28" t="str">
        <ns0:f>IF(A449="","",YEAR(A449)&amp;"-"&amp;RIGHT("0"&amp;MONTH(A449),2))</ns0:f>
        <ns0:v/>
      </ns0:c>
    </ns0:row>
    <ns0:row r="450" ht="21" customHeight="1">
      <ns0:c r="A450" s="25" t="n"/>
      <ns0:c r="B450" s="26" t="n"/>
      <ns0:c r="C450" s="26" t="n"/>
      <ns0:c r="D450" s="26" t="n"/>
      <ns0:c r="E450" s="27" t="n"/>
      <ns0:c r="F450" s="28" t="str">
        <ns0:f>IF(A450="","",YEAR(A450)&amp;"-"&amp;RIGHT("0"&amp;MONTH(A450),2))</ns0:f>
        <ns0:v/>
      </ns0:c>
    </ns0:row>
    <ns0:row r="451" ht="21" customHeight="1">
      <ns0:c r="A451" s="25" t="n"/>
      <ns0:c r="B451" s="26" t="n"/>
      <ns0:c r="C451" s="26" t="n"/>
      <ns0:c r="D451" s="26" t="n"/>
      <ns0:c r="E451" s="27" t="n"/>
      <ns0:c r="F451" s="28" t="str">
        <ns0:f>IF(A451="","",YEAR(A451)&amp;"-"&amp;RIGHT("0"&amp;MONTH(A451),2))</ns0:f>
        <ns0:v/>
      </ns0:c>
    </ns0:row>
    <ns0:row r="452" ht="21" customHeight="1">
      <ns0:c r="A452" s="25" t="n"/>
      <ns0:c r="B452" s="26" t="n"/>
      <ns0:c r="C452" s="26" t="n"/>
      <ns0:c r="D452" s="26" t="n"/>
      <ns0:c r="E452" s="27" t="n"/>
      <ns0:c r="F452" s="28" t="str">
        <ns0:f>IF(A452="","",YEAR(A452)&amp;"-"&amp;RIGHT("0"&amp;MONTH(A452),2))</ns0:f>
        <ns0:v/>
      </ns0:c>
    </ns0:row>
    <ns0:row r="453" ht="21" customHeight="1">
      <ns0:c r="A453" s="25" t="n"/>
      <ns0:c r="B453" s="26" t="n"/>
      <ns0:c r="C453" s="26" t="n"/>
      <ns0:c r="D453" s="26" t="n"/>
      <ns0:c r="E453" s="27" t="n"/>
      <ns0:c r="F453" s="28" t="str">
        <ns0:f>IF(A453="","",YEAR(A453)&amp;"-"&amp;RIGHT("0"&amp;MONTH(A453),2))</ns0:f>
        <ns0:v/>
      </ns0:c>
    </ns0:row>
    <ns0:row r="454" ht="21" customHeight="1">
      <ns0:c r="A454" s="25" t="n"/>
      <ns0:c r="B454" s="26" t="n"/>
      <ns0:c r="C454" s="26" t="n"/>
      <ns0:c r="D454" s="26" t="n"/>
      <ns0:c r="E454" s="27" t="n"/>
      <ns0:c r="F454" s="28" t="str">
        <ns0:f>IF(A454="","",YEAR(A454)&amp;"-"&amp;RIGHT("0"&amp;MONTH(A454),2))</ns0:f>
        <ns0:v/>
      </ns0:c>
    </ns0:row>
    <ns0:row r="455" ht="21" customHeight="1">
      <ns0:c r="A455" s="25" t="n"/>
      <ns0:c r="B455" s="26" t="n"/>
      <ns0:c r="C455" s="26" t="n"/>
      <ns0:c r="D455" s="26" t="n"/>
      <ns0:c r="E455" s="27" t="n"/>
      <ns0:c r="F455" s="28" t="str">
        <ns0:f>IF(A455="","",YEAR(A455)&amp;"-"&amp;RIGHT("0"&amp;MONTH(A455),2))</ns0:f>
        <ns0:v/>
      </ns0:c>
    </ns0:row>
    <ns0:row r="456" ht="21" customHeight="1">
      <ns0:c r="A456" s="25" t="n"/>
      <ns0:c r="B456" s="26" t="n"/>
      <ns0:c r="C456" s="26" t="n"/>
      <ns0:c r="D456" s="26" t="n"/>
      <ns0:c r="E456" s="27" t="n"/>
      <ns0:c r="F456" s="28" t="str">
        <ns0:f>IF(A456="","",YEAR(A456)&amp;"-"&amp;RIGHT("0"&amp;MONTH(A456),2))</ns0:f>
        <ns0:v/>
      </ns0:c>
    </ns0:row>
    <ns0:row r="457" ht="21" customHeight="1">
      <ns0:c r="A457" s="25" t="n"/>
      <ns0:c r="B457" s="26" t="n"/>
      <ns0:c r="C457" s="26" t="n"/>
      <ns0:c r="D457" s="26" t="n"/>
      <ns0:c r="E457" s="27" t="n"/>
      <ns0:c r="F457" s="28" t="str">
        <ns0:f>IF(A457="","",YEAR(A457)&amp;"-"&amp;RIGHT("0"&amp;MONTH(A457),2))</ns0:f>
        <ns0:v/>
      </ns0:c>
    </ns0:row>
    <ns0:row r="458" ht="21" customHeight="1">
      <ns0:c r="A458" s="25" t="n"/>
      <ns0:c r="B458" s="26" t="n"/>
      <ns0:c r="C458" s="26" t="n"/>
      <ns0:c r="D458" s="26" t="n"/>
      <ns0:c r="E458" s="27" t="n"/>
      <ns0:c r="F458" s="28" t="str">
        <ns0:f>IF(A458="","",YEAR(A458)&amp;"-"&amp;RIGHT("0"&amp;MONTH(A458),2))</ns0:f>
        <ns0:v/>
      </ns0:c>
    </ns0:row>
    <ns0:row r="459" ht="21" customHeight="1">
      <ns0:c r="A459" s="25" t="n"/>
      <ns0:c r="B459" s="26" t="n"/>
      <ns0:c r="C459" s="26" t="n"/>
      <ns0:c r="D459" s="26" t="n"/>
      <ns0:c r="E459" s="27" t="n"/>
      <ns0:c r="F459" s="28" t="str">
        <ns0:f>IF(A459="","",YEAR(A459)&amp;"-"&amp;RIGHT("0"&amp;MONTH(A459),2))</ns0:f>
        <ns0:v/>
      </ns0:c>
    </ns0:row>
    <ns0:row r="460" ht="21" customHeight="1">
      <ns0:c r="A460" s="25" t="n"/>
      <ns0:c r="B460" s="26" t="n"/>
      <ns0:c r="C460" s="26" t="n"/>
      <ns0:c r="D460" s="26" t="n"/>
      <ns0:c r="E460" s="27" t="n"/>
      <ns0:c r="F460" s="28" t="str">
        <ns0:f>IF(A460="","",YEAR(A460)&amp;"-"&amp;RIGHT("0"&amp;MONTH(A460),2))</ns0:f>
        <ns0:v/>
      </ns0:c>
    </ns0:row>
    <ns0:row r="461" ht="21" customHeight="1">
      <ns0:c r="A461" s="25" t="n"/>
      <ns0:c r="B461" s="26" t="n"/>
      <ns0:c r="C461" s="26" t="n"/>
      <ns0:c r="D461" s="26" t="n"/>
      <ns0:c r="E461" s="27" t="n"/>
      <ns0:c r="F461" s="28" t="str">
        <ns0:f>IF(A461="","",YEAR(A461)&amp;"-"&amp;RIGHT("0"&amp;MONTH(A461),2))</ns0:f>
        <ns0:v/>
      </ns0:c>
    </ns0:row>
    <ns0:row r="462" ht="21" customHeight="1">
      <ns0:c r="A462" s="25" t="n"/>
      <ns0:c r="B462" s="26" t="n"/>
      <ns0:c r="C462" s="26" t="n"/>
      <ns0:c r="D462" s="26" t="n"/>
      <ns0:c r="E462" s="27" t="n"/>
      <ns0:c r="F462" s="28" t="str">
        <ns0:f>IF(A462="","",YEAR(A462)&amp;"-"&amp;RIGHT("0"&amp;MONTH(A462),2))</ns0:f>
        <ns0:v/>
      </ns0:c>
    </ns0:row>
    <ns0:row r="463" ht="21" customHeight="1">
      <ns0:c r="A463" s="25" t="n"/>
      <ns0:c r="B463" s="26" t="n"/>
      <ns0:c r="C463" s="26" t="n"/>
      <ns0:c r="D463" s="26" t="n"/>
      <ns0:c r="E463" s="27" t="n"/>
      <ns0:c r="F463" s="28" t="str">
        <ns0:f>IF(A463="","",YEAR(A463)&amp;"-"&amp;RIGHT("0"&amp;MONTH(A463),2))</ns0:f>
        <ns0:v/>
      </ns0:c>
    </ns0:row>
    <ns0:row r="464" ht="21" customHeight="1">
      <ns0:c r="A464" s="25" t="n"/>
      <ns0:c r="B464" s="26" t="n"/>
      <ns0:c r="C464" s="26" t="n"/>
      <ns0:c r="D464" s="26" t="n"/>
      <ns0:c r="E464" s="27" t="n"/>
      <ns0:c r="F464" s="28" t="str">
        <ns0:f>IF(A464="","",YEAR(A464)&amp;"-"&amp;RIGHT("0"&amp;MONTH(A464),2))</ns0:f>
        <ns0:v/>
      </ns0:c>
    </ns0:row>
    <ns0:row r="465" ht="21" customHeight="1">
      <ns0:c r="A465" s="25" t="n"/>
      <ns0:c r="B465" s="26" t="n"/>
      <ns0:c r="C465" s="26" t="n"/>
      <ns0:c r="D465" s="26" t="n"/>
      <ns0:c r="E465" s="27" t="n"/>
      <ns0:c r="F465" s="28" t="str">
        <ns0:f>IF(A465="","",YEAR(A465)&amp;"-"&amp;RIGHT("0"&amp;MONTH(A465),2))</ns0:f>
        <ns0:v/>
      </ns0:c>
    </ns0:row>
    <ns0:row r="466" ht="21" customHeight="1">
      <ns0:c r="A466" s="25" t="n"/>
      <ns0:c r="B466" s="26" t="n"/>
      <ns0:c r="C466" s="26" t="n"/>
      <ns0:c r="D466" s="26" t="n"/>
      <ns0:c r="E466" s="27" t="n"/>
      <ns0:c r="F466" s="28" t="str">
        <ns0:f>IF(A466="","",YEAR(A466)&amp;"-"&amp;RIGHT("0"&amp;MONTH(A466),2))</ns0:f>
        <ns0:v/>
      </ns0:c>
    </ns0:row>
    <ns0:row r="467" ht="21" customHeight="1">
      <ns0:c r="A467" s="25" t="n"/>
      <ns0:c r="B467" s="26" t="n"/>
      <ns0:c r="C467" s="26" t="n"/>
      <ns0:c r="D467" s="26" t="n"/>
      <ns0:c r="E467" s="27" t="n"/>
      <ns0:c r="F467" s="28" t="str">
        <ns0:f>IF(A467="","",YEAR(A467)&amp;"-"&amp;RIGHT("0"&amp;MONTH(A467),2))</ns0:f>
        <ns0:v/>
      </ns0:c>
    </ns0:row>
    <ns0:row r="468" ht="21" customHeight="1">
      <ns0:c r="A468" s="25" t="n"/>
      <ns0:c r="B468" s="26" t="n"/>
      <ns0:c r="C468" s="26" t="n"/>
      <ns0:c r="D468" s="26" t="n"/>
      <ns0:c r="E468" s="27" t="n"/>
      <ns0:c r="F468" s="28" t="str">
        <ns0:f>IF(A468="","",YEAR(A468)&amp;"-"&amp;RIGHT("0"&amp;MONTH(A468),2))</ns0:f>
        <ns0:v/>
      </ns0:c>
    </ns0:row>
    <ns0:row r="469" ht="21" customHeight="1">
      <ns0:c r="A469" s="25" t="n"/>
      <ns0:c r="B469" s="26" t="n"/>
      <ns0:c r="C469" s="26" t="n"/>
      <ns0:c r="D469" s="26" t="n"/>
      <ns0:c r="E469" s="27" t="n"/>
      <ns0:c r="F469" s="28" t="str">
        <ns0:f>IF(A469="","",YEAR(A469)&amp;"-"&amp;RIGHT("0"&amp;MONTH(A469),2))</ns0:f>
        <ns0:v/>
      </ns0:c>
    </ns0:row>
    <ns0:row r="470" ht="21" customHeight="1">
      <ns0:c r="A470" s="25" t="n"/>
      <ns0:c r="B470" s="26" t="n"/>
      <ns0:c r="C470" s="26" t="n"/>
      <ns0:c r="D470" s="26" t="n"/>
      <ns0:c r="E470" s="27" t="n"/>
      <ns0:c r="F470" s="28" t="str">
        <ns0:f>IF(A470="","",YEAR(A470)&amp;"-"&amp;RIGHT("0"&amp;MONTH(A470),2))</ns0:f>
        <ns0:v/>
      </ns0:c>
    </ns0:row>
    <ns0:row r="471" ht="21" customHeight="1">
      <ns0:c r="A471" s="25" t="n"/>
      <ns0:c r="B471" s="26" t="n"/>
      <ns0:c r="C471" s="26" t="n"/>
      <ns0:c r="D471" s="26" t="n"/>
      <ns0:c r="E471" s="27" t="n"/>
      <ns0:c r="F471" s="28" t="str">
        <ns0:f>IF(A471="","",YEAR(A471)&amp;"-"&amp;RIGHT("0"&amp;MONTH(A471),2))</ns0:f>
        <ns0:v/>
      </ns0:c>
    </ns0:row>
    <ns0:row r="472" ht="21" customHeight="1">
      <ns0:c r="A472" s="25" t="n"/>
      <ns0:c r="B472" s="26" t="n"/>
      <ns0:c r="C472" s="26" t="n"/>
      <ns0:c r="D472" s="26" t="n"/>
      <ns0:c r="E472" s="27" t="n"/>
      <ns0:c r="F472" s="28" t="str">
        <ns0:f>IF(A472="","",YEAR(A472)&amp;"-"&amp;RIGHT("0"&amp;MONTH(A472),2))</ns0:f>
        <ns0:v/>
      </ns0:c>
    </ns0:row>
    <ns0:row r="473" ht="21" customHeight="1">
      <ns0:c r="A473" s="25" t="n"/>
      <ns0:c r="B473" s="26" t="n"/>
      <ns0:c r="C473" s="26" t="n"/>
      <ns0:c r="D473" s="26" t="n"/>
      <ns0:c r="E473" s="27" t="n"/>
      <ns0:c r="F473" s="28" t="str">
        <ns0:f>IF(A473="","",YEAR(A473)&amp;"-"&amp;RIGHT("0"&amp;MONTH(A473),2))</ns0:f>
        <ns0:v/>
      </ns0:c>
    </ns0:row>
    <ns0:row r="474" ht="21" customHeight="1">
      <ns0:c r="A474" s="25" t="n"/>
      <ns0:c r="B474" s="26" t="n"/>
      <ns0:c r="C474" s="26" t="n"/>
      <ns0:c r="D474" s="26" t="n"/>
      <ns0:c r="E474" s="27" t="n"/>
      <ns0:c r="F474" s="28" t="str">
        <ns0:f>IF(A474="","",YEAR(A474)&amp;"-"&amp;RIGHT("0"&amp;MONTH(A474),2))</ns0:f>
        <ns0:v/>
      </ns0:c>
    </ns0:row>
    <ns0:row r="475" ht="21" customHeight="1">
      <ns0:c r="A475" s="25" t="n"/>
      <ns0:c r="B475" s="26" t="n"/>
      <ns0:c r="C475" s="26" t="n"/>
      <ns0:c r="D475" s="26" t="n"/>
      <ns0:c r="E475" s="27" t="n"/>
      <ns0:c r="F475" s="28" t="str">
        <ns0:f>IF(A475="","",YEAR(A475)&amp;"-"&amp;RIGHT("0"&amp;MONTH(A475),2))</ns0:f>
        <ns0:v/>
      </ns0:c>
    </ns0:row>
    <ns0:row r="476" ht="21" customHeight="1">
      <ns0:c r="A476" s="25" t="n"/>
      <ns0:c r="B476" s="26" t="n"/>
      <ns0:c r="C476" s="26" t="n"/>
      <ns0:c r="D476" s="26" t="n"/>
      <ns0:c r="E476" s="27" t="n"/>
      <ns0:c r="F476" s="28" t="str">
        <ns0:f>IF(A476="","",YEAR(A476)&amp;"-"&amp;RIGHT("0"&amp;MONTH(A476),2))</ns0:f>
        <ns0:v/>
      </ns0:c>
    </ns0:row>
    <ns0:row r="477" ht="21" customHeight="1">
      <ns0:c r="A477" s="25" t="n"/>
      <ns0:c r="B477" s="26" t="n"/>
      <ns0:c r="C477" s="26" t="n"/>
      <ns0:c r="D477" s="26" t="n"/>
      <ns0:c r="E477" s="27" t="n"/>
      <ns0:c r="F477" s="28" t="str">
        <ns0:f>IF(A477="","",YEAR(A477)&amp;"-"&amp;RIGHT("0"&amp;MONTH(A477),2))</ns0:f>
        <ns0:v/>
      </ns0:c>
    </ns0:row>
    <ns0:row r="478" ht="21" customHeight="1">
      <ns0:c r="A478" s="25" t="n"/>
      <ns0:c r="B478" s="26" t="n"/>
      <ns0:c r="C478" s="26" t="n"/>
      <ns0:c r="D478" s="26" t="n"/>
      <ns0:c r="E478" s="27" t="n"/>
      <ns0:c r="F478" s="28" t="str">
        <ns0:f>IF(A478="","",YEAR(A478)&amp;"-"&amp;RIGHT("0"&amp;MONTH(A478),2))</ns0:f>
        <ns0:v/>
      </ns0:c>
    </ns0:row>
    <ns0:row r="479" ht="21" customHeight="1">
      <ns0:c r="A479" s="25" t="n"/>
      <ns0:c r="B479" s="26" t="n"/>
      <ns0:c r="C479" s="26" t="n"/>
      <ns0:c r="D479" s="26" t="n"/>
      <ns0:c r="E479" s="27" t="n"/>
      <ns0:c r="F479" s="28" t="str">
        <ns0:f>IF(A479="","",YEAR(A479)&amp;"-"&amp;RIGHT("0"&amp;MONTH(A479),2))</ns0:f>
        <ns0:v/>
      </ns0:c>
    </ns0:row>
    <ns0:row r="480" ht="21" customHeight="1">
      <ns0:c r="A480" s="25" t="n"/>
      <ns0:c r="B480" s="26" t="n"/>
      <ns0:c r="C480" s="26" t="n"/>
      <ns0:c r="D480" s="26" t="n"/>
      <ns0:c r="E480" s="27" t="n"/>
      <ns0:c r="F480" s="28" t="str">
        <ns0:f>IF(A480="","",YEAR(A480)&amp;"-"&amp;RIGHT("0"&amp;MONTH(A480),2))</ns0:f>
        <ns0:v/>
      </ns0:c>
    </ns0:row>
    <ns0:row r="481" ht="21" customHeight="1">
      <ns0:c r="A481" s="25" t="n"/>
      <ns0:c r="B481" s="26" t="n"/>
      <ns0:c r="C481" s="26" t="n"/>
      <ns0:c r="D481" s="26" t="n"/>
      <ns0:c r="E481" s="27" t="n"/>
      <ns0:c r="F481" s="28" t="str">
        <ns0:f>IF(A481="","",YEAR(A481)&amp;"-"&amp;RIGHT("0"&amp;MONTH(A481),2))</ns0:f>
        <ns0:v/>
      </ns0:c>
    </ns0:row>
    <ns0:row r="482" ht="21" customHeight="1">
      <ns0:c r="A482" s="25" t="n"/>
      <ns0:c r="B482" s="26" t="n"/>
      <ns0:c r="C482" s="26" t="n"/>
      <ns0:c r="D482" s="26" t="n"/>
      <ns0:c r="E482" s="27" t="n"/>
      <ns0:c r="F482" s="28" t="str">
        <ns0:f>IF(A482="","",YEAR(A482)&amp;"-"&amp;RIGHT("0"&amp;MONTH(A482),2))</ns0:f>
        <ns0:v/>
      </ns0:c>
    </ns0:row>
    <ns0:row r="483" ht="21" customHeight="1">
      <ns0:c r="A483" s="25" t="n"/>
      <ns0:c r="B483" s="26" t="n"/>
      <ns0:c r="C483" s="26" t="n"/>
      <ns0:c r="D483" s="26" t="n"/>
      <ns0:c r="E483" s="27" t="n"/>
      <ns0:c r="F483" s="28" t="str">
        <ns0:f>IF(A483="","",YEAR(A483)&amp;"-"&amp;RIGHT("0"&amp;MONTH(A483),2))</ns0:f>
        <ns0:v/>
      </ns0:c>
    </ns0:row>
    <ns0:row r="484" ht="21" customHeight="1">
      <ns0:c r="A484" s="25" t="n"/>
      <ns0:c r="B484" s="26" t="n"/>
      <ns0:c r="C484" s="26" t="n"/>
      <ns0:c r="D484" s="26" t="n"/>
      <ns0:c r="E484" s="27" t="n"/>
      <ns0:c r="F484" s="28" t="str">
        <ns0:f>IF(A484="","",YEAR(A484)&amp;"-"&amp;RIGHT("0"&amp;MONTH(A484),2))</ns0:f>
        <ns0:v/>
      </ns0:c>
    </ns0:row>
    <ns0:row r="485" ht="21" customHeight="1">
      <ns0:c r="A485" s="25" t="n"/>
      <ns0:c r="B485" s="26" t="n"/>
      <ns0:c r="C485" s="26" t="n"/>
      <ns0:c r="D485" s="26" t="n"/>
      <ns0:c r="E485" s="27" t="n"/>
      <ns0:c r="F485" s="28" t="str">
        <ns0:f>IF(A485="","",YEAR(A485)&amp;"-"&amp;RIGHT("0"&amp;MONTH(A485),2))</ns0:f>
        <ns0:v/>
      </ns0:c>
    </ns0:row>
    <ns0:row r="486" ht="21" customHeight="1">
      <ns0:c r="A486" s="25" t="n"/>
      <ns0:c r="B486" s="26" t="n"/>
      <ns0:c r="C486" s="26" t="n"/>
      <ns0:c r="D486" s="26" t="n"/>
      <ns0:c r="E486" s="27" t="n"/>
      <ns0:c r="F486" s="28" t="str">
        <ns0:f>IF(A486="","",YEAR(A486)&amp;"-"&amp;RIGHT("0"&amp;MONTH(A486),2))</ns0:f>
        <ns0:v/>
      </ns0:c>
    </ns0:row>
    <ns0:row r="487" ht="21" customHeight="1">
      <ns0:c r="A487" s="25" t="n"/>
      <ns0:c r="B487" s="26" t="n"/>
      <ns0:c r="C487" s="26" t="n"/>
      <ns0:c r="D487" s="26" t="n"/>
      <ns0:c r="E487" s="27" t="n"/>
      <ns0:c r="F487" s="28" t="str">
        <ns0:f>IF(A487="","",YEAR(A487)&amp;"-"&amp;RIGHT("0"&amp;MONTH(A487),2))</ns0:f>
        <ns0:v/>
      </ns0:c>
    </ns0:row>
    <ns0:row r="488" ht="21" customHeight="1">
      <ns0:c r="A488" s="25" t="n"/>
      <ns0:c r="B488" s="26" t="n"/>
      <ns0:c r="C488" s="26" t="n"/>
      <ns0:c r="D488" s="26" t="n"/>
      <ns0:c r="E488" s="27" t="n"/>
      <ns0:c r="F488" s="28" t="str">
        <ns0:f>IF(A488="","",YEAR(A488)&amp;"-"&amp;RIGHT("0"&amp;MONTH(A488),2))</ns0:f>
        <ns0:v/>
      </ns0:c>
    </ns0:row>
    <ns0:row r="489" ht="21" customHeight="1">
      <ns0:c r="A489" s="25" t="n"/>
      <ns0:c r="B489" s="26" t="n"/>
      <ns0:c r="C489" s="26" t="n"/>
      <ns0:c r="D489" s="26" t="n"/>
      <ns0:c r="E489" s="27" t="n"/>
      <ns0:c r="F489" s="28" t="str">
        <ns0:f>IF(A489="","",YEAR(A489)&amp;"-"&amp;RIGHT("0"&amp;MONTH(A489),2))</ns0:f>
        <ns0:v/>
      </ns0:c>
    </ns0:row>
    <ns0:row r="490" ht="21" customHeight="1">
      <ns0:c r="A490" s="25" t="n"/>
      <ns0:c r="B490" s="26" t="n"/>
      <ns0:c r="C490" s="26" t="n"/>
      <ns0:c r="D490" s="26" t="n"/>
      <ns0:c r="E490" s="27" t="n"/>
      <ns0:c r="F490" s="28" t="str">
        <ns0:f>IF(A490="","",YEAR(A490)&amp;"-"&amp;RIGHT("0"&amp;MONTH(A490),2))</ns0:f>
        <ns0:v/>
      </ns0:c>
    </ns0:row>
    <ns0:row r="491" ht="21" customHeight="1">
      <ns0:c r="A491" s="25" t="n"/>
      <ns0:c r="B491" s="26" t="n"/>
      <ns0:c r="C491" s="26" t="n"/>
      <ns0:c r="D491" s="26" t="n"/>
      <ns0:c r="E491" s="27" t="n"/>
      <ns0:c r="F491" s="28" t="str">
        <ns0:f>IF(A491="","",YEAR(A491)&amp;"-"&amp;RIGHT("0"&amp;MONTH(A491),2))</ns0:f>
        <ns0:v/>
      </ns0:c>
    </ns0:row>
    <ns0:row r="492" ht="21" customHeight="1">
      <ns0:c r="A492" s="25" t="n"/>
      <ns0:c r="B492" s="26" t="n"/>
      <ns0:c r="C492" s="26" t="n"/>
      <ns0:c r="D492" s="26" t="n"/>
      <ns0:c r="E492" s="27" t="n"/>
      <ns0:c r="F492" s="28" t="str">
        <ns0:f>IF(A492="","",YEAR(A492)&amp;"-"&amp;RIGHT("0"&amp;MONTH(A492),2))</ns0:f>
        <ns0:v/>
      </ns0:c>
    </ns0:row>
    <ns0:row r="493" ht="21" customHeight="1">
      <ns0:c r="A493" s="25" t="n"/>
      <ns0:c r="B493" s="26" t="n"/>
      <ns0:c r="C493" s="26" t="n"/>
      <ns0:c r="D493" s="26" t="n"/>
      <ns0:c r="E493" s="27" t="n"/>
      <ns0:c r="F493" s="28" t="str">
        <ns0:f>IF(A493="","",YEAR(A493)&amp;"-"&amp;RIGHT("0"&amp;MONTH(A493),2))</ns0:f>
        <ns0:v/>
      </ns0:c>
    </ns0:row>
    <ns0:row r="494" ht="21" customHeight="1">
      <ns0:c r="A494" s="25" t="n"/>
      <ns0:c r="B494" s="26" t="n"/>
      <ns0:c r="C494" s="26" t="n"/>
      <ns0:c r="D494" s="26" t="n"/>
      <ns0:c r="E494" s="27" t="n"/>
      <ns0:c r="F494" s="28" t="str">
        <ns0:f>IF(A494="","",YEAR(A494)&amp;"-"&amp;RIGHT("0"&amp;MONTH(A494),2))</ns0:f>
        <ns0:v/>
      </ns0:c>
    </ns0:row>
    <ns0:row r="495" ht="21" customHeight="1">
      <ns0:c r="A495" s="25" t="n"/>
      <ns0:c r="B495" s="26" t="n"/>
      <ns0:c r="C495" s="26" t="n"/>
      <ns0:c r="D495" s="26" t="n"/>
      <ns0:c r="E495" s="27" t="n"/>
      <ns0:c r="F495" s="28" t="str">
        <ns0:f>IF(A495="","",YEAR(A495)&amp;"-"&amp;RIGHT("0"&amp;MONTH(A495),2))</ns0:f>
        <ns0:v/>
      </ns0:c>
    </ns0:row>
    <ns0:row r="496" ht="21" customHeight="1">
      <ns0:c r="A496" s="25" t="n"/>
      <ns0:c r="B496" s="26" t="n"/>
      <ns0:c r="C496" s="26" t="n"/>
      <ns0:c r="D496" s="26" t="n"/>
      <ns0:c r="E496" s="27" t="n"/>
      <ns0:c r="F496" s="28" t="str">
        <ns0:f>IF(A496="","",YEAR(A496)&amp;"-"&amp;RIGHT("0"&amp;MONTH(A496),2))</ns0:f>
        <ns0:v/>
      </ns0:c>
    </ns0:row>
    <ns0:row r="497" ht="21" customHeight="1">
      <ns0:c r="A497" s="25" t="n"/>
      <ns0:c r="B497" s="26" t="n"/>
      <ns0:c r="C497" s="26" t="n"/>
      <ns0:c r="D497" s="26" t="n"/>
      <ns0:c r="E497" s="27" t="n"/>
      <ns0:c r="F497" s="28" t="str">
        <ns0:f>IF(A497="","",YEAR(A497)&amp;"-"&amp;RIGHT("0"&amp;MONTH(A497),2))</ns0:f>
        <ns0:v/>
      </ns0:c>
    </ns0:row>
    <ns0:row r="498" ht="21" customHeight="1">
      <ns0:c r="A498" s="25" t="n"/>
      <ns0:c r="B498" s="26" t="n"/>
      <ns0:c r="C498" s="26" t="n"/>
      <ns0:c r="D498" s="26" t="n"/>
      <ns0:c r="E498" s="27" t="n"/>
      <ns0:c r="F498" s="28" t="str">
        <ns0:f>IF(A498="","",YEAR(A498)&amp;"-"&amp;RIGHT("0"&amp;MONTH(A498),2))</ns0:f>
        <ns0:v/>
      </ns0:c>
    </ns0:row>
    <ns0:row r="499" ht="21" customHeight="1">
      <ns0:c r="A499" s="25" t="n"/>
      <ns0:c r="B499" s="26" t="n"/>
      <ns0:c r="C499" s="26" t="n"/>
      <ns0:c r="D499" s="26" t="n"/>
      <ns0:c r="E499" s="27" t="n"/>
      <ns0:c r="F499" s="28" t="str">
        <ns0:f>IF(A499="","",YEAR(A499)&amp;"-"&amp;RIGHT("0"&amp;MONTH(A499),2))</ns0:f>
        <ns0:v/>
      </ns0:c>
    </ns0:row>
    <ns0:row r="500" ht="21" customHeight="1">
      <ns0:c r="A500" s="25" t="n"/>
      <ns0:c r="B500" s="26" t="n"/>
      <ns0:c r="C500" s="26" t="n"/>
      <ns0:c r="D500" s="26" t="n"/>
      <ns0:c r="E500" s="27" t="n"/>
      <ns0:c r="F500" s="28" t="str">
        <ns0:f>IF(A500="","",YEAR(A500)&amp;"-"&amp;RIGHT("0"&amp;MONTH(A500),2))</ns0:f>
        <ns0:v/>
      </ns0:c>
    </ns0:row>
    <ns0:row r="501" ht="21" customHeight="1">
      <ns0:c r="A501" s="25" t="n"/>
      <ns0:c r="B501" s="26" t="n"/>
      <ns0:c r="C501" s="26" t="n"/>
      <ns0:c r="D501" s="26" t="n"/>
      <ns0:c r="E501" s="27" t="n"/>
      <ns0:c r="F501" s="28" t="str">
        <ns0:f>IF(A501="","",YEAR(A501)&amp;"-"&amp;RIGHT("0"&amp;MONTH(A501),2))</ns0:f>
        <ns0:v/>
      </ns0:c>
    </ns0:row>
    <ns0:row r="502" ht="21" customHeight="1">
      <ns0:c r="A502" s="25" t="n"/>
      <ns0:c r="B502" s="26" t="n"/>
      <ns0:c r="C502" s="26" t="n"/>
      <ns0:c r="D502" s="26" t="n"/>
      <ns0:c r="E502" s="27" t="n"/>
      <ns0:c r="F502" s="28" t="str">
        <ns0:f>IF(A502="","",YEAR(A502)&amp;"-"&amp;RIGHT("0"&amp;MONTH(A502),2))</ns0:f>
        <ns0:v/>
      </ns0:c>
    </ns0:row>
    <ns0:row r="503" ht="21" customHeight="1">
      <ns0:c r="A503" s="25" t="n"/>
      <ns0:c r="B503" s="26" t="n"/>
      <ns0:c r="C503" s="26" t="n"/>
      <ns0:c r="D503" s="26" t="n"/>
      <ns0:c r="E503" s="27" t="n"/>
      <ns0:c r="F503" s="28" t="str">
        <ns0:f>IF(A503="","",YEAR(A503)&amp;"-"&amp;RIGHT("0"&amp;MONTH(A503),2))</ns0:f>
        <ns0:v/>
      </ns0:c>
    </ns0:row>
    <ns0:row r="504" ht="21" customHeight="1">
      <ns0:c r="A504" s="25" t="n"/>
      <ns0:c r="B504" s="26" t="n"/>
      <ns0:c r="C504" s="26" t="n"/>
      <ns0:c r="D504" s="26" t="n"/>
      <ns0:c r="E504" s="27" t="n"/>
      <ns0:c r="F504" s="28" t="str">
        <ns0:f>IF(A504="","",YEAR(A504)&amp;"-"&amp;RIGHT("0"&amp;MONTH(A504),2))</ns0:f>
        <ns0:v/>
      </ns0:c>
    </ns0:row>
    <ns0:row r="505" ht="21" customHeight="1">
      <ns0:c r="A505" s="25" t="n"/>
      <ns0:c r="B505" s="26" t="n"/>
      <ns0:c r="C505" s="26" t="n"/>
      <ns0:c r="D505" s="26" t="n"/>
      <ns0:c r="E505" s="27" t="n"/>
      <ns0:c r="F505" s="28" t="str">
        <ns0:f>IF(A505="","",YEAR(A505)&amp;"-"&amp;RIGHT("0"&amp;MONTH(A505),2))</ns0:f>
        <ns0:v/>
      </ns0:c>
    </ns0:row>
    <ns0:row r="506" ht="21" customHeight="1">
      <ns0:c r="A506" s="25" t="n"/>
      <ns0:c r="B506" s="26" t="n"/>
      <ns0:c r="C506" s="26" t="n"/>
      <ns0:c r="D506" s="26" t="n"/>
      <ns0:c r="E506" s="27" t="n"/>
      <ns0:c r="F506" s="28" t="str">
        <ns0:f>IF(A506="","",YEAR(A506)&amp;"-"&amp;RIGHT("0"&amp;MONTH(A506),2))</ns0:f>
        <ns0:v/>
      </ns0:c>
    </ns0:row>
    <ns0:row r="507" ht="21" customHeight="1">
      <ns0:c r="A507" s="25" t="n"/>
      <ns0:c r="B507" s="26" t="n"/>
      <ns0:c r="C507" s="26" t="n"/>
      <ns0:c r="D507" s="26" t="n"/>
      <ns0:c r="E507" s="27" t="n"/>
      <ns0:c r="F507" s="28" t="str">
        <ns0:f>IF(A507="","",YEAR(A507)&amp;"-"&amp;RIGHT("0"&amp;MONTH(A507),2))</ns0:f>
        <ns0:v/>
      </ns0:c>
    </ns0:row>
    <ns0:row r="508" ht="21" customHeight="1">
      <ns0:c r="A508" s="25" t="n"/>
      <ns0:c r="B508" s="26" t="n"/>
      <ns0:c r="C508" s="26" t="n"/>
      <ns0:c r="D508" s="26" t="n"/>
      <ns0:c r="E508" s="27" t="n"/>
      <ns0:c r="F508" s="28" t="str">
        <ns0:f>IF(A508="","",YEAR(A508)&amp;"-"&amp;RIGHT("0"&amp;MONTH(A508),2))</ns0:f>
        <ns0:v/>
      </ns0:c>
    </ns0:row>
    <ns0:row r="509" ht="21" customHeight="1">
      <ns0:c r="A509" s="25" t="n"/>
      <ns0:c r="B509" s="26" t="n"/>
      <ns0:c r="C509" s="26" t="n"/>
      <ns0:c r="D509" s="26" t="n"/>
      <ns0:c r="E509" s="27" t="n"/>
      <ns0:c r="F509" s="28" t="str">
        <ns0:f>IF(A509="","",YEAR(A509)&amp;"-"&amp;RIGHT("0"&amp;MONTH(A509),2))</ns0:f>
        <ns0:v/>
      </ns0:c>
    </ns0:row>
    <ns0:row r="510" ht="21" customHeight="1">
      <ns0:c r="A510" s="25" t="n"/>
      <ns0:c r="B510" s="26" t="n"/>
      <ns0:c r="C510" s="26" t="n"/>
      <ns0:c r="D510" s="26" t="n"/>
      <ns0:c r="E510" s="27" t="n"/>
      <ns0:c r="F510" s="28" t="str">
        <ns0:f>IF(A510="","",YEAR(A510)&amp;"-"&amp;RIGHT("0"&amp;MONTH(A510),2))</ns0:f>
        <ns0:v/>
      </ns0:c>
    </ns0:row>
    <ns0:row r="511" ht="21" customHeight="1">
      <ns0:c r="A511" s="25" t="n"/>
      <ns0:c r="B511" s="26" t="n"/>
      <ns0:c r="C511" s="26" t="n"/>
      <ns0:c r="D511" s="26" t="n"/>
      <ns0:c r="E511" s="27" t="n"/>
      <ns0:c r="F511" s="28" t="str">
        <ns0:f>IF(A511="","",YEAR(A511)&amp;"-"&amp;RIGHT("0"&amp;MONTH(A511),2))</ns0:f>
        <ns0:v/>
      </ns0:c>
    </ns0:row>
    <ns0:row r="512" ht="21" customHeight="1">
      <ns0:c r="A512" s="25" t="n"/>
      <ns0:c r="B512" s="26" t="n"/>
      <ns0:c r="C512" s="26" t="n"/>
      <ns0:c r="D512" s="26" t="n"/>
      <ns0:c r="E512" s="27" t="n"/>
      <ns0:c r="F512" s="28" t="str">
        <ns0:f>IF(A512="","",YEAR(A512)&amp;"-"&amp;RIGHT("0"&amp;MONTH(A512),2))</ns0:f>
        <ns0:v/>
      </ns0:c>
    </ns0:row>
    <ns0:row r="513" ht="21" customHeight="1">
      <ns0:c r="A513" s="25" t="n"/>
      <ns0:c r="B513" s="26" t="n"/>
      <ns0:c r="C513" s="26" t="n"/>
      <ns0:c r="D513" s="26" t="n"/>
      <ns0:c r="E513" s="27" t="n"/>
      <ns0:c r="F513" s="28" t="str">
        <ns0:f>IF(A513="","",YEAR(A513)&amp;"-"&amp;RIGHT("0"&amp;MONTH(A513),2))</ns0:f>
        <ns0:v/>
      </ns0:c>
    </ns0:row>
    <ns0:row r="514" ht="21" customHeight="1">
      <ns0:c r="A514" s="25" t="n"/>
      <ns0:c r="B514" s="26" t="n"/>
      <ns0:c r="C514" s="26" t="n"/>
      <ns0:c r="D514" s="26" t="n"/>
      <ns0:c r="E514" s="27" t="n"/>
      <ns0:c r="F514" s="28" t="str">
        <ns0:f>IF(A514="","",YEAR(A514)&amp;"-"&amp;RIGHT("0"&amp;MONTH(A514),2))</ns0:f>
        <ns0:v/>
      </ns0:c>
    </ns0:row>
    <ns0:row r="515" ht="21" customHeight="1">
      <ns0:c r="A515" s="25" t="n"/>
      <ns0:c r="B515" s="26" t="n"/>
      <ns0:c r="C515" s="26" t="n"/>
      <ns0:c r="D515" s="26" t="n"/>
      <ns0:c r="E515" s="27" t="n"/>
      <ns0:c r="F515" s="28" t="str">
        <ns0:f>IF(A515="","",YEAR(A515)&amp;"-"&amp;RIGHT("0"&amp;MONTH(A515),2))</ns0:f>
        <ns0:v/>
      </ns0:c>
    </ns0:row>
    <ns0:row r="516" ht="21" customHeight="1">
      <ns0:c r="A516" s="25" t="n"/>
      <ns0:c r="B516" s="26" t="n"/>
      <ns0:c r="C516" s="26" t="n"/>
      <ns0:c r="D516" s="26" t="n"/>
      <ns0:c r="E516" s="27" t="n"/>
      <ns0:c r="F516" s="28" t="str">
        <ns0:f>IF(A516="","",YEAR(A516)&amp;"-"&amp;RIGHT("0"&amp;MONTH(A516),2))</ns0:f>
        <ns0:v/>
      </ns0:c>
    </ns0:row>
    <ns0:row r="517" ht="21" customHeight="1">
      <ns0:c r="A517" s="25" t="n"/>
      <ns0:c r="B517" s="26" t="n"/>
      <ns0:c r="C517" s="26" t="n"/>
      <ns0:c r="D517" s="26" t="n"/>
      <ns0:c r="E517" s="27" t="n"/>
      <ns0:c r="F517" s="28" t="str">
        <ns0:f>IF(A517="","",YEAR(A517)&amp;"-"&amp;RIGHT("0"&amp;MONTH(A517),2))</ns0:f>
        <ns0:v/>
      </ns0:c>
    </ns0:row>
    <ns0:row r="518" ht="21" customHeight="1">
      <ns0:c r="A518" s="25" t="n"/>
      <ns0:c r="B518" s="26" t="n"/>
      <ns0:c r="C518" s="26" t="n"/>
      <ns0:c r="D518" s="26" t="n"/>
      <ns0:c r="E518" s="27" t="n"/>
      <ns0:c r="F518" s="28" t="str">
        <ns0:f>IF(A518="","",YEAR(A518)&amp;"-"&amp;RIGHT("0"&amp;MONTH(A518),2))</ns0:f>
        <ns0:v/>
      </ns0:c>
    </ns0:row>
    <ns0:row r="519" ht="21" customHeight="1">
      <ns0:c r="A519" s="25" t="n"/>
      <ns0:c r="B519" s="26" t="n"/>
      <ns0:c r="C519" s="26" t="n"/>
      <ns0:c r="D519" s="26" t="n"/>
      <ns0:c r="E519" s="27" t="n"/>
      <ns0:c r="F519" s="28" t="str">
        <ns0:f>IF(A519="","",YEAR(A519)&amp;"-"&amp;RIGHT("0"&amp;MONTH(A519),2))</ns0:f>
        <ns0:v/>
      </ns0:c>
    </ns0:row>
    <ns0:row r="520" ht="21" customHeight="1">
      <ns0:c r="A520" s="25" t="n"/>
      <ns0:c r="B520" s="26" t="n"/>
      <ns0:c r="C520" s="26" t="n"/>
      <ns0:c r="D520" s="26" t="n"/>
      <ns0:c r="E520" s="27" t="n"/>
      <ns0:c r="F520" s="28" t="str">
        <ns0:f>IF(A520="","",YEAR(A520)&amp;"-"&amp;RIGHT("0"&amp;MONTH(A520),2))</ns0:f>
        <ns0:v/>
      </ns0:c>
    </ns0:row>
    <ns0:row r="521" ht="21" customHeight="1">
      <ns0:c r="A521" s="25" t="n"/>
      <ns0:c r="B521" s="26" t="n"/>
      <ns0:c r="C521" s="26" t="n"/>
      <ns0:c r="D521" s="26" t="n"/>
      <ns0:c r="E521" s="27" t="n"/>
      <ns0:c r="F521" s="28" t="str">
        <ns0:f>IF(A521="","",YEAR(A521)&amp;"-"&amp;RIGHT("0"&amp;MONTH(A521),2))</ns0:f>
        <ns0:v/>
      </ns0:c>
    </ns0:row>
    <ns0:row r="522" ht="21" customHeight="1">
      <ns0:c r="A522" s="25" t="n"/>
      <ns0:c r="B522" s="26" t="n"/>
      <ns0:c r="C522" s="26" t="n"/>
      <ns0:c r="D522" s="26" t="n"/>
      <ns0:c r="E522" s="27" t="n"/>
      <ns0:c r="F522" s="28" t="str">
        <ns0:f>IF(A522="","",YEAR(A522)&amp;"-"&amp;RIGHT("0"&amp;MONTH(A522),2))</ns0:f>
        <ns0:v/>
      </ns0:c>
    </ns0:row>
    <ns0:row r="523" ht="21" customHeight="1">
      <ns0:c r="A523" s="25" t="n"/>
      <ns0:c r="B523" s="26" t="n"/>
      <ns0:c r="C523" s="26" t="n"/>
      <ns0:c r="D523" s="26" t="n"/>
      <ns0:c r="E523" s="27" t="n"/>
      <ns0:c r="F523" s="28" t="str">
        <ns0:f>IF(A523="","",YEAR(A523)&amp;"-"&amp;RIGHT("0"&amp;MONTH(A523),2))</ns0:f>
        <ns0:v/>
      </ns0:c>
    </ns0:row>
    <ns0:row r="524" ht="21" customHeight="1">
      <ns0:c r="A524" s="25" t="n"/>
      <ns0:c r="B524" s="26" t="n"/>
      <ns0:c r="C524" s="26" t="n"/>
      <ns0:c r="D524" s="26" t="n"/>
      <ns0:c r="E524" s="27" t="n"/>
      <ns0:c r="F524" s="28" t="str">
        <ns0:f>IF(A524="","",YEAR(A524)&amp;"-"&amp;RIGHT("0"&amp;MONTH(A524),2))</ns0:f>
        <ns0:v/>
      </ns0:c>
    </ns0:row>
    <ns0:row r="525" ht="21" customHeight="1">
      <ns0:c r="A525" s="25" t="n"/>
      <ns0:c r="B525" s="26" t="n"/>
      <ns0:c r="C525" s="26" t="n"/>
      <ns0:c r="D525" s="26" t="n"/>
      <ns0:c r="E525" s="27" t="n"/>
      <ns0:c r="F525" s="28" t="str">
        <ns0:f>IF(A525="","",YEAR(A525)&amp;"-"&amp;RIGHT("0"&amp;MONTH(A525),2))</ns0:f>
        <ns0:v/>
      </ns0:c>
    </ns0:row>
    <ns0:row r="526" ht="21" customHeight="1">
      <ns0:c r="A526" s="25" t="n"/>
      <ns0:c r="B526" s="26" t="n"/>
      <ns0:c r="C526" s="26" t="n"/>
      <ns0:c r="D526" s="26" t="n"/>
      <ns0:c r="E526" s="27" t="n"/>
      <ns0:c r="F526" s="28" t="str">
        <ns0:f>IF(A526="","",YEAR(A526)&amp;"-"&amp;RIGHT("0"&amp;MONTH(A526),2))</ns0:f>
        <ns0:v/>
      </ns0:c>
    </ns0:row>
    <ns0:row r="527" ht="21" customHeight="1">
      <ns0:c r="A527" s="25" t="n"/>
      <ns0:c r="B527" s="26" t="n"/>
      <ns0:c r="C527" s="26" t="n"/>
      <ns0:c r="D527" s="26" t="n"/>
      <ns0:c r="E527" s="27" t="n"/>
      <ns0:c r="F527" s="28" t="str">
        <ns0:f>IF(A527="","",YEAR(A527)&amp;"-"&amp;RIGHT("0"&amp;MONTH(A527),2))</ns0:f>
        <ns0:v/>
      </ns0:c>
    </ns0:row>
    <ns0:row r="528" ht="21" customHeight="1">
      <ns0:c r="A528" s="25" t="n"/>
      <ns0:c r="B528" s="26" t="n"/>
      <ns0:c r="C528" s="26" t="n"/>
      <ns0:c r="D528" s="26" t="n"/>
      <ns0:c r="E528" s="27" t="n"/>
      <ns0:c r="F528" s="28" t="str">
        <ns0:f>IF(A528="","",YEAR(A528)&amp;"-"&amp;RIGHT("0"&amp;MONTH(A528),2))</ns0:f>
        <ns0:v/>
      </ns0:c>
    </ns0:row>
    <ns0:row r="529" ht="21" customHeight="1">
      <ns0:c r="A529" s="25" t="n"/>
      <ns0:c r="B529" s="26" t="n"/>
      <ns0:c r="C529" s="26" t="n"/>
      <ns0:c r="D529" s="26" t="n"/>
      <ns0:c r="E529" s="27" t="n"/>
      <ns0:c r="F529" s="28" t="str">
        <ns0:f>IF(A529="","",YEAR(A529)&amp;"-"&amp;RIGHT("0"&amp;MONTH(A529),2))</ns0:f>
        <ns0:v/>
      </ns0:c>
    </ns0:row>
    <ns0:row r="530" ht="21" customHeight="1">
      <ns0:c r="A530" s="25" t="n"/>
      <ns0:c r="B530" s="26" t="n"/>
      <ns0:c r="C530" s="26" t="n"/>
      <ns0:c r="D530" s="26" t="n"/>
      <ns0:c r="E530" s="27" t="n"/>
      <ns0:c r="F530" s="28" t="str">
        <ns0:f>IF(A530="","",YEAR(A530)&amp;"-"&amp;RIGHT("0"&amp;MONTH(A530),2))</ns0:f>
        <ns0:v/>
      </ns0:c>
    </ns0:row>
    <ns0:row r="531" ht="21" customHeight="1">
      <ns0:c r="A531" s="25" t="n"/>
      <ns0:c r="B531" s="26" t="n"/>
      <ns0:c r="C531" s="26" t="n"/>
      <ns0:c r="D531" s="26" t="n"/>
      <ns0:c r="E531" s="27" t="n"/>
      <ns0:c r="F531" s="28" t="str">
        <ns0:f>IF(A531="","",YEAR(A531)&amp;"-"&amp;RIGHT("0"&amp;MONTH(A531),2))</ns0:f>
        <ns0:v/>
      </ns0:c>
    </ns0:row>
    <ns0:row r="532" ht="21" customHeight="1">
      <ns0:c r="A532" s="25" t="n"/>
      <ns0:c r="B532" s="26" t="n"/>
      <ns0:c r="C532" s="26" t="n"/>
      <ns0:c r="D532" s="26" t="n"/>
      <ns0:c r="E532" s="27" t="n"/>
      <ns0:c r="F532" s="28" t="str">
        <ns0:f>IF(A532="","",YEAR(A532)&amp;"-"&amp;RIGHT("0"&amp;MONTH(A532),2))</ns0:f>
        <ns0:v/>
      </ns0:c>
    </ns0:row>
    <ns0:row r="533" ht="21" customHeight="1">
      <ns0:c r="A533" s="25" t="n"/>
      <ns0:c r="B533" s="26" t="n"/>
      <ns0:c r="C533" s="26" t="n"/>
      <ns0:c r="D533" s="26" t="n"/>
      <ns0:c r="E533" s="27" t="n"/>
      <ns0:c r="F533" s="28" t="str">
        <ns0:f>IF(A533="","",YEAR(A533)&amp;"-"&amp;RIGHT("0"&amp;MONTH(A533),2))</ns0:f>
        <ns0:v/>
      </ns0:c>
    </ns0:row>
    <ns0:row r="534" ht="21" customHeight="1">
      <ns0:c r="A534" s="25" t="n"/>
      <ns0:c r="B534" s="26" t="n"/>
      <ns0:c r="C534" s="26" t="n"/>
      <ns0:c r="D534" s="26" t="n"/>
      <ns0:c r="E534" s="27" t="n"/>
      <ns0:c r="F534" s="28" t="str">
        <ns0:f>IF(A534="","",YEAR(A534)&amp;"-"&amp;RIGHT("0"&amp;MONTH(A534),2))</ns0:f>
        <ns0:v/>
      </ns0:c>
    </ns0:row>
    <ns0:row r="535" ht="21" customHeight="1">
      <ns0:c r="A535" s="25" t="n"/>
      <ns0:c r="B535" s="26" t="n"/>
      <ns0:c r="C535" s="26" t="n"/>
      <ns0:c r="D535" s="26" t="n"/>
      <ns0:c r="E535" s="27" t="n"/>
      <ns0:c r="F535" s="28" t="str">
        <ns0:f>IF(A535="","",YEAR(A535)&amp;"-"&amp;RIGHT("0"&amp;MONTH(A535),2))</ns0:f>
        <ns0:v/>
      </ns0:c>
    </ns0:row>
    <ns0:row r="536" ht="21" customHeight="1">
      <ns0:c r="A536" s="25" t="n"/>
      <ns0:c r="B536" s="26" t="n"/>
      <ns0:c r="C536" s="26" t="n"/>
      <ns0:c r="D536" s="26" t="n"/>
      <ns0:c r="E536" s="27" t="n"/>
      <ns0:c r="F536" s="28" t="str">
        <ns0:f>IF(A536="","",YEAR(A536)&amp;"-"&amp;RIGHT("0"&amp;MONTH(A536),2))</ns0:f>
        <ns0:v/>
      </ns0:c>
    </ns0:row>
    <ns0:row r="537" ht="21" customHeight="1">
      <ns0:c r="A537" s="25" t="n"/>
      <ns0:c r="B537" s="26" t="n"/>
      <ns0:c r="C537" s="26" t="n"/>
      <ns0:c r="D537" s="26" t="n"/>
      <ns0:c r="E537" s="27" t="n"/>
      <ns0:c r="F537" s="28" t="str">
        <ns0:f>IF(A537="","",YEAR(A537)&amp;"-"&amp;RIGHT("0"&amp;MONTH(A537),2))</ns0:f>
        <ns0:v/>
      </ns0:c>
    </ns0:row>
    <ns0:row r="538" ht="21" customHeight="1">
      <ns0:c r="A538" s="25" t="n"/>
      <ns0:c r="B538" s="26" t="n"/>
      <ns0:c r="C538" s="26" t="n"/>
      <ns0:c r="D538" s="26" t="n"/>
      <ns0:c r="E538" s="27" t="n"/>
      <ns0:c r="F538" s="28" t="str">
        <ns0:f>IF(A538="","",YEAR(A538)&amp;"-"&amp;RIGHT("0"&amp;MONTH(A538),2))</ns0:f>
        <ns0:v/>
      </ns0:c>
    </ns0:row>
    <ns0:row r="539" ht="21" customHeight="1">
      <ns0:c r="A539" s="25" t="n"/>
      <ns0:c r="B539" s="26" t="n"/>
      <ns0:c r="C539" s="26" t="n"/>
      <ns0:c r="D539" s="26" t="n"/>
      <ns0:c r="E539" s="27" t="n"/>
      <ns0:c r="F539" s="28" t="str">
        <ns0:f>IF(A539="","",YEAR(A539)&amp;"-"&amp;RIGHT("0"&amp;MONTH(A539),2))</ns0:f>
        <ns0:v/>
      </ns0:c>
    </ns0:row>
    <ns0:row r="540" ht="21" customHeight="1">
      <ns0:c r="A540" s="25" t="n"/>
      <ns0:c r="B540" s="26" t="n"/>
      <ns0:c r="C540" s="26" t="n"/>
      <ns0:c r="D540" s="26" t="n"/>
      <ns0:c r="E540" s="27" t="n"/>
      <ns0:c r="F540" s="28" t="str">
        <ns0:f>IF(A540="","",YEAR(A540)&amp;"-"&amp;RIGHT("0"&amp;MONTH(A540),2))</ns0:f>
        <ns0:v/>
      </ns0:c>
    </ns0:row>
    <ns0:row r="541" ht="21" customHeight="1">
      <ns0:c r="A541" s="25" t="n"/>
      <ns0:c r="B541" s="26" t="n"/>
      <ns0:c r="C541" s="26" t="n"/>
      <ns0:c r="D541" s="26" t="n"/>
      <ns0:c r="E541" s="27" t="n"/>
      <ns0:c r="F541" s="28" t="str">
        <ns0:f>IF(A541="","",YEAR(A541)&amp;"-"&amp;RIGHT("0"&amp;MONTH(A541),2))</ns0:f>
        <ns0:v/>
      </ns0:c>
    </ns0:row>
    <ns0:row r="542" ht="21" customHeight="1">
      <ns0:c r="A542" s="25" t="n"/>
      <ns0:c r="B542" s="26" t="n"/>
      <ns0:c r="C542" s="26" t="n"/>
      <ns0:c r="D542" s="26" t="n"/>
      <ns0:c r="E542" s="27" t="n"/>
      <ns0:c r="F542" s="28" t="str">
        <ns0:f>IF(A542="","",YEAR(A542)&amp;"-"&amp;RIGHT("0"&amp;MONTH(A542),2))</ns0:f>
        <ns0:v/>
      </ns0:c>
    </ns0:row>
    <ns0:row r="543" ht="21" customHeight="1">
      <ns0:c r="A543" s="25" t="n"/>
      <ns0:c r="B543" s="26" t="n"/>
      <ns0:c r="C543" s="26" t="n"/>
      <ns0:c r="D543" s="26" t="n"/>
      <ns0:c r="E543" s="27" t="n"/>
      <ns0:c r="F543" s="28" t="str">
        <ns0:f>IF(A543="","",YEAR(A543)&amp;"-"&amp;RIGHT("0"&amp;MONTH(A543),2))</ns0:f>
        <ns0:v/>
      </ns0:c>
    </ns0:row>
    <ns0:row r="544" ht="21" customHeight="1">
      <ns0:c r="A544" s="25" t="n"/>
      <ns0:c r="B544" s="26" t="n"/>
      <ns0:c r="C544" s="26" t="n"/>
      <ns0:c r="D544" s="26" t="n"/>
      <ns0:c r="E544" s="27" t="n"/>
      <ns0:c r="F544" s="28" t="str">
        <ns0:f>IF(A544="","",YEAR(A544)&amp;"-"&amp;RIGHT("0"&amp;MONTH(A544),2))</ns0:f>
        <ns0:v/>
      </ns0:c>
    </ns0:row>
    <ns0:row r="545" ht="21" customHeight="1">
      <ns0:c r="A545" s="25" t="n"/>
      <ns0:c r="B545" s="26" t="n"/>
      <ns0:c r="C545" s="26" t="n"/>
      <ns0:c r="D545" s="26" t="n"/>
      <ns0:c r="E545" s="27" t="n"/>
      <ns0:c r="F545" s="28" t="str">
        <ns0:f>IF(A545="","",YEAR(A545)&amp;"-"&amp;RIGHT("0"&amp;MONTH(A545),2))</ns0:f>
        <ns0:v/>
      </ns0:c>
    </ns0:row>
    <ns0:row r="546" ht="21" customHeight="1">
      <ns0:c r="A546" s="25" t="n"/>
      <ns0:c r="B546" s="26" t="n"/>
      <ns0:c r="C546" s="26" t="n"/>
      <ns0:c r="D546" s="26" t="n"/>
      <ns0:c r="E546" s="27" t="n"/>
      <ns0:c r="F546" s="28" t="str">
        <ns0:f>IF(A546="","",YEAR(A546)&amp;"-"&amp;RIGHT("0"&amp;MONTH(A546),2))</ns0:f>
        <ns0:v/>
      </ns0:c>
    </ns0:row>
    <ns0:row r="547" ht="21" customHeight="1">
      <ns0:c r="A547" s="25" t="n"/>
      <ns0:c r="B547" s="26" t="n"/>
      <ns0:c r="C547" s="26" t="n"/>
      <ns0:c r="D547" s="26" t="n"/>
      <ns0:c r="E547" s="27" t="n"/>
      <ns0:c r="F547" s="28" t="str">
        <ns0:f>IF(A547="","",YEAR(A547)&amp;"-"&amp;RIGHT("0"&amp;MONTH(A547),2))</ns0:f>
        <ns0:v/>
      </ns0:c>
    </ns0:row>
    <ns0:row r="548" ht="21" customHeight="1">
      <ns0:c r="A548" s="25" t="n"/>
      <ns0:c r="B548" s="26" t="n"/>
      <ns0:c r="C548" s="26" t="n"/>
      <ns0:c r="D548" s="26" t="n"/>
      <ns0:c r="E548" s="27" t="n"/>
      <ns0:c r="F548" s="28" t="str">
        <ns0:f>IF(A548="","",YEAR(A548)&amp;"-"&amp;RIGHT("0"&amp;MONTH(A548),2))</ns0:f>
        <ns0:v/>
      </ns0:c>
    </ns0:row>
    <ns0:row r="549" ht="21" customHeight="1">
      <ns0:c r="A549" s="25" t="n"/>
      <ns0:c r="B549" s="26" t="n"/>
      <ns0:c r="C549" s="26" t="n"/>
      <ns0:c r="D549" s="26" t="n"/>
      <ns0:c r="E549" s="27" t="n"/>
      <ns0:c r="F549" s="28" t="str">
        <ns0:f>IF(A549="","",YEAR(A549)&amp;"-"&amp;RIGHT("0"&amp;MONTH(A549),2))</ns0:f>
        <ns0:v/>
      </ns0:c>
    </ns0:row>
    <ns0:row r="550" ht="21" customHeight="1">
      <ns0:c r="A550" s="25" t="n"/>
      <ns0:c r="B550" s="26" t="n"/>
      <ns0:c r="C550" s="26" t="n"/>
      <ns0:c r="D550" s="26" t="n"/>
      <ns0:c r="E550" s="27" t="n"/>
      <ns0:c r="F550" s="28" t="str">
        <ns0:f>IF(A550="","",YEAR(A550)&amp;"-"&amp;RIGHT("0"&amp;MONTH(A550),2))</ns0:f>
        <ns0:v/>
      </ns0:c>
    </ns0:row>
    <ns0:row r="551" ht="21" customHeight="1">
      <ns0:c r="A551" s="25" t="n"/>
      <ns0:c r="B551" s="26" t="n"/>
      <ns0:c r="C551" s="26" t="n"/>
      <ns0:c r="D551" s="26" t="n"/>
      <ns0:c r="E551" s="27" t="n"/>
      <ns0:c r="F551" s="28" t="str">
        <ns0:f>IF(A551="","",YEAR(A551)&amp;"-"&amp;RIGHT("0"&amp;MONTH(A551),2))</ns0:f>
        <ns0:v/>
      </ns0:c>
    </ns0:row>
    <ns0:row r="552" ht="21" customHeight="1">
      <ns0:c r="A552" s="25" t="n"/>
      <ns0:c r="B552" s="26" t="n"/>
      <ns0:c r="C552" s="26" t="n"/>
      <ns0:c r="D552" s="26" t="n"/>
      <ns0:c r="E552" s="27" t="n"/>
      <ns0:c r="F552" s="28" t="str">
        <ns0:f>IF(A552="","",YEAR(A552)&amp;"-"&amp;RIGHT("0"&amp;MONTH(A552),2))</ns0:f>
        <ns0:v/>
      </ns0:c>
    </ns0:row>
    <ns0:row r="553" ht="21" customHeight="1">
      <ns0:c r="A553" s="25" t="n"/>
      <ns0:c r="B553" s="26" t="n"/>
      <ns0:c r="C553" s="26" t="n"/>
      <ns0:c r="D553" s="26" t="n"/>
      <ns0:c r="E553" s="27" t="n"/>
      <ns0:c r="F553" s="28" t="str">
        <ns0:f>IF(A553="","",YEAR(A553)&amp;"-"&amp;RIGHT("0"&amp;MONTH(A553),2))</ns0:f>
        <ns0:v/>
      </ns0:c>
    </ns0:row>
    <ns0:row r="554" ht="21" customHeight="1">
      <ns0:c r="A554" s="25" t="n"/>
      <ns0:c r="B554" s="26" t="n"/>
      <ns0:c r="C554" s="26" t="n"/>
      <ns0:c r="D554" s="26" t="n"/>
      <ns0:c r="E554" s="27" t="n"/>
      <ns0:c r="F554" s="28" t="str">
        <ns0:f>IF(A554="","",YEAR(A554)&amp;"-"&amp;RIGHT("0"&amp;MONTH(A554),2))</ns0:f>
        <ns0:v/>
      </ns0:c>
    </ns0:row>
    <ns0:row r="555" ht="21" customHeight="1">
      <ns0:c r="A555" s="25" t="n"/>
      <ns0:c r="B555" s="26" t="n"/>
      <ns0:c r="C555" s="26" t="n"/>
      <ns0:c r="D555" s="26" t="n"/>
      <ns0:c r="E555" s="27" t="n"/>
      <ns0:c r="F555" s="28" t="str">
        <ns0:f>IF(A555="","",YEAR(A555)&amp;"-"&amp;RIGHT("0"&amp;MONTH(A555),2))</ns0:f>
        <ns0:v/>
      </ns0:c>
    </ns0:row>
    <ns0:row r="556" ht="21" customHeight="1">
      <ns0:c r="A556" s="25" t="n"/>
      <ns0:c r="B556" s="26" t="n"/>
      <ns0:c r="C556" s="26" t="n"/>
      <ns0:c r="D556" s="26" t="n"/>
      <ns0:c r="E556" s="27" t="n"/>
      <ns0:c r="F556" s="28" t="str">
        <ns0:f>IF(A556="","",YEAR(A556)&amp;"-"&amp;RIGHT("0"&amp;MONTH(A556),2))</ns0:f>
        <ns0:v/>
      </ns0:c>
    </ns0:row>
    <ns0:row r="557" ht="21" customHeight="1">
      <ns0:c r="A557" s="25" t="n"/>
      <ns0:c r="B557" s="26" t="n"/>
      <ns0:c r="C557" s="26" t="n"/>
      <ns0:c r="D557" s="26" t="n"/>
      <ns0:c r="E557" s="27" t="n"/>
      <ns0:c r="F557" s="28" t="str">
        <ns0:f>IF(A557="","",YEAR(A557)&amp;"-"&amp;RIGHT("0"&amp;MONTH(A557),2))</ns0:f>
        <ns0:v/>
      </ns0:c>
    </ns0:row>
    <ns0:row r="558" ht="21" customHeight="1">
      <ns0:c r="A558" s="25" t="n"/>
      <ns0:c r="B558" s="26" t="n"/>
      <ns0:c r="C558" s="26" t="n"/>
      <ns0:c r="D558" s="26" t="n"/>
      <ns0:c r="E558" s="27" t="n"/>
      <ns0:c r="F558" s="28" t="str">
        <ns0:f>IF(A558="","",YEAR(A558)&amp;"-"&amp;RIGHT("0"&amp;MONTH(A558),2))</ns0:f>
        <ns0:v/>
      </ns0:c>
    </ns0:row>
    <ns0:row r="559" ht="21" customHeight="1">
      <ns0:c r="A559" s="25" t="n"/>
      <ns0:c r="B559" s="26" t="n"/>
      <ns0:c r="C559" s="26" t="n"/>
      <ns0:c r="D559" s="26" t="n"/>
      <ns0:c r="E559" s="27" t="n"/>
      <ns0:c r="F559" s="28" t="str">
        <ns0:f>IF(A559="","",YEAR(A559)&amp;"-"&amp;RIGHT("0"&amp;MONTH(A559),2))</ns0:f>
        <ns0:v/>
      </ns0:c>
    </ns0:row>
    <ns0:row r="560" ht="21" customHeight="1">
      <ns0:c r="A560" s="25" t="n"/>
      <ns0:c r="B560" s="26" t="n"/>
      <ns0:c r="C560" s="26" t="n"/>
      <ns0:c r="D560" s="26" t="n"/>
      <ns0:c r="E560" s="27" t="n"/>
      <ns0:c r="F560" s="28" t="str">
        <ns0:f>IF(A560="","",YEAR(A560)&amp;"-"&amp;RIGHT("0"&amp;MONTH(A560),2))</ns0:f>
        <ns0:v/>
      </ns0:c>
    </ns0:row>
    <ns0:row r="561" ht="21" customHeight="1">
      <ns0:c r="A561" s="25" t="n"/>
      <ns0:c r="B561" s="26" t="n"/>
      <ns0:c r="C561" s="26" t="n"/>
      <ns0:c r="D561" s="26" t="n"/>
      <ns0:c r="E561" s="27" t="n"/>
      <ns0:c r="F561" s="28" t="str">
        <ns0:f>IF(A561="","",YEAR(A561)&amp;"-"&amp;RIGHT("0"&amp;MONTH(A561),2))</ns0:f>
        <ns0:v/>
      </ns0:c>
    </ns0:row>
    <ns0:row r="562" ht="21" customHeight="1">
      <ns0:c r="A562" s="25" t="n"/>
      <ns0:c r="B562" s="26" t="n"/>
      <ns0:c r="C562" s="26" t="n"/>
      <ns0:c r="D562" s="26" t="n"/>
      <ns0:c r="E562" s="27" t="n"/>
      <ns0:c r="F562" s="28" t="str">
        <ns0:f>IF(A562="","",YEAR(A562)&amp;"-"&amp;RIGHT("0"&amp;MONTH(A562),2))</ns0:f>
        <ns0:v/>
      </ns0:c>
    </ns0:row>
    <ns0:row r="563" ht="21" customHeight="1">
      <ns0:c r="A563" s="25" t="n"/>
      <ns0:c r="B563" s="26" t="n"/>
      <ns0:c r="C563" s="26" t="n"/>
      <ns0:c r="D563" s="26" t="n"/>
      <ns0:c r="E563" s="27" t="n"/>
      <ns0:c r="F563" s="28" t="str">
        <ns0:f>IF(A563="","",YEAR(A563)&amp;"-"&amp;RIGHT("0"&amp;MONTH(A563),2))</ns0:f>
        <ns0:v/>
      </ns0:c>
    </ns0:row>
    <ns0:row r="564" ht="21" customHeight="1">
      <ns0:c r="A564" s="25" t="n"/>
      <ns0:c r="B564" s="26" t="n"/>
      <ns0:c r="C564" s="26" t="n"/>
      <ns0:c r="D564" s="26" t="n"/>
      <ns0:c r="E564" s="27" t="n"/>
      <ns0:c r="F564" s="28" t="str">
        <ns0:f>IF(A564="","",YEAR(A564)&amp;"-"&amp;RIGHT("0"&amp;MONTH(A564),2))</ns0:f>
        <ns0:v/>
      </ns0:c>
    </ns0:row>
    <ns0:row r="565" ht="21" customHeight="1">
      <ns0:c r="A565" s="25" t="n"/>
      <ns0:c r="B565" s="26" t="n"/>
      <ns0:c r="C565" s="26" t="n"/>
      <ns0:c r="D565" s="26" t="n"/>
      <ns0:c r="E565" s="27" t="n"/>
      <ns0:c r="F565" s="28" t="str">
        <ns0:f>IF(A565="","",YEAR(A565)&amp;"-"&amp;RIGHT("0"&amp;MONTH(A565),2))</ns0:f>
        <ns0:v/>
      </ns0:c>
    </ns0:row>
    <ns0:row r="566" ht="21" customHeight="1">
      <ns0:c r="A566" s="25" t="n"/>
      <ns0:c r="B566" s="26" t="n"/>
      <ns0:c r="C566" s="26" t="n"/>
      <ns0:c r="D566" s="26" t="n"/>
      <ns0:c r="E566" s="27" t="n"/>
      <ns0:c r="F566" s="28" t="str">
        <ns0:f>IF(A566="","",YEAR(A566)&amp;"-"&amp;RIGHT("0"&amp;MONTH(A566),2))</ns0:f>
        <ns0:v/>
      </ns0:c>
    </ns0:row>
    <ns0:row r="567" ht="21" customHeight="1">
      <ns0:c r="A567" s="25" t="n"/>
      <ns0:c r="B567" s="26" t="n"/>
      <ns0:c r="C567" s="26" t="n"/>
      <ns0:c r="D567" s="26" t="n"/>
      <ns0:c r="E567" s="27" t="n"/>
      <ns0:c r="F567" s="28" t="str">
        <ns0:f>IF(A567="","",YEAR(A567)&amp;"-"&amp;RIGHT("0"&amp;MONTH(A567),2))</ns0:f>
        <ns0:v/>
      </ns0:c>
    </ns0:row>
    <ns0:row r="568" ht="21" customHeight="1">
      <ns0:c r="A568" s="25" t="n"/>
      <ns0:c r="B568" s="26" t="n"/>
      <ns0:c r="C568" s="26" t="n"/>
      <ns0:c r="D568" s="26" t="n"/>
      <ns0:c r="E568" s="27" t="n"/>
      <ns0:c r="F568" s="28" t="str">
        <ns0:f>IF(A568="","",YEAR(A568)&amp;"-"&amp;RIGHT("0"&amp;MONTH(A568),2))</ns0:f>
        <ns0:v/>
      </ns0:c>
    </ns0:row>
    <ns0:row r="569" ht="21" customHeight="1">
      <ns0:c r="A569" s="25" t="n"/>
      <ns0:c r="B569" s="26" t="n"/>
      <ns0:c r="C569" s="26" t="n"/>
      <ns0:c r="D569" s="26" t="n"/>
      <ns0:c r="E569" s="27" t="n"/>
      <ns0:c r="F569" s="28" t="str">
        <ns0:f>IF(A569="","",YEAR(A569)&amp;"-"&amp;RIGHT("0"&amp;MONTH(A569),2))</ns0:f>
        <ns0:v/>
      </ns0:c>
    </ns0:row>
    <ns0:row r="570" ht="21" customHeight="1">
      <ns0:c r="A570" s="25" t="n"/>
      <ns0:c r="B570" s="26" t="n"/>
      <ns0:c r="C570" s="26" t="n"/>
      <ns0:c r="D570" s="26" t="n"/>
      <ns0:c r="E570" s="27" t="n"/>
      <ns0:c r="F570" s="28" t="str">
        <ns0:f>IF(A570="","",YEAR(A570)&amp;"-"&amp;RIGHT("0"&amp;MONTH(A570),2))</ns0:f>
        <ns0:v/>
      </ns0:c>
    </ns0:row>
    <ns0:row r="571" ht="21" customHeight="1">
      <ns0:c r="A571" s="25" t="n"/>
      <ns0:c r="B571" s="26" t="n"/>
      <ns0:c r="C571" s="26" t="n"/>
      <ns0:c r="D571" s="26" t="n"/>
      <ns0:c r="E571" s="27" t="n"/>
      <ns0:c r="F571" s="28" t="str">
        <ns0:f>IF(A571="","",YEAR(A571)&amp;"-"&amp;RIGHT("0"&amp;MONTH(A571),2))</ns0:f>
        <ns0:v/>
      </ns0:c>
    </ns0:row>
    <ns0:row r="572" ht="21" customHeight="1">
      <ns0:c r="A572" s="25" t="n"/>
      <ns0:c r="B572" s="26" t="n"/>
      <ns0:c r="C572" s="26" t="n"/>
      <ns0:c r="D572" s="26" t="n"/>
      <ns0:c r="E572" s="27" t="n"/>
      <ns0:c r="F572" s="28" t="str">
        <ns0:f>IF(A572="","",YEAR(A572)&amp;"-"&amp;RIGHT("0"&amp;MONTH(A572),2))</ns0:f>
        <ns0:v/>
      </ns0:c>
    </ns0:row>
    <ns0:row r="573" ht="21" customHeight="1">
      <ns0:c r="A573" s="25" t="n"/>
      <ns0:c r="B573" s="26" t="n"/>
      <ns0:c r="C573" s="26" t="n"/>
      <ns0:c r="D573" s="26" t="n"/>
      <ns0:c r="E573" s="27" t="n"/>
      <ns0:c r="F573" s="28" t="str">
        <ns0:f>IF(A573="","",YEAR(A573)&amp;"-"&amp;RIGHT("0"&amp;MONTH(A573),2))</ns0:f>
        <ns0:v/>
      </ns0:c>
    </ns0:row>
    <ns0:row r="574" ht="21" customHeight="1">
      <ns0:c r="A574" s="25" t="n"/>
      <ns0:c r="B574" s="26" t="n"/>
      <ns0:c r="C574" s="26" t="n"/>
      <ns0:c r="D574" s="26" t="n"/>
      <ns0:c r="E574" s="27" t="n"/>
      <ns0:c r="F574" s="28" t="str">
        <ns0:f>IF(A574="","",YEAR(A574)&amp;"-"&amp;RIGHT("0"&amp;MONTH(A574),2))</ns0:f>
        <ns0:v/>
      </ns0:c>
    </ns0:row>
    <ns0:row r="575" ht="21" customHeight="1">
      <ns0:c r="A575" s="25" t="n"/>
      <ns0:c r="B575" s="26" t="n"/>
      <ns0:c r="C575" s="26" t="n"/>
      <ns0:c r="D575" s="26" t="n"/>
      <ns0:c r="E575" s="27" t="n"/>
      <ns0:c r="F575" s="28" t="str">
        <ns0:f>IF(A575="","",YEAR(A575)&amp;"-"&amp;RIGHT("0"&amp;MONTH(A575),2))</ns0:f>
        <ns0:v/>
      </ns0:c>
    </ns0:row>
    <ns0:row r="576" ht="21" customHeight="1">
      <ns0:c r="A576" s="25" t="n"/>
      <ns0:c r="B576" s="26" t="n"/>
      <ns0:c r="C576" s="26" t="n"/>
      <ns0:c r="D576" s="26" t="n"/>
      <ns0:c r="E576" s="27" t="n"/>
      <ns0:c r="F576" s="28" t="str">
        <ns0:f>IF(A576="","",YEAR(A576)&amp;"-"&amp;RIGHT("0"&amp;MONTH(A576),2))</ns0:f>
        <ns0:v/>
      </ns0:c>
    </ns0:row>
    <ns0:row r="577" ht="21" customHeight="1">
      <ns0:c r="A577" s="25" t="n"/>
      <ns0:c r="B577" s="26" t="n"/>
      <ns0:c r="C577" s="26" t="n"/>
      <ns0:c r="D577" s="26" t="n"/>
      <ns0:c r="E577" s="27" t="n"/>
      <ns0:c r="F577" s="28" t="str">
        <ns0:f>IF(A577="","",YEAR(A577)&amp;"-"&amp;RIGHT("0"&amp;MONTH(A577),2))</ns0:f>
        <ns0:v/>
      </ns0:c>
    </ns0:row>
    <ns0:row r="578" ht="21" customHeight="1">
      <ns0:c r="A578" s="25" t="n"/>
      <ns0:c r="B578" s="26" t="n"/>
      <ns0:c r="C578" s="26" t="n"/>
      <ns0:c r="D578" s="26" t="n"/>
      <ns0:c r="E578" s="27" t="n"/>
      <ns0:c r="F578" s="28" t="str">
        <ns0:f>IF(A578="","",YEAR(A578)&amp;"-"&amp;RIGHT("0"&amp;MONTH(A578),2))</ns0:f>
        <ns0:v/>
      </ns0:c>
    </ns0:row>
    <ns0:row r="579" ht="21" customHeight="1">
      <ns0:c r="A579" s="25" t="n"/>
      <ns0:c r="B579" s="26" t="n"/>
      <ns0:c r="C579" s="26" t="n"/>
      <ns0:c r="D579" s="26" t="n"/>
      <ns0:c r="E579" s="27" t="n"/>
      <ns0:c r="F579" s="28" t="str">
        <ns0:f>IF(A579="","",YEAR(A579)&amp;"-"&amp;RIGHT("0"&amp;MONTH(A579),2))</ns0:f>
        <ns0:v/>
      </ns0:c>
    </ns0:row>
    <ns0:row r="580" ht="21" customHeight="1">
      <ns0:c r="A580" s="25" t="n"/>
      <ns0:c r="B580" s="26" t="n"/>
      <ns0:c r="C580" s="26" t="n"/>
      <ns0:c r="D580" s="26" t="n"/>
      <ns0:c r="E580" s="27" t="n"/>
      <ns0:c r="F580" s="28" t="str">
        <ns0:f>IF(A580="","",YEAR(A580)&amp;"-"&amp;RIGHT("0"&amp;MONTH(A580),2))</ns0:f>
        <ns0:v/>
      </ns0:c>
    </ns0:row>
    <ns0:row r="581" ht="21" customHeight="1">
      <ns0:c r="A581" s="25" t="n"/>
      <ns0:c r="B581" s="26" t="n"/>
      <ns0:c r="C581" s="26" t="n"/>
      <ns0:c r="D581" s="26" t="n"/>
      <ns0:c r="E581" s="27" t="n"/>
      <ns0:c r="F581" s="28" t="str">
        <ns0:f>IF(A581="","",YEAR(A581)&amp;"-"&amp;RIGHT("0"&amp;MONTH(A581),2))</ns0:f>
        <ns0:v/>
      </ns0:c>
    </ns0:row>
    <ns0:row r="582" ht="21" customHeight="1">
      <ns0:c r="A582" s="25" t="n"/>
      <ns0:c r="B582" s="26" t="n"/>
      <ns0:c r="C582" s="26" t="n"/>
      <ns0:c r="D582" s="26" t="n"/>
      <ns0:c r="E582" s="27" t="n"/>
      <ns0:c r="F582" s="28" t="str">
        <ns0:f>IF(A582="","",YEAR(A582)&amp;"-"&amp;RIGHT("0"&amp;MONTH(A582),2))</ns0:f>
        <ns0:v/>
      </ns0:c>
    </ns0:row>
    <ns0:row r="583" ht="21" customHeight="1">
      <ns0:c r="A583" s="25" t="n"/>
      <ns0:c r="B583" s="26" t="n"/>
      <ns0:c r="C583" s="26" t="n"/>
      <ns0:c r="D583" s="26" t="n"/>
      <ns0:c r="E583" s="27" t="n"/>
      <ns0:c r="F583" s="28" t="str">
        <ns0:f>IF(A583="","",YEAR(A583)&amp;"-"&amp;RIGHT("0"&amp;MONTH(A583),2))</ns0:f>
        <ns0:v/>
      </ns0:c>
    </ns0:row>
    <ns0:row r="584" ht="21" customHeight="1">
      <ns0:c r="A584" s="25" t="n"/>
      <ns0:c r="B584" s="26" t="n"/>
      <ns0:c r="C584" s="26" t="n"/>
      <ns0:c r="D584" s="26" t="n"/>
      <ns0:c r="E584" s="27" t="n"/>
      <ns0:c r="F584" s="28" t="str">
        <ns0:f>IF(A584="","",YEAR(A584)&amp;"-"&amp;RIGHT("0"&amp;MONTH(A584),2))</ns0:f>
        <ns0:v/>
      </ns0:c>
    </ns0:row>
    <ns0:row r="585" ht="21" customHeight="1">
      <ns0:c r="A585" s="25" t="n"/>
      <ns0:c r="B585" s="26" t="n"/>
      <ns0:c r="C585" s="26" t="n"/>
      <ns0:c r="D585" s="26" t="n"/>
      <ns0:c r="E585" s="27" t="n"/>
      <ns0:c r="F585" s="28" t="str">
        <ns0:f>IF(A585="","",YEAR(A585)&amp;"-"&amp;RIGHT("0"&amp;MONTH(A585),2))</ns0:f>
        <ns0:v/>
      </ns0:c>
    </ns0:row>
    <ns0:row r="586" ht="21" customHeight="1">
      <ns0:c r="A586" s="25" t="n"/>
      <ns0:c r="B586" s="26" t="n"/>
      <ns0:c r="C586" s="26" t="n"/>
      <ns0:c r="D586" s="26" t="n"/>
      <ns0:c r="E586" s="27" t="n"/>
      <ns0:c r="F586" s="28" t="str">
        <ns0:f>IF(A586="","",YEAR(A586)&amp;"-"&amp;RIGHT("0"&amp;MONTH(A586),2))</ns0:f>
        <ns0:v/>
      </ns0:c>
    </ns0:row>
    <ns0:row r="587" ht="21" customHeight="1">
      <ns0:c r="A587" s="25" t="n"/>
      <ns0:c r="B587" s="26" t="n"/>
      <ns0:c r="C587" s="26" t="n"/>
      <ns0:c r="D587" s="26" t="n"/>
      <ns0:c r="E587" s="27" t="n"/>
      <ns0:c r="F587" s="28" t="str">
        <ns0:f>IF(A587="","",YEAR(A587)&amp;"-"&amp;RIGHT("0"&amp;MONTH(A587),2))</ns0:f>
        <ns0:v/>
      </ns0:c>
    </ns0:row>
    <ns0:row r="588" ht="21" customHeight="1">
      <ns0:c r="A588" s="25" t="n"/>
      <ns0:c r="B588" s="26" t="n"/>
      <ns0:c r="C588" s="26" t="n"/>
      <ns0:c r="D588" s="26" t="n"/>
      <ns0:c r="E588" s="27" t="n"/>
      <ns0:c r="F588" s="28" t="str">
        <ns0:f>IF(A588="","",YEAR(A588)&amp;"-"&amp;RIGHT("0"&amp;MONTH(A588),2))</ns0:f>
        <ns0:v/>
      </ns0:c>
    </ns0:row>
    <ns0:row r="589" ht="21" customHeight="1">
      <ns0:c r="A589" s="25" t="n"/>
      <ns0:c r="B589" s="26" t="n"/>
      <ns0:c r="C589" s="26" t="n"/>
      <ns0:c r="D589" s="26" t="n"/>
      <ns0:c r="E589" s="27" t="n"/>
      <ns0:c r="F589" s="28" t="str">
        <ns0:f>IF(A589="","",YEAR(A589)&amp;"-"&amp;RIGHT("0"&amp;MONTH(A589),2))</ns0:f>
        <ns0:v/>
      </ns0:c>
    </ns0:row>
    <ns0:row r="590" ht="21" customHeight="1">
      <ns0:c r="A590" s="25" t="n"/>
      <ns0:c r="B590" s="26" t="n"/>
      <ns0:c r="C590" s="26" t="n"/>
      <ns0:c r="D590" s="26" t="n"/>
      <ns0:c r="E590" s="27" t="n"/>
      <ns0:c r="F590" s="28" t="str">
        <ns0:f>IF(A590="","",YEAR(A590)&amp;"-"&amp;RIGHT("0"&amp;MONTH(A590),2))</ns0:f>
        <ns0:v/>
      </ns0:c>
    </ns0:row>
    <ns0:row r="591" ht="21" customHeight="1">
      <ns0:c r="A591" s="25" t="n"/>
      <ns0:c r="B591" s="26" t="n"/>
      <ns0:c r="C591" s="26" t="n"/>
      <ns0:c r="D591" s="26" t="n"/>
      <ns0:c r="E591" s="27" t="n"/>
      <ns0:c r="F591" s="28" t="str">
        <ns0:f>IF(A591="","",YEAR(A591)&amp;"-"&amp;RIGHT("0"&amp;MONTH(A591),2))</ns0:f>
        <ns0:v/>
      </ns0:c>
    </ns0:row>
    <ns0:row r="592" ht="21" customHeight="1">
      <ns0:c r="A592" s="25" t="n"/>
      <ns0:c r="B592" s="26" t="n"/>
      <ns0:c r="C592" s="26" t="n"/>
      <ns0:c r="D592" s="26" t="n"/>
      <ns0:c r="E592" s="27" t="n"/>
      <ns0:c r="F592" s="28" t="str">
        <ns0:f>IF(A592="","",YEAR(A592)&amp;"-"&amp;RIGHT("0"&amp;MONTH(A592),2))</ns0:f>
        <ns0:v/>
      </ns0:c>
    </ns0:row>
    <ns0:row r="593" ht="21" customHeight="1">
      <ns0:c r="A593" s="25" t="n"/>
      <ns0:c r="B593" s="26" t="n"/>
      <ns0:c r="C593" s="26" t="n"/>
      <ns0:c r="D593" s="26" t="n"/>
      <ns0:c r="E593" s="27" t="n"/>
      <ns0:c r="F593" s="28" t="str">
        <ns0:f>IF(A593="","",YEAR(A593)&amp;"-"&amp;RIGHT("0"&amp;MONTH(A593),2))</ns0:f>
        <ns0:v/>
      </ns0:c>
    </ns0:row>
    <ns0:row r="594" ht="21" customHeight="1">
      <ns0:c r="A594" s="25" t="n"/>
      <ns0:c r="B594" s="26" t="n"/>
      <ns0:c r="C594" s="26" t="n"/>
      <ns0:c r="D594" s="26" t="n"/>
      <ns0:c r="E594" s="27" t="n"/>
      <ns0:c r="F594" s="28" t="str">
        <ns0:f>IF(A594="","",YEAR(A594)&amp;"-"&amp;RIGHT("0"&amp;MONTH(A594),2))</ns0:f>
        <ns0:v/>
      </ns0:c>
    </ns0:row>
    <ns0:row r="595" ht="21" customHeight="1">
      <ns0:c r="A595" s="25" t="n"/>
      <ns0:c r="B595" s="26" t="n"/>
      <ns0:c r="C595" s="26" t="n"/>
      <ns0:c r="D595" s="26" t="n"/>
      <ns0:c r="E595" s="27" t="n"/>
      <ns0:c r="F595" s="28" t="str">
        <ns0:f>IF(A595="","",YEAR(A595)&amp;"-"&amp;RIGHT("0"&amp;MONTH(A595),2))</ns0:f>
        <ns0:v/>
      </ns0:c>
    </ns0:row>
    <ns0:row r="596" ht="21" customHeight="1">
      <ns0:c r="A596" s="25" t="n"/>
      <ns0:c r="B596" s="26" t="n"/>
      <ns0:c r="C596" s="26" t="n"/>
      <ns0:c r="D596" s="26" t="n"/>
      <ns0:c r="E596" s="27" t="n"/>
      <ns0:c r="F596" s="28" t="str">
        <ns0:f>IF(A596="","",YEAR(A596)&amp;"-"&amp;RIGHT("0"&amp;MONTH(A596),2))</ns0:f>
        <ns0:v/>
      </ns0:c>
    </ns0:row>
    <ns0:row r="597" ht="21" customHeight="1">
      <ns0:c r="A597" s="25" t="n"/>
      <ns0:c r="B597" s="26" t="n"/>
      <ns0:c r="C597" s="26" t="n"/>
      <ns0:c r="D597" s="26" t="n"/>
      <ns0:c r="E597" s="27" t="n"/>
      <ns0:c r="F597" s="28" t="str">
        <ns0:f>IF(A597="","",YEAR(A597)&amp;"-"&amp;RIGHT("0"&amp;MONTH(A597),2))</ns0:f>
        <ns0:v/>
      </ns0:c>
    </ns0:row>
    <ns0:row r="598" ht="21" customHeight="1">
      <ns0:c r="A598" s="25" t="n"/>
      <ns0:c r="B598" s="26" t="n"/>
      <ns0:c r="C598" s="26" t="n"/>
      <ns0:c r="D598" s="26" t="n"/>
      <ns0:c r="E598" s="27" t="n"/>
      <ns0:c r="F598" s="28" t="str">
        <ns0:f>IF(A598="","",YEAR(A598)&amp;"-"&amp;RIGHT("0"&amp;MONTH(A598),2))</ns0:f>
        <ns0:v/>
      </ns0:c>
    </ns0:row>
    <ns0:row r="599" ht="21" customHeight="1">
      <ns0:c r="A599" s="25" t="n"/>
      <ns0:c r="B599" s="26" t="n"/>
      <ns0:c r="C599" s="26" t="n"/>
      <ns0:c r="D599" s="26" t="n"/>
      <ns0:c r="E599" s="27" t="n"/>
      <ns0:c r="F599" s="28" t="str">
        <ns0:f>IF(A599="","",YEAR(A599)&amp;"-"&amp;RIGHT("0"&amp;MONTH(A599),2))</ns0:f>
        <ns0:v/>
      </ns0:c>
    </ns0:row>
    <ns0:row r="600" ht="21" customHeight="1">
      <ns0:c r="A600" s="25" t="n"/>
      <ns0:c r="B600" s="26" t="n"/>
      <ns0:c r="C600" s="26" t="n"/>
      <ns0:c r="D600" s="26" t="n"/>
      <ns0:c r="E600" s="27" t="n"/>
      <ns0:c r="F600" s="28" t="str">
        <ns0:f>IF(A600="","",YEAR(A600)&amp;"-"&amp;RIGHT("0"&amp;MONTH(A600),2))</ns0:f>
        <ns0:v/>
      </ns0:c>
    </ns0:row>
    <ns0:row r="601" ht="21" customHeight="1">
      <ns0:c r="A601" s="25" t="n"/>
      <ns0:c r="B601" s="26" t="n"/>
      <ns0:c r="C601" s="26" t="n"/>
      <ns0:c r="D601" s="26" t="n"/>
      <ns0:c r="E601" s="27" t="n"/>
      <ns0:c r="F601" s="28" t="str">
        <ns0:f>IF(A601="","",YEAR(A601)&amp;"-"&amp;RIGHT("0"&amp;MONTH(A601),2))</ns0:f>
        <ns0:v/>
      </ns0:c>
    </ns0:row>
    <ns0:row r="602" ht="21" customHeight="1">
      <ns0:c r="A602" s="25" t="n"/>
      <ns0:c r="B602" s="26" t="n"/>
      <ns0:c r="C602" s="26" t="n"/>
      <ns0:c r="D602" s="26" t="n"/>
      <ns0:c r="E602" s="27" t="n"/>
      <ns0:c r="F602" s="28" t="str">
        <ns0:f>IF(A602="","",YEAR(A602)&amp;"-"&amp;RIGHT("0"&amp;MONTH(A602),2))</ns0:f>
        <ns0:v/>
      </ns0:c>
    </ns0:row>
    <ns0:row r="603" ht="21" customHeight="1">
      <ns0:c r="A603" s="25" t="n"/>
      <ns0:c r="B603" s="26" t="n"/>
      <ns0:c r="C603" s="26" t="n"/>
      <ns0:c r="D603" s="26" t="n"/>
      <ns0:c r="E603" s="27" t="n"/>
      <ns0:c r="F603" s="28" t="str">
        <ns0:f>IF(A603="","",YEAR(A603)&amp;"-"&amp;RIGHT("0"&amp;MONTH(A603),2))</ns0:f>
        <ns0:v/>
      </ns0:c>
    </ns0:row>
    <ns0:row r="604" ht="21" customHeight="1">
      <ns0:c r="A604" s="25" t="n"/>
      <ns0:c r="B604" s="26" t="n"/>
      <ns0:c r="C604" s="26" t="n"/>
      <ns0:c r="D604" s="26" t="n"/>
      <ns0:c r="E604" s="27" t="n"/>
      <ns0:c r="F604" s="28" t="str">
        <ns0:f>IF(A604="","",YEAR(A604)&amp;"-"&amp;RIGHT("0"&amp;MONTH(A604),2))</ns0:f>
        <ns0:v/>
      </ns0:c>
    </ns0:row>
    <ns0:row r="605" ht="21" customHeight="1">
      <ns0:c r="A605" s="25" t="n"/>
      <ns0:c r="B605" s="26" t="n"/>
      <ns0:c r="C605" s="26" t="n"/>
      <ns0:c r="D605" s="26" t="n"/>
      <ns0:c r="E605" s="27" t="n"/>
      <ns0:c r="F605" s="28" t="str">
        <ns0:f>IF(A605="","",YEAR(A605)&amp;"-"&amp;RIGHT("0"&amp;MONTH(A605),2))</ns0:f>
        <ns0:v/>
      </ns0:c>
    </ns0:row>
    <ns0:row r="606" ht="21" customHeight="1">
      <ns0:c r="A606" s="25" t="n"/>
      <ns0:c r="B606" s="26" t="n"/>
      <ns0:c r="C606" s="26" t="n"/>
      <ns0:c r="D606" s="26" t="n"/>
      <ns0:c r="E606" s="27" t="n"/>
      <ns0:c r="F606" s="28" t="str">
        <ns0:f>IF(A606="","",YEAR(A606)&amp;"-"&amp;RIGHT("0"&amp;MONTH(A606),2))</ns0:f>
        <ns0:v/>
      </ns0:c>
    </ns0:row>
    <ns0:row r="607" ht="21" customHeight="1">
      <ns0:c r="A607" s="25" t="n"/>
      <ns0:c r="B607" s="26" t="n"/>
      <ns0:c r="C607" s="26" t="n"/>
      <ns0:c r="D607" s="26" t="n"/>
      <ns0:c r="E607" s="27" t="n"/>
      <ns0:c r="F607" s="28" t="str">
        <ns0:f>IF(A607="","",YEAR(A607)&amp;"-"&amp;RIGHT("0"&amp;MONTH(A607),2))</ns0:f>
        <ns0:v/>
      </ns0:c>
    </ns0:row>
    <ns0:row r="608" ht="21" customHeight="1">
      <ns0:c r="A608" s="25" t="n"/>
      <ns0:c r="B608" s="26" t="n"/>
      <ns0:c r="C608" s="26" t="n"/>
      <ns0:c r="D608" s="26" t="n"/>
      <ns0:c r="E608" s="27" t="n"/>
      <ns0:c r="F608" s="28" t="str">
        <ns0:f>IF(A608="","",YEAR(A608)&amp;"-"&amp;RIGHT("0"&amp;MONTH(A608),2))</ns0:f>
        <ns0:v/>
      </ns0:c>
    </ns0:row>
    <ns0:row r="609" ht="21" customHeight="1">
      <ns0:c r="A609" s="25" t="n"/>
      <ns0:c r="B609" s="26" t="n"/>
      <ns0:c r="C609" s="26" t="n"/>
      <ns0:c r="D609" s="26" t="n"/>
      <ns0:c r="E609" s="27" t="n"/>
      <ns0:c r="F609" s="28" t="str">
        <ns0:f>IF(A609="","",YEAR(A609)&amp;"-"&amp;RIGHT("0"&amp;MONTH(A609),2))</ns0:f>
        <ns0:v/>
      </ns0:c>
    </ns0:row>
    <ns0:row r="610" ht="21" customHeight="1">
      <ns0:c r="A610" s="25" t="n"/>
      <ns0:c r="B610" s="26" t="n"/>
      <ns0:c r="C610" s="26" t="n"/>
      <ns0:c r="D610" s="26" t="n"/>
      <ns0:c r="E610" s="27" t="n"/>
      <ns0:c r="F610" s="28" t="str">
        <ns0:f>IF(A610="","",YEAR(A610)&amp;"-"&amp;RIGHT("0"&amp;MONTH(A610),2))</ns0:f>
        <ns0:v/>
      </ns0:c>
    </ns0:row>
    <ns0:row r="611" ht="21" customHeight="1">
      <ns0:c r="A611" s="25" t="n"/>
      <ns0:c r="B611" s="26" t="n"/>
      <ns0:c r="C611" s="26" t="n"/>
      <ns0:c r="D611" s="26" t="n"/>
      <ns0:c r="E611" s="27" t="n"/>
      <ns0:c r="F611" s="28" t="str">
        <ns0:f>IF(A611="","",YEAR(A611)&amp;"-"&amp;RIGHT("0"&amp;MONTH(A611),2))</ns0:f>
        <ns0:v/>
      </ns0:c>
    </ns0:row>
    <ns0:row r="612" ht="21" customHeight="1">
      <ns0:c r="A612" s="25" t="n"/>
      <ns0:c r="B612" s="26" t="n"/>
      <ns0:c r="C612" s="26" t="n"/>
      <ns0:c r="D612" s="26" t="n"/>
      <ns0:c r="E612" s="27" t="n"/>
      <ns0:c r="F612" s="28" t="str">
        <ns0:f>IF(A612="","",YEAR(A612)&amp;"-"&amp;RIGHT("0"&amp;MONTH(A612),2))</ns0:f>
        <ns0:v/>
      </ns0:c>
    </ns0:row>
    <ns0:row r="613" ht="21" customHeight="1">
      <ns0:c r="A613" s="25" t="n"/>
      <ns0:c r="B613" s="26" t="n"/>
      <ns0:c r="C613" s="26" t="n"/>
      <ns0:c r="D613" s="26" t="n"/>
      <ns0:c r="E613" s="27" t="n"/>
      <ns0:c r="F613" s="28" t="str">
        <ns0:f>IF(A613="","",YEAR(A613)&amp;"-"&amp;RIGHT("0"&amp;MONTH(A613),2))</ns0:f>
        <ns0:v/>
      </ns0:c>
    </ns0:row>
    <ns0:row r="614" ht="21" customHeight="1">
      <ns0:c r="A614" s="25" t="n"/>
      <ns0:c r="B614" s="26" t="n"/>
      <ns0:c r="C614" s="26" t="n"/>
      <ns0:c r="D614" s="26" t="n"/>
      <ns0:c r="E614" s="27" t="n"/>
      <ns0:c r="F614" s="28" t="str">
        <ns0:f>IF(A614="","",YEAR(A614)&amp;"-"&amp;RIGHT("0"&amp;MONTH(A614),2))</ns0:f>
        <ns0:v/>
      </ns0:c>
    </ns0:row>
    <ns0:row r="615" ht="21" customHeight="1">
      <ns0:c r="A615" s="25" t="n"/>
      <ns0:c r="B615" s="26" t="n"/>
      <ns0:c r="C615" s="26" t="n"/>
      <ns0:c r="D615" s="26" t="n"/>
      <ns0:c r="E615" s="27" t="n"/>
      <ns0:c r="F615" s="28" t="str">
        <ns0:f>IF(A615="","",YEAR(A615)&amp;"-"&amp;RIGHT("0"&amp;MONTH(A615),2))</ns0:f>
        <ns0:v/>
      </ns0:c>
    </ns0:row>
    <ns0:row r="616" ht="21" customHeight="1">
      <ns0:c r="A616" s="25" t="n"/>
      <ns0:c r="B616" s="26" t="n"/>
      <ns0:c r="C616" s="26" t="n"/>
      <ns0:c r="D616" s="26" t="n"/>
      <ns0:c r="E616" s="27" t="n"/>
      <ns0:c r="F616" s="28" t="str">
        <ns0:f>IF(A616="","",YEAR(A616)&amp;"-"&amp;RIGHT("0"&amp;MONTH(A616),2))</ns0:f>
        <ns0:v/>
      </ns0:c>
    </ns0:row>
    <ns0:row r="617" ht="21" customHeight="1">
      <ns0:c r="A617" s="25" t="n"/>
      <ns0:c r="B617" s="26" t="n"/>
      <ns0:c r="C617" s="26" t="n"/>
      <ns0:c r="D617" s="26" t="n"/>
      <ns0:c r="E617" s="27" t="n"/>
      <ns0:c r="F617" s="28" t="str">
        <ns0:f>IF(A617="","",YEAR(A617)&amp;"-"&amp;RIGHT("0"&amp;MONTH(A617),2))</ns0:f>
        <ns0:v/>
      </ns0:c>
    </ns0:row>
    <ns0:row r="618" ht="21" customHeight="1">
      <ns0:c r="A618" s="25" t="n"/>
      <ns0:c r="B618" s="26" t="n"/>
      <ns0:c r="C618" s="26" t="n"/>
      <ns0:c r="D618" s="26" t="n"/>
      <ns0:c r="E618" s="27" t="n"/>
      <ns0:c r="F618" s="28" t="str">
        <ns0:f>IF(A618="","",YEAR(A618)&amp;"-"&amp;RIGHT("0"&amp;MONTH(A618),2))</ns0:f>
        <ns0:v/>
      </ns0:c>
    </ns0:row>
    <ns0:row r="619" ht="21" customHeight="1">
      <ns0:c r="A619" s="25" t="n"/>
      <ns0:c r="B619" s="26" t="n"/>
      <ns0:c r="C619" s="26" t="n"/>
      <ns0:c r="D619" s="26" t="n"/>
      <ns0:c r="E619" s="27" t="n"/>
      <ns0:c r="F619" s="28" t="str">
        <ns0:f>IF(A619="","",YEAR(A619)&amp;"-"&amp;RIGHT("0"&amp;MONTH(A619),2))</ns0:f>
        <ns0:v/>
      </ns0:c>
    </ns0:row>
    <ns0:row r="620" ht="21" customHeight="1">
      <ns0:c r="A620" s="25" t="n"/>
      <ns0:c r="B620" s="26" t="n"/>
      <ns0:c r="C620" s="26" t="n"/>
      <ns0:c r="D620" s="26" t="n"/>
      <ns0:c r="E620" s="27" t="n"/>
      <ns0:c r="F620" s="28" t="str">
        <ns0:f>IF(A620="","",YEAR(A620)&amp;"-"&amp;RIGHT("0"&amp;MONTH(A620),2))</ns0:f>
        <ns0:v/>
      </ns0:c>
    </ns0:row>
    <ns0:row r="621" ht="21" customHeight="1">
      <ns0:c r="A621" s="25" t="n"/>
      <ns0:c r="B621" s="26" t="n"/>
      <ns0:c r="C621" s="26" t="n"/>
      <ns0:c r="D621" s="26" t="n"/>
      <ns0:c r="E621" s="27" t="n"/>
      <ns0:c r="F621" s="28" t="str">
        <ns0:f>IF(A621="","",YEAR(A621)&amp;"-"&amp;RIGHT("0"&amp;MONTH(A621),2))</ns0:f>
        <ns0:v/>
      </ns0:c>
    </ns0:row>
    <ns0:row r="622" ht="21" customHeight="1">
      <ns0:c r="A622" s="25" t="n"/>
      <ns0:c r="B622" s="26" t="n"/>
      <ns0:c r="C622" s="26" t="n"/>
      <ns0:c r="D622" s="26" t="n"/>
      <ns0:c r="E622" s="27" t="n"/>
      <ns0:c r="F622" s="28" t="str">
        <ns0:f>IF(A622="","",YEAR(A622)&amp;"-"&amp;RIGHT("0"&amp;MONTH(A622),2))</ns0:f>
        <ns0:v/>
      </ns0:c>
    </ns0:row>
    <ns0:row r="623" ht="21" customHeight="1">
      <ns0:c r="A623" s="25" t="n"/>
      <ns0:c r="B623" s="26" t="n"/>
      <ns0:c r="C623" s="26" t="n"/>
      <ns0:c r="D623" s="26" t="n"/>
      <ns0:c r="E623" s="27" t="n"/>
      <ns0:c r="F623" s="28" t="str">
        <ns0:f>IF(A623="","",YEAR(A623)&amp;"-"&amp;RIGHT("0"&amp;MONTH(A623),2))</ns0:f>
        <ns0:v/>
      </ns0:c>
    </ns0:row>
    <ns0:row r="624" ht="21" customHeight="1">
      <ns0:c r="A624" s="25" t="n"/>
      <ns0:c r="B624" s="26" t="n"/>
      <ns0:c r="C624" s="26" t="n"/>
      <ns0:c r="D624" s="26" t="n"/>
      <ns0:c r="E624" s="27" t="n"/>
      <ns0:c r="F624" s="28" t="str">
        <ns0:f>IF(A624="","",YEAR(A624)&amp;"-"&amp;RIGHT("0"&amp;MONTH(A624),2))</ns0:f>
        <ns0:v/>
      </ns0:c>
    </ns0:row>
    <ns0:row r="625" ht="21" customHeight="1">
      <ns0:c r="A625" s="25" t="n"/>
      <ns0:c r="B625" s="26" t="n"/>
      <ns0:c r="C625" s="26" t="n"/>
      <ns0:c r="D625" s="26" t="n"/>
      <ns0:c r="E625" s="27" t="n"/>
      <ns0:c r="F625" s="28" t="str">
        <ns0:f>IF(A625="","",YEAR(A625)&amp;"-"&amp;RIGHT("0"&amp;MONTH(A625),2))</ns0:f>
        <ns0:v/>
      </ns0:c>
    </ns0:row>
    <ns0:row r="626" ht="21" customHeight="1">
      <ns0:c r="A626" s="25" t="n"/>
      <ns0:c r="B626" s="26" t="n"/>
      <ns0:c r="C626" s="26" t="n"/>
      <ns0:c r="D626" s="26" t="n"/>
      <ns0:c r="E626" s="27" t="n"/>
      <ns0:c r="F626" s="28" t="str">
        <ns0:f>IF(A626="","",YEAR(A626)&amp;"-"&amp;RIGHT("0"&amp;MONTH(A626),2))</ns0:f>
        <ns0:v/>
      </ns0:c>
    </ns0:row>
    <ns0:row r="627" ht="21" customHeight="1">
      <ns0:c r="A627" s="25" t="n"/>
      <ns0:c r="B627" s="26" t="n"/>
      <ns0:c r="C627" s="26" t="n"/>
      <ns0:c r="D627" s="26" t="n"/>
      <ns0:c r="E627" s="27" t="n"/>
      <ns0:c r="F627" s="28" t="str">
        <ns0:f>IF(A627="","",YEAR(A627)&amp;"-"&amp;RIGHT("0"&amp;MONTH(A627),2))</ns0:f>
        <ns0:v/>
      </ns0:c>
    </ns0:row>
    <ns0:row r="628" ht="21" customHeight="1">
      <ns0:c r="A628" s="25" t="n"/>
      <ns0:c r="B628" s="26" t="n"/>
      <ns0:c r="C628" s="26" t="n"/>
      <ns0:c r="D628" s="26" t="n"/>
      <ns0:c r="E628" s="27" t="n"/>
      <ns0:c r="F628" s="28" t="str">
        <ns0:f>IF(A628="","",YEAR(A628)&amp;"-"&amp;RIGHT("0"&amp;MONTH(A628),2))</ns0:f>
        <ns0:v/>
      </ns0:c>
    </ns0:row>
    <ns0:row r="629" ht="21" customHeight="1">
      <ns0:c r="A629" s="25" t="n"/>
      <ns0:c r="B629" s="26" t="n"/>
      <ns0:c r="C629" s="26" t="n"/>
      <ns0:c r="D629" s="26" t="n"/>
      <ns0:c r="E629" s="27" t="n"/>
      <ns0:c r="F629" s="28" t="str">
        <ns0:f>IF(A629="","",YEAR(A629)&amp;"-"&amp;RIGHT("0"&amp;MONTH(A629),2))</ns0:f>
        <ns0:v/>
      </ns0:c>
    </ns0:row>
    <ns0:row r="630" ht="21" customHeight="1">
      <ns0:c r="A630" s="25" t="n"/>
      <ns0:c r="B630" s="26" t="n"/>
      <ns0:c r="C630" s="26" t="n"/>
      <ns0:c r="D630" s="26" t="n"/>
      <ns0:c r="E630" s="27" t="n"/>
      <ns0:c r="F630" s="28" t="str">
        <ns0:f>IF(A630="","",YEAR(A630)&amp;"-"&amp;RIGHT("0"&amp;MONTH(A630),2))</ns0:f>
        <ns0:v/>
      </ns0:c>
    </ns0:row>
    <ns0:row r="631" ht="21" customHeight="1">
      <ns0:c r="A631" s="25" t="n"/>
      <ns0:c r="B631" s="26" t="n"/>
      <ns0:c r="C631" s="26" t="n"/>
      <ns0:c r="D631" s="26" t="n"/>
      <ns0:c r="E631" s="27" t="n"/>
      <ns0:c r="F631" s="28" t="str">
        <ns0:f>IF(A631="","",YEAR(A631)&amp;"-"&amp;RIGHT("0"&amp;MONTH(A631),2))</ns0:f>
        <ns0:v/>
      </ns0:c>
    </ns0:row>
    <ns0:row r="632" ht="21" customHeight="1">
      <ns0:c r="A632" s="25" t="n"/>
      <ns0:c r="B632" s="26" t="n"/>
      <ns0:c r="C632" s="26" t="n"/>
      <ns0:c r="D632" s="26" t="n"/>
      <ns0:c r="E632" s="27" t="n"/>
      <ns0:c r="F632" s="28" t="str">
        <ns0:f>IF(A632="","",YEAR(A632)&amp;"-"&amp;RIGHT("0"&amp;MONTH(A632),2))</ns0:f>
        <ns0:v/>
      </ns0:c>
    </ns0:row>
    <ns0:row r="633" ht="21" customHeight="1">
      <ns0:c r="A633" s="25" t="n"/>
      <ns0:c r="B633" s="26" t="n"/>
      <ns0:c r="C633" s="26" t="n"/>
      <ns0:c r="D633" s="26" t="n"/>
      <ns0:c r="E633" s="27" t="n"/>
      <ns0:c r="F633" s="28" t="str">
        <ns0:f>IF(A633="","",YEAR(A633)&amp;"-"&amp;RIGHT("0"&amp;MONTH(A633),2))</ns0:f>
        <ns0:v/>
      </ns0:c>
    </ns0:row>
    <ns0:row r="634" ht="21" customHeight="1">
      <ns0:c r="A634" s="25" t="n"/>
      <ns0:c r="B634" s="26" t="n"/>
      <ns0:c r="C634" s="26" t="n"/>
      <ns0:c r="D634" s="26" t="n"/>
      <ns0:c r="E634" s="27" t="n"/>
      <ns0:c r="F634" s="28" t="str">
        <ns0:f>IF(A634="","",YEAR(A634)&amp;"-"&amp;RIGHT("0"&amp;MONTH(A634),2))</ns0:f>
        <ns0:v/>
      </ns0:c>
    </ns0:row>
    <ns0:row r="635" ht="21" customHeight="1">
      <ns0:c r="A635" s="25" t="n"/>
      <ns0:c r="B635" s="26" t="n"/>
      <ns0:c r="C635" s="26" t="n"/>
      <ns0:c r="D635" s="26" t="n"/>
      <ns0:c r="E635" s="27" t="n"/>
      <ns0:c r="F635" s="28" t="str">
        <ns0:f>IF(A635="","",YEAR(A635)&amp;"-"&amp;RIGHT("0"&amp;MONTH(A635),2))</ns0:f>
        <ns0:v/>
      </ns0:c>
    </ns0:row>
    <ns0:row r="636" ht="21" customHeight="1">
      <ns0:c r="A636" s="25" t="n"/>
      <ns0:c r="B636" s="26" t="n"/>
      <ns0:c r="C636" s="26" t="n"/>
      <ns0:c r="D636" s="26" t="n"/>
      <ns0:c r="E636" s="27" t="n"/>
      <ns0:c r="F636" s="28" t="str">
        <ns0:f>IF(A636="","",YEAR(A636)&amp;"-"&amp;RIGHT("0"&amp;MONTH(A636),2))</ns0:f>
        <ns0:v/>
      </ns0:c>
    </ns0:row>
    <ns0:row r="637" ht="21" customHeight="1">
      <ns0:c r="A637" s="25" t="n"/>
      <ns0:c r="B637" s="26" t="n"/>
      <ns0:c r="C637" s="26" t="n"/>
      <ns0:c r="D637" s="26" t="n"/>
      <ns0:c r="E637" s="27" t="n"/>
      <ns0:c r="F637" s="28" t="str">
        <ns0:f>IF(A637="","",YEAR(A637)&amp;"-"&amp;RIGHT("0"&amp;MONTH(A637),2))</ns0:f>
        <ns0:v/>
      </ns0:c>
    </ns0:row>
    <ns0:row r="638" ht="21" customHeight="1">
      <ns0:c r="A638" s="25" t="n"/>
      <ns0:c r="B638" s="26" t="n"/>
      <ns0:c r="C638" s="26" t="n"/>
      <ns0:c r="D638" s="26" t="n"/>
      <ns0:c r="E638" s="27" t="n"/>
      <ns0:c r="F638" s="28" t="str">
        <ns0:f>IF(A638="","",YEAR(A638)&amp;"-"&amp;RIGHT("0"&amp;MONTH(A638),2))</ns0:f>
        <ns0:v/>
      </ns0:c>
    </ns0:row>
    <ns0:row r="639" ht="21" customHeight="1">
      <ns0:c r="A639" s="25" t="n"/>
      <ns0:c r="B639" s="26" t="n"/>
      <ns0:c r="C639" s="26" t="n"/>
      <ns0:c r="D639" s="26" t="n"/>
      <ns0:c r="E639" s="27" t="n"/>
      <ns0:c r="F639" s="28" t="str">
        <ns0:f>IF(A639="","",YEAR(A639)&amp;"-"&amp;RIGHT("0"&amp;MONTH(A639),2))</ns0:f>
        <ns0:v/>
      </ns0:c>
    </ns0:row>
    <ns0:row r="640" ht="21" customHeight="1">
      <ns0:c r="A640" s="25" t="n"/>
      <ns0:c r="B640" s="26" t="n"/>
      <ns0:c r="C640" s="26" t="n"/>
      <ns0:c r="D640" s="26" t="n"/>
      <ns0:c r="E640" s="27" t="n"/>
      <ns0:c r="F640" s="28" t="str">
        <ns0:f>IF(A640="","",YEAR(A640)&amp;"-"&amp;RIGHT("0"&amp;MONTH(A640),2))</ns0:f>
        <ns0:v/>
      </ns0:c>
    </ns0:row>
    <ns0:row r="641" ht="21" customHeight="1">
      <ns0:c r="A641" s="25" t="n"/>
      <ns0:c r="B641" s="26" t="n"/>
      <ns0:c r="C641" s="26" t="n"/>
      <ns0:c r="D641" s="26" t="n"/>
      <ns0:c r="E641" s="27" t="n"/>
      <ns0:c r="F641" s="28" t="str">
        <ns0:f>IF(A641="","",YEAR(A641)&amp;"-"&amp;RIGHT("0"&amp;MONTH(A641),2))</ns0:f>
        <ns0:v/>
      </ns0:c>
    </ns0:row>
    <ns0:row r="642" ht="21" customHeight="1">
      <ns0:c r="A642" s="25" t="n"/>
      <ns0:c r="B642" s="26" t="n"/>
      <ns0:c r="C642" s="26" t="n"/>
      <ns0:c r="D642" s="26" t="n"/>
      <ns0:c r="E642" s="27" t="n"/>
      <ns0:c r="F642" s="28" t="str">
        <ns0:f>IF(A642="","",YEAR(A642)&amp;"-"&amp;RIGHT("0"&amp;MONTH(A642),2))</ns0:f>
        <ns0:v/>
      </ns0:c>
    </ns0:row>
    <ns0:row r="643" ht="21" customHeight="1">
      <ns0:c r="A643" s="25" t="n"/>
      <ns0:c r="B643" s="26" t="n"/>
      <ns0:c r="C643" s="26" t="n"/>
      <ns0:c r="D643" s="26" t="n"/>
      <ns0:c r="E643" s="27" t="n"/>
      <ns0:c r="F643" s="28" t="str">
        <ns0:f>IF(A643="","",YEAR(A643)&amp;"-"&amp;RIGHT("0"&amp;MONTH(A643),2))</ns0:f>
        <ns0:v/>
      </ns0:c>
    </ns0:row>
    <ns0:row r="644" ht="21" customHeight="1">
      <ns0:c r="A644" s="25" t="n"/>
      <ns0:c r="B644" s="26" t="n"/>
      <ns0:c r="C644" s="26" t="n"/>
      <ns0:c r="D644" s="26" t="n"/>
      <ns0:c r="E644" s="27" t="n"/>
      <ns0:c r="F644" s="28" t="str">
        <ns0:f>IF(A644="","",YEAR(A644)&amp;"-"&amp;RIGHT("0"&amp;MONTH(A644),2))</ns0:f>
        <ns0:v/>
      </ns0:c>
    </ns0:row>
    <ns0:row r="645" ht="21" customHeight="1">
      <ns0:c r="A645" s="25" t="n"/>
      <ns0:c r="B645" s="26" t="n"/>
      <ns0:c r="C645" s="26" t="n"/>
      <ns0:c r="D645" s="26" t="n"/>
      <ns0:c r="E645" s="27" t="n"/>
      <ns0:c r="F645" s="28" t="str">
        <ns0:f>IF(A645="","",YEAR(A645)&amp;"-"&amp;RIGHT("0"&amp;MONTH(A645),2))</ns0:f>
        <ns0:v/>
      </ns0:c>
    </ns0:row>
    <ns0:row r="646" ht="21" customHeight="1">
      <ns0:c r="A646" s="25" t="n"/>
      <ns0:c r="B646" s="26" t="n"/>
      <ns0:c r="C646" s="26" t="n"/>
      <ns0:c r="D646" s="26" t="n"/>
      <ns0:c r="E646" s="27" t="n"/>
      <ns0:c r="F646" s="28" t="str">
        <ns0:f>IF(A646="","",YEAR(A646)&amp;"-"&amp;RIGHT("0"&amp;MONTH(A646),2))</ns0:f>
        <ns0:v/>
      </ns0:c>
    </ns0:row>
    <ns0:row r="647" ht="21" customHeight="1">
      <ns0:c r="A647" s="25" t="n"/>
      <ns0:c r="B647" s="26" t="n"/>
      <ns0:c r="C647" s="26" t="n"/>
      <ns0:c r="D647" s="26" t="n"/>
      <ns0:c r="E647" s="27" t="n"/>
      <ns0:c r="F647" s="28" t="str">
        <ns0:f>IF(A647="","",YEAR(A647)&amp;"-"&amp;RIGHT("0"&amp;MONTH(A647),2))</ns0:f>
        <ns0:v/>
      </ns0:c>
    </ns0:row>
    <ns0:row r="648" ht="21" customHeight="1">
      <ns0:c r="A648" s="25" t="n"/>
      <ns0:c r="B648" s="26" t="n"/>
      <ns0:c r="C648" s="26" t="n"/>
      <ns0:c r="D648" s="26" t="n"/>
      <ns0:c r="E648" s="27" t="n"/>
      <ns0:c r="F648" s="28" t="str">
        <ns0:f>IF(A648="","",YEAR(A648)&amp;"-"&amp;RIGHT("0"&amp;MONTH(A648),2))</ns0:f>
        <ns0:v/>
      </ns0:c>
    </ns0:row>
    <ns0:row r="649" ht="21" customHeight="1">
      <ns0:c r="A649" s="25" t="n"/>
      <ns0:c r="B649" s="26" t="n"/>
      <ns0:c r="C649" s="26" t="n"/>
      <ns0:c r="D649" s="26" t="n"/>
      <ns0:c r="E649" s="27" t="n"/>
      <ns0:c r="F649" s="28" t="str">
        <ns0:f>IF(A649="","",YEAR(A649)&amp;"-"&amp;RIGHT("0"&amp;MONTH(A649),2))</ns0:f>
        <ns0:v/>
      </ns0:c>
    </ns0:row>
    <ns0:row r="650" ht="21" customHeight="1">
      <ns0:c r="A650" s="25" t="n"/>
      <ns0:c r="B650" s="26" t="n"/>
      <ns0:c r="C650" s="26" t="n"/>
      <ns0:c r="D650" s="26" t="n"/>
      <ns0:c r="E650" s="27" t="n"/>
      <ns0:c r="F650" s="28" t="str">
        <ns0:f>IF(A650="","",YEAR(A650)&amp;"-"&amp;RIGHT("0"&amp;MONTH(A650),2))</ns0:f>
        <ns0:v/>
      </ns0:c>
    </ns0:row>
    <ns0:row r="651" ht="21" customHeight="1">
      <ns0:c r="A651" s="25" t="n"/>
      <ns0:c r="B651" s="26" t="n"/>
      <ns0:c r="C651" s="26" t="n"/>
      <ns0:c r="D651" s="26" t="n"/>
      <ns0:c r="E651" s="27" t="n"/>
      <ns0:c r="F651" s="28" t="str">
        <ns0:f>IF(A651="","",YEAR(A651)&amp;"-"&amp;RIGHT("0"&amp;MONTH(A651),2))</ns0:f>
        <ns0:v/>
      </ns0:c>
    </ns0:row>
    <ns0:row r="652" ht="21" customHeight="1">
      <ns0:c r="A652" s="25" t="n"/>
      <ns0:c r="B652" s="26" t="n"/>
      <ns0:c r="C652" s="26" t="n"/>
      <ns0:c r="D652" s="26" t="n"/>
      <ns0:c r="E652" s="27" t="n"/>
      <ns0:c r="F652" s="28" t="str">
        <ns0:f>IF(A652="","",YEAR(A652)&amp;"-"&amp;RIGHT("0"&amp;MONTH(A652),2))</ns0:f>
        <ns0:v/>
      </ns0:c>
    </ns0:row>
    <ns0:row r="653" ht="21" customHeight="1">
      <ns0:c r="A653" s="25" t="n"/>
      <ns0:c r="B653" s="26" t="n"/>
      <ns0:c r="C653" s="26" t="n"/>
      <ns0:c r="D653" s="26" t="n"/>
      <ns0:c r="E653" s="27" t="n"/>
      <ns0:c r="F653" s="28" t="str">
        <ns0:f>IF(A653="","",YEAR(A653)&amp;"-"&amp;RIGHT("0"&amp;MONTH(A653),2))</ns0:f>
        <ns0:v/>
      </ns0:c>
    </ns0:row>
    <ns0:row r="654" ht="21" customHeight="1">
      <ns0:c r="A654" s="25" t="n"/>
      <ns0:c r="B654" s="26" t="n"/>
      <ns0:c r="C654" s="26" t="n"/>
      <ns0:c r="D654" s="26" t="n"/>
      <ns0:c r="E654" s="27" t="n"/>
      <ns0:c r="F654" s="28" t="str">
        <ns0:f>IF(A654="","",YEAR(A654)&amp;"-"&amp;RIGHT("0"&amp;MONTH(A654),2))</ns0:f>
        <ns0:v/>
      </ns0:c>
    </ns0:row>
    <ns0:row r="655" ht="21" customHeight="1">
      <ns0:c r="A655" s="25" t="n"/>
      <ns0:c r="B655" s="26" t="n"/>
      <ns0:c r="C655" s="26" t="n"/>
      <ns0:c r="D655" s="26" t="n"/>
      <ns0:c r="E655" s="27" t="n"/>
      <ns0:c r="F655" s="28" t="str">
        <ns0:f>IF(A655="","",YEAR(A655)&amp;"-"&amp;RIGHT("0"&amp;MONTH(A655),2))</ns0:f>
        <ns0:v/>
      </ns0:c>
    </ns0:row>
    <ns0:row r="656" ht="21" customHeight="1">
      <ns0:c r="A656" s="25" t="n"/>
      <ns0:c r="B656" s="26" t="n"/>
      <ns0:c r="C656" s="26" t="n"/>
      <ns0:c r="D656" s="26" t="n"/>
      <ns0:c r="E656" s="27" t="n"/>
      <ns0:c r="F656" s="28" t="str">
        <ns0:f>IF(A656="","",YEAR(A656)&amp;"-"&amp;RIGHT("0"&amp;MONTH(A656),2))</ns0:f>
        <ns0:v/>
      </ns0:c>
    </ns0:row>
    <ns0:row r="657" ht="21" customHeight="1">
      <ns0:c r="A657" s="25" t="n"/>
      <ns0:c r="B657" s="26" t="n"/>
      <ns0:c r="C657" s="26" t="n"/>
      <ns0:c r="D657" s="26" t="n"/>
      <ns0:c r="E657" s="27" t="n"/>
      <ns0:c r="F657" s="28" t="str">
        <ns0:f>IF(A657="","",YEAR(A657)&amp;"-"&amp;RIGHT("0"&amp;MONTH(A657),2))</ns0:f>
        <ns0:v/>
      </ns0:c>
    </ns0:row>
    <ns0:row r="658" ht="21" customHeight="1">
      <ns0:c r="A658" s="25" t="n"/>
      <ns0:c r="B658" s="26" t="n"/>
      <ns0:c r="C658" s="26" t="n"/>
      <ns0:c r="D658" s="26" t="n"/>
      <ns0:c r="E658" s="27" t="n"/>
      <ns0:c r="F658" s="28" t="str">
        <ns0:f>IF(A658="","",YEAR(A658)&amp;"-"&amp;RIGHT("0"&amp;MONTH(A658),2))</ns0:f>
        <ns0:v/>
      </ns0:c>
    </ns0:row>
    <ns0:row r="659" ht="21" customHeight="1">
      <ns0:c r="A659" s="25" t="n"/>
      <ns0:c r="B659" s="26" t="n"/>
      <ns0:c r="C659" s="26" t="n"/>
      <ns0:c r="D659" s="26" t="n"/>
      <ns0:c r="E659" s="27" t="n"/>
      <ns0:c r="F659" s="28" t="str">
        <ns0:f>IF(A659="","",YEAR(A659)&amp;"-"&amp;RIGHT("0"&amp;MONTH(A659),2))</ns0:f>
        <ns0:v/>
      </ns0:c>
    </ns0:row>
    <ns0:row r="660" ht="21" customHeight="1">
      <ns0:c r="A660" s="25" t="n"/>
      <ns0:c r="B660" s="26" t="n"/>
      <ns0:c r="C660" s="26" t="n"/>
      <ns0:c r="D660" s="26" t="n"/>
      <ns0:c r="E660" s="27" t="n"/>
      <ns0:c r="F660" s="28" t="str">
        <ns0:f>IF(A660="","",YEAR(A660)&amp;"-"&amp;RIGHT("0"&amp;MONTH(A660),2))</ns0:f>
        <ns0:v/>
      </ns0:c>
    </ns0:row>
    <ns0:row r="661" ht="21" customHeight="1">
      <ns0:c r="A661" s="25" t="n"/>
      <ns0:c r="B661" s="26" t="n"/>
      <ns0:c r="C661" s="26" t="n"/>
      <ns0:c r="D661" s="26" t="n"/>
      <ns0:c r="E661" s="27" t="n"/>
      <ns0:c r="F661" s="28" t="str">
        <ns0:f>IF(A661="","",YEAR(A661)&amp;"-"&amp;RIGHT("0"&amp;MONTH(A661),2))</ns0:f>
        <ns0:v/>
      </ns0:c>
    </ns0:row>
    <ns0:row r="662" ht="21" customHeight="1">
      <ns0:c r="A662" s="25" t="n"/>
      <ns0:c r="B662" s="26" t="n"/>
      <ns0:c r="C662" s="26" t="n"/>
      <ns0:c r="D662" s="26" t="n"/>
      <ns0:c r="E662" s="27" t="n"/>
      <ns0:c r="F662" s="28" t="str">
        <ns0:f>IF(A662="","",YEAR(A662)&amp;"-"&amp;RIGHT("0"&amp;MONTH(A662),2))</ns0:f>
        <ns0:v/>
      </ns0:c>
    </ns0:row>
    <ns0:row r="663" ht="21" customHeight="1">
      <ns0:c r="A663" s="25" t="n"/>
      <ns0:c r="B663" s="26" t="n"/>
      <ns0:c r="C663" s="26" t="n"/>
      <ns0:c r="D663" s="26" t="n"/>
      <ns0:c r="E663" s="27" t="n"/>
      <ns0:c r="F663" s="28" t="str">
        <ns0:f>IF(A663="","",YEAR(A663)&amp;"-"&amp;RIGHT("0"&amp;MONTH(A663),2))</ns0:f>
        <ns0:v/>
      </ns0:c>
    </ns0:row>
    <ns0:row r="664" ht="21" customHeight="1">
      <ns0:c r="A664" s="25" t="n"/>
      <ns0:c r="B664" s="26" t="n"/>
      <ns0:c r="C664" s="26" t="n"/>
      <ns0:c r="D664" s="26" t="n"/>
      <ns0:c r="E664" s="27" t="n"/>
      <ns0:c r="F664" s="28" t="str">
        <ns0:f>IF(A664="","",YEAR(A664)&amp;"-"&amp;RIGHT("0"&amp;MONTH(A664),2))</ns0:f>
        <ns0:v/>
      </ns0:c>
    </ns0:row>
    <ns0:row r="665" ht="21" customHeight="1">
      <ns0:c r="A665" s="25" t="n"/>
      <ns0:c r="B665" s="26" t="n"/>
      <ns0:c r="C665" s="26" t="n"/>
      <ns0:c r="D665" s="26" t="n"/>
      <ns0:c r="E665" s="27" t="n"/>
      <ns0:c r="F665" s="28" t="str">
        <ns0:f>IF(A665="","",YEAR(A665)&amp;"-"&amp;RIGHT("0"&amp;MONTH(A665),2))</ns0:f>
        <ns0:v/>
      </ns0:c>
    </ns0:row>
    <ns0:row r="666" ht="21" customHeight="1">
      <ns0:c r="A666" s="25" t="n"/>
      <ns0:c r="B666" s="26" t="n"/>
      <ns0:c r="C666" s="26" t="n"/>
      <ns0:c r="D666" s="26" t="n"/>
      <ns0:c r="E666" s="27" t="n"/>
      <ns0:c r="F666" s="28" t="str">
        <ns0:f>IF(A666="","",YEAR(A666)&amp;"-"&amp;RIGHT("0"&amp;MONTH(A666),2))</ns0:f>
        <ns0:v/>
      </ns0:c>
    </ns0:row>
    <ns0:row r="667" ht="21" customHeight="1">
      <ns0:c r="A667" s="25" t="n"/>
      <ns0:c r="B667" s="26" t="n"/>
      <ns0:c r="C667" s="26" t="n"/>
      <ns0:c r="D667" s="26" t="n"/>
      <ns0:c r="E667" s="27" t="n"/>
      <ns0:c r="F667" s="28" t="str">
        <ns0:f>IF(A667="","",YEAR(A667)&amp;"-"&amp;RIGHT("0"&amp;MONTH(A667),2))</ns0:f>
        <ns0:v/>
      </ns0:c>
    </ns0:row>
    <ns0:row r="668" ht="21" customHeight="1">
      <ns0:c r="A668" s="25" t="n"/>
      <ns0:c r="B668" s="26" t="n"/>
      <ns0:c r="C668" s="26" t="n"/>
      <ns0:c r="D668" s="26" t="n"/>
      <ns0:c r="E668" s="27" t="n"/>
      <ns0:c r="F668" s="28" t="str">
        <ns0:f>IF(A668="","",YEAR(A668)&amp;"-"&amp;RIGHT("0"&amp;MONTH(A668),2))</ns0:f>
        <ns0:v/>
      </ns0:c>
    </ns0:row>
    <ns0:row r="669" ht="21" customHeight="1">
      <ns0:c r="A669" s="25" t="n"/>
      <ns0:c r="B669" s="26" t="n"/>
      <ns0:c r="C669" s="26" t="n"/>
      <ns0:c r="D669" s="26" t="n"/>
      <ns0:c r="E669" s="27" t="n"/>
      <ns0:c r="F669" s="28" t="str">
        <ns0:f>IF(A669="","",YEAR(A669)&amp;"-"&amp;RIGHT("0"&amp;MONTH(A669),2))</ns0:f>
        <ns0:v/>
      </ns0:c>
    </ns0:row>
    <ns0:row r="670" ht="21" customHeight="1">
      <ns0:c r="A670" s="25" t="n"/>
      <ns0:c r="B670" s="26" t="n"/>
      <ns0:c r="C670" s="26" t="n"/>
      <ns0:c r="D670" s="26" t="n"/>
      <ns0:c r="E670" s="27" t="n"/>
      <ns0:c r="F670" s="28" t="str">
        <ns0:f>IF(A670="","",YEAR(A670)&amp;"-"&amp;RIGHT("0"&amp;MONTH(A670),2))</ns0:f>
        <ns0:v/>
      </ns0:c>
    </ns0:row>
    <ns0:row r="671" ht="21" customHeight="1">
      <ns0:c r="A671" s="25" t="n"/>
      <ns0:c r="B671" s="26" t="n"/>
      <ns0:c r="C671" s="26" t="n"/>
      <ns0:c r="D671" s="26" t="n"/>
      <ns0:c r="E671" s="27" t="n"/>
      <ns0:c r="F671" s="28" t="str">
        <ns0:f>IF(A671="","",YEAR(A671)&amp;"-"&amp;RIGHT("0"&amp;MONTH(A671),2))</ns0:f>
        <ns0:v/>
      </ns0:c>
    </ns0:row>
    <ns0:row r="672" ht="21" customHeight="1">
      <ns0:c r="A672" s="25" t="n"/>
      <ns0:c r="B672" s="26" t="n"/>
      <ns0:c r="C672" s="26" t="n"/>
      <ns0:c r="D672" s="26" t="n"/>
      <ns0:c r="E672" s="27" t="n"/>
      <ns0:c r="F672" s="28" t="str">
        <ns0:f>IF(A672="","",YEAR(A672)&amp;"-"&amp;RIGHT("0"&amp;MONTH(A672),2))</ns0:f>
        <ns0:v/>
      </ns0:c>
    </ns0:row>
    <ns0:row r="673" ht="21" customHeight="1">
      <ns0:c r="A673" s="25" t="n"/>
      <ns0:c r="B673" s="26" t="n"/>
      <ns0:c r="C673" s="26" t="n"/>
      <ns0:c r="D673" s="26" t="n"/>
      <ns0:c r="E673" s="27" t="n"/>
      <ns0:c r="F673" s="28" t="str">
        <ns0:f>IF(A673="","",YEAR(A673)&amp;"-"&amp;RIGHT("0"&amp;MONTH(A673),2))</ns0:f>
        <ns0:v/>
      </ns0:c>
    </ns0:row>
    <ns0:row r="674" ht="21" customHeight="1">
      <ns0:c r="A674" s="25" t="n"/>
      <ns0:c r="B674" s="26" t="n"/>
      <ns0:c r="C674" s="26" t="n"/>
      <ns0:c r="D674" s="26" t="n"/>
      <ns0:c r="E674" s="27" t="n"/>
      <ns0:c r="F674" s="28" t="str">
        <ns0:f>IF(A674="","",YEAR(A674)&amp;"-"&amp;RIGHT("0"&amp;MONTH(A674),2))</ns0:f>
        <ns0:v/>
      </ns0:c>
    </ns0:row>
    <ns0:row r="675" ht="21" customHeight="1">
      <ns0:c r="A675" s="25" t="n"/>
      <ns0:c r="B675" s="26" t="n"/>
      <ns0:c r="C675" s="26" t="n"/>
      <ns0:c r="D675" s="26" t="n"/>
      <ns0:c r="E675" s="27" t="n"/>
      <ns0:c r="F675" s="28" t="str">
        <ns0:f>IF(A675="","",YEAR(A675)&amp;"-"&amp;RIGHT("0"&amp;MONTH(A675),2))</ns0:f>
        <ns0:v/>
      </ns0:c>
    </ns0:row>
    <ns0:row r="676" ht="21" customHeight="1">
      <ns0:c r="A676" s="25" t="n"/>
      <ns0:c r="B676" s="26" t="n"/>
      <ns0:c r="C676" s="26" t="n"/>
      <ns0:c r="D676" s="26" t="n"/>
      <ns0:c r="E676" s="27" t="n"/>
      <ns0:c r="F676" s="28" t="str">
        <ns0:f>IF(A676="","",YEAR(A676)&amp;"-"&amp;RIGHT("0"&amp;MONTH(A676),2))</ns0:f>
        <ns0:v/>
      </ns0:c>
    </ns0:row>
    <ns0:row r="677" ht="21" customHeight="1">
      <ns0:c r="A677" s="25" t="n"/>
      <ns0:c r="B677" s="26" t="n"/>
      <ns0:c r="C677" s="26" t="n"/>
      <ns0:c r="D677" s="26" t="n"/>
      <ns0:c r="E677" s="27" t="n"/>
      <ns0:c r="F677" s="28" t="str">
        <ns0:f>IF(A677="","",YEAR(A677)&amp;"-"&amp;RIGHT("0"&amp;MONTH(A677),2))</ns0:f>
        <ns0:v/>
      </ns0:c>
    </ns0:row>
    <ns0:row r="678" ht="21" customHeight="1">
      <ns0:c r="A678" s="25" t="n"/>
      <ns0:c r="B678" s="26" t="n"/>
      <ns0:c r="C678" s="26" t="n"/>
      <ns0:c r="D678" s="26" t="n"/>
      <ns0:c r="E678" s="27" t="n"/>
      <ns0:c r="F678" s="28" t="str">
        <ns0:f>IF(A678="","",YEAR(A678)&amp;"-"&amp;RIGHT("0"&amp;MONTH(A678),2))</ns0:f>
        <ns0:v/>
      </ns0:c>
    </ns0:row>
    <ns0:row r="679" ht="21" customHeight="1">
      <ns0:c r="A679" s="25" t="n"/>
      <ns0:c r="B679" s="26" t="n"/>
      <ns0:c r="C679" s="26" t="n"/>
      <ns0:c r="D679" s="26" t="n"/>
      <ns0:c r="E679" s="27" t="n"/>
      <ns0:c r="F679" s="28" t="str">
        <ns0:f>IF(A679="","",YEAR(A679)&amp;"-"&amp;RIGHT("0"&amp;MONTH(A679),2))</ns0:f>
        <ns0:v/>
      </ns0:c>
    </ns0:row>
    <ns0:row r="680" ht="21" customHeight="1">
      <ns0:c r="A680" s="25" t="n"/>
      <ns0:c r="B680" s="26" t="n"/>
      <ns0:c r="C680" s="26" t="n"/>
      <ns0:c r="D680" s="26" t="n"/>
      <ns0:c r="E680" s="27" t="n"/>
      <ns0:c r="F680" s="28" t="str">
        <ns0:f>IF(A680="","",YEAR(A680)&amp;"-"&amp;RIGHT("0"&amp;MONTH(A680),2))</ns0:f>
        <ns0:v/>
      </ns0:c>
    </ns0:row>
    <ns0:row r="681" ht="21" customHeight="1">
      <ns0:c r="A681" s="25" t="n"/>
      <ns0:c r="B681" s="26" t="n"/>
      <ns0:c r="C681" s="26" t="n"/>
      <ns0:c r="D681" s="26" t="n"/>
      <ns0:c r="E681" s="27" t="n"/>
      <ns0:c r="F681" s="28" t="str">
        <ns0:f>IF(A681="","",YEAR(A681)&amp;"-"&amp;RIGHT("0"&amp;MONTH(A681),2))</ns0:f>
        <ns0:v/>
      </ns0:c>
    </ns0:row>
    <ns0:row r="682" ht="21" customHeight="1">
      <ns0:c r="A682" s="25" t="n"/>
      <ns0:c r="B682" s="26" t="n"/>
      <ns0:c r="C682" s="26" t="n"/>
      <ns0:c r="D682" s="26" t="n"/>
      <ns0:c r="E682" s="27" t="n"/>
      <ns0:c r="F682" s="28" t="str">
        <ns0:f>IF(A682="","",YEAR(A682)&amp;"-"&amp;RIGHT("0"&amp;MONTH(A682),2))</ns0:f>
        <ns0:v/>
      </ns0:c>
    </ns0:row>
    <ns0:row r="683" ht="21" customHeight="1">
      <ns0:c r="A683" s="25" t="n"/>
      <ns0:c r="B683" s="26" t="n"/>
      <ns0:c r="C683" s="26" t="n"/>
      <ns0:c r="D683" s="26" t="n"/>
      <ns0:c r="E683" s="27" t="n"/>
      <ns0:c r="F683" s="28" t="str">
        <ns0:f>IF(A683="","",YEAR(A683)&amp;"-"&amp;RIGHT("0"&amp;MONTH(A683),2))</ns0:f>
        <ns0:v/>
      </ns0:c>
    </ns0:row>
    <ns0:row r="684" ht="21" customHeight="1">
      <ns0:c r="A684" s="25" t="n"/>
      <ns0:c r="B684" s="26" t="n"/>
      <ns0:c r="C684" s="26" t="n"/>
      <ns0:c r="D684" s="26" t="n"/>
      <ns0:c r="E684" s="27" t="n"/>
      <ns0:c r="F684" s="28" t="str">
        <ns0:f>IF(A684="","",YEAR(A684)&amp;"-"&amp;RIGHT("0"&amp;MONTH(A684),2))</ns0:f>
        <ns0:v/>
      </ns0:c>
    </ns0:row>
    <ns0:row r="685" ht="21" customHeight="1">
      <ns0:c r="A685" s="25" t="n"/>
      <ns0:c r="B685" s="26" t="n"/>
      <ns0:c r="C685" s="26" t="n"/>
      <ns0:c r="D685" s="26" t="n"/>
      <ns0:c r="E685" s="27" t="n"/>
      <ns0:c r="F685" s="28" t="str">
        <ns0:f>IF(A685="","",YEAR(A685)&amp;"-"&amp;RIGHT("0"&amp;MONTH(A685),2))</ns0:f>
        <ns0:v/>
      </ns0:c>
    </ns0:row>
    <ns0:row r="686" ht="21" customHeight="1">
      <ns0:c r="A686" s="25" t="n"/>
      <ns0:c r="B686" s="26" t="n"/>
      <ns0:c r="C686" s="26" t="n"/>
      <ns0:c r="D686" s="26" t="n"/>
      <ns0:c r="E686" s="27" t="n"/>
      <ns0:c r="F686" s="28" t="str">
        <ns0:f>IF(A686="","",YEAR(A686)&amp;"-"&amp;RIGHT("0"&amp;MONTH(A686),2))</ns0:f>
        <ns0:v/>
      </ns0:c>
    </ns0:row>
    <ns0:row r="687" ht="21" customHeight="1">
      <ns0:c r="A687" s="25" t="n"/>
      <ns0:c r="B687" s="26" t="n"/>
      <ns0:c r="C687" s="26" t="n"/>
      <ns0:c r="D687" s="26" t="n"/>
      <ns0:c r="E687" s="27" t="n"/>
      <ns0:c r="F687" s="28" t="str">
        <ns0:f>IF(A687="","",YEAR(A687)&amp;"-"&amp;RIGHT("0"&amp;MONTH(A687),2))</ns0:f>
        <ns0:v/>
      </ns0:c>
    </ns0:row>
    <ns0:row r="688" ht="21" customHeight="1">
      <ns0:c r="A688" s="25" t="n"/>
      <ns0:c r="B688" s="26" t="n"/>
      <ns0:c r="C688" s="26" t="n"/>
      <ns0:c r="D688" s="26" t="n"/>
      <ns0:c r="E688" s="27" t="n"/>
      <ns0:c r="F688" s="28" t="str">
        <ns0:f>IF(A688="","",YEAR(A688)&amp;"-"&amp;RIGHT("0"&amp;MONTH(A688),2))</ns0:f>
        <ns0:v/>
      </ns0:c>
    </ns0:row>
    <ns0:row r="689" ht="21" customHeight="1">
      <ns0:c r="A689" s="25" t="n"/>
      <ns0:c r="B689" s="26" t="n"/>
      <ns0:c r="C689" s="26" t="n"/>
      <ns0:c r="D689" s="26" t="n"/>
      <ns0:c r="E689" s="27" t="n"/>
      <ns0:c r="F689" s="28" t="str">
        <ns0:f>IF(A689="","",YEAR(A689)&amp;"-"&amp;RIGHT("0"&amp;MONTH(A689),2))</ns0:f>
        <ns0:v/>
      </ns0:c>
    </ns0:row>
    <ns0:row r="690" ht="21" customHeight="1">
      <ns0:c r="A690" s="25" t="n"/>
      <ns0:c r="B690" s="26" t="n"/>
      <ns0:c r="C690" s="26" t="n"/>
      <ns0:c r="D690" s="26" t="n"/>
      <ns0:c r="E690" s="27" t="n"/>
      <ns0:c r="F690" s="28" t="str">
        <ns0:f>IF(A690="","",YEAR(A690)&amp;"-"&amp;RIGHT("0"&amp;MONTH(A690),2))</ns0:f>
        <ns0:v/>
      </ns0:c>
    </ns0:row>
    <ns0:row r="691" ht="21" customHeight="1">
      <ns0:c r="A691" s="25" t="n"/>
      <ns0:c r="B691" s="26" t="n"/>
      <ns0:c r="C691" s="26" t="n"/>
      <ns0:c r="D691" s="26" t="n"/>
      <ns0:c r="E691" s="27" t="n"/>
      <ns0:c r="F691" s="28" t="str">
        <ns0:f>IF(A691="","",YEAR(A691)&amp;"-"&amp;RIGHT("0"&amp;MONTH(A691),2))</ns0:f>
        <ns0:v/>
      </ns0:c>
    </ns0:row>
    <ns0:row r="692" ht="21" customHeight="1">
      <ns0:c r="A692" s="25" t="n"/>
      <ns0:c r="B692" s="26" t="n"/>
      <ns0:c r="C692" s="26" t="n"/>
      <ns0:c r="D692" s="26" t="n"/>
      <ns0:c r="E692" s="27" t="n"/>
      <ns0:c r="F692" s="28" t="str">
        <ns0:f>IF(A692="","",YEAR(A692)&amp;"-"&amp;RIGHT("0"&amp;MONTH(A692),2))</ns0:f>
        <ns0:v/>
      </ns0:c>
    </ns0:row>
    <ns0:row r="693" ht="21" customHeight="1">
      <ns0:c r="A693" s="25" t="n"/>
      <ns0:c r="B693" s="26" t="n"/>
      <ns0:c r="C693" s="26" t="n"/>
      <ns0:c r="D693" s="26" t="n"/>
      <ns0:c r="E693" s="27" t="n"/>
      <ns0:c r="F693" s="28" t="str">
        <ns0:f>IF(A693="","",YEAR(A693)&amp;"-"&amp;RIGHT("0"&amp;MONTH(A693),2))</ns0:f>
        <ns0:v/>
      </ns0:c>
    </ns0:row>
    <ns0:row r="694" ht="21" customHeight="1">
      <ns0:c r="A694" s="25" t="n"/>
      <ns0:c r="B694" s="26" t="n"/>
      <ns0:c r="C694" s="26" t="n"/>
      <ns0:c r="D694" s="26" t="n"/>
      <ns0:c r="E694" s="27" t="n"/>
      <ns0:c r="F694" s="28" t="str">
        <ns0:f>IF(A694="","",YEAR(A694)&amp;"-"&amp;RIGHT("0"&amp;MONTH(A694),2))</ns0:f>
        <ns0:v/>
      </ns0:c>
    </ns0:row>
    <ns0:row r="695" ht="21" customHeight="1">
      <ns0:c r="A695" s="25" t="n"/>
      <ns0:c r="B695" s="26" t="n"/>
      <ns0:c r="C695" s="26" t="n"/>
      <ns0:c r="D695" s="26" t="n"/>
      <ns0:c r="E695" s="27" t="n"/>
      <ns0:c r="F695" s="28" t="str">
        <ns0:f>IF(A695="","",YEAR(A695)&amp;"-"&amp;RIGHT("0"&amp;MONTH(A695),2))</ns0:f>
        <ns0:v/>
      </ns0:c>
    </ns0:row>
    <ns0:row r="696" ht="21" customHeight="1">
      <ns0:c r="A696" s="25" t="n"/>
      <ns0:c r="B696" s="26" t="n"/>
      <ns0:c r="C696" s="26" t="n"/>
      <ns0:c r="D696" s="26" t="n"/>
      <ns0:c r="E696" s="27" t="n"/>
      <ns0:c r="F696" s="28" t="str">
        <ns0:f>IF(A696="","",YEAR(A696)&amp;"-"&amp;RIGHT("0"&amp;MONTH(A696),2))</ns0:f>
        <ns0:v/>
      </ns0:c>
    </ns0:row>
    <ns0:row r="697" ht="21" customHeight="1">
      <ns0:c r="A697" s="25" t="n"/>
      <ns0:c r="B697" s="26" t="n"/>
      <ns0:c r="C697" s="26" t="n"/>
      <ns0:c r="D697" s="26" t="n"/>
      <ns0:c r="E697" s="27" t="n"/>
      <ns0:c r="F697" s="28" t="str">
        <ns0:f>IF(A697="","",YEAR(A697)&amp;"-"&amp;RIGHT("0"&amp;MONTH(A697),2))</ns0:f>
        <ns0:v/>
      </ns0:c>
    </ns0:row>
    <ns0:row r="698" ht="21" customHeight="1">
      <ns0:c r="A698" s="25" t="n"/>
      <ns0:c r="B698" s="26" t="n"/>
      <ns0:c r="C698" s="26" t="n"/>
      <ns0:c r="D698" s="26" t="n"/>
      <ns0:c r="E698" s="27" t="n"/>
      <ns0:c r="F698" s="28" t="str">
        <ns0:f>IF(A698="","",YEAR(A698)&amp;"-"&amp;RIGHT("0"&amp;MONTH(A698),2))</ns0:f>
        <ns0:v/>
      </ns0:c>
    </ns0:row>
    <ns0:row r="699" ht="21" customHeight="1">
      <ns0:c r="A699" s="25" t="n"/>
      <ns0:c r="B699" s="26" t="n"/>
      <ns0:c r="C699" s="26" t="n"/>
      <ns0:c r="D699" s="26" t="n"/>
      <ns0:c r="E699" s="27" t="n"/>
      <ns0:c r="F699" s="28" t="str">
        <ns0:f>IF(A699="","",YEAR(A699)&amp;"-"&amp;RIGHT("0"&amp;MONTH(A699),2))</ns0:f>
        <ns0:v/>
      </ns0:c>
    </ns0:row>
    <ns0:row r="700" ht="21" customHeight="1">
      <ns0:c r="A700" s="25" t="n"/>
      <ns0:c r="B700" s="26" t="n"/>
      <ns0:c r="C700" s="26" t="n"/>
      <ns0:c r="D700" s="26" t="n"/>
      <ns0:c r="E700" s="27" t="n"/>
      <ns0:c r="F700" s="28" t="str">
        <ns0:f>IF(A700="","",YEAR(A700)&amp;"-"&amp;RIGHT("0"&amp;MONTH(A700),2))</ns0:f>
        <ns0:v/>
      </ns0:c>
    </ns0:row>
    <ns0:row r="701" ht="21" customHeight="1">
      <ns0:c r="A701" s="25" t="n"/>
      <ns0:c r="B701" s="26" t="n"/>
      <ns0:c r="C701" s="26" t="n"/>
      <ns0:c r="D701" s="26" t="n"/>
      <ns0:c r="E701" s="27" t="n"/>
      <ns0:c r="F701" s="28" t="str">
        <ns0:f>IF(A701="","",YEAR(A701)&amp;"-"&amp;RIGHT("0"&amp;MONTH(A701),2))</ns0:f>
        <ns0:v/>
      </ns0:c>
    </ns0:row>
    <ns0:row r="702" ht="21" customHeight="1">
      <ns0:c r="A702" s="25" t="n"/>
      <ns0:c r="B702" s="26" t="n"/>
      <ns0:c r="C702" s="26" t="n"/>
      <ns0:c r="D702" s="26" t="n"/>
      <ns0:c r="E702" s="27" t="n"/>
      <ns0:c r="F702" s="28" t="str">
        <ns0:f>IF(A702="","",YEAR(A702)&amp;"-"&amp;RIGHT("0"&amp;MONTH(A702),2))</ns0:f>
        <ns0:v/>
      </ns0:c>
    </ns0:row>
    <ns0:row r="703" ht="21" customHeight="1">
      <ns0:c r="A703" s="25" t="n"/>
      <ns0:c r="B703" s="26" t="n"/>
      <ns0:c r="C703" s="26" t="n"/>
      <ns0:c r="D703" s="26" t="n"/>
      <ns0:c r="E703" s="27" t="n"/>
      <ns0:c r="F703" s="28" t="str">
        <ns0:f>IF(A703="","",YEAR(A703)&amp;"-"&amp;RIGHT("0"&amp;MONTH(A703),2))</ns0:f>
        <ns0:v/>
      </ns0:c>
    </ns0:row>
    <ns0:row r="704" ht="21" customHeight="1">
      <ns0:c r="A704" s="25" t="n"/>
      <ns0:c r="B704" s="26" t="n"/>
      <ns0:c r="C704" s="26" t="n"/>
      <ns0:c r="D704" s="26" t="n"/>
      <ns0:c r="E704" s="27" t="n"/>
      <ns0:c r="F704" s="28" t="str">
        <ns0:f>IF(A704="","",YEAR(A704)&amp;"-"&amp;RIGHT("0"&amp;MONTH(A704),2))</ns0:f>
        <ns0:v/>
      </ns0:c>
    </ns0:row>
    <ns0:row r="705" ht="21" customHeight="1">
      <ns0:c r="A705" s="25" t="n"/>
      <ns0:c r="B705" s="26" t="n"/>
      <ns0:c r="C705" s="26" t="n"/>
      <ns0:c r="D705" s="26" t="n"/>
      <ns0:c r="E705" s="27" t="n"/>
      <ns0:c r="F705" s="28" t="str">
        <ns0:f>IF(A705="","",YEAR(A705)&amp;"-"&amp;RIGHT("0"&amp;MONTH(A705),2))</ns0:f>
        <ns0:v/>
      </ns0:c>
    </ns0:row>
    <ns0:row r="706" ht="21" customHeight="1">
      <ns0:c r="A706" s="25" t="n"/>
      <ns0:c r="B706" s="26" t="n"/>
      <ns0:c r="C706" s="26" t="n"/>
      <ns0:c r="D706" s="26" t="n"/>
      <ns0:c r="E706" s="27" t="n"/>
      <ns0:c r="F706" s="28" t="str">
        <ns0:f>IF(A706="","",YEAR(A706)&amp;"-"&amp;RIGHT("0"&amp;MONTH(A706),2))</ns0:f>
        <ns0:v/>
      </ns0:c>
    </ns0:row>
    <ns0:row r="707" ht="21" customHeight="1">
      <ns0:c r="A707" s="25" t="n"/>
      <ns0:c r="B707" s="26" t="n"/>
      <ns0:c r="C707" s="26" t="n"/>
      <ns0:c r="D707" s="26" t="n"/>
      <ns0:c r="E707" s="27" t="n"/>
      <ns0:c r="F707" s="28" t="str">
        <ns0:f>IF(A707="","",YEAR(A707)&amp;"-"&amp;RIGHT("0"&amp;MONTH(A707),2))</ns0:f>
        <ns0:v/>
      </ns0:c>
    </ns0:row>
    <ns0:row r="708" ht="21" customHeight="1">
      <ns0:c r="A708" s="25" t="n"/>
      <ns0:c r="B708" s="26" t="n"/>
      <ns0:c r="C708" s="26" t="n"/>
      <ns0:c r="D708" s="26" t="n"/>
      <ns0:c r="E708" s="27" t="n"/>
      <ns0:c r="F708" s="28" t="str">
        <ns0:f>IF(A708="","",YEAR(A708)&amp;"-"&amp;RIGHT("0"&amp;MONTH(A708),2))</ns0:f>
        <ns0:v/>
      </ns0:c>
    </ns0:row>
    <ns0:row r="709" ht="21" customHeight="1">
      <ns0:c r="A709" s="25" t="n"/>
      <ns0:c r="B709" s="26" t="n"/>
      <ns0:c r="C709" s="26" t="n"/>
      <ns0:c r="D709" s="26" t="n"/>
      <ns0:c r="E709" s="27" t="n"/>
      <ns0:c r="F709" s="28" t="str">
        <ns0:f>IF(A709="","",YEAR(A709)&amp;"-"&amp;RIGHT("0"&amp;MONTH(A709),2))</ns0:f>
        <ns0:v/>
      </ns0:c>
    </ns0:row>
    <ns0:row r="710" ht="21" customHeight="1">
      <ns0:c r="A710" s="25" t="n"/>
      <ns0:c r="B710" s="26" t="n"/>
      <ns0:c r="C710" s="26" t="n"/>
      <ns0:c r="D710" s="26" t="n"/>
      <ns0:c r="E710" s="27" t="n"/>
      <ns0:c r="F710" s="28" t="str">
        <ns0:f>IF(A710="","",YEAR(A710)&amp;"-"&amp;RIGHT("0"&amp;MONTH(A710),2))</ns0:f>
        <ns0:v/>
      </ns0:c>
    </ns0:row>
    <ns0:row r="711" ht="21" customHeight="1">
      <ns0:c r="A711" s="25" t="n"/>
      <ns0:c r="B711" s="26" t="n"/>
      <ns0:c r="C711" s="26" t="n"/>
      <ns0:c r="D711" s="26" t="n"/>
      <ns0:c r="E711" s="27" t="n"/>
      <ns0:c r="F711" s="28" t="str">
        <ns0:f>IF(A711="","",YEAR(A711)&amp;"-"&amp;RIGHT("0"&amp;MONTH(A711),2))</ns0:f>
        <ns0:v/>
      </ns0:c>
    </ns0:row>
    <ns0:row r="712" ht="21" customHeight="1">
      <ns0:c r="A712" s="25" t="n"/>
      <ns0:c r="B712" s="26" t="n"/>
      <ns0:c r="C712" s="26" t="n"/>
      <ns0:c r="D712" s="26" t="n"/>
      <ns0:c r="E712" s="27" t="n"/>
      <ns0:c r="F712" s="28" t="str">
        <ns0:f>IF(A712="","",YEAR(A712)&amp;"-"&amp;RIGHT("0"&amp;MONTH(A712),2))</ns0:f>
        <ns0:v/>
      </ns0:c>
    </ns0:row>
    <ns0:row r="713" ht="21" customHeight="1">
      <ns0:c r="A713" s="25" t="n"/>
      <ns0:c r="B713" s="26" t="n"/>
      <ns0:c r="C713" s="26" t="n"/>
      <ns0:c r="D713" s="26" t="n"/>
      <ns0:c r="E713" s="27" t="n"/>
      <ns0:c r="F713" s="28" t="str">
        <ns0:f>IF(A713="","",YEAR(A713)&amp;"-"&amp;RIGHT("0"&amp;MONTH(A713),2))</ns0:f>
        <ns0:v/>
      </ns0:c>
    </ns0:row>
    <ns0:row r="714" ht="21" customHeight="1">
      <ns0:c r="A714" s="25" t="n"/>
      <ns0:c r="B714" s="26" t="n"/>
      <ns0:c r="C714" s="26" t="n"/>
      <ns0:c r="D714" s="26" t="n"/>
      <ns0:c r="E714" s="27" t="n"/>
      <ns0:c r="F714" s="28" t="str">
        <ns0:f>IF(A714="","",YEAR(A714)&amp;"-"&amp;RIGHT("0"&amp;MONTH(A714),2))</ns0:f>
        <ns0:v/>
      </ns0:c>
    </ns0:row>
    <ns0:row r="715" ht="21" customHeight="1">
      <ns0:c r="A715" s="25" t="n"/>
      <ns0:c r="B715" s="26" t="n"/>
      <ns0:c r="C715" s="26" t="n"/>
      <ns0:c r="D715" s="26" t="n"/>
      <ns0:c r="E715" s="27" t="n"/>
      <ns0:c r="F715" s="28" t="str">
        <ns0:f>IF(A715="","",YEAR(A715)&amp;"-"&amp;RIGHT("0"&amp;MONTH(A715),2))</ns0:f>
        <ns0:v/>
      </ns0:c>
    </ns0:row>
    <ns0:row r="716" ht="21" customHeight="1">
      <ns0:c r="A716" s="25" t="n"/>
      <ns0:c r="B716" s="26" t="n"/>
      <ns0:c r="C716" s="26" t="n"/>
      <ns0:c r="D716" s="26" t="n"/>
      <ns0:c r="E716" s="27" t="n"/>
      <ns0:c r="F716" s="28" t="str">
        <ns0:f>IF(A716="","",YEAR(A716)&amp;"-"&amp;RIGHT("0"&amp;MONTH(A716),2))</ns0:f>
        <ns0:v/>
      </ns0:c>
    </ns0:row>
    <ns0:row r="717" ht="21" customHeight="1">
      <ns0:c r="A717" s="25" t="n"/>
      <ns0:c r="B717" s="26" t="n"/>
      <ns0:c r="C717" s="26" t="n"/>
      <ns0:c r="D717" s="26" t="n"/>
      <ns0:c r="E717" s="27" t="n"/>
      <ns0:c r="F717" s="28" t="str">
        <ns0:f>IF(A717="","",YEAR(A717)&amp;"-"&amp;RIGHT("0"&amp;MONTH(A717),2))</ns0:f>
        <ns0:v/>
      </ns0:c>
    </ns0:row>
    <ns0:row r="718" ht="21" customHeight="1">
      <ns0:c r="A718" s="25" t="n"/>
      <ns0:c r="B718" s="26" t="n"/>
      <ns0:c r="C718" s="26" t="n"/>
      <ns0:c r="D718" s="26" t="n"/>
      <ns0:c r="E718" s="27" t="n"/>
      <ns0:c r="F718" s="28" t="str">
        <ns0:f>IF(A718="","",YEAR(A718)&amp;"-"&amp;RIGHT("0"&amp;MONTH(A718),2))</ns0:f>
        <ns0:v/>
      </ns0:c>
    </ns0:row>
    <ns0:row r="719" ht="21" customHeight="1">
      <ns0:c r="A719" s="25" t="n"/>
      <ns0:c r="B719" s="26" t="n"/>
      <ns0:c r="C719" s="26" t="n"/>
      <ns0:c r="D719" s="26" t="n"/>
      <ns0:c r="E719" s="27" t="n"/>
      <ns0:c r="F719" s="28" t="str">
        <ns0:f>IF(A719="","",YEAR(A719)&amp;"-"&amp;RIGHT("0"&amp;MONTH(A719),2))</ns0:f>
        <ns0:v/>
      </ns0:c>
    </ns0:row>
    <ns0:row r="720" ht="21" customHeight="1">
      <ns0:c r="A720" s="25" t="n"/>
      <ns0:c r="B720" s="26" t="n"/>
      <ns0:c r="C720" s="26" t="n"/>
      <ns0:c r="D720" s="26" t="n"/>
      <ns0:c r="E720" s="27" t="n"/>
      <ns0:c r="F720" s="28" t="str">
        <ns0:f>IF(A720="","",YEAR(A720)&amp;"-"&amp;RIGHT("0"&amp;MONTH(A720),2))</ns0:f>
        <ns0:v/>
      </ns0:c>
    </ns0:row>
    <ns0:row r="721" ht="21" customHeight="1">
      <ns0:c r="A721" s="25" t="n"/>
      <ns0:c r="B721" s="26" t="n"/>
      <ns0:c r="C721" s="26" t="n"/>
      <ns0:c r="D721" s="26" t="n"/>
      <ns0:c r="E721" s="27" t="n"/>
      <ns0:c r="F721" s="28" t="str">
        <ns0:f>IF(A721="","",YEAR(A721)&amp;"-"&amp;RIGHT("0"&amp;MONTH(A721),2))</ns0:f>
        <ns0:v/>
      </ns0:c>
    </ns0:row>
    <ns0:row r="722" ht="21" customHeight="1">
      <ns0:c r="A722" s="25" t="n"/>
      <ns0:c r="B722" s="26" t="n"/>
      <ns0:c r="C722" s="26" t="n"/>
      <ns0:c r="D722" s="26" t="n"/>
      <ns0:c r="E722" s="27" t="n"/>
      <ns0:c r="F722" s="28" t="str">
        <ns0:f>IF(A722="","",YEAR(A722)&amp;"-"&amp;RIGHT("0"&amp;MONTH(A722),2))</ns0:f>
        <ns0:v/>
      </ns0:c>
    </ns0:row>
    <ns0:row r="723" ht="21" customHeight="1">
      <ns0:c r="A723" s="25" t="n"/>
      <ns0:c r="B723" s="26" t="n"/>
      <ns0:c r="C723" s="26" t="n"/>
      <ns0:c r="D723" s="26" t="n"/>
      <ns0:c r="E723" s="27" t="n"/>
      <ns0:c r="F723" s="28" t="str">
        <ns0:f>IF(A723="","",YEAR(A723)&amp;"-"&amp;RIGHT("0"&amp;MONTH(A723),2))</ns0:f>
        <ns0:v/>
      </ns0:c>
    </ns0:row>
    <ns0:row r="724" ht="21" customHeight="1">
      <ns0:c r="A724" s="25" t="n"/>
      <ns0:c r="B724" s="26" t="n"/>
      <ns0:c r="C724" s="26" t="n"/>
      <ns0:c r="D724" s="26" t="n"/>
      <ns0:c r="E724" s="27" t="n"/>
      <ns0:c r="F724" s="28" t="str">
        <ns0:f>IF(A724="","",YEAR(A724)&amp;"-"&amp;RIGHT("0"&amp;MONTH(A724),2))</ns0:f>
        <ns0:v/>
      </ns0:c>
    </ns0:row>
    <ns0:row r="725" ht="21" customHeight="1">
      <ns0:c r="A725" s="25" t="n"/>
      <ns0:c r="B725" s="26" t="n"/>
      <ns0:c r="C725" s="26" t="n"/>
      <ns0:c r="D725" s="26" t="n"/>
      <ns0:c r="E725" s="27" t="n"/>
      <ns0:c r="F725" s="28" t="str">
        <ns0:f>IF(A725="","",YEAR(A725)&amp;"-"&amp;RIGHT("0"&amp;MONTH(A725),2))</ns0:f>
        <ns0:v/>
      </ns0:c>
    </ns0:row>
    <ns0:row r="726" ht="21" customHeight="1">
      <ns0:c r="A726" s="25" t="n"/>
      <ns0:c r="B726" s="26" t="n"/>
      <ns0:c r="C726" s="26" t="n"/>
      <ns0:c r="D726" s="26" t="n"/>
      <ns0:c r="E726" s="27" t="n"/>
      <ns0:c r="F726" s="28" t="str">
        <ns0:f>IF(A726="","",YEAR(A726)&amp;"-"&amp;RIGHT("0"&amp;MONTH(A726),2))</ns0:f>
        <ns0:v/>
      </ns0:c>
    </ns0:row>
    <ns0:row r="727" ht="21" customHeight="1">
      <ns0:c r="A727" s="25" t="n"/>
      <ns0:c r="B727" s="26" t="n"/>
      <ns0:c r="C727" s="26" t="n"/>
      <ns0:c r="D727" s="26" t="n"/>
      <ns0:c r="E727" s="27" t="n"/>
      <ns0:c r="F727" s="28" t="str">
        <ns0:f>IF(A727="","",YEAR(A727)&amp;"-"&amp;RIGHT("0"&amp;MONTH(A727),2))</ns0:f>
        <ns0:v/>
      </ns0:c>
    </ns0:row>
    <ns0:row r="728" ht="21" customHeight="1">
      <ns0:c r="A728" s="25" t="n"/>
      <ns0:c r="B728" s="26" t="n"/>
      <ns0:c r="C728" s="26" t="n"/>
      <ns0:c r="D728" s="26" t="n"/>
      <ns0:c r="E728" s="27" t="n"/>
      <ns0:c r="F728" s="28" t="str">
        <ns0:f>IF(A728="","",YEAR(A728)&amp;"-"&amp;RIGHT("0"&amp;MONTH(A728),2))</ns0:f>
        <ns0:v/>
      </ns0:c>
    </ns0:row>
    <ns0:row r="729" ht="21" customHeight="1">
      <ns0:c r="A729" s="25" t="n"/>
      <ns0:c r="B729" s="26" t="n"/>
      <ns0:c r="C729" s="26" t="n"/>
      <ns0:c r="D729" s="26" t="n"/>
      <ns0:c r="E729" s="27" t="n"/>
      <ns0:c r="F729" s="28" t="str">
        <ns0:f>IF(A729="","",YEAR(A729)&amp;"-"&amp;RIGHT("0"&amp;MONTH(A729),2))</ns0:f>
        <ns0:v/>
      </ns0:c>
    </ns0:row>
    <ns0:row r="730" ht="21" customHeight="1">
      <ns0:c r="A730" s="25" t="n"/>
      <ns0:c r="B730" s="26" t="n"/>
      <ns0:c r="C730" s="26" t="n"/>
      <ns0:c r="D730" s="26" t="n"/>
      <ns0:c r="E730" s="27" t="n"/>
      <ns0:c r="F730" s="28" t="str">
        <ns0:f>IF(A730="","",YEAR(A730)&amp;"-"&amp;RIGHT("0"&amp;MONTH(A730),2))</ns0:f>
        <ns0:v/>
      </ns0:c>
    </ns0:row>
    <ns0:row r="731" ht="21" customHeight="1">
      <ns0:c r="A731" s="25" t="n"/>
      <ns0:c r="B731" s="26" t="n"/>
      <ns0:c r="C731" s="26" t="n"/>
      <ns0:c r="D731" s="26" t="n"/>
      <ns0:c r="E731" s="27" t="n"/>
      <ns0:c r="F731" s="28" t="str">
        <ns0:f>IF(A731="","",YEAR(A731)&amp;"-"&amp;RIGHT("0"&amp;MONTH(A731),2))</ns0:f>
        <ns0:v/>
      </ns0:c>
    </ns0:row>
    <ns0:row r="732" ht="21" customHeight="1">
      <ns0:c r="A732" s="25" t="n"/>
      <ns0:c r="B732" s="26" t="n"/>
      <ns0:c r="C732" s="26" t="n"/>
      <ns0:c r="D732" s="26" t="n"/>
      <ns0:c r="E732" s="27" t="n"/>
      <ns0:c r="F732" s="28" t="str">
        <ns0:f>IF(A732="","",YEAR(A732)&amp;"-"&amp;RIGHT("0"&amp;MONTH(A732),2))</ns0:f>
        <ns0:v/>
      </ns0:c>
    </ns0:row>
    <ns0:row r="733" ht="21" customHeight="1">
      <ns0:c r="A733" s="25" t="n"/>
      <ns0:c r="B733" s="26" t="n"/>
      <ns0:c r="C733" s="26" t="n"/>
      <ns0:c r="D733" s="26" t="n"/>
      <ns0:c r="E733" s="27" t="n"/>
      <ns0:c r="F733" s="28" t="str">
        <ns0:f>IF(A733="","",YEAR(A733)&amp;"-"&amp;RIGHT("0"&amp;MONTH(A733),2))</ns0:f>
        <ns0:v/>
      </ns0:c>
    </ns0:row>
    <ns0:row r="734" ht="21" customHeight="1">
      <ns0:c r="A734" s="25" t="n"/>
      <ns0:c r="B734" s="26" t="n"/>
      <ns0:c r="C734" s="26" t="n"/>
      <ns0:c r="D734" s="26" t="n"/>
      <ns0:c r="E734" s="27" t="n"/>
      <ns0:c r="F734" s="28" t="str">
        <ns0:f>IF(A734="","",YEAR(A734)&amp;"-"&amp;RIGHT("0"&amp;MONTH(A734),2))</ns0:f>
        <ns0:v/>
      </ns0:c>
    </ns0:row>
    <ns0:row r="735" ht="21" customHeight="1">
      <ns0:c r="A735" s="25" t="n"/>
      <ns0:c r="B735" s="26" t="n"/>
      <ns0:c r="C735" s="26" t="n"/>
      <ns0:c r="D735" s="26" t="n"/>
      <ns0:c r="E735" s="27" t="n"/>
      <ns0:c r="F735" s="28" t="str">
        <ns0:f>IF(A735="","",YEAR(A735)&amp;"-"&amp;RIGHT("0"&amp;MONTH(A735),2))</ns0:f>
        <ns0:v/>
      </ns0:c>
    </ns0:row>
    <ns0:row r="736" ht="21" customHeight="1">
      <ns0:c r="A736" s="25" t="n"/>
      <ns0:c r="B736" s="26" t="n"/>
      <ns0:c r="C736" s="26" t="n"/>
      <ns0:c r="D736" s="26" t="n"/>
      <ns0:c r="E736" s="27" t="n"/>
      <ns0:c r="F736" s="28" t="str">
        <ns0:f>IF(A736="","",YEAR(A736)&amp;"-"&amp;RIGHT("0"&amp;MONTH(A736),2))</ns0:f>
        <ns0:v/>
      </ns0:c>
    </ns0:row>
    <ns0:row r="737" ht="21" customHeight="1">
      <ns0:c r="A737" s="25" t="n"/>
      <ns0:c r="B737" s="26" t="n"/>
      <ns0:c r="C737" s="26" t="n"/>
      <ns0:c r="D737" s="26" t="n"/>
      <ns0:c r="E737" s="27" t="n"/>
      <ns0:c r="F737" s="28" t="str">
        <ns0:f>IF(A737="","",YEAR(A737)&amp;"-"&amp;RIGHT("0"&amp;MONTH(A737),2))</ns0:f>
        <ns0:v/>
      </ns0:c>
    </ns0:row>
    <ns0:row r="738" ht="21" customHeight="1">
      <ns0:c r="A738" s="25" t="n"/>
      <ns0:c r="B738" s="26" t="n"/>
      <ns0:c r="C738" s="26" t="n"/>
      <ns0:c r="D738" s="26" t="n"/>
      <ns0:c r="E738" s="27" t="n"/>
      <ns0:c r="F738" s="28" t="str">
        <ns0:f>IF(A738="","",YEAR(A738)&amp;"-"&amp;RIGHT("0"&amp;MONTH(A738),2))</ns0:f>
        <ns0:v/>
      </ns0:c>
    </ns0:row>
    <ns0:row r="739" ht="21" customHeight="1">
      <ns0:c r="A739" s="25" t="n"/>
      <ns0:c r="B739" s="26" t="n"/>
      <ns0:c r="C739" s="26" t="n"/>
      <ns0:c r="D739" s="26" t="n"/>
      <ns0:c r="E739" s="27" t="n"/>
      <ns0:c r="F739" s="28" t="str">
        <ns0:f>IF(A739="","",YEAR(A739)&amp;"-"&amp;RIGHT("0"&amp;MONTH(A739),2))</ns0:f>
        <ns0:v/>
      </ns0:c>
    </ns0:row>
    <ns0:row r="740" ht="21" customHeight="1">
      <ns0:c r="A740" s="25" t="n"/>
      <ns0:c r="B740" s="26" t="n"/>
      <ns0:c r="C740" s="26" t="n"/>
      <ns0:c r="D740" s="26" t="n"/>
      <ns0:c r="E740" s="27" t="n"/>
      <ns0:c r="F740" s="28" t="str">
        <ns0:f>IF(A740="","",YEAR(A740)&amp;"-"&amp;RIGHT("0"&amp;MONTH(A740),2))</ns0:f>
        <ns0:v/>
      </ns0:c>
    </ns0:row>
    <ns0:row r="741" ht="21" customHeight="1">
      <ns0:c r="A741" s="25" t="n"/>
      <ns0:c r="B741" s="26" t="n"/>
      <ns0:c r="C741" s="26" t="n"/>
      <ns0:c r="D741" s="26" t="n"/>
      <ns0:c r="E741" s="27" t="n"/>
      <ns0:c r="F741" s="28" t="str">
        <ns0:f>IF(A741="","",YEAR(A741)&amp;"-"&amp;RIGHT("0"&amp;MONTH(A741),2))</ns0:f>
        <ns0:v/>
      </ns0:c>
    </ns0:row>
    <ns0:row r="742" ht="21" customHeight="1">
      <ns0:c r="A742" s="25" t="n"/>
      <ns0:c r="B742" s="26" t="n"/>
      <ns0:c r="C742" s="26" t="n"/>
      <ns0:c r="D742" s="26" t="n"/>
      <ns0:c r="E742" s="27" t="n"/>
      <ns0:c r="F742" s="28" t="str">
        <ns0:f>IF(A742="","",YEAR(A742)&amp;"-"&amp;RIGHT("0"&amp;MONTH(A742),2))</ns0:f>
        <ns0:v/>
      </ns0:c>
    </ns0:row>
    <ns0:row r="743" ht="21" customHeight="1">
      <ns0:c r="A743" s="25" t="n"/>
      <ns0:c r="B743" s="26" t="n"/>
      <ns0:c r="C743" s="26" t="n"/>
      <ns0:c r="D743" s="26" t="n"/>
      <ns0:c r="E743" s="27" t="n"/>
      <ns0:c r="F743" s="28" t="str">
        <ns0:f>IF(A743="","",YEAR(A743)&amp;"-"&amp;RIGHT("0"&amp;MONTH(A743),2))</ns0:f>
        <ns0:v/>
      </ns0:c>
    </ns0:row>
    <ns0:row r="744" ht="21" customHeight="1">
      <ns0:c r="A744" s="25" t="n"/>
      <ns0:c r="B744" s="26" t="n"/>
      <ns0:c r="C744" s="26" t="n"/>
      <ns0:c r="D744" s="26" t="n"/>
      <ns0:c r="E744" s="27" t="n"/>
      <ns0:c r="F744" s="28" t="str">
        <ns0:f>IF(A744="","",YEAR(A744)&amp;"-"&amp;RIGHT("0"&amp;MONTH(A744),2))</ns0:f>
        <ns0:v/>
      </ns0:c>
    </ns0:row>
    <ns0:row r="745" ht="21" customHeight="1">
      <ns0:c r="A745" s="25" t="n"/>
      <ns0:c r="B745" s="26" t="n"/>
      <ns0:c r="C745" s="26" t="n"/>
      <ns0:c r="D745" s="26" t="n"/>
      <ns0:c r="E745" s="27" t="n"/>
      <ns0:c r="F745" s="28" t="str">
        <ns0:f>IF(A745="","",YEAR(A745)&amp;"-"&amp;RIGHT("0"&amp;MONTH(A745),2))</ns0:f>
        <ns0:v/>
      </ns0:c>
    </ns0:row>
    <ns0:row r="746" ht="21" customHeight="1">
      <ns0:c r="A746" s="25" t="n"/>
      <ns0:c r="B746" s="26" t="n"/>
      <ns0:c r="C746" s="26" t="n"/>
      <ns0:c r="D746" s="26" t="n"/>
      <ns0:c r="E746" s="27" t="n"/>
      <ns0:c r="F746" s="28" t="str">
        <ns0:f>IF(A746="","",YEAR(A746)&amp;"-"&amp;RIGHT("0"&amp;MONTH(A746),2))</ns0:f>
        <ns0:v/>
      </ns0:c>
    </ns0:row>
    <ns0:row r="747" ht="21" customHeight="1">
      <ns0:c r="A747" s="25" t="n"/>
      <ns0:c r="B747" s="26" t="n"/>
      <ns0:c r="C747" s="26" t="n"/>
      <ns0:c r="D747" s="26" t="n"/>
      <ns0:c r="E747" s="27" t="n"/>
      <ns0:c r="F747" s="28" t="str">
        <ns0:f>IF(A747="","",YEAR(A747)&amp;"-"&amp;RIGHT("0"&amp;MONTH(A747),2))</ns0:f>
        <ns0:v/>
      </ns0:c>
    </ns0:row>
    <ns0:row r="748" ht="21" customHeight="1">
      <ns0:c r="A748" s="25" t="n"/>
      <ns0:c r="B748" s="26" t="n"/>
      <ns0:c r="C748" s="26" t="n"/>
      <ns0:c r="D748" s="26" t="n"/>
      <ns0:c r="E748" s="27" t="n"/>
      <ns0:c r="F748" s="28" t="str">
        <ns0:f>IF(A748="","",YEAR(A748)&amp;"-"&amp;RIGHT("0"&amp;MONTH(A748),2))</ns0:f>
        <ns0:v/>
      </ns0:c>
    </ns0:row>
    <ns0:row r="749" ht="21" customHeight="1">
      <ns0:c r="A749" s="25" t="n"/>
      <ns0:c r="B749" s="26" t="n"/>
      <ns0:c r="C749" s="26" t="n"/>
      <ns0:c r="D749" s="26" t="n"/>
      <ns0:c r="E749" s="27" t="n"/>
      <ns0:c r="F749" s="28" t="str">
        <ns0:f>IF(A749="","",YEAR(A749)&amp;"-"&amp;RIGHT("0"&amp;MONTH(A749),2))</ns0:f>
        <ns0:v/>
      </ns0:c>
    </ns0:row>
    <ns0:row r="750" ht="21" customHeight="1">
      <ns0:c r="A750" s="25" t="n"/>
      <ns0:c r="B750" s="26" t="n"/>
      <ns0:c r="C750" s="26" t="n"/>
      <ns0:c r="D750" s="26" t="n"/>
      <ns0:c r="E750" s="27" t="n"/>
      <ns0:c r="F750" s="28" t="str">
        <ns0:f>IF(A750="","",YEAR(A750)&amp;"-"&amp;RIGHT("0"&amp;MONTH(A750),2))</ns0:f>
        <ns0:v/>
      </ns0:c>
    </ns0:row>
    <ns0:row r="751" ht="21" customHeight="1">
      <ns0:c r="A751" s="25" t="n"/>
      <ns0:c r="B751" s="26" t="n"/>
      <ns0:c r="C751" s="26" t="n"/>
      <ns0:c r="D751" s="26" t="n"/>
      <ns0:c r="E751" s="27" t="n"/>
      <ns0:c r="F751" s="28" t="str">
        <ns0:f>IF(A751="","",YEAR(A751)&amp;"-"&amp;RIGHT("0"&amp;MONTH(A751),2))</ns0:f>
        <ns0:v/>
      </ns0:c>
    </ns0:row>
    <ns0:row r="752" ht="21" customHeight="1">
      <ns0:c r="A752" s="25" t="n"/>
      <ns0:c r="B752" s="26" t="n"/>
      <ns0:c r="C752" s="26" t="n"/>
      <ns0:c r="D752" s="26" t="n"/>
      <ns0:c r="E752" s="27" t="n"/>
      <ns0:c r="F752" s="28" t="str">
        <ns0:f>IF(A752="","",YEAR(A752)&amp;"-"&amp;RIGHT("0"&amp;MONTH(A752),2))</ns0:f>
        <ns0:v/>
      </ns0:c>
    </ns0:row>
    <ns0:row r="753" ht="21" customHeight="1">
      <ns0:c r="A753" s="25" t="n"/>
      <ns0:c r="B753" s="26" t="n"/>
      <ns0:c r="C753" s="26" t="n"/>
      <ns0:c r="D753" s="26" t="n"/>
      <ns0:c r="E753" s="27" t="n"/>
      <ns0:c r="F753" s="28" t="str">
        <ns0:f>IF(A753="","",YEAR(A753)&amp;"-"&amp;RIGHT("0"&amp;MONTH(A753),2))</ns0:f>
        <ns0:v/>
      </ns0:c>
    </ns0:row>
    <ns0:row r="754" ht="21" customHeight="1">
      <ns0:c r="A754" s="25" t="n"/>
      <ns0:c r="B754" s="26" t="n"/>
      <ns0:c r="C754" s="26" t="n"/>
      <ns0:c r="D754" s="26" t="n"/>
      <ns0:c r="E754" s="27" t="n"/>
      <ns0:c r="F754" s="28" t="str">
        <ns0:f>IF(A754="","",YEAR(A754)&amp;"-"&amp;RIGHT("0"&amp;MONTH(A754),2))</ns0:f>
        <ns0:v/>
      </ns0:c>
    </ns0:row>
    <ns0:row r="755" ht="21" customHeight="1">
      <ns0:c r="A755" s="25" t="n"/>
      <ns0:c r="B755" s="26" t="n"/>
      <ns0:c r="C755" s="26" t="n"/>
      <ns0:c r="D755" s="26" t="n"/>
      <ns0:c r="E755" s="27" t="n"/>
      <ns0:c r="F755" s="28" t="str">
        <ns0:f>IF(A755="","",YEAR(A755)&amp;"-"&amp;RIGHT("0"&amp;MONTH(A755),2))</ns0:f>
        <ns0:v/>
      </ns0:c>
    </ns0:row>
    <ns0:row r="756" ht="21" customHeight="1">
      <ns0:c r="A756" s="25" t="n"/>
      <ns0:c r="B756" s="26" t="n"/>
      <ns0:c r="C756" s="26" t="n"/>
      <ns0:c r="D756" s="26" t="n"/>
      <ns0:c r="E756" s="27" t="n"/>
      <ns0:c r="F756" s="28" t="str">
        <ns0:f>IF(A756="","",YEAR(A756)&amp;"-"&amp;RIGHT("0"&amp;MONTH(A756),2))</ns0:f>
        <ns0:v/>
      </ns0:c>
    </ns0:row>
    <ns0:row r="757" ht="21" customHeight="1">
      <ns0:c r="A757" s="25" t="n"/>
      <ns0:c r="B757" s="26" t="n"/>
      <ns0:c r="C757" s="26" t="n"/>
      <ns0:c r="D757" s="26" t="n"/>
      <ns0:c r="E757" s="27" t="n"/>
      <ns0:c r="F757" s="28" t="str">
        <ns0:f>IF(A757="","",YEAR(A757)&amp;"-"&amp;RIGHT("0"&amp;MONTH(A757),2))</ns0:f>
        <ns0:v/>
      </ns0:c>
    </ns0:row>
    <ns0:row r="758" ht="21" customHeight="1">
      <ns0:c r="A758" s="25" t="n"/>
      <ns0:c r="B758" s="26" t="n"/>
      <ns0:c r="C758" s="26" t="n"/>
      <ns0:c r="D758" s="26" t="n"/>
      <ns0:c r="E758" s="27" t="n"/>
      <ns0:c r="F758" s="28" t="str">
        <ns0:f>IF(A758="","",YEAR(A758)&amp;"-"&amp;RIGHT("0"&amp;MONTH(A758),2))</ns0:f>
        <ns0:v/>
      </ns0:c>
    </ns0:row>
    <ns0:row r="759" ht="21" customHeight="1">
      <ns0:c r="A759" s="25" t="n"/>
      <ns0:c r="B759" s="26" t="n"/>
      <ns0:c r="C759" s="26" t="n"/>
      <ns0:c r="D759" s="26" t="n"/>
      <ns0:c r="E759" s="27" t="n"/>
      <ns0:c r="F759" s="28" t="str">
        <ns0:f>IF(A759="","",YEAR(A759)&amp;"-"&amp;RIGHT("0"&amp;MONTH(A759),2))</ns0:f>
        <ns0:v/>
      </ns0:c>
    </ns0:row>
    <ns0:row r="760" ht="21" customHeight="1">
      <ns0:c r="A760" s="25" t="n"/>
      <ns0:c r="B760" s="26" t="n"/>
      <ns0:c r="C760" s="26" t="n"/>
      <ns0:c r="D760" s="26" t="n"/>
      <ns0:c r="E760" s="27" t="n"/>
      <ns0:c r="F760" s="28" t="str">
        <ns0:f>IF(A760="","",YEAR(A760)&amp;"-"&amp;RIGHT("0"&amp;MONTH(A760),2))</ns0:f>
        <ns0:v/>
      </ns0:c>
    </ns0:row>
    <ns0:row r="761" ht="21" customHeight="1">
      <ns0:c r="A761" s="25" t="n"/>
      <ns0:c r="B761" s="26" t="n"/>
      <ns0:c r="C761" s="26" t="n"/>
      <ns0:c r="D761" s="26" t="n"/>
      <ns0:c r="E761" s="27" t="n"/>
      <ns0:c r="F761" s="28" t="str">
        <ns0:f>IF(A761="","",YEAR(A761)&amp;"-"&amp;RIGHT("0"&amp;MONTH(A761),2))</ns0:f>
        <ns0:v/>
      </ns0:c>
    </ns0:row>
    <ns0:row r="762" ht="21" customHeight="1">
      <ns0:c r="A762" s="25" t="n"/>
      <ns0:c r="B762" s="26" t="n"/>
      <ns0:c r="C762" s="26" t="n"/>
      <ns0:c r="D762" s="26" t="n"/>
      <ns0:c r="E762" s="27" t="n"/>
      <ns0:c r="F762" s="28" t="str">
        <ns0:f>IF(A762="","",YEAR(A762)&amp;"-"&amp;RIGHT("0"&amp;MONTH(A762),2))</ns0:f>
        <ns0:v/>
      </ns0:c>
    </ns0:row>
    <ns0:row r="763" ht="21" customHeight="1">
      <ns0:c r="A763" s="25" t="n"/>
      <ns0:c r="B763" s="26" t="n"/>
      <ns0:c r="C763" s="26" t="n"/>
      <ns0:c r="D763" s="26" t="n"/>
      <ns0:c r="E763" s="27" t="n"/>
      <ns0:c r="F763" s="28" t="str">
        <ns0:f>IF(A763="","",YEAR(A763)&amp;"-"&amp;RIGHT("0"&amp;MONTH(A763),2))</ns0:f>
        <ns0:v/>
      </ns0:c>
    </ns0:row>
    <ns0:row r="764" ht="21" customHeight="1">
      <ns0:c r="A764" s="25" t="n"/>
      <ns0:c r="B764" s="26" t="n"/>
      <ns0:c r="C764" s="26" t="n"/>
      <ns0:c r="D764" s="26" t="n"/>
      <ns0:c r="E764" s="27" t="n"/>
      <ns0:c r="F764" s="28" t="str">
        <ns0:f>IF(A764="","",YEAR(A764)&amp;"-"&amp;RIGHT("0"&amp;MONTH(A764),2))</ns0:f>
        <ns0:v/>
      </ns0:c>
    </ns0:row>
    <ns0:row r="765" ht="21" customHeight="1">
      <ns0:c r="A765" s="25" t="n"/>
      <ns0:c r="B765" s="26" t="n"/>
      <ns0:c r="C765" s="26" t="n"/>
      <ns0:c r="D765" s="26" t="n"/>
      <ns0:c r="E765" s="27" t="n"/>
      <ns0:c r="F765" s="28" t="str">
        <ns0:f>IF(A765="","",YEAR(A765)&amp;"-"&amp;RIGHT("0"&amp;MONTH(A765),2))</ns0:f>
        <ns0:v/>
      </ns0:c>
    </ns0:row>
    <ns0:row r="766" ht="21" customHeight="1">
      <ns0:c r="A766" s="25" t="n"/>
      <ns0:c r="B766" s="26" t="n"/>
      <ns0:c r="C766" s="26" t="n"/>
      <ns0:c r="D766" s="26" t="n"/>
      <ns0:c r="E766" s="27" t="n"/>
      <ns0:c r="F766" s="28" t="str">
        <ns0:f>IF(A766="","",YEAR(A766)&amp;"-"&amp;RIGHT("0"&amp;MONTH(A766),2))</ns0:f>
        <ns0:v/>
      </ns0:c>
    </ns0:row>
    <ns0:row r="767" ht="21" customHeight="1">
      <ns0:c r="A767" s="25" t="n"/>
      <ns0:c r="B767" s="26" t="n"/>
      <ns0:c r="C767" s="26" t="n"/>
      <ns0:c r="D767" s="26" t="n"/>
      <ns0:c r="E767" s="27" t="n"/>
      <ns0:c r="F767" s="28" t="str">
        <ns0:f>IF(A767="","",YEAR(A767)&amp;"-"&amp;RIGHT("0"&amp;MONTH(A767),2))</ns0:f>
        <ns0:v/>
      </ns0:c>
    </ns0:row>
    <ns0:row r="768" ht="21" customHeight="1">
      <ns0:c r="A768" s="25" t="n"/>
      <ns0:c r="B768" s="26" t="n"/>
      <ns0:c r="C768" s="26" t="n"/>
      <ns0:c r="D768" s="26" t="n"/>
      <ns0:c r="E768" s="27" t="n"/>
      <ns0:c r="F768" s="28" t="str">
        <ns0:f>IF(A768="","",YEAR(A768)&amp;"-"&amp;RIGHT("0"&amp;MONTH(A768),2))</ns0:f>
        <ns0:v/>
      </ns0:c>
    </ns0:row>
    <ns0:row r="769" ht="21" customHeight="1">
      <ns0:c r="A769" s="25" t="n"/>
      <ns0:c r="B769" s="26" t="n"/>
      <ns0:c r="C769" s="26" t="n"/>
      <ns0:c r="D769" s="26" t="n"/>
      <ns0:c r="E769" s="27" t="n"/>
      <ns0:c r="F769" s="28" t="str">
        <ns0:f>IF(A769="","",YEAR(A769)&amp;"-"&amp;RIGHT("0"&amp;MONTH(A769),2))</ns0:f>
        <ns0:v/>
      </ns0:c>
    </ns0:row>
    <ns0:row r="770" ht="21" customHeight="1">
      <ns0:c r="A770" s="25" t="n"/>
      <ns0:c r="B770" s="26" t="n"/>
      <ns0:c r="C770" s="26" t="n"/>
      <ns0:c r="D770" s="26" t="n"/>
      <ns0:c r="E770" s="27" t="n"/>
      <ns0:c r="F770" s="28" t="str">
        <ns0:f>IF(A770="","",YEAR(A770)&amp;"-"&amp;RIGHT("0"&amp;MONTH(A770),2))</ns0:f>
        <ns0:v/>
      </ns0:c>
    </ns0:row>
    <ns0:row r="771" ht="21" customHeight="1">
      <ns0:c r="A771" s="25" t="n"/>
      <ns0:c r="B771" s="26" t="n"/>
      <ns0:c r="C771" s="26" t="n"/>
      <ns0:c r="D771" s="26" t="n"/>
      <ns0:c r="E771" s="27" t="n"/>
      <ns0:c r="F771" s="28" t="str">
        <ns0:f>IF(A771="","",YEAR(A771)&amp;"-"&amp;RIGHT("0"&amp;MONTH(A771),2))</ns0:f>
        <ns0:v/>
      </ns0:c>
    </ns0:row>
    <ns0:row r="772" ht="21" customHeight="1">
      <ns0:c r="A772" s="25" t="n"/>
      <ns0:c r="B772" s="26" t="n"/>
      <ns0:c r="C772" s="26" t="n"/>
      <ns0:c r="D772" s="26" t="n"/>
      <ns0:c r="E772" s="27" t="n"/>
      <ns0:c r="F772" s="28" t="str">
        <ns0:f>IF(A772="","",YEAR(A772)&amp;"-"&amp;RIGHT("0"&amp;MONTH(A772),2))</ns0:f>
        <ns0:v/>
      </ns0:c>
    </ns0:row>
    <ns0:row r="773" ht="21" customHeight="1">
      <ns0:c r="A773" s="25" t="n"/>
      <ns0:c r="B773" s="26" t="n"/>
      <ns0:c r="C773" s="26" t="n"/>
      <ns0:c r="D773" s="26" t="n"/>
      <ns0:c r="E773" s="27" t="n"/>
      <ns0:c r="F773" s="28" t="str">
        <ns0:f>IF(A773="","",YEAR(A773)&amp;"-"&amp;RIGHT("0"&amp;MONTH(A773),2))</ns0:f>
        <ns0:v/>
      </ns0:c>
    </ns0:row>
    <ns0:row r="774" ht="21" customHeight="1">
      <ns0:c r="A774" s="25" t="n"/>
      <ns0:c r="B774" s="26" t="n"/>
      <ns0:c r="C774" s="26" t="n"/>
      <ns0:c r="D774" s="26" t="n"/>
      <ns0:c r="E774" s="27" t="n"/>
      <ns0:c r="F774" s="28" t="str">
        <ns0:f>IF(A774="","",YEAR(A774)&amp;"-"&amp;RIGHT("0"&amp;MONTH(A774),2))</ns0:f>
        <ns0:v/>
      </ns0:c>
    </ns0:row>
    <ns0:row r="775" ht="21" customHeight="1">
      <ns0:c r="A775" s="25" t="n"/>
      <ns0:c r="B775" s="26" t="n"/>
      <ns0:c r="C775" s="26" t="n"/>
      <ns0:c r="D775" s="26" t="n"/>
      <ns0:c r="E775" s="27" t="n"/>
      <ns0:c r="F775" s="28" t="str">
        <ns0:f>IF(A775="","",YEAR(A775)&amp;"-"&amp;RIGHT("0"&amp;MONTH(A775),2))</ns0:f>
        <ns0:v/>
      </ns0:c>
    </ns0:row>
    <ns0:row r="776" ht="21" customHeight="1">
      <ns0:c r="A776" s="25" t="n"/>
      <ns0:c r="B776" s="26" t="n"/>
      <ns0:c r="C776" s="26" t="n"/>
      <ns0:c r="D776" s="26" t="n"/>
      <ns0:c r="E776" s="27" t="n"/>
      <ns0:c r="F776" s="28" t="str">
        <ns0:f>IF(A776="","",YEAR(A776)&amp;"-"&amp;RIGHT("0"&amp;MONTH(A776),2))</ns0:f>
        <ns0:v/>
      </ns0:c>
    </ns0:row>
    <ns0:row r="777" ht="21" customHeight="1">
      <ns0:c r="A777" s="25" t="n"/>
      <ns0:c r="B777" s="26" t="n"/>
      <ns0:c r="C777" s="26" t="n"/>
      <ns0:c r="D777" s="26" t="n"/>
      <ns0:c r="E777" s="27" t="n"/>
      <ns0:c r="F777" s="28" t="str">
        <ns0:f>IF(A777="","",YEAR(A777)&amp;"-"&amp;RIGHT("0"&amp;MONTH(A777),2))</ns0:f>
        <ns0:v/>
      </ns0:c>
    </ns0:row>
    <ns0:row r="778" ht="21" customHeight="1">
      <ns0:c r="A778" s="25" t="n"/>
      <ns0:c r="B778" s="26" t="n"/>
      <ns0:c r="C778" s="26" t="n"/>
      <ns0:c r="D778" s="26" t="n"/>
      <ns0:c r="E778" s="27" t="n"/>
      <ns0:c r="F778" s="28" t="str">
        <ns0:f>IF(A778="","",YEAR(A778)&amp;"-"&amp;RIGHT("0"&amp;MONTH(A778),2))</ns0:f>
        <ns0:v/>
      </ns0:c>
    </ns0:row>
    <ns0:row r="779" ht="21" customHeight="1">
      <ns0:c r="A779" s="25" t="n"/>
      <ns0:c r="B779" s="26" t="n"/>
      <ns0:c r="C779" s="26" t="n"/>
      <ns0:c r="D779" s="26" t="n"/>
      <ns0:c r="E779" s="27" t="n"/>
      <ns0:c r="F779" s="28" t="str">
        <ns0:f>IF(A779="","",YEAR(A779)&amp;"-"&amp;RIGHT("0"&amp;MONTH(A779),2))</ns0:f>
        <ns0:v/>
      </ns0:c>
    </ns0:row>
    <ns0:row r="780" ht="21" customHeight="1">
      <ns0:c r="A780" s="25" t="n"/>
      <ns0:c r="B780" s="26" t="n"/>
      <ns0:c r="C780" s="26" t="n"/>
      <ns0:c r="D780" s="26" t="n"/>
      <ns0:c r="E780" s="27" t="n"/>
      <ns0:c r="F780" s="28" t="str">
        <ns0:f>IF(A780="","",YEAR(A780)&amp;"-"&amp;RIGHT("0"&amp;MONTH(A780),2))</ns0:f>
        <ns0:v/>
      </ns0:c>
    </ns0:row>
    <ns0:row r="781" ht="21" customHeight="1">
      <ns0:c r="A781" s="25" t="n"/>
      <ns0:c r="B781" s="26" t="n"/>
      <ns0:c r="C781" s="26" t="n"/>
      <ns0:c r="D781" s="26" t="n"/>
      <ns0:c r="E781" s="27" t="n"/>
      <ns0:c r="F781" s="28" t="str">
        <ns0:f>IF(A781="","",YEAR(A781)&amp;"-"&amp;RIGHT("0"&amp;MONTH(A781),2))</ns0:f>
        <ns0:v/>
      </ns0:c>
    </ns0:row>
    <ns0:row r="782" ht="21" customHeight="1">
      <ns0:c r="A782" s="25" t="n"/>
      <ns0:c r="B782" s="26" t="n"/>
      <ns0:c r="C782" s="26" t="n"/>
      <ns0:c r="D782" s="26" t="n"/>
      <ns0:c r="E782" s="27" t="n"/>
      <ns0:c r="F782" s="28" t="str">
        <ns0:f>IF(A782="","",YEAR(A782)&amp;"-"&amp;RIGHT("0"&amp;MONTH(A782),2))</ns0:f>
        <ns0:v/>
      </ns0:c>
    </ns0:row>
    <ns0:row r="783" ht="21" customHeight="1">
      <ns0:c r="A783" s="25" t="n"/>
      <ns0:c r="B783" s="26" t="n"/>
      <ns0:c r="C783" s="26" t="n"/>
      <ns0:c r="D783" s="26" t="n"/>
      <ns0:c r="E783" s="27" t="n"/>
      <ns0:c r="F783" s="28" t="str">
        <ns0:f>IF(A783="","",YEAR(A783)&amp;"-"&amp;RIGHT("0"&amp;MONTH(A783),2))</ns0:f>
        <ns0:v/>
      </ns0:c>
    </ns0:row>
    <ns0:row r="784" ht="21" customHeight="1">
      <ns0:c r="A784" s="25" t="n"/>
      <ns0:c r="B784" s="26" t="n"/>
      <ns0:c r="C784" s="26" t="n"/>
      <ns0:c r="D784" s="26" t="n"/>
      <ns0:c r="E784" s="27" t="n"/>
      <ns0:c r="F784" s="28" t="str">
        <ns0:f>IF(A784="","",YEAR(A784)&amp;"-"&amp;RIGHT("0"&amp;MONTH(A784),2))</ns0:f>
        <ns0:v/>
      </ns0:c>
    </ns0:row>
    <ns0:row r="785" ht="21" customHeight="1">
      <ns0:c r="A785" s="25" t="n"/>
      <ns0:c r="B785" s="26" t="n"/>
      <ns0:c r="C785" s="26" t="n"/>
      <ns0:c r="D785" s="26" t="n"/>
      <ns0:c r="E785" s="27" t="n"/>
      <ns0:c r="F785" s="28" t="str">
        <ns0:f>IF(A785="","",YEAR(A785)&amp;"-"&amp;RIGHT("0"&amp;MONTH(A785),2))</ns0:f>
        <ns0:v/>
      </ns0:c>
    </ns0:row>
    <ns0:row r="786" ht="21" customHeight="1">
      <ns0:c r="A786" s="25" t="n"/>
      <ns0:c r="B786" s="26" t="n"/>
      <ns0:c r="C786" s="26" t="n"/>
      <ns0:c r="D786" s="26" t="n"/>
      <ns0:c r="E786" s="27" t="n"/>
      <ns0:c r="F786" s="28" t="str">
        <ns0:f>IF(A786="","",YEAR(A786)&amp;"-"&amp;RIGHT("0"&amp;MONTH(A786),2))</ns0:f>
        <ns0:v/>
      </ns0:c>
    </ns0:row>
    <ns0:row r="787" ht="21" customHeight="1">
      <ns0:c r="A787" s="25" t="n"/>
      <ns0:c r="B787" s="26" t="n"/>
      <ns0:c r="C787" s="26" t="n"/>
      <ns0:c r="D787" s="26" t="n"/>
      <ns0:c r="E787" s="27" t="n"/>
      <ns0:c r="F787" s="28" t="str">
        <ns0:f>IF(A787="","",YEAR(A787)&amp;"-"&amp;RIGHT("0"&amp;MONTH(A787),2))</ns0:f>
        <ns0:v/>
      </ns0:c>
    </ns0:row>
    <ns0:row r="788" ht="21" customHeight="1">
      <ns0:c r="A788" s="25" t="n"/>
      <ns0:c r="B788" s="26" t="n"/>
      <ns0:c r="C788" s="26" t="n"/>
      <ns0:c r="D788" s="26" t="n"/>
      <ns0:c r="E788" s="27" t="n"/>
      <ns0:c r="F788" s="28" t="str">
        <ns0:f>IF(A788="","",YEAR(A788)&amp;"-"&amp;RIGHT("0"&amp;MONTH(A788),2))</ns0:f>
        <ns0:v/>
      </ns0:c>
    </ns0:row>
    <ns0:row r="789" ht="21" customHeight="1">
      <ns0:c r="A789" s="25" t="n"/>
      <ns0:c r="B789" s="26" t="n"/>
      <ns0:c r="C789" s="26" t="n"/>
      <ns0:c r="D789" s="26" t="n"/>
      <ns0:c r="E789" s="27" t="n"/>
      <ns0:c r="F789" s="28" t="str">
        <ns0:f>IF(A789="","",YEAR(A789)&amp;"-"&amp;RIGHT("0"&amp;MONTH(A789),2))</ns0:f>
        <ns0:v/>
      </ns0:c>
    </ns0:row>
    <ns0:row r="790" ht="21" customHeight="1">
      <ns0:c r="A790" s="25" t="n"/>
      <ns0:c r="B790" s="26" t="n"/>
      <ns0:c r="C790" s="26" t="n"/>
      <ns0:c r="D790" s="26" t="n"/>
      <ns0:c r="E790" s="27" t="n"/>
      <ns0:c r="F790" s="28" t="str">
        <ns0:f>IF(A790="","",YEAR(A790)&amp;"-"&amp;RIGHT("0"&amp;MONTH(A790),2))</ns0:f>
        <ns0:v/>
      </ns0:c>
    </ns0:row>
    <ns0:row r="791" ht="21" customHeight="1">
      <ns0:c r="A791" s="25" t="n"/>
      <ns0:c r="B791" s="26" t="n"/>
      <ns0:c r="C791" s="26" t="n"/>
      <ns0:c r="D791" s="26" t="n"/>
      <ns0:c r="E791" s="27" t="n"/>
      <ns0:c r="F791" s="28" t="str">
        <ns0:f>IF(A791="","",YEAR(A791)&amp;"-"&amp;RIGHT("0"&amp;MONTH(A791),2))</ns0:f>
        <ns0:v/>
      </ns0:c>
    </ns0:row>
    <ns0:row r="792" ht="21" customHeight="1">
      <ns0:c r="A792" s="25" t="n"/>
      <ns0:c r="B792" s="26" t="n"/>
      <ns0:c r="C792" s="26" t="n"/>
      <ns0:c r="D792" s="26" t="n"/>
      <ns0:c r="E792" s="27" t="n"/>
      <ns0:c r="F792" s="28" t="str">
        <ns0:f>IF(A792="","",YEAR(A792)&amp;"-"&amp;RIGHT("0"&amp;MONTH(A792),2))</ns0:f>
        <ns0:v/>
      </ns0:c>
    </ns0:row>
    <ns0:row r="793" ht="21" customHeight="1">
      <ns0:c r="A793" s="25" t="n"/>
      <ns0:c r="B793" s="26" t="n"/>
      <ns0:c r="C793" s="26" t="n"/>
      <ns0:c r="D793" s="26" t="n"/>
      <ns0:c r="E793" s="27" t="n"/>
      <ns0:c r="F793" s="28" t="str">
        <ns0:f>IF(A793="","",YEAR(A793)&amp;"-"&amp;RIGHT("0"&amp;MONTH(A793),2))</ns0:f>
        <ns0:v/>
      </ns0:c>
    </ns0:row>
    <ns0:row r="794" ht="21" customHeight="1">
      <ns0:c r="A794" s="25" t="n"/>
      <ns0:c r="B794" s="26" t="n"/>
      <ns0:c r="C794" s="26" t="n"/>
      <ns0:c r="D794" s="26" t="n"/>
      <ns0:c r="E794" s="27" t="n"/>
      <ns0:c r="F794" s="28" t="str">
        <ns0:f>IF(A794="","",YEAR(A794)&amp;"-"&amp;RIGHT("0"&amp;MONTH(A794),2))</ns0:f>
        <ns0:v/>
      </ns0:c>
    </ns0:row>
    <ns0:row r="795" ht="21" customHeight="1">
      <ns0:c r="A795" s="25" t="n"/>
      <ns0:c r="B795" s="26" t="n"/>
      <ns0:c r="C795" s="26" t="n"/>
      <ns0:c r="D795" s="26" t="n"/>
      <ns0:c r="E795" s="27" t="n"/>
      <ns0:c r="F795" s="28" t="str">
        <ns0:f>IF(A795="","",YEAR(A795)&amp;"-"&amp;RIGHT("0"&amp;MONTH(A795),2))</ns0:f>
        <ns0:v/>
      </ns0:c>
    </ns0:row>
    <ns0:row r="796" ht="21" customHeight="1">
      <ns0:c r="A796" s="25" t="n"/>
      <ns0:c r="B796" s="26" t="n"/>
      <ns0:c r="C796" s="26" t="n"/>
      <ns0:c r="D796" s="26" t="n"/>
      <ns0:c r="E796" s="27" t="n"/>
      <ns0:c r="F796" s="28" t="str">
        <ns0:f>IF(A796="","",YEAR(A796)&amp;"-"&amp;RIGHT("0"&amp;MONTH(A796),2))</ns0:f>
        <ns0:v/>
      </ns0:c>
    </ns0:row>
    <ns0:row r="797" ht="21" customHeight="1">
      <ns0:c r="A797" s="25" t="n"/>
      <ns0:c r="B797" s="26" t="n"/>
      <ns0:c r="C797" s="26" t="n"/>
      <ns0:c r="D797" s="26" t="n"/>
      <ns0:c r="E797" s="27" t="n"/>
      <ns0:c r="F797" s="28" t="str">
        <ns0:f>IF(A797="","",YEAR(A797)&amp;"-"&amp;RIGHT("0"&amp;MONTH(A797),2))</ns0:f>
        <ns0:v/>
      </ns0:c>
    </ns0:row>
    <ns0:row r="798" ht="21" customHeight="1">
      <ns0:c r="A798" s="25" t="n"/>
      <ns0:c r="B798" s="26" t="n"/>
      <ns0:c r="C798" s="26" t="n"/>
      <ns0:c r="D798" s="26" t="n"/>
      <ns0:c r="E798" s="27" t="n"/>
      <ns0:c r="F798" s="28" t="str">
        <ns0:f>IF(A798="","",YEAR(A798)&amp;"-"&amp;RIGHT("0"&amp;MONTH(A798),2))</ns0:f>
        <ns0:v/>
      </ns0:c>
    </ns0:row>
    <ns0:row r="799" ht="21" customHeight="1">
      <ns0:c r="A799" s="25" t="n"/>
      <ns0:c r="B799" s="26" t="n"/>
      <ns0:c r="C799" s="26" t="n"/>
      <ns0:c r="D799" s="26" t="n"/>
      <ns0:c r="E799" s="27" t="n"/>
      <ns0:c r="F799" s="28" t="str">
        <ns0:f>IF(A799="","",YEAR(A799)&amp;"-"&amp;RIGHT("0"&amp;MONTH(A799),2))</ns0:f>
        <ns0:v/>
      </ns0:c>
    </ns0:row>
    <ns0:row r="800" ht="21" customHeight="1">
      <ns0:c r="A800" s="25" t="n"/>
      <ns0:c r="B800" s="26" t="n"/>
      <ns0:c r="C800" s="26" t="n"/>
      <ns0:c r="D800" s="26" t="n"/>
      <ns0:c r="E800" s="27" t="n"/>
      <ns0:c r="F800" s="28" t="str">
        <ns0:f>IF(A800="","",YEAR(A800)&amp;"-"&amp;RIGHT("0"&amp;MONTH(A800),2))</ns0:f>
        <ns0:v/>
      </ns0:c>
    </ns0:row>
    <ns0:row r="801" ht="21" customHeight="1">
      <ns0:c r="A801" s="25" t="n"/>
      <ns0:c r="B801" s="26" t="n"/>
      <ns0:c r="C801" s="26" t="n"/>
      <ns0:c r="D801" s="26" t="n"/>
      <ns0:c r="E801" s="27" t="n"/>
      <ns0:c r="F801" s="28" t="str">
        <ns0:f>IF(A801="","",YEAR(A801)&amp;"-"&amp;RIGHT("0"&amp;MONTH(A801),2))</ns0:f>
        <ns0:v/>
      </ns0:c>
    </ns0:row>
    <ns0:row r="802" ht="21" customHeight="1">
      <ns0:c r="A802" s="25" t="n"/>
      <ns0:c r="B802" s="26" t="n"/>
      <ns0:c r="C802" s="26" t="n"/>
      <ns0:c r="D802" s="26" t="n"/>
      <ns0:c r="E802" s="27" t="n"/>
      <ns0:c r="F802" s="28" t="str">
        <ns0:f>IF(A802="","",YEAR(A802)&amp;"-"&amp;RIGHT("0"&amp;MONTH(A802),2))</ns0:f>
        <ns0:v/>
      </ns0:c>
    </ns0:row>
    <ns0:row r="803" ht="21" customHeight="1">
      <ns0:c r="A803" s="25" t="n"/>
      <ns0:c r="B803" s="26" t="n"/>
      <ns0:c r="C803" s="26" t="n"/>
      <ns0:c r="D803" s="26" t="n"/>
      <ns0:c r="E803" s="27" t="n"/>
      <ns0:c r="F803" s="28" t="str">
        <ns0:f>IF(A803="","",YEAR(A803)&amp;"-"&amp;RIGHT("0"&amp;MONTH(A803),2))</ns0:f>
        <ns0:v/>
      </ns0:c>
    </ns0:row>
    <ns0:row r="804" ht="21" customHeight="1">
      <ns0:c r="A804" s="25" t="n"/>
      <ns0:c r="B804" s="26" t="n"/>
      <ns0:c r="C804" s="26" t="n"/>
      <ns0:c r="D804" s="26" t="n"/>
      <ns0:c r="E804" s="27" t="n"/>
      <ns0:c r="F804" s="28" t="str">
        <ns0:f>IF(A804="","",YEAR(A804)&amp;"-"&amp;RIGHT("0"&amp;MONTH(A804),2))</ns0:f>
        <ns0:v/>
      </ns0:c>
    </ns0:row>
    <ns0:row r="805" ht="21" customHeight="1">
      <ns0:c r="A805" s="25" t="n"/>
      <ns0:c r="B805" s="26" t="n"/>
      <ns0:c r="C805" s="26" t="n"/>
      <ns0:c r="D805" s="26" t="n"/>
      <ns0:c r="E805" s="27" t="n"/>
      <ns0:c r="F805" s="28" t="str">
        <ns0:f>IF(A805="","",YEAR(A805)&amp;"-"&amp;RIGHT("0"&amp;MONTH(A805),2))</ns0:f>
        <ns0:v/>
      </ns0:c>
    </ns0:row>
    <ns0:row r="806" ht="21" customHeight="1">
      <ns0:c r="A806" s="25" t="n"/>
      <ns0:c r="B806" s="26" t="n"/>
      <ns0:c r="C806" s="26" t="n"/>
      <ns0:c r="D806" s="26" t="n"/>
      <ns0:c r="E806" s="27" t="n"/>
      <ns0:c r="F806" s="28" t="str">
        <ns0:f>IF(A806="","",YEAR(A806)&amp;"-"&amp;RIGHT("0"&amp;MONTH(A806),2))</ns0:f>
        <ns0:v/>
      </ns0:c>
    </ns0:row>
    <ns0:row r="807" ht="21" customHeight="1">
      <ns0:c r="A807" s="25" t="n"/>
      <ns0:c r="B807" s="26" t="n"/>
      <ns0:c r="C807" s="26" t="n"/>
      <ns0:c r="D807" s="26" t="n"/>
      <ns0:c r="E807" s="27" t="n"/>
      <ns0:c r="F807" s="28" t="str">
        <ns0:f>IF(A807="","",YEAR(A807)&amp;"-"&amp;RIGHT("0"&amp;MONTH(A807),2))</ns0:f>
        <ns0:v/>
      </ns0:c>
    </ns0:row>
    <ns0:row r="808" ht="21" customHeight="1">
      <ns0:c r="A808" s="25" t="n"/>
      <ns0:c r="B808" s="26" t="n"/>
      <ns0:c r="C808" s="26" t="n"/>
      <ns0:c r="D808" s="26" t="n"/>
      <ns0:c r="E808" s="27" t="n"/>
      <ns0:c r="F808" s="28" t="str">
        <ns0:f>IF(A808="","",YEAR(A808)&amp;"-"&amp;RIGHT("0"&amp;MONTH(A808),2))</ns0:f>
        <ns0:v/>
      </ns0:c>
    </ns0:row>
    <ns0:row r="809" ht="21" customHeight="1">
      <ns0:c r="A809" s="25" t="n"/>
      <ns0:c r="B809" s="26" t="n"/>
      <ns0:c r="C809" s="26" t="n"/>
      <ns0:c r="D809" s="26" t="n"/>
      <ns0:c r="E809" s="27" t="n"/>
      <ns0:c r="F809" s="28" t="str">
        <ns0:f>IF(A809="","",YEAR(A809)&amp;"-"&amp;RIGHT("0"&amp;MONTH(A809),2))</ns0:f>
        <ns0:v/>
      </ns0:c>
    </ns0:row>
    <ns0:row r="810" ht="21" customHeight="1">
      <ns0:c r="A810" s="25" t="n"/>
      <ns0:c r="B810" s="26" t="n"/>
      <ns0:c r="C810" s="26" t="n"/>
      <ns0:c r="D810" s="26" t="n"/>
      <ns0:c r="E810" s="27" t="n"/>
      <ns0:c r="F810" s="28" t="str">
        <ns0:f>IF(A810="","",YEAR(A810)&amp;"-"&amp;RIGHT("0"&amp;MONTH(A810),2))</ns0:f>
        <ns0:v/>
      </ns0:c>
    </ns0:row>
    <ns0:row r="811" ht="21" customHeight="1">
      <ns0:c r="A811" s="25" t="n"/>
      <ns0:c r="B811" s="26" t="n"/>
      <ns0:c r="C811" s="26" t="n"/>
      <ns0:c r="D811" s="26" t="n"/>
      <ns0:c r="E811" s="27" t="n"/>
      <ns0:c r="F811" s="28" t="str">
        <ns0:f>IF(A811="","",YEAR(A811)&amp;"-"&amp;RIGHT("0"&amp;MONTH(A811),2))</ns0:f>
        <ns0:v/>
      </ns0:c>
    </ns0:row>
    <ns0:row r="812" ht="21" customHeight="1">
      <ns0:c r="A812" s="25" t="n"/>
      <ns0:c r="B812" s="26" t="n"/>
      <ns0:c r="C812" s="26" t="n"/>
      <ns0:c r="D812" s="26" t="n"/>
      <ns0:c r="E812" s="27" t="n"/>
      <ns0:c r="F812" s="28" t="str">
        <ns0:f>IF(A812="","",YEAR(A812)&amp;"-"&amp;RIGHT("0"&amp;MONTH(A812),2))</ns0:f>
        <ns0:v/>
      </ns0:c>
    </ns0:row>
    <ns0:row r="813" ht="21" customHeight="1">
      <ns0:c r="A813" s="25" t="n"/>
      <ns0:c r="B813" s="26" t="n"/>
      <ns0:c r="C813" s="26" t="n"/>
      <ns0:c r="D813" s="26" t="n"/>
      <ns0:c r="E813" s="27" t="n"/>
      <ns0:c r="F813" s="28" t="str">
        <ns0:f>IF(A813="","",YEAR(A813)&amp;"-"&amp;RIGHT("0"&amp;MONTH(A813),2))</ns0:f>
        <ns0:v/>
      </ns0:c>
    </ns0:row>
    <ns0:row r="814" ht="21" customHeight="1">
      <ns0:c r="A814" s="25" t="n"/>
      <ns0:c r="B814" s="26" t="n"/>
      <ns0:c r="C814" s="26" t="n"/>
      <ns0:c r="D814" s="26" t="n"/>
      <ns0:c r="E814" s="27" t="n"/>
      <ns0:c r="F814" s="28" t="str">
        <ns0:f>IF(A814="","",YEAR(A814)&amp;"-"&amp;RIGHT("0"&amp;MONTH(A814),2))</ns0:f>
        <ns0:v/>
      </ns0:c>
    </ns0:row>
    <ns0:row r="815" ht="21" customHeight="1">
      <ns0:c r="A815" s="25" t="n"/>
      <ns0:c r="B815" s="26" t="n"/>
      <ns0:c r="C815" s="26" t="n"/>
      <ns0:c r="D815" s="26" t="n"/>
      <ns0:c r="E815" s="27" t="n"/>
      <ns0:c r="F815" s="28" t="str">
        <ns0:f>IF(A815="","",YEAR(A815)&amp;"-"&amp;RIGHT("0"&amp;MONTH(A815),2))</ns0:f>
        <ns0:v/>
      </ns0:c>
    </ns0:row>
    <ns0:row r="816" ht="21" customHeight="1">
      <ns0:c r="A816" s="25" t="n"/>
      <ns0:c r="B816" s="26" t="n"/>
      <ns0:c r="C816" s="26" t="n"/>
      <ns0:c r="D816" s="26" t="n"/>
      <ns0:c r="E816" s="27" t="n"/>
      <ns0:c r="F816" s="28" t="str">
        <ns0:f>IF(A816="","",YEAR(A816)&amp;"-"&amp;RIGHT("0"&amp;MONTH(A816),2))</ns0:f>
        <ns0:v/>
      </ns0:c>
    </ns0:row>
    <ns0:row r="817" ht="21" customHeight="1">
      <ns0:c r="A817" s="25" t="n"/>
      <ns0:c r="B817" s="26" t="n"/>
      <ns0:c r="C817" s="26" t="n"/>
      <ns0:c r="D817" s="26" t="n"/>
      <ns0:c r="E817" s="27" t="n"/>
      <ns0:c r="F817" s="28" t="str">
        <ns0:f>IF(A817="","",YEAR(A817)&amp;"-"&amp;RIGHT("0"&amp;MONTH(A817),2))</ns0:f>
        <ns0:v/>
      </ns0:c>
    </ns0:row>
    <ns0:row r="818" ht="21" customHeight="1">
      <ns0:c r="A818" s="25" t="n"/>
      <ns0:c r="B818" s="26" t="n"/>
      <ns0:c r="C818" s="26" t="n"/>
      <ns0:c r="D818" s="26" t="n"/>
      <ns0:c r="E818" s="27" t="n"/>
      <ns0:c r="F818" s="28" t="str">
        <ns0:f>IF(A818="","",YEAR(A818)&amp;"-"&amp;RIGHT("0"&amp;MONTH(A818),2))</ns0:f>
        <ns0:v/>
      </ns0:c>
    </ns0:row>
    <ns0:row r="819" ht="21" customHeight="1">
      <ns0:c r="A819" s="25" t="n"/>
      <ns0:c r="B819" s="26" t="n"/>
      <ns0:c r="C819" s="26" t="n"/>
      <ns0:c r="D819" s="26" t="n"/>
      <ns0:c r="E819" s="27" t="n"/>
      <ns0:c r="F819" s="28" t="str">
        <ns0:f>IF(A819="","",YEAR(A819)&amp;"-"&amp;RIGHT("0"&amp;MONTH(A819),2))</ns0:f>
        <ns0:v/>
      </ns0:c>
    </ns0:row>
    <ns0:row r="820" ht="21" customHeight="1">
      <ns0:c r="A820" s="25" t="n"/>
      <ns0:c r="B820" s="26" t="n"/>
      <ns0:c r="C820" s="26" t="n"/>
      <ns0:c r="D820" s="26" t="n"/>
      <ns0:c r="E820" s="27" t="n"/>
      <ns0:c r="F820" s="28" t="str">
        <ns0:f>IF(A820="","",YEAR(A820)&amp;"-"&amp;RIGHT("0"&amp;MONTH(A820),2))</ns0:f>
        <ns0:v/>
      </ns0:c>
    </ns0:row>
    <ns0:row r="821" ht="21" customHeight="1">
      <ns0:c r="A821" s="25" t="n"/>
      <ns0:c r="B821" s="26" t="n"/>
      <ns0:c r="C821" s="26" t="n"/>
      <ns0:c r="D821" s="26" t="n"/>
      <ns0:c r="E821" s="27" t="n"/>
      <ns0:c r="F821" s="28" t="str">
        <ns0:f>IF(A821="","",YEAR(A821)&amp;"-"&amp;RIGHT("0"&amp;MONTH(A821),2))</ns0:f>
        <ns0:v/>
      </ns0:c>
    </ns0:row>
    <ns0:row r="822" ht="21" customHeight="1">
      <ns0:c r="A822" s="25" t="n"/>
      <ns0:c r="B822" s="26" t="n"/>
      <ns0:c r="C822" s="26" t="n"/>
      <ns0:c r="D822" s="26" t="n"/>
      <ns0:c r="E822" s="27" t="n"/>
      <ns0:c r="F822" s="28" t="str">
        <ns0:f>IF(A822="","",YEAR(A822)&amp;"-"&amp;RIGHT("0"&amp;MONTH(A822),2))</ns0:f>
        <ns0:v/>
      </ns0:c>
    </ns0:row>
    <ns0:row r="823" ht="21" customHeight="1">
      <ns0:c r="A823" s="25" t="n"/>
      <ns0:c r="B823" s="26" t="n"/>
      <ns0:c r="C823" s="26" t="n"/>
      <ns0:c r="D823" s="26" t="n"/>
      <ns0:c r="E823" s="27" t="n"/>
      <ns0:c r="F823" s="28" t="str">
        <ns0:f>IF(A823="","",YEAR(A823)&amp;"-"&amp;RIGHT("0"&amp;MONTH(A823),2))</ns0:f>
        <ns0:v/>
      </ns0:c>
    </ns0:row>
    <ns0:row r="824" ht="21" customHeight="1">
      <ns0:c r="A824" s="25" t="n"/>
      <ns0:c r="B824" s="26" t="n"/>
      <ns0:c r="C824" s="26" t="n"/>
      <ns0:c r="D824" s="26" t="n"/>
      <ns0:c r="E824" s="27" t="n"/>
      <ns0:c r="F824" s="28" t="str">
        <ns0:f>IF(A824="","",YEAR(A824)&amp;"-"&amp;RIGHT("0"&amp;MONTH(A824),2))</ns0:f>
        <ns0:v/>
      </ns0:c>
    </ns0:row>
    <ns0:row r="825" ht="21" customHeight="1">
      <ns0:c r="A825" s="25" t="n"/>
      <ns0:c r="B825" s="26" t="n"/>
      <ns0:c r="C825" s="26" t="n"/>
      <ns0:c r="D825" s="26" t="n"/>
      <ns0:c r="E825" s="27" t="n"/>
      <ns0:c r="F825" s="28" t="str">
        <ns0:f>IF(A825="","",YEAR(A825)&amp;"-"&amp;RIGHT("0"&amp;MONTH(A825),2))</ns0:f>
        <ns0:v/>
      </ns0:c>
    </ns0:row>
    <ns0:row r="826" ht="21" customHeight="1">
      <ns0:c r="A826" s="25" t="n"/>
      <ns0:c r="B826" s="26" t="n"/>
      <ns0:c r="C826" s="26" t="n"/>
      <ns0:c r="D826" s="26" t="n"/>
      <ns0:c r="E826" s="27" t="n"/>
      <ns0:c r="F826" s="28" t="str">
        <ns0:f>IF(A826="","",YEAR(A826)&amp;"-"&amp;RIGHT("0"&amp;MONTH(A826),2))</ns0:f>
        <ns0:v/>
      </ns0:c>
    </ns0:row>
    <ns0:row r="827" ht="21" customHeight="1">
      <ns0:c r="A827" s="25" t="n"/>
      <ns0:c r="B827" s="26" t="n"/>
      <ns0:c r="C827" s="26" t="n"/>
      <ns0:c r="D827" s="26" t="n"/>
      <ns0:c r="E827" s="27" t="n"/>
      <ns0:c r="F827" s="28" t="str">
        <ns0:f>IF(A827="","",YEAR(A827)&amp;"-"&amp;RIGHT("0"&amp;MONTH(A827),2))</ns0:f>
        <ns0:v/>
      </ns0:c>
    </ns0:row>
    <ns0:row r="828" ht="21" customHeight="1">
      <ns0:c r="A828" s="25" t="n"/>
      <ns0:c r="B828" s="26" t="n"/>
      <ns0:c r="C828" s="26" t="n"/>
      <ns0:c r="D828" s="26" t="n"/>
      <ns0:c r="E828" s="27" t="n"/>
      <ns0:c r="F828" s="28" t="str">
        <ns0:f>IF(A828="","",YEAR(A828)&amp;"-"&amp;RIGHT("0"&amp;MONTH(A828),2))</ns0:f>
        <ns0:v/>
      </ns0:c>
    </ns0:row>
    <ns0:row r="829" ht="21" customHeight="1">
      <ns0:c r="A829" s="25" t="n"/>
      <ns0:c r="B829" s="26" t="n"/>
      <ns0:c r="C829" s="26" t="n"/>
      <ns0:c r="D829" s="26" t="n"/>
      <ns0:c r="E829" s="27" t="n"/>
      <ns0:c r="F829" s="28" t="str">
        <ns0:f>IF(A829="","",YEAR(A829)&amp;"-"&amp;RIGHT("0"&amp;MONTH(A829),2))</ns0:f>
        <ns0:v/>
      </ns0:c>
    </ns0:row>
    <ns0:row r="830" ht="21" customHeight="1">
      <ns0:c r="A830" s="25" t="n"/>
      <ns0:c r="B830" s="26" t="n"/>
      <ns0:c r="C830" s="26" t="n"/>
      <ns0:c r="D830" s="26" t="n"/>
      <ns0:c r="E830" s="27" t="n"/>
      <ns0:c r="F830" s="28" t="str">
        <ns0:f>IF(A830="","",YEAR(A830)&amp;"-"&amp;RIGHT("0"&amp;MONTH(A830),2))</ns0:f>
        <ns0:v/>
      </ns0:c>
    </ns0:row>
    <ns0:row r="831" ht="21" customHeight="1">
      <ns0:c r="A831" s="25" t="n"/>
      <ns0:c r="B831" s="26" t="n"/>
      <ns0:c r="C831" s="26" t="n"/>
      <ns0:c r="D831" s="26" t="n"/>
      <ns0:c r="E831" s="27" t="n"/>
      <ns0:c r="F831" s="28" t="str">
        <ns0:f>IF(A831="","",YEAR(A831)&amp;"-"&amp;RIGHT("0"&amp;MONTH(A831),2))</ns0:f>
        <ns0:v/>
      </ns0:c>
    </ns0:row>
    <ns0:row r="832" ht="21" customHeight="1">
      <ns0:c r="A832" s="25" t="n"/>
      <ns0:c r="B832" s="26" t="n"/>
      <ns0:c r="C832" s="26" t="n"/>
      <ns0:c r="D832" s="26" t="n"/>
      <ns0:c r="E832" s="27" t="n"/>
      <ns0:c r="F832" s="28" t="str">
        <ns0:f>IF(A832="","",YEAR(A832)&amp;"-"&amp;RIGHT("0"&amp;MONTH(A832),2))</ns0:f>
        <ns0:v/>
      </ns0:c>
    </ns0:row>
    <ns0:row r="833" ht="21" customHeight="1">
      <ns0:c r="A833" s="25" t="n"/>
      <ns0:c r="B833" s="26" t="n"/>
      <ns0:c r="C833" s="26" t="n"/>
      <ns0:c r="D833" s="26" t="n"/>
      <ns0:c r="E833" s="27" t="n"/>
      <ns0:c r="F833" s="28" t="str">
        <ns0:f>IF(A833="","",YEAR(A833)&amp;"-"&amp;RIGHT("0"&amp;MONTH(A833),2))</ns0:f>
        <ns0:v/>
      </ns0:c>
    </ns0:row>
    <ns0:row r="834" ht="21" customHeight="1">
      <ns0:c r="A834" s="25" t="n"/>
      <ns0:c r="B834" s="26" t="n"/>
      <ns0:c r="C834" s="26" t="n"/>
      <ns0:c r="D834" s="26" t="n"/>
      <ns0:c r="E834" s="27" t="n"/>
      <ns0:c r="F834" s="28" t="str">
        <ns0:f>IF(A834="","",YEAR(A834)&amp;"-"&amp;RIGHT("0"&amp;MONTH(A834),2))</ns0:f>
        <ns0:v/>
      </ns0:c>
    </ns0:row>
    <ns0:row r="835" ht="21" customHeight="1">
      <ns0:c r="A835" s="25" t="n"/>
      <ns0:c r="B835" s="26" t="n"/>
      <ns0:c r="C835" s="26" t="n"/>
      <ns0:c r="D835" s="26" t="n"/>
      <ns0:c r="E835" s="27" t="n"/>
      <ns0:c r="F835" s="28" t="str">
        <ns0:f>IF(A835="","",YEAR(A835)&amp;"-"&amp;RIGHT("0"&amp;MONTH(A835),2))</ns0:f>
        <ns0:v/>
      </ns0:c>
    </ns0:row>
    <ns0:row r="836" ht="21" customHeight="1">
      <ns0:c r="A836" s="25" t="n"/>
      <ns0:c r="B836" s="26" t="n"/>
      <ns0:c r="C836" s="26" t="n"/>
      <ns0:c r="D836" s="26" t="n"/>
      <ns0:c r="E836" s="27" t="n"/>
      <ns0:c r="F836" s="28" t="str">
        <ns0:f>IF(A836="","",YEAR(A836)&amp;"-"&amp;RIGHT("0"&amp;MONTH(A836),2))</ns0:f>
        <ns0:v/>
      </ns0:c>
    </ns0:row>
    <ns0:row r="837" ht="21" customHeight="1">
      <ns0:c r="A837" s="25" t="n"/>
      <ns0:c r="B837" s="26" t="n"/>
      <ns0:c r="C837" s="26" t="n"/>
      <ns0:c r="D837" s="26" t="n"/>
      <ns0:c r="E837" s="27" t="n"/>
      <ns0:c r="F837" s="28" t="str">
        <ns0:f>IF(A837="","",YEAR(A837)&amp;"-"&amp;RIGHT("0"&amp;MONTH(A837),2))</ns0:f>
        <ns0:v/>
      </ns0:c>
    </ns0:row>
    <ns0:row r="838" ht="21" customHeight="1">
      <ns0:c r="A838" s="25" t="n"/>
      <ns0:c r="B838" s="26" t="n"/>
      <ns0:c r="C838" s="26" t="n"/>
      <ns0:c r="D838" s="26" t="n"/>
      <ns0:c r="E838" s="27" t="n"/>
      <ns0:c r="F838" s="28" t="str">
        <ns0:f>IF(A838="","",YEAR(A838)&amp;"-"&amp;RIGHT("0"&amp;MONTH(A838),2))</ns0:f>
        <ns0:v/>
      </ns0:c>
    </ns0:row>
    <ns0:row r="839" ht="21" customHeight="1">
      <ns0:c r="A839" s="25" t="n"/>
      <ns0:c r="B839" s="26" t="n"/>
      <ns0:c r="C839" s="26" t="n"/>
      <ns0:c r="D839" s="26" t="n"/>
      <ns0:c r="E839" s="27" t="n"/>
      <ns0:c r="F839" s="28" t="str">
        <ns0:f>IF(A839="","",YEAR(A839)&amp;"-"&amp;RIGHT("0"&amp;MONTH(A839),2))</ns0:f>
        <ns0:v/>
      </ns0:c>
    </ns0:row>
    <ns0:row r="840" ht="21" customHeight="1">
      <ns0:c r="A840" s="25" t="n"/>
      <ns0:c r="B840" s="26" t="n"/>
      <ns0:c r="C840" s="26" t="n"/>
      <ns0:c r="D840" s="26" t="n"/>
      <ns0:c r="E840" s="27" t="n"/>
      <ns0:c r="F840" s="28" t="str">
        <ns0:f>IF(A840="","",YEAR(A840)&amp;"-"&amp;RIGHT("0"&amp;MONTH(A840),2))</ns0:f>
        <ns0:v/>
      </ns0:c>
    </ns0:row>
    <ns0:row r="841" ht="21" customHeight="1">
      <ns0:c r="A841" s="25" t="n"/>
      <ns0:c r="B841" s="26" t="n"/>
      <ns0:c r="C841" s="26" t="n"/>
      <ns0:c r="D841" s="26" t="n"/>
      <ns0:c r="E841" s="27" t="n"/>
      <ns0:c r="F841" s="28" t="str">
        <ns0:f>IF(A841="","",YEAR(A841)&amp;"-"&amp;RIGHT("0"&amp;MONTH(A841),2))</ns0:f>
        <ns0:v/>
      </ns0:c>
    </ns0:row>
    <ns0:row r="842" ht="21" customHeight="1">
      <ns0:c r="A842" s="25" t="n"/>
      <ns0:c r="B842" s="26" t="n"/>
      <ns0:c r="C842" s="26" t="n"/>
      <ns0:c r="D842" s="26" t="n"/>
      <ns0:c r="E842" s="27" t="n"/>
      <ns0:c r="F842" s="28" t="str">
        <ns0:f>IF(A842="","",YEAR(A842)&amp;"-"&amp;RIGHT("0"&amp;MONTH(A842),2))</ns0:f>
        <ns0:v/>
      </ns0:c>
    </ns0:row>
    <ns0:row r="843" ht="21" customHeight="1">
      <ns0:c r="A843" s="25" t="n"/>
      <ns0:c r="B843" s="26" t="n"/>
      <ns0:c r="C843" s="26" t="n"/>
      <ns0:c r="D843" s="26" t="n"/>
      <ns0:c r="E843" s="27" t="n"/>
      <ns0:c r="F843" s="28" t="str">
        <ns0:f>IF(A843="","",YEAR(A843)&amp;"-"&amp;RIGHT("0"&amp;MONTH(A843),2))</ns0:f>
        <ns0:v/>
      </ns0:c>
    </ns0:row>
    <ns0:row r="844" ht="21" customHeight="1">
      <ns0:c r="A844" s="25" t="n"/>
      <ns0:c r="B844" s="26" t="n"/>
      <ns0:c r="C844" s="26" t="n"/>
      <ns0:c r="D844" s="26" t="n"/>
      <ns0:c r="E844" s="27" t="n"/>
      <ns0:c r="F844" s="28" t="str">
        <ns0:f>IF(A844="","",YEAR(A844)&amp;"-"&amp;RIGHT("0"&amp;MONTH(A844),2))</ns0:f>
        <ns0:v/>
      </ns0:c>
    </ns0:row>
    <ns0:row r="845" ht="21" customHeight="1">
      <ns0:c r="A845" s="25" t="n"/>
      <ns0:c r="B845" s="26" t="n"/>
      <ns0:c r="C845" s="26" t="n"/>
      <ns0:c r="D845" s="26" t="n"/>
      <ns0:c r="E845" s="27" t="n"/>
      <ns0:c r="F845" s="28" t="str">
        <ns0:f>IF(A845="","",YEAR(A845)&amp;"-"&amp;RIGHT("0"&amp;MONTH(A845),2))</ns0:f>
        <ns0:v/>
      </ns0:c>
    </ns0:row>
    <ns0:row r="846" ht="21" customHeight="1">
      <ns0:c r="A846" s="25" t="n"/>
      <ns0:c r="B846" s="26" t="n"/>
      <ns0:c r="C846" s="26" t="n"/>
      <ns0:c r="D846" s="26" t="n"/>
      <ns0:c r="E846" s="27" t="n"/>
      <ns0:c r="F846" s="28" t="str">
        <ns0:f>IF(A846="","",YEAR(A846)&amp;"-"&amp;RIGHT("0"&amp;MONTH(A846),2))</ns0:f>
        <ns0:v/>
      </ns0:c>
    </ns0:row>
    <ns0:row r="847" ht="21" customHeight="1">
      <ns0:c r="A847" s="25" t="n"/>
      <ns0:c r="B847" s="26" t="n"/>
      <ns0:c r="C847" s="26" t="n"/>
      <ns0:c r="D847" s="26" t="n"/>
      <ns0:c r="E847" s="27" t="n"/>
      <ns0:c r="F847" s="28" t="str">
        <ns0:f>IF(A847="","",YEAR(A847)&amp;"-"&amp;RIGHT("0"&amp;MONTH(A847),2))</ns0:f>
        <ns0:v/>
      </ns0:c>
    </ns0:row>
    <ns0:row r="848" ht="21" customHeight="1">
      <ns0:c r="A848" s="25" t="n"/>
      <ns0:c r="B848" s="26" t="n"/>
      <ns0:c r="C848" s="26" t="n"/>
      <ns0:c r="D848" s="26" t="n"/>
      <ns0:c r="E848" s="27" t="n"/>
      <ns0:c r="F848" s="28" t="str">
        <ns0:f>IF(A848="","",YEAR(A848)&amp;"-"&amp;RIGHT("0"&amp;MONTH(A848),2))</ns0:f>
        <ns0:v/>
      </ns0:c>
    </ns0:row>
    <ns0:row r="849" ht="21" customHeight="1">
      <ns0:c r="A849" s="25" t="n"/>
      <ns0:c r="B849" s="26" t="n"/>
      <ns0:c r="C849" s="26" t="n"/>
      <ns0:c r="D849" s="26" t="n"/>
      <ns0:c r="E849" s="27" t="n"/>
      <ns0:c r="F849" s="28" t="str">
        <ns0:f>IF(A849="","",YEAR(A849)&amp;"-"&amp;RIGHT("0"&amp;MONTH(A849),2))</ns0:f>
        <ns0:v/>
      </ns0:c>
    </ns0:row>
    <ns0:row r="850" ht="21" customHeight="1">
      <ns0:c r="A850" s="25" t="n"/>
      <ns0:c r="B850" s="26" t="n"/>
      <ns0:c r="C850" s="26" t="n"/>
      <ns0:c r="D850" s="26" t="n"/>
      <ns0:c r="E850" s="27" t="n"/>
      <ns0:c r="F850" s="28" t="str">
        <ns0:f>IF(A850="","",YEAR(A850)&amp;"-"&amp;RIGHT("0"&amp;MONTH(A850),2))</ns0:f>
        <ns0:v/>
      </ns0:c>
    </ns0:row>
    <ns0:row r="851" ht="21" customHeight="1">
      <ns0:c r="A851" s="25" t="n"/>
      <ns0:c r="B851" s="26" t="n"/>
      <ns0:c r="C851" s="26" t="n"/>
      <ns0:c r="D851" s="26" t="n"/>
      <ns0:c r="E851" s="27" t="n"/>
      <ns0:c r="F851" s="28" t="str">
        <ns0:f>IF(A851="","",YEAR(A851)&amp;"-"&amp;RIGHT("0"&amp;MONTH(A851),2))</ns0:f>
        <ns0:v/>
      </ns0:c>
    </ns0:row>
    <ns0:row r="852" ht="21" customHeight="1">
      <ns0:c r="A852" s="25" t="n"/>
      <ns0:c r="B852" s="26" t="n"/>
      <ns0:c r="C852" s="26" t="n"/>
      <ns0:c r="D852" s="26" t="n"/>
      <ns0:c r="E852" s="27" t="n"/>
      <ns0:c r="F852" s="28" t="str">
        <ns0:f>IF(A852="","",YEAR(A852)&amp;"-"&amp;RIGHT("0"&amp;MONTH(A852),2))</ns0:f>
        <ns0:v/>
      </ns0:c>
    </ns0:row>
    <ns0:row r="853" ht="21" customHeight="1">
      <ns0:c r="A853" s="25" t="n"/>
      <ns0:c r="B853" s="26" t="n"/>
      <ns0:c r="C853" s="26" t="n"/>
      <ns0:c r="D853" s="26" t="n"/>
      <ns0:c r="E853" s="27" t="n"/>
      <ns0:c r="F853" s="28" t="str">
        <ns0:f>IF(A853="","",YEAR(A853)&amp;"-"&amp;RIGHT("0"&amp;MONTH(A853),2))</ns0:f>
        <ns0:v/>
      </ns0:c>
    </ns0:row>
    <ns0:row r="854" ht="21" customHeight="1">
      <ns0:c r="A854" s="25" t="n"/>
      <ns0:c r="B854" s="26" t="n"/>
      <ns0:c r="C854" s="26" t="n"/>
      <ns0:c r="D854" s="26" t="n"/>
      <ns0:c r="E854" s="27" t="n"/>
      <ns0:c r="F854" s="28" t="str">
        <ns0:f>IF(A854="","",YEAR(A854)&amp;"-"&amp;RIGHT("0"&amp;MONTH(A854),2))</ns0:f>
        <ns0:v/>
      </ns0:c>
    </ns0:row>
    <ns0:row r="855" ht="21" customHeight="1">
      <ns0:c r="A855" s="25" t="n"/>
      <ns0:c r="B855" s="26" t="n"/>
      <ns0:c r="C855" s="26" t="n"/>
      <ns0:c r="D855" s="26" t="n"/>
      <ns0:c r="E855" s="27" t="n"/>
      <ns0:c r="F855" s="28" t="str">
        <ns0:f>IF(A855="","",YEAR(A855)&amp;"-"&amp;RIGHT("0"&amp;MONTH(A855),2))</ns0:f>
        <ns0:v/>
      </ns0:c>
    </ns0:row>
    <ns0:row r="856" ht="21" customHeight="1">
      <ns0:c r="A856" s="25" t="n"/>
      <ns0:c r="B856" s="26" t="n"/>
      <ns0:c r="C856" s="26" t="n"/>
      <ns0:c r="D856" s="26" t="n"/>
      <ns0:c r="E856" s="27" t="n"/>
      <ns0:c r="F856" s="28" t="str">
        <ns0:f>IF(A856="","",YEAR(A856)&amp;"-"&amp;RIGHT("0"&amp;MONTH(A856),2))</ns0:f>
        <ns0:v/>
      </ns0:c>
    </ns0:row>
    <ns0:row r="857" ht="21" customHeight="1">
      <ns0:c r="A857" s="25" t="n"/>
      <ns0:c r="B857" s="26" t="n"/>
      <ns0:c r="C857" s="26" t="n"/>
      <ns0:c r="D857" s="26" t="n"/>
      <ns0:c r="E857" s="27" t="n"/>
      <ns0:c r="F857" s="28" t="str">
        <ns0:f>IF(A857="","",YEAR(A857)&amp;"-"&amp;RIGHT("0"&amp;MONTH(A857),2))</ns0:f>
        <ns0:v/>
      </ns0:c>
    </ns0:row>
    <ns0:row r="858" ht="21" customHeight="1">
      <ns0:c r="A858" s="25" t="n"/>
      <ns0:c r="B858" s="26" t="n"/>
      <ns0:c r="C858" s="26" t="n"/>
      <ns0:c r="D858" s="26" t="n"/>
      <ns0:c r="E858" s="27" t="n"/>
      <ns0:c r="F858" s="28" t="str">
        <ns0:f>IF(A858="","",YEAR(A858)&amp;"-"&amp;RIGHT("0"&amp;MONTH(A858),2))</ns0:f>
        <ns0:v/>
      </ns0:c>
    </ns0:row>
    <ns0:row r="859" ht="21" customHeight="1">
      <ns0:c r="A859" s="25" t="n"/>
      <ns0:c r="B859" s="26" t="n"/>
      <ns0:c r="C859" s="26" t="n"/>
      <ns0:c r="D859" s="26" t="n"/>
      <ns0:c r="E859" s="27" t="n"/>
      <ns0:c r="F859" s="28" t="str">
        <ns0:f>IF(A859="","",YEAR(A859)&amp;"-"&amp;RIGHT("0"&amp;MONTH(A859),2))</ns0:f>
        <ns0:v/>
      </ns0:c>
    </ns0:row>
    <ns0:row r="860" ht="21" customHeight="1">
      <ns0:c r="A860" s="25" t="n"/>
      <ns0:c r="B860" s="26" t="n"/>
      <ns0:c r="C860" s="26" t="n"/>
      <ns0:c r="D860" s="26" t="n"/>
      <ns0:c r="E860" s="27" t="n"/>
      <ns0:c r="F860" s="28" t="str">
        <ns0:f>IF(A860="","",YEAR(A860)&amp;"-"&amp;RIGHT("0"&amp;MONTH(A860),2))</ns0:f>
        <ns0:v/>
      </ns0:c>
    </ns0:row>
    <ns0:row r="861" ht="21" customHeight="1">
      <ns0:c r="A861" s="25" t="n"/>
      <ns0:c r="B861" s="26" t="n"/>
      <ns0:c r="C861" s="26" t="n"/>
      <ns0:c r="D861" s="26" t="n"/>
      <ns0:c r="E861" s="27" t="n"/>
      <ns0:c r="F861" s="28" t="str">
        <ns0:f>IF(A861="","",YEAR(A861)&amp;"-"&amp;RIGHT("0"&amp;MONTH(A861),2))</ns0:f>
        <ns0:v/>
      </ns0:c>
    </ns0:row>
    <ns0:row r="862" ht="21" customHeight="1">
      <ns0:c r="A862" s="25" t="n"/>
      <ns0:c r="B862" s="26" t="n"/>
      <ns0:c r="C862" s="26" t="n"/>
      <ns0:c r="D862" s="26" t="n"/>
      <ns0:c r="E862" s="27" t="n"/>
      <ns0:c r="F862" s="28" t="str">
        <ns0:f>IF(A862="","",YEAR(A862)&amp;"-"&amp;RIGHT("0"&amp;MONTH(A862),2))</ns0:f>
        <ns0:v/>
      </ns0:c>
    </ns0:row>
    <ns0:row r="863" ht="21" customHeight="1">
      <ns0:c r="A863" s="25" t="n"/>
      <ns0:c r="B863" s="26" t="n"/>
      <ns0:c r="C863" s="26" t="n"/>
      <ns0:c r="D863" s="26" t="n"/>
      <ns0:c r="E863" s="27" t="n"/>
      <ns0:c r="F863" s="28" t="str">
        <ns0:f>IF(A863="","",YEAR(A863)&amp;"-"&amp;RIGHT("0"&amp;MONTH(A863),2))</ns0:f>
        <ns0:v/>
      </ns0:c>
    </ns0:row>
    <ns0:row r="864" ht="21" customHeight="1">
      <ns0:c r="A864" s="25" t="n"/>
      <ns0:c r="B864" s="26" t="n"/>
      <ns0:c r="C864" s="26" t="n"/>
      <ns0:c r="D864" s="26" t="n"/>
      <ns0:c r="E864" s="27" t="n"/>
      <ns0:c r="F864" s="28" t="str">
        <ns0:f>IF(A864="","",YEAR(A864)&amp;"-"&amp;RIGHT("0"&amp;MONTH(A864),2))</ns0:f>
        <ns0:v/>
      </ns0:c>
    </ns0:row>
    <ns0:row r="865" ht="21" customHeight="1">
      <ns0:c r="A865" s="25" t="n"/>
      <ns0:c r="B865" s="26" t="n"/>
      <ns0:c r="C865" s="26" t="n"/>
      <ns0:c r="D865" s="26" t="n"/>
      <ns0:c r="E865" s="27" t="n"/>
      <ns0:c r="F865" s="28" t="str">
        <ns0:f>IF(A865="","",YEAR(A865)&amp;"-"&amp;RIGHT("0"&amp;MONTH(A865),2))</ns0:f>
        <ns0:v/>
      </ns0:c>
    </ns0:row>
    <ns0:row r="866" ht="21" customHeight="1">
      <ns0:c r="A866" s="25" t="n"/>
      <ns0:c r="B866" s="26" t="n"/>
      <ns0:c r="C866" s="26" t="n"/>
      <ns0:c r="D866" s="26" t="n"/>
      <ns0:c r="E866" s="27" t="n"/>
      <ns0:c r="F866" s="28" t="str">
        <ns0:f>IF(A866="","",YEAR(A866)&amp;"-"&amp;RIGHT("0"&amp;MONTH(A866),2))</ns0:f>
        <ns0:v/>
      </ns0:c>
    </ns0:row>
    <ns0:row r="867" ht="21" customHeight="1">
      <ns0:c r="A867" s="25" t="n"/>
      <ns0:c r="B867" s="26" t="n"/>
      <ns0:c r="C867" s="26" t="n"/>
      <ns0:c r="D867" s="26" t="n"/>
      <ns0:c r="E867" s="27" t="n"/>
      <ns0:c r="F867" s="28" t="str">
        <ns0:f>IF(A867="","",YEAR(A867)&amp;"-"&amp;RIGHT("0"&amp;MONTH(A867),2))</ns0:f>
        <ns0:v/>
      </ns0:c>
    </ns0:row>
    <ns0:row r="868" ht="21" customHeight="1">
      <ns0:c r="A868" s="25" t="n"/>
      <ns0:c r="B868" s="26" t="n"/>
      <ns0:c r="C868" s="26" t="n"/>
      <ns0:c r="D868" s="26" t="n"/>
      <ns0:c r="E868" s="27" t="n"/>
      <ns0:c r="F868" s="28" t="str">
        <ns0:f>IF(A868="","",YEAR(A868)&amp;"-"&amp;RIGHT("0"&amp;MONTH(A868),2))</ns0:f>
        <ns0:v/>
      </ns0:c>
    </ns0:row>
    <ns0:row r="869" ht="21" customHeight="1">
      <ns0:c r="A869" s="25" t="n"/>
      <ns0:c r="B869" s="26" t="n"/>
      <ns0:c r="C869" s="26" t="n"/>
      <ns0:c r="D869" s="26" t="n"/>
      <ns0:c r="E869" s="27" t="n"/>
      <ns0:c r="F869" s="28" t="str">
        <ns0:f>IF(A869="","",YEAR(A869)&amp;"-"&amp;RIGHT("0"&amp;MONTH(A869),2))</ns0:f>
        <ns0:v/>
      </ns0:c>
    </ns0:row>
    <ns0:row r="870" ht="21" customHeight="1">
      <ns0:c r="A870" s="25" t="n"/>
      <ns0:c r="B870" s="26" t="n"/>
      <ns0:c r="C870" s="26" t="n"/>
      <ns0:c r="D870" s="26" t="n"/>
      <ns0:c r="E870" s="27" t="n"/>
      <ns0:c r="F870" s="28" t="str">
        <ns0:f>IF(A870="","",YEAR(A870)&amp;"-"&amp;RIGHT("0"&amp;MONTH(A870),2))</ns0:f>
        <ns0:v/>
      </ns0:c>
    </ns0:row>
    <ns0:row r="871" ht="21" customHeight="1">
      <ns0:c r="A871" s="25" t="n"/>
      <ns0:c r="B871" s="26" t="n"/>
      <ns0:c r="C871" s="26" t="n"/>
      <ns0:c r="D871" s="26" t="n"/>
      <ns0:c r="E871" s="27" t="n"/>
      <ns0:c r="F871" s="28" t="str">
        <ns0:f>IF(A871="","",YEAR(A871)&amp;"-"&amp;RIGHT("0"&amp;MONTH(A871),2))</ns0:f>
        <ns0:v/>
      </ns0:c>
    </ns0:row>
    <ns0:row r="872" ht="21" customHeight="1">
      <ns0:c r="A872" s="25" t="n"/>
      <ns0:c r="B872" s="26" t="n"/>
      <ns0:c r="C872" s="26" t="n"/>
      <ns0:c r="D872" s="26" t="n"/>
      <ns0:c r="E872" s="27" t="n"/>
      <ns0:c r="F872" s="28" t="str">
        <ns0:f>IF(A872="","",YEAR(A872)&amp;"-"&amp;RIGHT("0"&amp;MONTH(A872),2))</ns0:f>
        <ns0:v/>
      </ns0:c>
    </ns0:row>
    <ns0:row r="873" ht="21" customHeight="1">
      <ns0:c r="A873" s="25" t="n"/>
      <ns0:c r="B873" s="26" t="n"/>
      <ns0:c r="C873" s="26" t="n"/>
      <ns0:c r="D873" s="26" t="n"/>
      <ns0:c r="E873" s="27" t="n"/>
      <ns0:c r="F873" s="28" t="str">
        <ns0:f>IF(A873="","",YEAR(A873)&amp;"-"&amp;RIGHT("0"&amp;MONTH(A873),2))</ns0:f>
        <ns0:v/>
      </ns0:c>
    </ns0:row>
    <ns0:row r="874" ht="21" customHeight="1">
      <ns0:c r="A874" s="25" t="n"/>
      <ns0:c r="B874" s="26" t="n"/>
      <ns0:c r="C874" s="26" t="n"/>
      <ns0:c r="D874" s="26" t="n"/>
      <ns0:c r="E874" s="27" t="n"/>
      <ns0:c r="F874" s="28" t="str">
        <ns0:f>IF(A874="","",YEAR(A874)&amp;"-"&amp;RIGHT("0"&amp;MONTH(A874),2))</ns0:f>
        <ns0:v/>
      </ns0:c>
    </ns0:row>
    <ns0:row r="875" ht="21" customHeight="1">
      <ns0:c r="A875" s="25" t="n"/>
      <ns0:c r="B875" s="26" t="n"/>
      <ns0:c r="C875" s="26" t="n"/>
      <ns0:c r="D875" s="26" t="n"/>
      <ns0:c r="E875" s="27" t="n"/>
      <ns0:c r="F875" s="28" t="str">
        <ns0:f>IF(A875="","",YEAR(A875)&amp;"-"&amp;RIGHT("0"&amp;MONTH(A875),2))</ns0:f>
        <ns0:v/>
      </ns0:c>
    </ns0:row>
    <ns0:row r="876" ht="21" customHeight="1">
      <ns0:c r="A876" s="25" t="n"/>
      <ns0:c r="B876" s="26" t="n"/>
      <ns0:c r="C876" s="26" t="n"/>
      <ns0:c r="D876" s="26" t="n"/>
      <ns0:c r="E876" s="27" t="n"/>
      <ns0:c r="F876" s="28" t="str">
        <ns0:f>IF(A876="","",YEAR(A876)&amp;"-"&amp;RIGHT("0"&amp;MONTH(A876),2))</ns0:f>
        <ns0:v/>
      </ns0:c>
    </ns0:row>
    <ns0:row r="877" ht="21" customHeight="1">
      <ns0:c r="A877" s="25" t="n"/>
      <ns0:c r="B877" s="26" t="n"/>
      <ns0:c r="C877" s="26" t="n"/>
      <ns0:c r="D877" s="26" t="n"/>
      <ns0:c r="E877" s="27" t="n"/>
      <ns0:c r="F877" s="28" t="str">
        <ns0:f>IF(A877="","",YEAR(A877)&amp;"-"&amp;RIGHT("0"&amp;MONTH(A877),2))</ns0:f>
        <ns0:v/>
      </ns0:c>
    </ns0:row>
    <ns0:row r="878" ht="21" customHeight="1">
      <ns0:c r="A878" s="25" t="n"/>
      <ns0:c r="B878" s="26" t="n"/>
      <ns0:c r="C878" s="26" t="n"/>
      <ns0:c r="D878" s="26" t="n"/>
      <ns0:c r="E878" s="27" t="n"/>
      <ns0:c r="F878" s="28" t="str">
        <ns0:f>IF(A878="","",YEAR(A878)&amp;"-"&amp;RIGHT("0"&amp;MONTH(A878),2))</ns0:f>
        <ns0:v/>
      </ns0:c>
    </ns0:row>
    <ns0:row r="879" ht="21" customHeight="1">
      <ns0:c r="A879" s="25" t="n"/>
      <ns0:c r="B879" s="26" t="n"/>
      <ns0:c r="C879" s="26" t="n"/>
      <ns0:c r="D879" s="26" t="n"/>
      <ns0:c r="E879" s="27" t="n"/>
      <ns0:c r="F879" s="28" t="str">
        <ns0:f>IF(A879="","",YEAR(A879)&amp;"-"&amp;RIGHT("0"&amp;MONTH(A879),2))</ns0:f>
        <ns0:v/>
      </ns0:c>
    </ns0:row>
    <ns0:row r="880" ht="21" customHeight="1">
      <ns0:c r="A880" s="25" t="n"/>
      <ns0:c r="B880" s="26" t="n"/>
      <ns0:c r="C880" s="26" t="n"/>
      <ns0:c r="D880" s="26" t="n"/>
      <ns0:c r="E880" s="27" t="n"/>
      <ns0:c r="F880" s="28" t="str">
        <ns0:f>IF(A880="","",YEAR(A880)&amp;"-"&amp;RIGHT("0"&amp;MONTH(A880),2))</ns0:f>
        <ns0:v/>
      </ns0:c>
    </ns0:row>
    <ns0:row r="881" ht="21" customHeight="1">
      <ns0:c r="A881" s="25" t="n"/>
      <ns0:c r="B881" s="26" t="n"/>
      <ns0:c r="C881" s="26" t="n"/>
      <ns0:c r="D881" s="26" t="n"/>
      <ns0:c r="E881" s="27" t="n"/>
      <ns0:c r="F881" s="28" t="str">
        <ns0:f>IF(A881="","",YEAR(A881)&amp;"-"&amp;RIGHT("0"&amp;MONTH(A881),2))</ns0:f>
        <ns0:v/>
      </ns0:c>
    </ns0:row>
    <ns0:row r="882" ht="21" customHeight="1">
      <ns0:c r="A882" s="25" t="n"/>
      <ns0:c r="B882" s="26" t="n"/>
      <ns0:c r="C882" s="26" t="n"/>
      <ns0:c r="D882" s="26" t="n"/>
      <ns0:c r="E882" s="27" t="n"/>
      <ns0:c r="F882" s="28" t="str">
        <ns0:f>IF(A882="","",YEAR(A882)&amp;"-"&amp;RIGHT("0"&amp;MONTH(A882),2))</ns0:f>
        <ns0:v/>
      </ns0:c>
    </ns0:row>
    <ns0:row r="883" ht="21" customHeight="1">
      <ns0:c r="A883" s="25" t="n"/>
      <ns0:c r="B883" s="26" t="n"/>
      <ns0:c r="C883" s="26" t="n"/>
      <ns0:c r="D883" s="26" t="n"/>
      <ns0:c r="E883" s="27" t="n"/>
      <ns0:c r="F883" s="28" t="str">
        <ns0:f>IF(A883="","",YEAR(A883)&amp;"-"&amp;RIGHT("0"&amp;MONTH(A883),2))</ns0:f>
        <ns0:v/>
      </ns0:c>
    </ns0:row>
    <ns0:row r="884" ht="21" customHeight="1">
      <ns0:c r="A884" s="25" t="n"/>
      <ns0:c r="B884" s="26" t="n"/>
      <ns0:c r="C884" s="26" t="n"/>
      <ns0:c r="D884" s="26" t="n"/>
      <ns0:c r="E884" s="27" t="n"/>
      <ns0:c r="F884" s="28" t="str">
        <ns0:f>IF(A884="","",YEAR(A884)&amp;"-"&amp;RIGHT("0"&amp;MONTH(A884),2))</ns0:f>
        <ns0:v/>
      </ns0:c>
    </ns0:row>
    <ns0:row r="885" ht="21" customHeight="1">
      <ns0:c r="A885" s="25" t="n"/>
      <ns0:c r="B885" s="26" t="n"/>
      <ns0:c r="C885" s="26" t="n"/>
      <ns0:c r="D885" s="26" t="n"/>
      <ns0:c r="E885" s="27" t="n"/>
      <ns0:c r="F885" s="28" t="str">
        <ns0:f>IF(A885="","",YEAR(A885)&amp;"-"&amp;RIGHT("0"&amp;MONTH(A885),2))</ns0:f>
        <ns0:v/>
      </ns0:c>
    </ns0:row>
    <ns0:row r="886" ht="21" customHeight="1">
      <ns0:c r="A886" s="25" t="n"/>
      <ns0:c r="B886" s="26" t="n"/>
      <ns0:c r="C886" s="26" t="n"/>
      <ns0:c r="D886" s="26" t="n"/>
      <ns0:c r="E886" s="27" t="n"/>
      <ns0:c r="F886" s="28" t="str">
        <ns0:f>IF(A886="","",YEAR(A886)&amp;"-"&amp;RIGHT("0"&amp;MONTH(A886),2))</ns0:f>
        <ns0:v/>
      </ns0:c>
    </ns0:row>
    <ns0:row r="887" ht="21" customHeight="1">
      <ns0:c r="A887" s="25" t="n"/>
      <ns0:c r="B887" s="26" t="n"/>
      <ns0:c r="C887" s="26" t="n"/>
      <ns0:c r="D887" s="26" t="n"/>
      <ns0:c r="E887" s="27" t="n"/>
      <ns0:c r="F887" s="28" t="str">
        <ns0:f>IF(A887="","",YEAR(A887)&amp;"-"&amp;RIGHT("0"&amp;MONTH(A887),2))</ns0:f>
        <ns0:v/>
      </ns0:c>
    </ns0:row>
    <ns0:row r="888" ht="21" customHeight="1">
      <ns0:c r="A888" s="25" t="n"/>
      <ns0:c r="B888" s="26" t="n"/>
      <ns0:c r="C888" s="26" t="n"/>
      <ns0:c r="D888" s="26" t="n"/>
      <ns0:c r="E888" s="27" t="n"/>
      <ns0:c r="F888" s="28" t="str">
        <ns0:f>IF(A888="","",YEAR(A888)&amp;"-"&amp;RIGHT("0"&amp;MONTH(A888),2))</ns0:f>
        <ns0:v/>
      </ns0:c>
    </ns0:row>
    <ns0:row r="889" ht="21" customHeight="1">
      <ns0:c r="A889" s="25" t="n"/>
      <ns0:c r="B889" s="26" t="n"/>
      <ns0:c r="C889" s="26" t="n"/>
      <ns0:c r="D889" s="26" t="n"/>
      <ns0:c r="E889" s="27" t="n"/>
      <ns0:c r="F889" s="28" t="str">
        <ns0:f>IF(A889="","",YEAR(A889)&amp;"-"&amp;RIGHT("0"&amp;MONTH(A889),2))</ns0:f>
        <ns0:v/>
      </ns0:c>
    </ns0:row>
    <ns0:row r="890" ht="21" customHeight="1">
      <ns0:c r="A890" s="25" t="n"/>
      <ns0:c r="B890" s="26" t="n"/>
      <ns0:c r="C890" s="26" t="n"/>
      <ns0:c r="D890" s="26" t="n"/>
      <ns0:c r="E890" s="27" t="n"/>
      <ns0:c r="F890" s="28" t="str">
        <ns0:f>IF(A890="","",YEAR(A890)&amp;"-"&amp;RIGHT("0"&amp;MONTH(A890),2))</ns0:f>
        <ns0:v/>
      </ns0:c>
    </ns0:row>
    <ns0:row r="891" ht="21" customHeight="1">
      <ns0:c r="A891" s="25" t="n"/>
      <ns0:c r="B891" s="26" t="n"/>
      <ns0:c r="C891" s="26" t="n"/>
      <ns0:c r="D891" s="26" t="n"/>
      <ns0:c r="E891" s="27" t="n"/>
      <ns0:c r="F891" s="28" t="str">
        <ns0:f>IF(A891="","",YEAR(A891)&amp;"-"&amp;RIGHT("0"&amp;MONTH(A891),2))</ns0:f>
        <ns0:v/>
      </ns0:c>
    </ns0:row>
    <ns0:row r="892" ht="21" customHeight="1">
      <ns0:c r="A892" s="25" t="n"/>
      <ns0:c r="B892" s="26" t="n"/>
      <ns0:c r="C892" s="26" t="n"/>
      <ns0:c r="D892" s="26" t="n"/>
      <ns0:c r="E892" s="27" t="n"/>
      <ns0:c r="F892" s="28" t="str">
        <ns0:f>IF(A892="","",YEAR(A892)&amp;"-"&amp;RIGHT("0"&amp;MONTH(A892),2))</ns0:f>
        <ns0:v/>
      </ns0:c>
    </ns0:row>
    <ns0:row r="893" ht="21" customHeight="1">
      <ns0:c r="A893" s="25" t="n"/>
      <ns0:c r="B893" s="26" t="n"/>
      <ns0:c r="C893" s="26" t="n"/>
      <ns0:c r="D893" s="26" t="n"/>
      <ns0:c r="E893" s="27" t="n"/>
      <ns0:c r="F893" s="28" t="str">
        <ns0:f>IF(A893="","",YEAR(A893)&amp;"-"&amp;RIGHT("0"&amp;MONTH(A893),2))</ns0:f>
        <ns0:v/>
      </ns0:c>
    </ns0:row>
    <ns0:row r="894" ht="21" customHeight="1">
      <ns0:c r="A894" s="25" t="n"/>
      <ns0:c r="B894" s="26" t="n"/>
      <ns0:c r="C894" s="26" t="n"/>
      <ns0:c r="D894" s="26" t="n"/>
      <ns0:c r="E894" s="27" t="n"/>
      <ns0:c r="F894" s="28" t="str">
        <ns0:f>IF(A894="","",YEAR(A894)&amp;"-"&amp;RIGHT("0"&amp;MONTH(A894),2))</ns0:f>
        <ns0:v/>
      </ns0:c>
    </ns0:row>
    <ns0:row r="895" ht="21" customHeight="1">
      <ns0:c r="A895" s="25" t="n"/>
      <ns0:c r="B895" s="26" t="n"/>
      <ns0:c r="C895" s="26" t="n"/>
      <ns0:c r="D895" s="26" t="n"/>
      <ns0:c r="E895" s="27" t="n"/>
      <ns0:c r="F895" s="28" t="str">
        <ns0:f>IF(A895="","",YEAR(A895)&amp;"-"&amp;RIGHT("0"&amp;MONTH(A895),2))</ns0:f>
        <ns0:v/>
      </ns0:c>
    </ns0:row>
    <ns0:row r="896" ht="21" customHeight="1">
      <ns0:c r="A896" s="25" t="n"/>
      <ns0:c r="B896" s="26" t="n"/>
      <ns0:c r="C896" s="26" t="n"/>
      <ns0:c r="D896" s="26" t="n"/>
      <ns0:c r="E896" s="27" t="n"/>
      <ns0:c r="F896" s="28" t="str">
        <ns0:f>IF(A896="","",YEAR(A896)&amp;"-"&amp;RIGHT("0"&amp;MONTH(A896),2))</ns0:f>
        <ns0:v/>
      </ns0:c>
    </ns0:row>
    <ns0:row r="897" ht="21" customHeight="1">
      <ns0:c r="A897" s="25" t="n"/>
      <ns0:c r="B897" s="26" t="n"/>
      <ns0:c r="C897" s="26" t="n"/>
      <ns0:c r="D897" s="26" t="n"/>
      <ns0:c r="E897" s="27" t="n"/>
      <ns0:c r="F897" s="28" t="str">
        <ns0:f>IF(A897="","",YEAR(A897)&amp;"-"&amp;RIGHT("0"&amp;MONTH(A897),2))</ns0:f>
        <ns0:v/>
      </ns0:c>
    </ns0:row>
    <ns0:row r="898" ht="21" customHeight="1">
      <ns0:c r="A898" s="25" t="n"/>
      <ns0:c r="B898" s="26" t="n"/>
      <ns0:c r="C898" s="26" t="n"/>
      <ns0:c r="D898" s="26" t="n"/>
      <ns0:c r="E898" s="27" t="n"/>
      <ns0:c r="F898" s="28" t="str">
        <ns0:f>IF(A898="","",YEAR(A898)&amp;"-"&amp;RIGHT("0"&amp;MONTH(A898),2))</ns0:f>
        <ns0:v/>
      </ns0:c>
    </ns0:row>
    <ns0:row r="899" ht="21" customHeight="1">
      <ns0:c r="A899" s="25" t="n"/>
      <ns0:c r="B899" s="26" t="n"/>
      <ns0:c r="C899" s="26" t="n"/>
      <ns0:c r="D899" s="26" t="n"/>
      <ns0:c r="E899" s="27" t="n"/>
      <ns0:c r="F899" s="28" t="str">
        <ns0:f>IF(A899="","",YEAR(A899)&amp;"-"&amp;RIGHT("0"&amp;MONTH(A899),2))</ns0:f>
        <ns0:v/>
      </ns0:c>
    </ns0:row>
    <ns0:row r="900" ht="21" customHeight="1">
      <ns0:c r="A900" s="25" t="n"/>
      <ns0:c r="B900" s="26" t="n"/>
      <ns0:c r="C900" s="26" t="n"/>
      <ns0:c r="D900" s="26" t="n"/>
      <ns0:c r="E900" s="27" t="n"/>
      <ns0:c r="F900" s="28" t="str">
        <ns0:f>IF(A900="","",YEAR(A900)&amp;"-"&amp;RIGHT("0"&amp;MONTH(A900),2))</ns0:f>
        <ns0:v/>
      </ns0:c>
    </ns0:row>
    <ns0:row r="901" ht="21" customHeight="1">
      <ns0:c r="A901" s="25" t="n"/>
      <ns0:c r="B901" s="26" t="n"/>
      <ns0:c r="C901" s="26" t="n"/>
      <ns0:c r="D901" s="26" t="n"/>
      <ns0:c r="E901" s="27" t="n"/>
      <ns0:c r="F901" s="28" t="str">
        <ns0:f>IF(A901="","",YEAR(A901)&amp;"-"&amp;RIGHT("0"&amp;MONTH(A901),2))</ns0:f>
        <ns0:v/>
      </ns0:c>
    </ns0:row>
    <ns0:row r="902" ht="21" customHeight="1">
      <ns0:c r="A902" s="25" t="n"/>
      <ns0:c r="B902" s="26" t="n"/>
      <ns0:c r="C902" s="26" t="n"/>
      <ns0:c r="D902" s="26" t="n"/>
      <ns0:c r="E902" s="27" t="n"/>
      <ns0:c r="F902" s="28" t="str">
        <ns0:f>IF(A902="","",YEAR(A902)&amp;"-"&amp;RIGHT("0"&amp;MONTH(A902),2))</ns0:f>
        <ns0:v/>
      </ns0:c>
    </ns0:row>
    <ns0:row r="903" ht="21" customHeight="1">
      <ns0:c r="A903" s="25" t="n"/>
      <ns0:c r="B903" s="26" t="n"/>
      <ns0:c r="C903" s="26" t="n"/>
      <ns0:c r="D903" s="26" t="n"/>
      <ns0:c r="E903" s="27" t="n"/>
      <ns0:c r="F903" s="28" t="str">
        <ns0:f>IF(A903="","",YEAR(A903)&amp;"-"&amp;RIGHT("0"&amp;MONTH(A903),2))</ns0:f>
        <ns0:v/>
      </ns0:c>
    </ns0:row>
    <ns0:row r="904" ht="21" customHeight="1">
      <ns0:c r="A904" s="25" t="n"/>
      <ns0:c r="B904" s="26" t="n"/>
      <ns0:c r="C904" s="26" t="n"/>
      <ns0:c r="D904" s="26" t="n"/>
      <ns0:c r="E904" s="27" t="n"/>
      <ns0:c r="F904" s="28" t="str">
        <ns0:f>IF(A904="","",YEAR(A904)&amp;"-"&amp;RIGHT("0"&amp;MONTH(A904),2))</ns0:f>
        <ns0:v/>
      </ns0:c>
    </ns0:row>
    <ns0:row r="905" ht="21" customHeight="1">
      <ns0:c r="A905" s="25" t="n"/>
      <ns0:c r="B905" s="26" t="n"/>
      <ns0:c r="C905" s="26" t="n"/>
      <ns0:c r="D905" s="26" t="n"/>
      <ns0:c r="E905" s="27" t="n"/>
      <ns0:c r="F905" s="28" t="str">
        <ns0:f>IF(A905="","",YEAR(A905)&amp;"-"&amp;RIGHT("0"&amp;MONTH(A905),2))</ns0:f>
        <ns0:v/>
      </ns0:c>
    </ns0:row>
    <ns0:row r="906" ht="21" customHeight="1">
      <ns0:c r="A906" s="25" t="n"/>
      <ns0:c r="B906" s="26" t="n"/>
      <ns0:c r="C906" s="26" t="n"/>
      <ns0:c r="D906" s="26" t="n"/>
      <ns0:c r="E906" s="27" t="n"/>
      <ns0:c r="F906" s="28" t="str">
        <ns0:f>IF(A906="","",YEAR(A906)&amp;"-"&amp;RIGHT("0"&amp;MONTH(A906),2))</ns0:f>
        <ns0:v/>
      </ns0:c>
    </ns0:row>
    <ns0:row r="907" ht="21" customHeight="1">
      <ns0:c r="A907" s="25" t="n"/>
      <ns0:c r="B907" s="26" t="n"/>
      <ns0:c r="C907" s="26" t="n"/>
      <ns0:c r="D907" s="26" t="n"/>
      <ns0:c r="E907" s="27" t="n"/>
      <ns0:c r="F907" s="28" t="str">
        <ns0:f>IF(A907="","",YEAR(A907)&amp;"-"&amp;RIGHT("0"&amp;MONTH(A907),2))</ns0:f>
        <ns0:v/>
      </ns0:c>
    </ns0:row>
    <ns0:row r="908" ht="21" customHeight="1">
      <ns0:c r="A908" s="25" t="n"/>
      <ns0:c r="B908" s="26" t="n"/>
      <ns0:c r="C908" s="26" t="n"/>
      <ns0:c r="D908" s="26" t="n"/>
      <ns0:c r="E908" s="27" t="n"/>
      <ns0:c r="F908" s="28" t="str">
        <ns0:f>IF(A908="","",YEAR(A908)&amp;"-"&amp;RIGHT("0"&amp;MONTH(A908),2))</ns0:f>
        <ns0:v/>
      </ns0:c>
    </ns0:row>
    <ns0:row r="909" ht="21" customHeight="1">
      <ns0:c r="A909" s="25" t="n"/>
      <ns0:c r="B909" s="26" t="n"/>
      <ns0:c r="C909" s="26" t="n"/>
      <ns0:c r="D909" s="26" t="n"/>
      <ns0:c r="E909" s="27" t="n"/>
      <ns0:c r="F909" s="28" t="str">
        <ns0:f>IF(A909="","",YEAR(A909)&amp;"-"&amp;RIGHT("0"&amp;MONTH(A909),2))</ns0:f>
        <ns0:v/>
      </ns0:c>
    </ns0:row>
    <ns0:row r="910" ht="21" customHeight="1">
      <ns0:c r="A910" s="25" t="n"/>
      <ns0:c r="B910" s="26" t="n"/>
      <ns0:c r="C910" s="26" t="n"/>
      <ns0:c r="D910" s="26" t="n"/>
      <ns0:c r="E910" s="27" t="n"/>
      <ns0:c r="F910" s="28" t="str">
        <ns0:f>IF(A910="","",YEAR(A910)&amp;"-"&amp;RIGHT("0"&amp;MONTH(A910),2))</ns0:f>
        <ns0:v/>
      </ns0:c>
    </ns0:row>
    <ns0:row r="911" ht="21" customHeight="1">
      <ns0:c r="A911" s="25" t="n"/>
      <ns0:c r="B911" s="26" t="n"/>
      <ns0:c r="C911" s="26" t="n"/>
      <ns0:c r="D911" s="26" t="n"/>
      <ns0:c r="E911" s="27" t="n"/>
      <ns0:c r="F911" s="28" t="str">
        <ns0:f>IF(A911="","",YEAR(A911)&amp;"-"&amp;RIGHT("0"&amp;MONTH(A911),2))</ns0:f>
        <ns0:v/>
      </ns0:c>
    </ns0:row>
    <ns0:row r="912" ht="21" customHeight="1">
      <ns0:c r="A912" s="25" t="n"/>
      <ns0:c r="B912" s="26" t="n"/>
      <ns0:c r="C912" s="26" t="n"/>
      <ns0:c r="D912" s="26" t="n"/>
      <ns0:c r="E912" s="27" t="n"/>
      <ns0:c r="F912" s="28" t="str">
        <ns0:f>IF(A912="","",YEAR(A912)&amp;"-"&amp;RIGHT("0"&amp;MONTH(A912),2))</ns0:f>
        <ns0:v/>
      </ns0:c>
    </ns0:row>
    <ns0:row r="913" ht="21" customHeight="1">
      <ns0:c r="A913" s="25" t="n"/>
      <ns0:c r="B913" s="26" t="n"/>
      <ns0:c r="C913" s="26" t="n"/>
      <ns0:c r="D913" s="26" t="n"/>
      <ns0:c r="E913" s="27" t="n"/>
      <ns0:c r="F913" s="28" t="str">
        <ns0:f>IF(A913="","",YEAR(A913)&amp;"-"&amp;RIGHT("0"&amp;MONTH(A913),2))</ns0:f>
        <ns0:v/>
      </ns0:c>
    </ns0:row>
    <ns0:row r="914" ht="21" customHeight="1">
      <ns0:c r="A914" s="25" t="n"/>
      <ns0:c r="B914" s="26" t="n"/>
      <ns0:c r="C914" s="26" t="n"/>
      <ns0:c r="D914" s="26" t="n"/>
      <ns0:c r="E914" s="27" t="n"/>
      <ns0:c r="F914" s="28" t="str">
        <ns0:f>IF(A914="","",YEAR(A914)&amp;"-"&amp;RIGHT("0"&amp;MONTH(A914),2))</ns0:f>
        <ns0:v/>
      </ns0:c>
    </ns0:row>
    <ns0:row r="915" ht="21" customHeight="1">
      <ns0:c r="A915" s="25" t="n"/>
      <ns0:c r="B915" s="26" t="n"/>
      <ns0:c r="C915" s="26" t="n"/>
      <ns0:c r="D915" s="26" t="n"/>
      <ns0:c r="E915" s="27" t="n"/>
      <ns0:c r="F915" s="28" t="str">
        <ns0:f>IF(A915="","",YEAR(A915)&amp;"-"&amp;RIGHT("0"&amp;MONTH(A915),2))</ns0:f>
        <ns0:v/>
      </ns0:c>
    </ns0:row>
    <ns0:row r="916" ht="21" customHeight="1">
      <ns0:c r="A916" s="25" t="n"/>
      <ns0:c r="B916" s="26" t="n"/>
      <ns0:c r="C916" s="26" t="n"/>
      <ns0:c r="D916" s="26" t="n"/>
      <ns0:c r="E916" s="27" t="n"/>
      <ns0:c r="F916" s="28" t="str">
        <ns0:f>IF(A916="","",YEAR(A916)&amp;"-"&amp;RIGHT("0"&amp;MONTH(A916),2))</ns0:f>
        <ns0:v/>
      </ns0:c>
    </ns0:row>
    <ns0:row r="917" ht="21" customHeight="1">
      <ns0:c r="A917" s="25" t="n"/>
      <ns0:c r="B917" s="26" t="n"/>
      <ns0:c r="C917" s="26" t="n"/>
      <ns0:c r="D917" s="26" t="n"/>
      <ns0:c r="E917" s="27" t="n"/>
      <ns0:c r="F917" s="28" t="str">
        <ns0:f>IF(A917="","",YEAR(A917)&amp;"-"&amp;RIGHT("0"&amp;MONTH(A917),2))</ns0:f>
        <ns0:v/>
      </ns0:c>
    </ns0:row>
    <ns0:row r="918" ht="21" customHeight="1">
      <ns0:c r="A918" s="25" t="n"/>
      <ns0:c r="B918" s="26" t="n"/>
      <ns0:c r="C918" s="26" t="n"/>
      <ns0:c r="D918" s="26" t="n"/>
      <ns0:c r="E918" s="27" t="n"/>
      <ns0:c r="F918" s="28" t="str">
        <ns0:f>IF(A918="","",YEAR(A918)&amp;"-"&amp;RIGHT("0"&amp;MONTH(A918),2))</ns0:f>
        <ns0:v/>
      </ns0:c>
    </ns0:row>
    <ns0:row r="919" ht="21" customHeight="1">
      <ns0:c r="A919" s="25" t="n"/>
      <ns0:c r="B919" s="26" t="n"/>
      <ns0:c r="C919" s="26" t="n"/>
      <ns0:c r="D919" s="26" t="n"/>
      <ns0:c r="E919" s="27" t="n"/>
      <ns0:c r="F919" s="28" t="str">
        <ns0:f>IF(A919="","",YEAR(A919)&amp;"-"&amp;RIGHT("0"&amp;MONTH(A919),2))</ns0:f>
        <ns0:v/>
      </ns0:c>
    </ns0:row>
    <ns0:row r="920" ht="21" customHeight="1">
      <ns0:c r="A920" s="25" t="n"/>
      <ns0:c r="B920" s="26" t="n"/>
      <ns0:c r="C920" s="26" t="n"/>
      <ns0:c r="D920" s="26" t="n"/>
      <ns0:c r="E920" s="27" t="n"/>
      <ns0:c r="F920" s="28" t="str">
        <ns0:f>IF(A920="","",YEAR(A920)&amp;"-"&amp;RIGHT("0"&amp;MONTH(A920),2))</ns0:f>
        <ns0:v/>
      </ns0:c>
    </ns0:row>
    <ns0:row r="921" ht="21" customHeight="1">
      <ns0:c r="A921" s="25" t="n"/>
      <ns0:c r="B921" s="26" t="n"/>
      <ns0:c r="C921" s="26" t="n"/>
      <ns0:c r="D921" s="26" t="n"/>
      <ns0:c r="E921" s="27" t="n"/>
      <ns0:c r="F921" s="28" t="str">
        <ns0:f>IF(A921="","",YEAR(A921)&amp;"-"&amp;RIGHT("0"&amp;MONTH(A921),2))</ns0:f>
        <ns0:v/>
      </ns0:c>
    </ns0:row>
    <ns0:row r="922" ht="21" customHeight="1">
      <ns0:c r="A922" s="25" t="n"/>
      <ns0:c r="B922" s="26" t="n"/>
      <ns0:c r="C922" s="26" t="n"/>
      <ns0:c r="D922" s="26" t="n"/>
      <ns0:c r="E922" s="27" t="n"/>
      <ns0:c r="F922" s="28" t="str">
        <ns0:f>IF(A922="","",YEAR(A922)&amp;"-"&amp;RIGHT("0"&amp;MONTH(A922),2))</ns0:f>
        <ns0:v/>
      </ns0:c>
    </ns0:row>
    <ns0:row r="923" ht="21" customHeight="1">
      <ns0:c r="A923" s="25" t="n"/>
      <ns0:c r="B923" s="26" t="n"/>
      <ns0:c r="C923" s="26" t="n"/>
      <ns0:c r="D923" s="26" t="n"/>
      <ns0:c r="E923" s="27" t="n"/>
      <ns0:c r="F923" s="28" t="str">
        <ns0:f>IF(A923="","",YEAR(A923)&amp;"-"&amp;RIGHT("0"&amp;MONTH(A923),2))</ns0:f>
        <ns0:v/>
      </ns0:c>
    </ns0:row>
    <ns0:row r="924" ht="21" customHeight="1">
      <ns0:c r="A924" s="25" t="n"/>
      <ns0:c r="B924" s="26" t="n"/>
      <ns0:c r="C924" s="26" t="n"/>
      <ns0:c r="D924" s="26" t="n"/>
      <ns0:c r="E924" s="27" t="n"/>
      <ns0:c r="F924" s="28" t="str">
        <ns0:f>IF(A924="","",YEAR(A924)&amp;"-"&amp;RIGHT("0"&amp;MONTH(A924),2))</ns0:f>
        <ns0:v/>
      </ns0:c>
    </ns0:row>
    <ns0:row r="925" ht="21" customHeight="1">
      <ns0:c r="A925" s="25" t="n"/>
      <ns0:c r="B925" s="26" t="n"/>
      <ns0:c r="C925" s="26" t="n"/>
      <ns0:c r="D925" s="26" t="n"/>
      <ns0:c r="E925" s="27" t="n"/>
      <ns0:c r="F925" s="28" t="str">
        <ns0:f>IF(A925="","",YEAR(A925)&amp;"-"&amp;RIGHT("0"&amp;MONTH(A925),2))</ns0:f>
        <ns0:v/>
      </ns0:c>
    </ns0:row>
    <ns0:row r="926" ht="21" customHeight="1">
      <ns0:c r="A926" s="25" t="n"/>
      <ns0:c r="B926" s="26" t="n"/>
      <ns0:c r="C926" s="26" t="n"/>
      <ns0:c r="D926" s="26" t="n"/>
      <ns0:c r="E926" s="27" t="n"/>
      <ns0:c r="F926" s="28" t="str">
        <ns0:f>IF(A926="","",YEAR(A926)&amp;"-"&amp;RIGHT("0"&amp;MONTH(A926),2))</ns0:f>
        <ns0:v/>
      </ns0:c>
    </ns0:row>
    <ns0:row r="927" ht="21" customHeight="1">
      <ns0:c r="A927" s="25" t="n"/>
      <ns0:c r="B927" s="26" t="n"/>
      <ns0:c r="C927" s="26" t="n"/>
      <ns0:c r="D927" s="26" t="n"/>
      <ns0:c r="E927" s="27" t="n"/>
      <ns0:c r="F927" s="28" t="str">
        <ns0:f>IF(A927="","",YEAR(A927)&amp;"-"&amp;RIGHT("0"&amp;MONTH(A927),2))</ns0:f>
        <ns0:v/>
      </ns0:c>
    </ns0:row>
    <ns0:row r="928" ht="21" customHeight="1">
      <ns0:c r="A928" s="25" t="n"/>
      <ns0:c r="B928" s="26" t="n"/>
      <ns0:c r="C928" s="26" t="n"/>
      <ns0:c r="D928" s="26" t="n"/>
      <ns0:c r="E928" s="27" t="n"/>
      <ns0:c r="F928" s="28" t="str">
        <ns0:f>IF(A928="","",YEAR(A928)&amp;"-"&amp;RIGHT("0"&amp;MONTH(A928),2))</ns0:f>
        <ns0:v/>
      </ns0:c>
    </ns0:row>
    <ns0:row r="929" ht="21" customHeight="1">
      <ns0:c r="A929" s="25" t="n"/>
      <ns0:c r="B929" s="26" t="n"/>
      <ns0:c r="C929" s="26" t="n"/>
      <ns0:c r="D929" s="26" t="n"/>
      <ns0:c r="E929" s="27" t="n"/>
      <ns0:c r="F929" s="28" t="str">
        <ns0:f>IF(A929="","",YEAR(A929)&amp;"-"&amp;RIGHT("0"&amp;MONTH(A929),2))</ns0:f>
        <ns0:v/>
      </ns0:c>
    </ns0:row>
    <ns0:row r="930" ht="21" customHeight="1">
      <ns0:c r="A930" s="25" t="n"/>
      <ns0:c r="B930" s="26" t="n"/>
      <ns0:c r="C930" s="26" t="n"/>
      <ns0:c r="D930" s="26" t="n"/>
      <ns0:c r="E930" s="27" t="n"/>
      <ns0:c r="F930" s="28" t="str">
        <ns0:f>IF(A930="","",YEAR(A930)&amp;"-"&amp;RIGHT("0"&amp;MONTH(A930),2))</ns0:f>
        <ns0:v/>
      </ns0:c>
    </ns0:row>
    <ns0:row r="931" ht="21" customHeight="1">
      <ns0:c r="A931" s="25" t="n"/>
      <ns0:c r="B931" s="26" t="n"/>
      <ns0:c r="C931" s="26" t="n"/>
      <ns0:c r="D931" s="26" t="n"/>
      <ns0:c r="E931" s="27" t="n"/>
      <ns0:c r="F931" s="28" t="str">
        <ns0:f>IF(A931="","",YEAR(A931)&amp;"-"&amp;RIGHT("0"&amp;MONTH(A931),2))</ns0:f>
        <ns0:v/>
      </ns0:c>
    </ns0:row>
    <ns0:row r="932" ht="21" customHeight="1">
      <ns0:c r="A932" s="25" t="n"/>
      <ns0:c r="B932" s="26" t="n"/>
      <ns0:c r="C932" s="26" t="n"/>
      <ns0:c r="D932" s="26" t="n"/>
      <ns0:c r="E932" s="27" t="n"/>
      <ns0:c r="F932" s="28" t="str">
        <ns0:f>IF(A932="","",YEAR(A932)&amp;"-"&amp;RIGHT("0"&amp;MONTH(A932),2))</ns0:f>
        <ns0:v/>
      </ns0:c>
    </ns0:row>
    <ns0:row r="933" ht="21" customHeight="1">
      <ns0:c r="A933" s="25" t="n"/>
      <ns0:c r="B933" s="26" t="n"/>
      <ns0:c r="C933" s="26" t="n"/>
      <ns0:c r="D933" s="26" t="n"/>
      <ns0:c r="E933" s="27" t="n"/>
      <ns0:c r="F933" s="28" t="str">
        <ns0:f>IF(A933="","",YEAR(A933)&amp;"-"&amp;RIGHT("0"&amp;MONTH(A933),2))</ns0:f>
        <ns0:v/>
      </ns0:c>
    </ns0:row>
    <ns0:row r="934" ht="21" customHeight="1">
      <ns0:c r="A934" s="25" t="n"/>
      <ns0:c r="B934" s="26" t="n"/>
      <ns0:c r="C934" s="26" t="n"/>
      <ns0:c r="D934" s="26" t="n"/>
      <ns0:c r="E934" s="27" t="n"/>
      <ns0:c r="F934" s="28" t="str">
        <ns0:f>IF(A934="","",YEAR(A934)&amp;"-"&amp;RIGHT("0"&amp;MONTH(A934),2))</ns0:f>
        <ns0:v/>
      </ns0:c>
    </ns0:row>
    <ns0:row r="935" ht="21" customHeight="1">
      <ns0:c r="A935" s="25" t="n"/>
      <ns0:c r="B935" s="26" t="n"/>
      <ns0:c r="C935" s="26" t="n"/>
      <ns0:c r="D935" s="26" t="n"/>
      <ns0:c r="E935" s="27" t="n"/>
      <ns0:c r="F935" s="28" t="str">
        <ns0:f>IF(A935="","",YEAR(A935)&amp;"-"&amp;RIGHT("0"&amp;MONTH(A935),2))</ns0:f>
        <ns0:v/>
      </ns0:c>
    </ns0:row>
    <ns0:row r="936" ht="21" customHeight="1">
      <ns0:c r="A936" s="25" t="n"/>
      <ns0:c r="B936" s="26" t="n"/>
      <ns0:c r="C936" s="26" t="n"/>
      <ns0:c r="D936" s="26" t="n"/>
      <ns0:c r="E936" s="27" t="n"/>
      <ns0:c r="F936" s="28" t="str">
        <ns0:f>IF(A936="","",YEAR(A936)&amp;"-"&amp;RIGHT("0"&amp;MONTH(A936),2))</ns0:f>
        <ns0:v/>
      </ns0:c>
    </ns0:row>
    <ns0:row r="937" ht="21" customHeight="1">
      <ns0:c r="A937" s="25" t="n"/>
      <ns0:c r="B937" s="26" t="n"/>
      <ns0:c r="C937" s="26" t="n"/>
      <ns0:c r="D937" s="26" t="n"/>
      <ns0:c r="E937" s="27" t="n"/>
      <ns0:c r="F937" s="28" t="str">
        <ns0:f>IF(A937="","",YEAR(A937)&amp;"-"&amp;RIGHT("0"&amp;MONTH(A937),2))</ns0:f>
        <ns0:v/>
      </ns0:c>
    </ns0:row>
    <ns0:row r="938" ht="21" customHeight="1">
      <ns0:c r="A938" s="25" t="n"/>
      <ns0:c r="B938" s="26" t="n"/>
      <ns0:c r="C938" s="26" t="n"/>
      <ns0:c r="D938" s="26" t="n"/>
      <ns0:c r="E938" s="27" t="n"/>
      <ns0:c r="F938" s="28" t="str">
        <ns0:f>IF(A938="","",YEAR(A938)&amp;"-"&amp;RIGHT("0"&amp;MONTH(A938),2))</ns0:f>
        <ns0:v/>
      </ns0:c>
    </ns0:row>
    <ns0:row r="939" ht="21" customHeight="1">
      <ns0:c r="A939" s="25" t="n"/>
      <ns0:c r="B939" s="26" t="n"/>
      <ns0:c r="C939" s="26" t="n"/>
      <ns0:c r="D939" s="26" t="n"/>
      <ns0:c r="E939" s="27" t="n"/>
      <ns0:c r="F939" s="28" t="str">
        <ns0:f>IF(A939="","",YEAR(A939)&amp;"-"&amp;RIGHT("0"&amp;MONTH(A939),2))</ns0:f>
        <ns0:v/>
      </ns0:c>
    </ns0:row>
    <ns0:row r="940" ht="21" customHeight="1">
      <ns0:c r="A940" s="25" t="n"/>
      <ns0:c r="B940" s="26" t="n"/>
      <ns0:c r="C940" s="26" t="n"/>
      <ns0:c r="D940" s="26" t="n"/>
      <ns0:c r="E940" s="27" t="n"/>
      <ns0:c r="F940" s="28" t="str">
        <ns0:f>IF(A940="","",YEAR(A940)&amp;"-"&amp;RIGHT("0"&amp;MONTH(A940),2))</ns0:f>
        <ns0:v/>
      </ns0:c>
    </ns0:row>
    <ns0:row r="941" ht="21" customHeight="1">
      <ns0:c r="A941" s="25" t="n"/>
      <ns0:c r="B941" s="26" t="n"/>
      <ns0:c r="C941" s="26" t="n"/>
      <ns0:c r="D941" s="26" t="n"/>
      <ns0:c r="E941" s="27" t="n"/>
      <ns0:c r="F941" s="28" t="str">
        <ns0:f>IF(A941="","",YEAR(A941)&amp;"-"&amp;RIGHT("0"&amp;MONTH(A941),2))</ns0:f>
        <ns0:v/>
      </ns0:c>
    </ns0:row>
    <ns0:row r="942" ht="21" customHeight="1">
      <ns0:c r="A942" s="25" t="n"/>
      <ns0:c r="B942" s="26" t="n"/>
      <ns0:c r="C942" s="26" t="n"/>
      <ns0:c r="D942" s="26" t="n"/>
      <ns0:c r="E942" s="27" t="n"/>
      <ns0:c r="F942" s="28" t="str">
        <ns0:f>IF(A942="","",YEAR(A942)&amp;"-"&amp;RIGHT("0"&amp;MONTH(A942),2))</ns0:f>
        <ns0:v/>
      </ns0:c>
    </ns0:row>
    <ns0:row r="943" ht="21" customHeight="1">
      <ns0:c r="A943" s="25" t="n"/>
      <ns0:c r="B943" s="26" t="n"/>
      <ns0:c r="C943" s="26" t="n"/>
      <ns0:c r="D943" s="26" t="n"/>
      <ns0:c r="E943" s="27" t="n"/>
      <ns0:c r="F943" s="28" t="str">
        <ns0:f>IF(A943="","",YEAR(A943)&amp;"-"&amp;RIGHT("0"&amp;MONTH(A943),2))</ns0:f>
        <ns0:v/>
      </ns0:c>
    </ns0:row>
    <ns0:row r="944" ht="21" customHeight="1">
      <ns0:c r="A944" s="25" t="n"/>
      <ns0:c r="B944" s="26" t="n"/>
      <ns0:c r="C944" s="26" t="n"/>
      <ns0:c r="D944" s="26" t="n"/>
      <ns0:c r="E944" s="27" t="n"/>
      <ns0:c r="F944" s="28" t="str">
        <ns0:f>IF(A944="","",YEAR(A944)&amp;"-"&amp;RIGHT("0"&amp;MONTH(A944),2))</ns0:f>
        <ns0:v/>
      </ns0:c>
    </ns0:row>
    <ns0:row r="945" ht="21" customHeight="1">
      <ns0:c r="A945" s="25" t="n"/>
      <ns0:c r="B945" s="26" t="n"/>
      <ns0:c r="C945" s="26" t="n"/>
      <ns0:c r="D945" s="26" t="n"/>
      <ns0:c r="E945" s="27" t="n"/>
      <ns0:c r="F945" s="28" t="str">
        <ns0:f>IF(A945="","",YEAR(A945)&amp;"-"&amp;RIGHT("0"&amp;MONTH(A945),2))</ns0:f>
        <ns0:v/>
      </ns0:c>
    </ns0:row>
    <ns0:row r="946" ht="21" customHeight="1">
      <ns0:c r="A946" s="25" t="n"/>
      <ns0:c r="B946" s="26" t="n"/>
      <ns0:c r="C946" s="26" t="n"/>
      <ns0:c r="D946" s="26" t="n"/>
      <ns0:c r="E946" s="27" t="n"/>
      <ns0:c r="F946" s="28" t="str">
        <ns0:f>IF(A946="","",YEAR(A946)&amp;"-"&amp;RIGHT("0"&amp;MONTH(A946),2))</ns0:f>
        <ns0:v/>
      </ns0:c>
    </ns0:row>
    <ns0:row r="947" ht="21" customHeight="1">
      <ns0:c r="A947" s="25" t="n"/>
      <ns0:c r="B947" s="26" t="n"/>
      <ns0:c r="C947" s="26" t="n"/>
      <ns0:c r="D947" s="26" t="n"/>
      <ns0:c r="E947" s="27" t="n"/>
      <ns0:c r="F947" s="28" t="str">
        <ns0:f>IF(A947="","",YEAR(A947)&amp;"-"&amp;RIGHT("0"&amp;MONTH(A947),2))</ns0:f>
        <ns0:v/>
      </ns0:c>
    </ns0:row>
    <ns0:row r="948" ht="21" customHeight="1">
      <ns0:c r="A948" s="25" t="n"/>
      <ns0:c r="B948" s="26" t="n"/>
      <ns0:c r="C948" s="26" t="n"/>
      <ns0:c r="D948" s="26" t="n"/>
      <ns0:c r="E948" s="27" t="n"/>
      <ns0:c r="F948" s="28" t="str">
        <ns0:f>IF(A948="","",YEAR(A948)&amp;"-"&amp;RIGHT("0"&amp;MONTH(A948),2))</ns0:f>
        <ns0:v/>
      </ns0:c>
    </ns0:row>
    <ns0:row r="949" ht="21" customHeight="1">
      <ns0:c r="A949" s="25" t="n"/>
      <ns0:c r="B949" s="26" t="n"/>
      <ns0:c r="C949" s="26" t="n"/>
      <ns0:c r="D949" s="26" t="n"/>
      <ns0:c r="E949" s="27" t="n"/>
      <ns0:c r="F949" s="28" t="str">
        <ns0:f>IF(A949="","",YEAR(A949)&amp;"-"&amp;RIGHT("0"&amp;MONTH(A949),2))</ns0:f>
        <ns0:v/>
      </ns0:c>
    </ns0:row>
    <ns0:row r="950" ht="21" customHeight="1">
      <ns0:c r="A950" s="25" t="n"/>
      <ns0:c r="B950" s="26" t="n"/>
      <ns0:c r="C950" s="26" t="n"/>
      <ns0:c r="D950" s="26" t="n"/>
      <ns0:c r="E950" s="27" t="n"/>
      <ns0:c r="F950" s="28" t="str">
        <ns0:f>IF(A950="","",YEAR(A950)&amp;"-"&amp;RIGHT("0"&amp;MONTH(A950),2))</ns0:f>
        <ns0:v/>
      </ns0:c>
    </ns0:row>
    <ns0:row r="951" ht="21" customHeight="1">
      <ns0:c r="A951" s="25" t="n"/>
      <ns0:c r="B951" s="26" t="n"/>
      <ns0:c r="C951" s="26" t="n"/>
      <ns0:c r="D951" s="26" t="n"/>
      <ns0:c r="E951" s="27" t="n"/>
      <ns0:c r="F951" s="28" t="str">
        <ns0:f>IF(A951="","",YEAR(A951)&amp;"-"&amp;RIGHT("0"&amp;MONTH(A951),2))</ns0:f>
        <ns0:v/>
      </ns0:c>
    </ns0:row>
    <ns0:row r="952" ht="21" customHeight="1">
      <ns0:c r="A952" s="25" t="n"/>
      <ns0:c r="B952" s="26" t="n"/>
      <ns0:c r="C952" s="26" t="n"/>
      <ns0:c r="D952" s="26" t="n"/>
      <ns0:c r="E952" s="27" t="n"/>
      <ns0:c r="F952" s="28" t="str">
        <ns0:f>IF(A952="","",YEAR(A952)&amp;"-"&amp;RIGHT("0"&amp;MONTH(A952),2))</ns0:f>
        <ns0:v/>
      </ns0:c>
    </ns0:row>
    <ns0:row r="953" ht="21" customHeight="1">
      <ns0:c r="A953" s="25" t="n"/>
      <ns0:c r="B953" s="26" t="n"/>
      <ns0:c r="C953" s="26" t="n"/>
      <ns0:c r="D953" s="26" t="n"/>
      <ns0:c r="E953" s="27" t="n"/>
      <ns0:c r="F953" s="28" t="str">
        <ns0:f>IF(A953="","",YEAR(A953)&amp;"-"&amp;RIGHT("0"&amp;MONTH(A953),2))</ns0:f>
        <ns0:v/>
      </ns0:c>
    </ns0:row>
    <ns0:row r="954" ht="21" customHeight="1">
      <ns0:c r="A954" s="25" t="n"/>
      <ns0:c r="B954" s="26" t="n"/>
      <ns0:c r="C954" s="26" t="n"/>
      <ns0:c r="D954" s="26" t="n"/>
      <ns0:c r="E954" s="27" t="n"/>
      <ns0:c r="F954" s="28" t="str">
        <ns0:f>IF(A954="","",YEAR(A954)&amp;"-"&amp;RIGHT("0"&amp;MONTH(A954),2))</ns0:f>
        <ns0:v/>
      </ns0:c>
    </ns0:row>
    <ns0:row r="955" ht="21" customHeight="1">
      <ns0:c r="A955" s="25" t="n"/>
      <ns0:c r="B955" s="26" t="n"/>
      <ns0:c r="C955" s="26" t="n"/>
      <ns0:c r="D955" s="26" t="n"/>
      <ns0:c r="E955" s="27" t="n"/>
      <ns0:c r="F955" s="28" t="str">
        <ns0:f>IF(A955="","",YEAR(A955)&amp;"-"&amp;RIGHT("0"&amp;MONTH(A955),2))</ns0:f>
        <ns0:v/>
      </ns0:c>
    </ns0:row>
    <ns0:row r="956" ht="21" customHeight="1">
      <ns0:c r="A956" s="25" t="n"/>
      <ns0:c r="B956" s="26" t="n"/>
      <ns0:c r="C956" s="26" t="n"/>
      <ns0:c r="D956" s="26" t="n"/>
      <ns0:c r="E956" s="27" t="n"/>
      <ns0:c r="F956" s="28" t="str">
        <ns0:f>IF(A956="","",YEAR(A956)&amp;"-"&amp;RIGHT("0"&amp;MONTH(A956),2))</ns0:f>
        <ns0:v/>
      </ns0:c>
    </ns0:row>
    <ns0:row r="957" ht="21" customHeight="1">
      <ns0:c r="A957" s="25" t="n"/>
      <ns0:c r="B957" s="26" t="n"/>
      <ns0:c r="C957" s="26" t="n"/>
      <ns0:c r="D957" s="26" t="n"/>
      <ns0:c r="E957" s="27" t="n"/>
      <ns0:c r="F957" s="28" t="str">
        <ns0:f>IF(A957="","",YEAR(A957)&amp;"-"&amp;RIGHT("0"&amp;MONTH(A957),2))</ns0:f>
        <ns0:v/>
      </ns0:c>
    </ns0:row>
    <ns0:row r="958" ht="21" customHeight="1">
      <ns0:c r="A958" s="25" t="n"/>
      <ns0:c r="B958" s="26" t="n"/>
      <ns0:c r="C958" s="26" t="n"/>
      <ns0:c r="D958" s="26" t="n"/>
      <ns0:c r="E958" s="27" t="n"/>
      <ns0:c r="F958" s="28" t="str">
        <ns0:f>IF(A958="","",YEAR(A958)&amp;"-"&amp;RIGHT("0"&amp;MONTH(A958),2))</ns0:f>
        <ns0:v/>
      </ns0:c>
    </ns0:row>
    <ns0:row r="959" ht="21" customHeight="1">
      <ns0:c r="A959" s="25" t="n"/>
      <ns0:c r="B959" s="26" t="n"/>
      <ns0:c r="C959" s="26" t="n"/>
      <ns0:c r="D959" s="26" t="n"/>
      <ns0:c r="E959" s="27" t="n"/>
      <ns0:c r="F959" s="28" t="str">
        <ns0:f>IF(A959="","",YEAR(A959)&amp;"-"&amp;RIGHT("0"&amp;MONTH(A959),2))</ns0:f>
        <ns0:v/>
      </ns0:c>
    </ns0:row>
    <ns0:row r="960" ht="21" customHeight="1">
      <ns0:c r="A960" s="25" t="n"/>
      <ns0:c r="B960" s="26" t="n"/>
      <ns0:c r="C960" s="26" t="n"/>
      <ns0:c r="D960" s="26" t="n"/>
      <ns0:c r="E960" s="27" t="n"/>
      <ns0:c r="F960" s="28" t="str">
        <ns0:f>IF(A960="","",YEAR(A960)&amp;"-"&amp;RIGHT("0"&amp;MONTH(A960),2))</ns0:f>
        <ns0:v/>
      </ns0:c>
    </ns0:row>
    <ns0:row r="961" ht="21" customHeight="1">
      <ns0:c r="A961" s="25" t="n"/>
      <ns0:c r="B961" s="26" t="n"/>
      <ns0:c r="C961" s="26" t="n"/>
      <ns0:c r="D961" s="26" t="n"/>
      <ns0:c r="E961" s="27" t="n"/>
      <ns0:c r="F961" s="28" t="str">
        <ns0:f>IF(A961="","",YEAR(A961)&amp;"-"&amp;RIGHT("0"&amp;MONTH(A961),2))</ns0:f>
        <ns0:v/>
      </ns0:c>
    </ns0:row>
    <ns0:row r="962" ht="21" customHeight="1">
      <ns0:c r="A962" s="25" t="n"/>
      <ns0:c r="B962" s="26" t="n"/>
      <ns0:c r="C962" s="26" t="n"/>
      <ns0:c r="D962" s="26" t="n"/>
      <ns0:c r="E962" s="27" t="n"/>
      <ns0:c r="F962" s="28" t="str">
        <ns0:f>IF(A962="","",YEAR(A962)&amp;"-"&amp;RIGHT("0"&amp;MONTH(A962),2))</ns0:f>
        <ns0:v/>
      </ns0:c>
    </ns0:row>
    <ns0:row r="963" ht="21" customHeight="1">
      <ns0:c r="A963" s="25" t="n"/>
      <ns0:c r="B963" s="26" t="n"/>
      <ns0:c r="C963" s="26" t="n"/>
      <ns0:c r="D963" s="26" t="n"/>
      <ns0:c r="E963" s="27" t="n"/>
      <ns0:c r="F963" s="28" t="str">
        <ns0:f>IF(A963="","",YEAR(A963)&amp;"-"&amp;RIGHT("0"&amp;MONTH(A963),2))</ns0:f>
        <ns0:v/>
      </ns0:c>
    </ns0:row>
    <ns0:row r="964" ht="21" customHeight="1">
      <ns0:c r="A964" s="25" t="n"/>
      <ns0:c r="B964" s="26" t="n"/>
      <ns0:c r="C964" s="26" t="n"/>
      <ns0:c r="D964" s="26" t="n"/>
      <ns0:c r="E964" s="27" t="n"/>
      <ns0:c r="F964" s="28" t="str">
        <ns0:f>IF(A964="","",YEAR(A964)&amp;"-"&amp;RIGHT("0"&amp;MONTH(A964),2))</ns0:f>
        <ns0:v/>
      </ns0:c>
    </ns0:row>
    <ns0:row r="965" ht="21" customHeight="1">
      <ns0:c r="A965" s="25" t="n"/>
      <ns0:c r="B965" s="26" t="n"/>
      <ns0:c r="C965" s="26" t="n"/>
      <ns0:c r="D965" s="26" t="n"/>
      <ns0:c r="E965" s="27" t="n"/>
      <ns0:c r="F965" s="28" t="str">
        <ns0:f>IF(A965="","",YEAR(A965)&amp;"-"&amp;RIGHT("0"&amp;MONTH(A965),2))</ns0:f>
        <ns0:v/>
      </ns0:c>
    </ns0:row>
    <ns0:row r="966" ht="21" customHeight="1">
      <ns0:c r="A966" s="25" t="n"/>
      <ns0:c r="B966" s="26" t="n"/>
      <ns0:c r="C966" s="26" t="n"/>
      <ns0:c r="D966" s="26" t="n"/>
      <ns0:c r="E966" s="27" t="n"/>
      <ns0:c r="F966" s="28" t="str">
        <ns0:f>IF(A966="","",YEAR(A966)&amp;"-"&amp;RIGHT("0"&amp;MONTH(A966),2))</ns0:f>
        <ns0:v/>
      </ns0:c>
    </ns0:row>
    <ns0:row r="967" ht="21" customHeight="1">
      <ns0:c r="A967" s="25" t="n"/>
      <ns0:c r="B967" s="26" t="n"/>
      <ns0:c r="C967" s="26" t="n"/>
      <ns0:c r="D967" s="26" t="n"/>
      <ns0:c r="E967" s="27" t="n"/>
      <ns0:c r="F967" s="28" t="str">
        <ns0:f>IF(A967="","",YEAR(A967)&amp;"-"&amp;RIGHT("0"&amp;MONTH(A967),2))</ns0:f>
        <ns0:v/>
      </ns0:c>
    </ns0:row>
    <ns0:row r="968" ht="21" customHeight="1">
      <ns0:c r="A968" s="25" t="n"/>
      <ns0:c r="B968" s="26" t="n"/>
      <ns0:c r="C968" s="26" t="n"/>
      <ns0:c r="D968" s="26" t="n"/>
      <ns0:c r="E968" s="27" t="n"/>
      <ns0:c r="F968" s="28" t="str">
        <ns0:f>IF(A968="","",YEAR(A968)&amp;"-"&amp;RIGHT("0"&amp;MONTH(A968),2))</ns0:f>
        <ns0:v/>
      </ns0:c>
    </ns0:row>
    <ns0:row r="969" ht="21" customHeight="1">
      <ns0:c r="A969" s="25" t="n"/>
      <ns0:c r="B969" s="26" t="n"/>
      <ns0:c r="C969" s="26" t="n"/>
      <ns0:c r="D969" s="26" t="n"/>
      <ns0:c r="E969" s="27" t="n"/>
      <ns0:c r="F969" s="28" t="str">
        <ns0:f>IF(A969="","",YEAR(A969)&amp;"-"&amp;RIGHT("0"&amp;MONTH(A969),2))</ns0:f>
        <ns0:v/>
      </ns0:c>
    </ns0:row>
    <ns0:row r="970" ht="21" customHeight="1">
      <ns0:c r="A970" s="25" t="n"/>
      <ns0:c r="B970" s="26" t="n"/>
      <ns0:c r="C970" s="26" t="n"/>
      <ns0:c r="D970" s="26" t="n"/>
      <ns0:c r="E970" s="27" t="n"/>
      <ns0:c r="F970" s="28" t="str">
        <ns0:f>IF(A970="","",YEAR(A970)&amp;"-"&amp;RIGHT("0"&amp;MONTH(A970),2))</ns0:f>
        <ns0:v/>
      </ns0:c>
    </ns0:row>
    <ns0:row r="971" ht="21" customHeight="1">
      <ns0:c r="A971" s="25" t="n"/>
      <ns0:c r="B971" s="26" t="n"/>
      <ns0:c r="C971" s="26" t="n"/>
      <ns0:c r="D971" s="26" t="n"/>
      <ns0:c r="E971" s="27" t="n"/>
      <ns0:c r="F971" s="28" t="str">
        <ns0:f>IF(A971="","",YEAR(A971)&amp;"-"&amp;RIGHT("0"&amp;MONTH(A971),2))</ns0:f>
        <ns0:v/>
      </ns0:c>
    </ns0:row>
    <ns0:row r="972" ht="21" customHeight="1">
      <ns0:c r="A972" s="25" t="n"/>
      <ns0:c r="B972" s="26" t="n"/>
      <ns0:c r="C972" s="26" t="n"/>
      <ns0:c r="D972" s="26" t="n"/>
      <ns0:c r="E972" s="27" t="n"/>
      <ns0:c r="F972" s="28" t="str">
        <ns0:f>IF(A972="","",YEAR(A972)&amp;"-"&amp;RIGHT("0"&amp;MONTH(A972),2))</ns0:f>
        <ns0:v/>
      </ns0:c>
    </ns0:row>
    <ns0:row r="973" ht="21" customHeight="1">
      <ns0:c r="A973" s="25" t="n"/>
      <ns0:c r="B973" s="26" t="n"/>
      <ns0:c r="C973" s="26" t="n"/>
      <ns0:c r="D973" s="26" t="n"/>
      <ns0:c r="E973" s="27" t="n"/>
      <ns0:c r="F973" s="28" t="str">
        <ns0:f>IF(A973="","",YEAR(A973)&amp;"-"&amp;RIGHT("0"&amp;MONTH(A973),2))</ns0:f>
        <ns0:v/>
      </ns0:c>
    </ns0:row>
    <ns0:row r="974" ht="21" customHeight="1">
      <ns0:c r="A974" s="25" t="n"/>
      <ns0:c r="B974" s="26" t="n"/>
      <ns0:c r="C974" s="26" t="n"/>
      <ns0:c r="D974" s="26" t="n"/>
      <ns0:c r="E974" s="27" t="n"/>
      <ns0:c r="F974" s="28" t="str">
        <ns0:f>IF(A974="","",YEAR(A974)&amp;"-"&amp;RIGHT("0"&amp;MONTH(A974),2))</ns0:f>
        <ns0:v/>
      </ns0:c>
    </ns0:row>
    <ns0:row r="975" ht="21" customHeight="1">
      <ns0:c r="A975" s="25" t="n"/>
      <ns0:c r="B975" s="26" t="n"/>
      <ns0:c r="C975" s="26" t="n"/>
      <ns0:c r="D975" s="26" t="n"/>
      <ns0:c r="E975" s="27" t="n"/>
      <ns0:c r="F975" s="28" t="str">
        <ns0:f>IF(A975="","",YEAR(A975)&amp;"-"&amp;RIGHT("0"&amp;MONTH(A975),2))</ns0:f>
        <ns0:v/>
      </ns0:c>
    </ns0:row>
    <ns0:row r="976" ht="21" customHeight="1">
      <ns0:c r="A976" s="25" t="n"/>
      <ns0:c r="B976" s="26" t="n"/>
      <ns0:c r="C976" s="26" t="n"/>
      <ns0:c r="D976" s="26" t="n"/>
      <ns0:c r="E976" s="27" t="n"/>
      <ns0:c r="F976" s="28" t="str">
        <ns0:f>IF(A976="","",YEAR(A976)&amp;"-"&amp;RIGHT("0"&amp;MONTH(A976),2))</ns0:f>
        <ns0:v/>
      </ns0:c>
    </ns0:row>
    <ns0:row r="977" ht="21" customHeight="1">
      <ns0:c r="A977" s="25" t="n"/>
      <ns0:c r="B977" s="26" t="n"/>
      <ns0:c r="C977" s="26" t="n"/>
      <ns0:c r="D977" s="26" t="n"/>
      <ns0:c r="E977" s="27" t="n"/>
      <ns0:c r="F977" s="28" t="str">
        <ns0:f>IF(A977="","",YEAR(A977)&amp;"-"&amp;RIGHT("0"&amp;MONTH(A977),2))</ns0:f>
        <ns0:v/>
      </ns0:c>
    </ns0:row>
    <ns0:row r="978" ht="21" customHeight="1">
      <ns0:c r="A978" s="25" t="n"/>
      <ns0:c r="B978" s="26" t="n"/>
      <ns0:c r="C978" s="26" t="n"/>
      <ns0:c r="D978" s="26" t="n"/>
      <ns0:c r="E978" s="27" t="n"/>
      <ns0:c r="F978" s="28" t="str">
        <ns0:f>IF(A978="","",YEAR(A978)&amp;"-"&amp;RIGHT("0"&amp;MONTH(A978),2))</ns0:f>
        <ns0:v/>
      </ns0:c>
    </ns0:row>
    <ns0:row r="979" ht="21" customHeight="1">
      <ns0:c r="A979" s="25" t="n"/>
      <ns0:c r="B979" s="26" t="n"/>
      <ns0:c r="C979" s="26" t="n"/>
      <ns0:c r="D979" s="26" t="n"/>
      <ns0:c r="E979" s="27" t="n"/>
      <ns0:c r="F979" s="28" t="str">
        <ns0:f>IF(A979="","",YEAR(A979)&amp;"-"&amp;RIGHT("0"&amp;MONTH(A979),2))</ns0:f>
        <ns0:v/>
      </ns0:c>
    </ns0:row>
    <ns0:row r="980" ht="21" customHeight="1">
      <ns0:c r="A980" s="25" t="n"/>
      <ns0:c r="B980" s="26" t="n"/>
      <ns0:c r="C980" s="26" t="n"/>
      <ns0:c r="D980" s="26" t="n"/>
      <ns0:c r="E980" s="27" t="n"/>
      <ns0:c r="F980" s="28" t="str">
        <ns0:f>IF(A980="","",YEAR(A980)&amp;"-"&amp;RIGHT("0"&amp;MONTH(A980),2))</ns0:f>
        <ns0:v/>
      </ns0:c>
    </ns0:row>
    <ns0:row r="981" ht="21" customHeight="1">
      <ns0:c r="A981" s="25" t="n"/>
      <ns0:c r="B981" s="26" t="n"/>
      <ns0:c r="C981" s="26" t="n"/>
      <ns0:c r="D981" s="26" t="n"/>
      <ns0:c r="E981" s="27" t="n"/>
      <ns0:c r="F981" s="28" t="str">
        <ns0:f>IF(A981="","",YEAR(A981)&amp;"-"&amp;RIGHT("0"&amp;MONTH(A981),2))</ns0:f>
        <ns0:v/>
      </ns0:c>
    </ns0:row>
    <ns0:row r="982" ht="21" customHeight="1">
      <ns0:c r="A982" s="25" t="n"/>
      <ns0:c r="B982" s="26" t="n"/>
      <ns0:c r="C982" s="26" t="n"/>
      <ns0:c r="D982" s="26" t="n"/>
      <ns0:c r="E982" s="27" t="n"/>
      <ns0:c r="F982" s="28" t="str">
        <ns0:f>IF(A982="","",YEAR(A982)&amp;"-"&amp;RIGHT("0"&amp;MONTH(A982),2))</ns0:f>
        <ns0:v/>
      </ns0:c>
    </ns0:row>
    <ns0:row r="983" ht="21" customHeight="1">
      <ns0:c r="A983" s="25" t="n"/>
      <ns0:c r="B983" s="26" t="n"/>
      <ns0:c r="C983" s="26" t="n"/>
      <ns0:c r="D983" s="26" t="n"/>
      <ns0:c r="E983" s="27" t="n"/>
      <ns0:c r="F983" s="28" t="str">
        <ns0:f>IF(A983="","",YEAR(A983)&amp;"-"&amp;RIGHT("0"&amp;MONTH(A983),2))</ns0:f>
        <ns0:v/>
      </ns0:c>
    </ns0:row>
    <ns0:row r="984" ht="21" customHeight="1">
      <ns0:c r="A984" s="25" t="n"/>
      <ns0:c r="B984" s="26" t="n"/>
      <ns0:c r="C984" s="26" t="n"/>
      <ns0:c r="D984" s="26" t="n"/>
      <ns0:c r="E984" s="27" t="n"/>
      <ns0:c r="F984" s="28" t="str">
        <ns0:f>IF(A984="","",YEAR(A984)&amp;"-"&amp;RIGHT("0"&amp;MONTH(A984),2))</ns0:f>
        <ns0:v/>
      </ns0:c>
    </ns0:row>
    <ns0:row r="985" ht="21" customHeight="1">
      <ns0:c r="A985" s="25" t="n"/>
      <ns0:c r="B985" s="26" t="n"/>
      <ns0:c r="C985" s="26" t="n"/>
      <ns0:c r="D985" s="26" t="n"/>
      <ns0:c r="E985" s="27" t="n"/>
      <ns0:c r="F985" s="28" t="str">
        <ns0:f>IF(A985="","",YEAR(A985)&amp;"-"&amp;RIGHT("0"&amp;MONTH(A985),2))</ns0:f>
        <ns0:v/>
      </ns0:c>
    </ns0:row>
    <ns0:row r="986" ht="21" customHeight="1">
      <ns0:c r="A986" s="25" t="n"/>
      <ns0:c r="B986" s="26" t="n"/>
      <ns0:c r="C986" s="26" t="n"/>
      <ns0:c r="D986" s="26" t="n"/>
      <ns0:c r="E986" s="27" t="n"/>
      <ns0:c r="F986" s="28" t="str">
        <ns0:f>IF(A986="","",YEAR(A986)&amp;"-"&amp;RIGHT("0"&amp;MONTH(A986),2))</ns0:f>
        <ns0:v/>
      </ns0:c>
    </ns0:row>
    <ns0:row r="987" ht="21" customHeight="1">
      <ns0:c r="A987" s="25" t="n"/>
      <ns0:c r="B987" s="26" t="n"/>
      <ns0:c r="C987" s="26" t="n"/>
      <ns0:c r="D987" s="26" t="n"/>
      <ns0:c r="E987" s="27" t="n"/>
      <ns0:c r="F987" s="28" t="str">
        <ns0:f>IF(A987="","",YEAR(A987)&amp;"-"&amp;RIGHT("0"&amp;MONTH(A987),2))</ns0:f>
        <ns0:v/>
      </ns0:c>
    </ns0:row>
    <ns0:row r="988" ht="21" customHeight="1">
      <ns0:c r="A988" s="25" t="n"/>
      <ns0:c r="B988" s="26" t="n"/>
      <ns0:c r="C988" s="26" t="n"/>
      <ns0:c r="D988" s="26" t="n"/>
      <ns0:c r="E988" s="27" t="n"/>
      <ns0:c r="F988" s="28" t="str">
        <ns0:f>IF(A988="","",YEAR(A988)&amp;"-"&amp;RIGHT("0"&amp;MONTH(A988),2))</ns0:f>
        <ns0:v/>
      </ns0:c>
    </ns0:row>
    <ns0:row r="989" ht="21" customHeight="1">
      <ns0:c r="A989" s="25" t="n"/>
      <ns0:c r="B989" s="26" t="n"/>
      <ns0:c r="C989" s="26" t="n"/>
      <ns0:c r="D989" s="26" t="n"/>
      <ns0:c r="E989" s="27" t="n"/>
      <ns0:c r="F989" s="28" t="str">
        <ns0:f>IF(A989="","",YEAR(A989)&amp;"-"&amp;RIGHT("0"&amp;MONTH(A989),2))</ns0:f>
        <ns0:v/>
      </ns0:c>
    </ns0:row>
    <ns0:row r="990" ht="21" customHeight="1">
      <ns0:c r="A990" s="25" t="n"/>
      <ns0:c r="B990" s="26" t="n"/>
      <ns0:c r="C990" s="26" t="n"/>
      <ns0:c r="D990" s="26" t="n"/>
      <ns0:c r="E990" s="27" t="n"/>
      <ns0:c r="F990" s="28" t="str">
        <ns0:f>IF(A990="","",YEAR(A990)&amp;"-"&amp;RIGHT("0"&amp;MONTH(A990),2))</ns0:f>
        <ns0:v/>
      </ns0:c>
    </ns0:row>
    <ns0:row r="991" ht="21" customHeight="1">
      <ns0:c r="A991" s="25" t="n"/>
      <ns0:c r="B991" s="26" t="n"/>
      <ns0:c r="C991" s="26" t="n"/>
      <ns0:c r="D991" s="26" t="n"/>
      <ns0:c r="E991" s="27" t="n"/>
      <ns0:c r="F991" s="28" t="str">
        <ns0:f>IF(A991="","",YEAR(A991)&amp;"-"&amp;RIGHT("0"&amp;MONTH(A991),2))</ns0:f>
        <ns0:v/>
      </ns0:c>
    </ns0:row>
    <ns0:row r="992" ht="21" customHeight="1">
      <ns0:c r="A992" s="25" t="n"/>
      <ns0:c r="B992" s="26" t="n"/>
      <ns0:c r="C992" s="26" t="n"/>
      <ns0:c r="D992" s="26" t="n"/>
      <ns0:c r="E992" s="27" t="n"/>
      <ns0:c r="F992" s="28" t="str">
        <ns0:f>IF(A992="","",YEAR(A992)&amp;"-"&amp;RIGHT("0"&amp;MONTH(A992),2))</ns0:f>
        <ns0:v/>
      </ns0:c>
    </ns0:row>
    <ns0:row r="993" ht="21" customHeight="1">
      <ns0:c r="A993" s="25" t="n"/>
      <ns0:c r="B993" s="26" t="n"/>
      <ns0:c r="C993" s="26" t="n"/>
      <ns0:c r="D993" s="26" t="n"/>
      <ns0:c r="E993" s="27" t="n"/>
      <ns0:c r="F993" s="28" t="str">
        <ns0:f>IF(A993="","",YEAR(A993)&amp;"-"&amp;RIGHT("0"&amp;MONTH(A993),2))</ns0:f>
        <ns0:v/>
      </ns0:c>
    </ns0:row>
    <ns0:row r="994" ht="21" customHeight="1">
      <ns0:c r="A994" s="25" t="n"/>
      <ns0:c r="B994" s="26" t="n"/>
      <ns0:c r="C994" s="26" t="n"/>
      <ns0:c r="D994" s="26" t="n"/>
      <ns0:c r="E994" s="27" t="n"/>
      <ns0:c r="F994" s="28" t="str">
        <ns0:f>IF(A994="","",YEAR(A994)&amp;"-"&amp;RIGHT("0"&amp;MONTH(A994),2))</ns0:f>
        <ns0:v/>
      </ns0:c>
    </ns0:row>
    <ns0:row r="995" ht="21" customHeight="1">
      <ns0:c r="A995" s="25" t="n"/>
      <ns0:c r="B995" s="26" t="n"/>
      <ns0:c r="C995" s="26" t="n"/>
      <ns0:c r="D995" s="26" t="n"/>
      <ns0:c r="E995" s="27" t="n"/>
      <ns0:c r="F995" s="28" t="str">
        <ns0:f>IF(A995="","",YEAR(A995)&amp;"-"&amp;RIGHT("0"&amp;MONTH(A995),2))</ns0:f>
        <ns0:v/>
      </ns0:c>
    </ns0:row>
    <ns0:row r="996" ht="21" customHeight="1">
      <ns0:c r="A996" s="25" t="n"/>
      <ns0:c r="B996" s="26" t="n"/>
      <ns0:c r="C996" s="26" t="n"/>
      <ns0:c r="D996" s="26" t="n"/>
      <ns0:c r="E996" s="27" t="n"/>
      <ns0:c r="F996" s="28" t="str">
        <ns0:f>IF(A996="","",YEAR(A996)&amp;"-"&amp;RIGHT("0"&amp;MONTH(A996),2))</ns0:f>
        <ns0:v/>
      </ns0:c>
    </ns0:row>
    <ns0:row r="997" ht="21" customHeight="1">
      <ns0:c r="A997" s="25" t="n"/>
      <ns0:c r="B997" s="26" t="n"/>
      <ns0:c r="C997" s="26" t="n"/>
      <ns0:c r="D997" s="26" t="n"/>
      <ns0:c r="E997" s="27" t="n"/>
      <ns0:c r="F997" s="28" t="str">
        <ns0:f>IF(A997="","",YEAR(A997)&amp;"-"&amp;RIGHT("0"&amp;MONTH(A997),2))</ns0:f>
        <ns0:v/>
      </ns0:c>
    </ns0:row>
    <ns0:row r="998" ht="21" customHeight="1">
      <ns0:c r="A998" s="25" t="n"/>
      <ns0:c r="B998" s="26" t="n"/>
      <ns0:c r="C998" s="26" t="n"/>
      <ns0:c r="D998" s="26" t="n"/>
      <ns0:c r="E998" s="27" t="n"/>
      <ns0:c r="F998" s="28" t="str">
        <ns0:f>IF(A998="","",YEAR(A998)&amp;"-"&amp;RIGHT("0"&amp;MONTH(A998),2))</ns0:f>
        <ns0:v/>
      </ns0:c>
    </ns0:row>
    <ns0:row r="999" ht="21" customHeight="1">
      <ns0:c r="A999" s="25" t="n"/>
      <ns0:c r="B999" s="26" t="n"/>
      <ns0:c r="C999" s="26" t="n"/>
      <ns0:c r="D999" s="26" t="n"/>
      <ns0:c r="E999" s="27" t="n"/>
      <ns0:c r="F999" s="28" t="str">
        <ns0:f>IF(A999="","",YEAR(A999)&amp;"-"&amp;RIGHT("0"&amp;MONTH(A999),2))</ns0:f>
        <ns0:v/>
      </ns0:c>
    </ns0:row>
    <ns0:row r="1000" ht="21" customHeight="1">
      <ns0:c r="A1000" s="25" t="n"/>
      <ns0:c r="B1000" s="26" t="n"/>
      <ns0:c r="C1000" s="26" t="n"/>
      <ns0:c r="D1000" s="26" t="n"/>
      <ns0:c r="E1000" s="27" t="n"/>
      <ns0:c r="F1000" s="28" t="str">
        <ns0:f>IF(A1000="","",YEAR(A1000)&amp;"-"&amp;RIGHT("0"&amp;MONTH(A1000),2))</ns0:f>
        <ns0:v/>
      </ns0:c>
    </ns0:row>
    <ns0:row r="1001" ht="21" customHeight="1">
      <ns0:c r="A1001" s="25" t="n"/>
      <ns0:c r="B1001" s="26" t="n"/>
      <ns0:c r="C1001" s="26" t="n"/>
      <ns0:c r="D1001" s="26" t="n"/>
      <ns0:c r="E1001" s="27" t="n"/>
      <ns0:c r="F1001" s="28" t="str">
        <ns0:f>IF(A1001="","",YEAR(A1001)&amp;"-"&amp;RIGHT("0"&amp;MONTH(A1001),2))</ns0:f>
        <ns0:v/>
      </ns0:c>
    </ns0:row>
    <ns0:row r="1002" ht="21" customHeight="1">
      <ns0:c r="A1002" s="25" t="n"/>
      <ns0:c r="B1002" s="26" t="n"/>
      <ns0:c r="C1002" s="26" t="n"/>
      <ns0:c r="D1002" s="26" t="n"/>
      <ns0:c r="E1002" s="27" t="n"/>
      <ns0:c r="F1002" s="28" t="str">
        <ns0:f>IF(A1002="","",YEAR(A1002)&amp;"-"&amp;RIGHT("0"&amp;MONTH(A1002),2))</ns0:f>
        <ns0:v/>
      </ns0:c>
    </ns0:row>
    <ns0:row r="1003" ht="21" customHeight="1">
      <ns0:c r="A1003" s="25" t="n"/>
      <ns0:c r="B1003" s="26" t="n"/>
      <ns0:c r="C1003" s="26" t="n"/>
      <ns0:c r="D1003" s="26" t="n"/>
      <ns0:c r="E1003" s="27" t="n"/>
      <ns0:c r="F1003" s="28" t="str">
        <ns0:f>IF(A1003="","",YEAR(A1003)&amp;"-"&amp;RIGHT("0"&amp;MONTH(A1003),2))</ns0:f>
        <ns0:v/>
      </ns0:c>
    </ns0:row>
    <ns0:row r="1004" ht="21" customHeight="1">
      <ns0:c r="A1004" s="25" t="n"/>
      <ns0:c r="B1004" s="26" t="n"/>
      <ns0:c r="C1004" s="26" t="n"/>
      <ns0:c r="D1004" s="26" t="n"/>
      <ns0:c r="E1004" s="27" t="n"/>
      <ns0:c r="F1004" s="28" t="str">
        <ns0:f>IF(A1004="","",YEAR(A1004)&amp;"-"&amp;RIGHT("0"&amp;MONTH(A1004),2))</ns0:f>
        <ns0:v/>
      </ns0:c>
    </ns0:row>
    <ns0:row r="1005" ht="21" customHeight="1">
      <ns0:c r="A1005" s="25" t="n"/>
      <ns0:c r="B1005" s="26" t="n"/>
      <ns0:c r="C1005" s="26" t="n"/>
      <ns0:c r="D1005" s="26" t="n"/>
      <ns0:c r="E1005" s="27" t="n"/>
      <ns0:c r="F1005" s="28" t="str">
        <ns0:f>IF(A1005="","",YEAR(A1005)&amp;"-"&amp;RIGHT("0"&amp;MONTH(A1005),2))</ns0:f>
        <ns0:v/>
      </ns0:c>
    </ns0:row>
    <ns0:row r="1006" ht="21" customHeight="1">
      <ns0:c r="A1006" s="25" t="n"/>
      <ns0:c r="B1006" s="26" t="n"/>
      <ns0:c r="C1006" s="26" t="n"/>
      <ns0:c r="D1006" s="26" t="n"/>
      <ns0:c r="E1006" s="27" t="n"/>
      <ns0:c r="F1006" s="28" t="str">
        <ns0:f>IF(A1006="","",YEAR(A1006)&amp;"-"&amp;RIGHT("0"&amp;MONTH(A1006),2))</ns0:f>
        <ns0:v/>
      </ns0:c>
    </ns0:row>
    <ns0:row r="1007" ht="21" customHeight="1">
      <ns0:c r="A1007" s="25" t="n"/>
      <ns0:c r="B1007" s="26" t="n"/>
      <ns0:c r="C1007" s="26" t="n"/>
      <ns0:c r="D1007" s="26" t="n"/>
      <ns0:c r="E1007" s="27" t="n"/>
      <ns0:c r="F1007" s="28" t="str">
        <ns0:f>IF(A1007="","",YEAR(A1007)&amp;"-"&amp;RIGHT("0"&amp;MONTH(A1007),2))</ns0:f>
        <ns0:v/>
      </ns0:c>
    </ns0:row>
    <ns0:row r="1008" ht="21" customHeight="1">
      <ns0:c r="A1008" s="25" t="n"/>
      <ns0:c r="B1008" s="26" t="n"/>
      <ns0:c r="C1008" s="26" t="n"/>
      <ns0:c r="D1008" s="26" t="n"/>
      <ns0:c r="E1008" s="27" t="n"/>
      <ns0:c r="F1008" s="28" t="str">
        <ns0:f>IF(A1008="","",YEAR(A1008)&amp;"-"&amp;RIGHT("0"&amp;MONTH(A1008),2))</ns0:f>
        <ns0:v/>
      </ns0:c>
    </ns0:row>
    <ns0:row r="1009" ht="21" customHeight="1">
      <ns0:c r="A1009" s="25" t="n"/>
      <ns0:c r="B1009" s="26" t="n"/>
      <ns0:c r="C1009" s="26" t="n"/>
      <ns0:c r="D1009" s="26" t="n"/>
      <ns0:c r="E1009" s="27" t="n"/>
      <ns0:c r="F1009" s="28" t="str">
        <ns0:f>IF(A1009="","",YEAR(A1009)&amp;"-"&amp;RIGHT("0"&amp;MONTH(A1009),2))</ns0:f>
        <ns0:v/>
      </ns0:c>
    </ns0:row>
    <ns0:row r="1010" ht="21" customHeight="1">
      <ns0:c r="A1010" s="25" t="n"/>
      <ns0:c r="B1010" s="26" t="n"/>
      <ns0:c r="C1010" s="26" t="n"/>
      <ns0:c r="D1010" s="26" t="n"/>
      <ns0:c r="E1010" s="27" t="n"/>
      <ns0:c r="F1010" s="28" t="str">
        <ns0:f>IF(A1010="","",YEAR(A1010)&amp;"-"&amp;RIGHT("0"&amp;MONTH(A1010),2))</ns0:f>
        <ns0:v/>
      </ns0:c>
    </ns0:row>
    <ns0:row r="1011" ht="21" customHeight="1">
      <ns0:c r="A1011" s="25" t="n"/>
      <ns0:c r="B1011" s="26" t="n"/>
      <ns0:c r="C1011" s="26" t="n"/>
      <ns0:c r="D1011" s="26" t="n"/>
      <ns0:c r="E1011" s="27" t="n"/>
      <ns0:c r="F1011" s="28" t="str">
        <ns0:f>IF(A1011="","",YEAR(A1011)&amp;"-"&amp;RIGHT("0"&amp;MONTH(A1011),2))</ns0:f>
        <ns0:v/>
      </ns0:c>
    </ns0:row>
    <ns0:row r="1012" ht="21" customHeight="1">
      <ns0:c r="A1012" s="25" t="n"/>
      <ns0:c r="B1012" s="26" t="n"/>
      <ns0:c r="C1012" s="26" t="n"/>
      <ns0:c r="D1012" s="26" t="n"/>
      <ns0:c r="E1012" s="27" t="n"/>
      <ns0:c r="F1012" s="28" t="str">
        <ns0:f>IF(A1012="","",YEAR(A1012)&amp;"-"&amp;RIGHT("0"&amp;MONTH(A1012),2))</ns0:f>
        <ns0:v/>
      </ns0:c>
    </ns0:row>
    <ns0:row r="1013" ht="21" customHeight="1">
      <ns0:c r="A1013" s="25" t="n"/>
      <ns0:c r="B1013" s="26" t="n"/>
      <ns0:c r="C1013" s="26" t="n"/>
      <ns0:c r="D1013" s="26" t="n"/>
      <ns0:c r="E1013" s="27" t="n"/>
      <ns0:c r="F1013" s="28" t="str">
        <ns0:f>IF(A1013="","",YEAR(A1013)&amp;"-"&amp;RIGHT("0"&amp;MONTH(A1013),2))</ns0:f>
        <ns0:v/>
      </ns0:c>
    </ns0:row>
    <ns0:row r="1014" ht="21" customHeight="1">
      <ns0:c r="A1014" s="25" t="n"/>
      <ns0:c r="B1014" s="26" t="n"/>
      <ns0:c r="C1014" s="26" t="n"/>
      <ns0:c r="D1014" s="26" t="n"/>
      <ns0:c r="E1014" s="27" t="n"/>
      <ns0:c r="F1014" s="28" t="str">
        <ns0:f>IF(A1014="","",YEAR(A1014)&amp;"-"&amp;RIGHT("0"&amp;MONTH(A1014),2))</ns0:f>
        <ns0:v/>
      </ns0:c>
    </ns0:row>
    <ns0:row r="1015" ht="21" customHeight="1">
      <ns0:c r="A1015" s="25" t="n"/>
      <ns0:c r="B1015" s="26" t="n"/>
      <ns0:c r="C1015" s="26" t="n"/>
      <ns0:c r="D1015" s="26" t="n"/>
      <ns0:c r="E1015" s="27" t="n"/>
      <ns0:c r="F1015" s="28" t="str">
        <ns0:f>IF(A1015="","",YEAR(A1015)&amp;"-"&amp;RIGHT("0"&amp;MONTH(A1015),2))</ns0:f>
        <ns0:v/>
      </ns0:c>
    </ns0:row>
    <ns0:row r="1016" ht="21" customHeight="1">
      <ns0:c r="A1016" s="25" t="n"/>
      <ns0:c r="B1016" s="26" t="n"/>
      <ns0:c r="C1016" s="26" t="n"/>
      <ns0:c r="D1016" s="26" t="n"/>
      <ns0:c r="E1016" s="27" t="n"/>
      <ns0:c r="F1016" s="28" t="str">
        <ns0:f>IF(A1016="","",YEAR(A1016)&amp;"-"&amp;RIGHT("0"&amp;MONTH(A1016),2))</ns0:f>
        <ns0:v/>
      </ns0:c>
    </ns0:row>
    <ns0:row r="1017" ht="21" customHeight="1">
      <ns0:c r="A1017" s="25" t="n"/>
      <ns0:c r="B1017" s="26" t="n"/>
      <ns0:c r="C1017" s="26" t="n"/>
      <ns0:c r="D1017" s="26" t="n"/>
      <ns0:c r="E1017" s="27" t="n"/>
      <ns0:c r="F1017" s="28" t="str">
        <ns0:f>IF(A1017="","",YEAR(A1017)&amp;"-"&amp;RIGHT("0"&amp;MONTH(A1017),2))</ns0:f>
        <ns0:v/>
      </ns0:c>
    </ns0:row>
    <ns0:row r="1018" ht="21" customHeight="1">
      <ns0:c r="A1018" s="25" t="n"/>
      <ns0:c r="B1018" s="26" t="n"/>
      <ns0:c r="C1018" s="26" t="n"/>
      <ns0:c r="D1018" s="26" t="n"/>
      <ns0:c r="E1018" s="27" t="n"/>
      <ns0:c r="F1018" s="28" t="str">
        <ns0:f>IF(A1018="","",YEAR(A1018)&amp;"-"&amp;RIGHT("0"&amp;MONTH(A1018),2))</ns0:f>
        <ns0:v/>
      </ns0:c>
    </ns0:row>
    <ns0:row r="1019" ht="21" customHeight="1">
      <ns0:c r="A1019" s="25" t="n"/>
      <ns0:c r="B1019" s="26" t="n"/>
      <ns0:c r="C1019" s="26" t="n"/>
      <ns0:c r="D1019" s="26" t="n"/>
      <ns0:c r="E1019" s="27" t="n"/>
      <ns0:c r="F1019" s="28" t="str">
        <ns0:f>IF(A1019="","",YEAR(A1019)&amp;"-"&amp;RIGHT("0"&amp;MONTH(A1019),2))</ns0:f>
        <ns0:v/>
      </ns0:c>
    </ns0:row>
    <ns0:row r="1020" ht="21" customHeight="1">
      <ns0:c r="A1020" s="25" t="n"/>
      <ns0:c r="B1020" s="26" t="n"/>
      <ns0:c r="C1020" s="26" t="n"/>
      <ns0:c r="D1020" s="26" t="n"/>
      <ns0:c r="E1020" s="27" t="n"/>
      <ns0:c r="F1020" s="28" t="str">
        <ns0:f>IF(A1020="","",YEAR(A1020)&amp;"-"&amp;RIGHT("0"&amp;MONTH(A1020),2))</ns0:f>
        <ns0:v/>
      </ns0:c>
    </ns0:row>
    <ns0:row r="1021" ht="21" customHeight="1">
      <ns0:c r="A1021" s="25" t="n"/>
      <ns0:c r="B1021" s="26" t="n"/>
      <ns0:c r="C1021" s="26" t="n"/>
      <ns0:c r="D1021" s="26" t="n"/>
      <ns0:c r="E1021" s="27" t="n"/>
      <ns0:c r="F1021" s="28" t="str">
        <ns0:f>IF(A1021="","",YEAR(A1021)&amp;"-"&amp;RIGHT("0"&amp;MONTH(A1021),2))</ns0:f>
        <ns0:v/>
      </ns0:c>
    </ns0:row>
    <ns0:row r="1022" ht="21" customHeight="1">
      <ns0:c r="A1022" s="25" t="n"/>
      <ns0:c r="B1022" s="26" t="n"/>
      <ns0:c r="C1022" s="26" t="n"/>
      <ns0:c r="D1022" s="26" t="n"/>
      <ns0:c r="E1022" s="27" t="n"/>
      <ns0:c r="F1022" s="28" t="str">
        <ns0:f>IF(A1022="","",YEAR(A1022)&amp;"-"&amp;RIGHT("0"&amp;MONTH(A1022),2))</ns0:f>
        <ns0:v/>
      </ns0:c>
    </ns0:row>
    <ns0:row r="1023" ht="21" customHeight="1">
      <ns0:c r="A1023" s="25" t="n"/>
      <ns0:c r="B1023" s="26" t="n"/>
      <ns0:c r="C1023" s="26" t="n"/>
      <ns0:c r="D1023" s="26" t="n"/>
      <ns0:c r="E1023" s="27" t="n"/>
      <ns0:c r="F1023" s="28" t="str">
        <ns0:f>IF(A1023="","",YEAR(A1023)&amp;"-"&amp;RIGHT("0"&amp;MONTH(A1023),2))</ns0:f>
        <ns0:v/>
      </ns0:c>
    </ns0:row>
    <ns0:row r="1024" ht="21" customHeight="1">
      <ns0:c r="A1024" s="25" t="n"/>
      <ns0:c r="B1024" s="26" t="n"/>
      <ns0:c r="C1024" s="26" t="n"/>
      <ns0:c r="D1024" s="26" t="n"/>
      <ns0:c r="E1024" s="27" t="n"/>
      <ns0:c r="F1024" s="28" t="str">
        <ns0:f>IF(A1024="","",YEAR(A1024)&amp;"-"&amp;RIGHT("0"&amp;MONTH(A1024),2))</ns0:f>
        <ns0:v/>
      </ns0:c>
    </ns0:row>
    <ns0:row r="1025" ht="21" customHeight="1">
      <ns0:c r="A1025" s="25" t="n"/>
      <ns0:c r="B1025" s="26" t="n"/>
      <ns0:c r="C1025" s="26" t="n"/>
      <ns0:c r="D1025" s="26" t="n"/>
      <ns0:c r="E1025" s="27" t="n"/>
      <ns0:c r="F1025" s="28" t="str">
        <ns0:f>IF(A1025="","",YEAR(A1025)&amp;"-"&amp;RIGHT("0"&amp;MONTH(A1025),2))</ns0:f>
        <ns0:v/>
      </ns0:c>
    </ns0:row>
    <ns0:row r="1026" ht="21" customHeight="1">
      <ns0:c r="A1026" s="25" t="n"/>
      <ns0:c r="B1026" s="26" t="n"/>
      <ns0:c r="C1026" s="26" t="n"/>
      <ns0:c r="D1026" s="26" t="n"/>
      <ns0:c r="E1026" s="27" t="n"/>
      <ns0:c r="F1026" s="28" t="str">
        <ns0:f>IF(A1026="","",YEAR(A1026)&amp;"-"&amp;RIGHT("0"&amp;MONTH(A1026),2))</ns0:f>
        <ns0:v/>
      </ns0:c>
    </ns0:row>
    <ns0:row r="1027" ht="21" customHeight="1">
      <ns0:c r="A1027" s="25" t="n"/>
      <ns0:c r="B1027" s="26" t="n"/>
      <ns0:c r="C1027" s="26" t="n"/>
      <ns0:c r="D1027" s="26" t="n"/>
      <ns0:c r="E1027" s="27" t="n"/>
      <ns0:c r="F1027" s="28" t="str">
        <ns0:f>IF(A1027="","",YEAR(A1027)&amp;"-"&amp;RIGHT("0"&amp;MONTH(A1027),2))</ns0:f>
        <ns0:v/>
      </ns0:c>
    </ns0:row>
    <ns0:row r="1028" ht="21" customHeight="1">
      <ns0:c r="A1028" s="25" t="n"/>
      <ns0:c r="B1028" s="26" t="n"/>
      <ns0:c r="C1028" s="26" t="n"/>
      <ns0:c r="D1028" s="26" t="n"/>
      <ns0:c r="E1028" s="27" t="n"/>
      <ns0:c r="F1028" s="28" t="str">
        <ns0:f>IF(A1028="","",YEAR(A1028)&amp;"-"&amp;RIGHT("0"&amp;MONTH(A1028),2))</ns0:f>
        <ns0:v/>
      </ns0:c>
    </ns0:row>
    <ns0:row r="1029" ht="21" customHeight="1">
      <ns0:c r="A1029" s="25" t="n"/>
      <ns0:c r="B1029" s="26" t="n"/>
      <ns0:c r="C1029" s="26" t="n"/>
      <ns0:c r="D1029" s="26" t="n"/>
      <ns0:c r="E1029" s="27" t="n"/>
      <ns0:c r="F1029" s="28" t="str">
        <ns0:f>IF(A1029="","",YEAR(A1029)&amp;"-"&amp;RIGHT("0"&amp;MONTH(A1029),2))</ns0:f>
        <ns0:v/>
      </ns0:c>
    </ns0:row>
    <ns0:row r="1030" ht="21" customHeight="1">
      <ns0:c r="A1030" s="25" t="n"/>
      <ns0:c r="B1030" s="26" t="n"/>
      <ns0:c r="C1030" s="26" t="n"/>
      <ns0:c r="D1030" s="26" t="n"/>
      <ns0:c r="E1030" s="27" t="n"/>
      <ns0:c r="F1030" s="28" t="str">
        <ns0:f>IF(A1030="","",YEAR(A1030)&amp;"-"&amp;RIGHT("0"&amp;MONTH(A1030),2))</ns0:f>
        <ns0:v/>
      </ns0:c>
    </ns0:row>
    <ns0:row r="1031" ht="21" customHeight="1">
      <ns0:c r="A1031" s="25" t="n"/>
      <ns0:c r="B1031" s="26" t="n"/>
      <ns0:c r="C1031" s="26" t="n"/>
      <ns0:c r="D1031" s="26" t="n"/>
      <ns0:c r="E1031" s="27" t="n"/>
      <ns0:c r="F1031" s="28" t="str">
        <ns0:f>IF(A1031="","",YEAR(A1031)&amp;"-"&amp;RIGHT("0"&amp;MONTH(A1031),2))</ns0:f>
        <ns0:v/>
      </ns0:c>
    </ns0:row>
    <ns0:row r="1032" ht="21" customHeight="1">
      <ns0:c r="A1032" s="25" t="n"/>
      <ns0:c r="B1032" s="26" t="n"/>
      <ns0:c r="C1032" s="26" t="n"/>
      <ns0:c r="D1032" s="26" t="n"/>
      <ns0:c r="E1032" s="27" t="n"/>
      <ns0:c r="F1032" s="28" t="str">
        <ns0:f>IF(A1032="","",YEAR(A1032)&amp;"-"&amp;RIGHT("0"&amp;MONTH(A1032),2))</ns0:f>
        <ns0:v/>
      </ns0:c>
    </ns0:row>
    <ns0:row r="1033" ht="21" customHeight="1">
      <ns0:c r="A1033" s="25" t="n"/>
      <ns0:c r="B1033" s="26" t="n"/>
      <ns0:c r="C1033" s="26" t="n"/>
      <ns0:c r="D1033" s="26" t="n"/>
      <ns0:c r="E1033" s="27" t="n"/>
      <ns0:c r="F1033" s="28" t="str">
        <ns0:f>IF(A1033="","",YEAR(A1033)&amp;"-"&amp;RIGHT("0"&amp;MONTH(A1033),2))</ns0:f>
        <ns0:v/>
      </ns0:c>
    </ns0:row>
    <ns0:row r="1034" ht="21" customHeight="1">
      <ns0:c r="A1034" s="25" t="n"/>
      <ns0:c r="B1034" s="26" t="n"/>
      <ns0:c r="C1034" s="26" t="n"/>
      <ns0:c r="D1034" s="26" t="n"/>
      <ns0:c r="E1034" s="27" t="n"/>
      <ns0:c r="F1034" s="28" t="str">
        <ns0:f>IF(A1034="","",YEAR(A1034)&amp;"-"&amp;RIGHT("0"&amp;MONTH(A1034),2))</ns0:f>
        <ns0:v/>
      </ns0:c>
    </ns0:row>
    <ns0:row r="1035" ht="21" customHeight="1">
      <ns0:c r="A1035" s="25" t="n"/>
      <ns0:c r="B1035" s="26" t="n"/>
      <ns0:c r="C1035" s="26" t="n"/>
      <ns0:c r="D1035" s="26" t="n"/>
      <ns0:c r="E1035" s="27" t="n"/>
      <ns0:c r="F1035" s="28" t="str">
        <ns0:f>IF(A1035="","",YEAR(A1035)&amp;"-"&amp;RIGHT("0"&amp;MONTH(A1035),2))</ns0:f>
        <ns0:v/>
      </ns0:c>
    </ns0:row>
    <ns0:row r="1036" ht="21" customHeight="1">
      <ns0:c r="A1036" s="25" t="n"/>
      <ns0:c r="B1036" s="26" t="n"/>
      <ns0:c r="C1036" s="26" t="n"/>
      <ns0:c r="D1036" s="26" t="n"/>
      <ns0:c r="E1036" s="27" t="n"/>
      <ns0:c r="F1036" s="28" t="str">
        <ns0:f>IF(A1036="","",YEAR(A1036)&amp;"-"&amp;RIGHT("0"&amp;MONTH(A1036),2))</ns0:f>
        <ns0:v/>
      </ns0:c>
    </ns0:row>
    <ns0:row r="1037" ht="21" customHeight="1">
      <ns0:c r="A1037" s="25" t="n"/>
      <ns0:c r="B1037" s="26" t="n"/>
      <ns0:c r="C1037" s="26" t="n"/>
      <ns0:c r="D1037" s="26" t="n"/>
      <ns0:c r="E1037" s="27" t="n"/>
      <ns0:c r="F1037" s="28" t="str">
        <ns0:f>IF(A1037="","",YEAR(A1037)&amp;"-"&amp;RIGHT("0"&amp;MONTH(A1037),2))</ns0:f>
        <ns0:v/>
      </ns0:c>
    </ns0:row>
    <ns0:row r="1038" ht="21" customHeight="1">
      <ns0:c r="A1038" s="25" t="n"/>
      <ns0:c r="B1038" s="26" t="n"/>
      <ns0:c r="C1038" s="26" t="n"/>
      <ns0:c r="D1038" s="26" t="n"/>
      <ns0:c r="E1038" s="27" t="n"/>
      <ns0:c r="F1038" s="28" t="str">
        <ns0:f>IF(A1038="","",YEAR(A1038)&amp;"-"&amp;RIGHT("0"&amp;MONTH(A1038),2))</ns0:f>
        <ns0:v/>
      </ns0:c>
    </ns0:row>
    <ns0:row r="1039" ht="21" customHeight="1">
      <ns0:c r="A1039" s="25" t="n"/>
      <ns0:c r="B1039" s="26" t="n"/>
      <ns0:c r="C1039" s="26" t="n"/>
      <ns0:c r="D1039" s="26" t="n"/>
      <ns0:c r="E1039" s="27" t="n"/>
      <ns0:c r="F1039" s="28" t="str">
        <ns0:f>IF(A1039="","",YEAR(A1039)&amp;"-"&amp;RIGHT("0"&amp;MONTH(A1039),2))</ns0:f>
        <ns0:v/>
      </ns0:c>
    </ns0:row>
    <ns0:row r="1040" ht="21" customHeight="1">
      <ns0:c r="A1040" s="25" t="n"/>
      <ns0:c r="B1040" s="26" t="n"/>
      <ns0:c r="C1040" s="26" t="n"/>
      <ns0:c r="D1040" s="26" t="n"/>
      <ns0:c r="E1040" s="27" t="n"/>
      <ns0:c r="F1040" s="28" t="str">
        <ns0:f>IF(A1040="","",YEAR(A1040)&amp;"-"&amp;RIGHT("0"&amp;MONTH(A1040),2))</ns0:f>
        <ns0:v/>
      </ns0:c>
    </ns0:row>
    <ns0:row r="1041" ht="21" customHeight="1">
      <ns0:c r="A1041" s="25" t="n"/>
      <ns0:c r="B1041" s="26" t="n"/>
      <ns0:c r="C1041" s="26" t="n"/>
      <ns0:c r="D1041" s="26" t="n"/>
      <ns0:c r="E1041" s="27" t="n"/>
      <ns0:c r="F1041" s="28" t="str">
        <ns0:f>IF(A1041="","",YEAR(A1041)&amp;"-"&amp;RIGHT("0"&amp;MONTH(A1041),2))</ns0:f>
        <ns0:v/>
      </ns0:c>
    </ns0:row>
    <ns0:row r="1042" ht="21" customHeight="1">
      <ns0:c r="A1042" s="25" t="n"/>
      <ns0:c r="B1042" s="26" t="n"/>
      <ns0:c r="C1042" s="26" t="n"/>
      <ns0:c r="D1042" s="26" t="n"/>
      <ns0:c r="E1042" s="27" t="n"/>
      <ns0:c r="F1042" s="28" t="str">
        <ns0:f>IF(A1042="","",YEAR(A1042)&amp;"-"&amp;RIGHT("0"&amp;MONTH(A1042),2))</ns0:f>
        <ns0:v/>
      </ns0:c>
    </ns0:row>
    <ns0:row r="1043" ht="21" customHeight="1">
      <ns0:c r="A1043" s="25" t="n"/>
      <ns0:c r="B1043" s="26" t="n"/>
      <ns0:c r="C1043" s="26" t="n"/>
      <ns0:c r="D1043" s="26" t="n"/>
      <ns0:c r="E1043" s="27" t="n"/>
      <ns0:c r="F1043" s="28" t="str">
        <ns0:f>IF(A1043="","",YEAR(A1043)&amp;"-"&amp;RIGHT("0"&amp;MONTH(A1043),2))</ns0:f>
        <ns0:v/>
      </ns0:c>
    </ns0:row>
    <ns0:row r="1044" ht="21" customHeight="1">
      <ns0:c r="A1044" s="25" t="n"/>
      <ns0:c r="B1044" s="26" t="n"/>
      <ns0:c r="C1044" s="26" t="n"/>
      <ns0:c r="D1044" s="26" t="n"/>
      <ns0:c r="E1044" s="27" t="n"/>
      <ns0:c r="F1044" s="28" t="str">
        <ns0:f>IF(A1044="","",YEAR(A1044)&amp;"-"&amp;RIGHT("0"&amp;MONTH(A1044),2))</ns0:f>
        <ns0:v/>
      </ns0:c>
    </ns0:row>
    <ns0:row r="1045" ht="21" customHeight="1">
      <ns0:c r="A1045" s="25" t="n"/>
      <ns0:c r="B1045" s="26" t="n"/>
      <ns0:c r="C1045" s="26" t="n"/>
      <ns0:c r="D1045" s="26" t="n"/>
      <ns0:c r="E1045" s="27" t="n"/>
      <ns0:c r="F1045" s="28" t="str">
        <ns0:f>IF(A1045="","",YEAR(A1045)&amp;"-"&amp;RIGHT("0"&amp;MONTH(A1045),2))</ns0:f>
        <ns0:v/>
      </ns0:c>
    </ns0:row>
    <ns0:row r="1046" ht="21" customHeight="1">
      <ns0:c r="A1046" s="25" t="n"/>
      <ns0:c r="B1046" s="26" t="n"/>
      <ns0:c r="C1046" s="26" t="n"/>
      <ns0:c r="D1046" s="26" t="n"/>
      <ns0:c r="E1046" s="27" t="n"/>
      <ns0:c r="F1046" s="28" t="str">
        <ns0:f>IF(A1046="","",YEAR(A1046)&amp;"-"&amp;RIGHT("0"&amp;MONTH(A1046),2))</ns0:f>
        <ns0:v/>
      </ns0:c>
    </ns0:row>
    <ns0:row r="1047" ht="21" customHeight="1">
      <ns0:c r="A1047" s="25" t="n"/>
      <ns0:c r="B1047" s="26" t="n"/>
      <ns0:c r="C1047" s="26" t="n"/>
      <ns0:c r="D1047" s="26" t="n"/>
      <ns0:c r="E1047" s="27" t="n"/>
      <ns0:c r="F1047" s="28" t="str">
        <ns0:f>IF(A1047="","",YEAR(A1047)&amp;"-"&amp;RIGHT("0"&amp;MONTH(A1047),2))</ns0:f>
        <ns0:v/>
      </ns0:c>
    </ns0:row>
    <ns0:row r="1048" ht="21" customHeight="1">
      <ns0:c r="A1048" s="25" t="n"/>
      <ns0:c r="B1048" s="26" t="n"/>
      <ns0:c r="C1048" s="26" t="n"/>
      <ns0:c r="D1048" s="26" t="n"/>
      <ns0:c r="E1048" s="27" t="n"/>
      <ns0:c r="F1048" s="28" t="str">
        <ns0:f>IF(A1048="","",YEAR(A1048)&amp;"-"&amp;RIGHT("0"&amp;MONTH(A1048),2))</ns0:f>
        <ns0:v/>
      </ns0:c>
    </ns0:row>
    <ns0:row r="1049" ht="21" customHeight="1">
      <ns0:c r="A1049" s="25" t="n"/>
      <ns0:c r="B1049" s="26" t="n"/>
      <ns0:c r="C1049" s="26" t="n"/>
      <ns0:c r="D1049" s="26" t="n"/>
      <ns0:c r="E1049" s="27" t="n"/>
      <ns0:c r="F1049" s="28" t="str">
        <ns0:f>IF(A1049="","",YEAR(A1049)&amp;"-"&amp;RIGHT("0"&amp;MONTH(A1049),2))</ns0:f>
        <ns0:v/>
      </ns0:c>
    </ns0:row>
    <ns0:row r="1050" ht="21" customHeight="1">
      <ns0:c r="A1050" s="25" t="n"/>
      <ns0:c r="B1050" s="26" t="n"/>
      <ns0:c r="C1050" s="26" t="n"/>
      <ns0:c r="D1050" s="26" t="n"/>
      <ns0:c r="E1050" s="27" t="n"/>
      <ns0:c r="F1050" s="28" t="str">
        <ns0:f>IF(A1050="","",YEAR(A1050)&amp;"-"&amp;RIGHT("0"&amp;MONTH(A1050),2))</ns0:f>
        <ns0:v/>
      </ns0:c>
    </ns0:row>
    <ns0:row r="1051" ht="21" customHeight="1">
      <ns0:c r="A1051" s="25" t="n"/>
      <ns0:c r="B1051" s="26" t="n"/>
      <ns0:c r="C1051" s="26" t="n"/>
      <ns0:c r="D1051" s="26" t="n"/>
      <ns0:c r="E1051" s="27" t="n"/>
      <ns0:c r="F1051" s="28" t="str">
        <ns0:f>IF(A1051="","",YEAR(A1051)&amp;"-"&amp;RIGHT("0"&amp;MONTH(A1051),2))</ns0:f>
        <ns0:v/>
      </ns0:c>
    </ns0:row>
    <ns0:row r="1052" ht="21" customHeight="1">
      <ns0:c r="A1052" s="25" t="n"/>
      <ns0:c r="B1052" s="26" t="n"/>
      <ns0:c r="C1052" s="26" t="n"/>
      <ns0:c r="D1052" s="26" t="n"/>
      <ns0:c r="E1052" s="27" t="n"/>
      <ns0:c r="F1052" s="28" t="str">
        <ns0:f>IF(A1052="","",YEAR(A1052)&amp;"-"&amp;RIGHT("0"&amp;MONTH(A1052),2))</ns0:f>
        <ns0:v/>
      </ns0:c>
    </ns0:row>
    <ns0:row r="1053" ht="21" customHeight="1">
      <ns0:c r="A1053" s="25" t="n"/>
      <ns0:c r="B1053" s="26" t="n"/>
      <ns0:c r="C1053" s="26" t="n"/>
      <ns0:c r="D1053" s="26" t="n"/>
      <ns0:c r="E1053" s="27" t="n"/>
      <ns0:c r="F1053" s="28" t="str">
        <ns0:f>IF(A1053="","",YEAR(A1053)&amp;"-"&amp;RIGHT("0"&amp;MONTH(A1053),2))</ns0:f>
        <ns0:v/>
      </ns0:c>
    </ns0:row>
    <ns0:row r="1054" ht="21" customHeight="1">
      <ns0:c r="A1054" s="25" t="n"/>
      <ns0:c r="B1054" s="26" t="n"/>
      <ns0:c r="C1054" s="26" t="n"/>
      <ns0:c r="D1054" s="26" t="n"/>
      <ns0:c r="E1054" s="27" t="n"/>
      <ns0:c r="F1054" s="28" t="str">
        <ns0:f>IF(A1054="","",YEAR(A1054)&amp;"-"&amp;RIGHT("0"&amp;MONTH(A1054),2))</ns0:f>
        <ns0:v/>
      </ns0:c>
    </ns0:row>
    <ns0:row r="1055" ht="21" customHeight="1">
      <ns0:c r="A1055" s="25" t="n"/>
      <ns0:c r="B1055" s="26" t="n"/>
      <ns0:c r="C1055" s="26" t="n"/>
      <ns0:c r="D1055" s="26" t="n"/>
      <ns0:c r="E1055" s="27" t="n"/>
      <ns0:c r="F1055" s="28" t="str">
        <ns0:f>IF(A1055="","",YEAR(A1055)&amp;"-"&amp;RIGHT("0"&amp;MONTH(A1055),2))</ns0:f>
        <ns0:v/>
      </ns0:c>
    </ns0:row>
    <ns0:row r="1056" ht="21" customHeight="1">
      <ns0:c r="A1056" s="25" t="n"/>
      <ns0:c r="B1056" s="26" t="n"/>
      <ns0:c r="C1056" s="26" t="n"/>
      <ns0:c r="D1056" s="26" t="n"/>
      <ns0:c r="E1056" s="27" t="n"/>
      <ns0:c r="F1056" s="28" t="str">
        <ns0:f>IF(A1056="","",YEAR(A1056)&amp;"-"&amp;RIGHT("0"&amp;MONTH(A1056),2))</ns0:f>
        <ns0:v/>
      </ns0:c>
    </ns0:row>
    <ns0:row r="1057" ht="21" customHeight="1">
      <ns0:c r="A1057" s="25" t="n"/>
      <ns0:c r="B1057" s="26" t="n"/>
      <ns0:c r="C1057" s="26" t="n"/>
      <ns0:c r="D1057" s="26" t="n"/>
      <ns0:c r="E1057" s="27" t="n"/>
      <ns0:c r="F1057" s="28" t="str">
        <ns0:f>IF(A1057="","",YEAR(A1057)&amp;"-"&amp;RIGHT("0"&amp;MONTH(A1057),2))</ns0:f>
        <ns0:v/>
      </ns0:c>
    </ns0:row>
    <ns0:row r="1058" ht="21" customHeight="1">
      <ns0:c r="A1058" s="25" t="n"/>
      <ns0:c r="B1058" s="26" t="n"/>
      <ns0:c r="C1058" s="26" t="n"/>
      <ns0:c r="D1058" s="26" t="n"/>
      <ns0:c r="E1058" s="27" t="n"/>
      <ns0:c r="F1058" s="28" t="str">
        <ns0:f>IF(A1058="","",YEAR(A1058)&amp;"-"&amp;RIGHT("0"&amp;MONTH(A1058),2))</ns0:f>
        <ns0:v/>
      </ns0:c>
    </ns0:row>
    <ns0:row r="1059" ht="21" customHeight="1">
      <ns0:c r="A1059" s="25" t="n"/>
      <ns0:c r="B1059" s="26" t="n"/>
      <ns0:c r="C1059" s="26" t="n"/>
      <ns0:c r="D1059" s="26" t="n"/>
      <ns0:c r="E1059" s="27" t="n"/>
      <ns0:c r="F1059" s="28" t="str">
        <ns0:f>IF(A1059="","",YEAR(A1059)&amp;"-"&amp;RIGHT("0"&amp;MONTH(A1059),2))</ns0:f>
        <ns0:v/>
      </ns0:c>
    </ns0:row>
    <ns0:row r="1060" ht="21" customHeight="1">
      <ns0:c r="A1060" s="25" t="n"/>
      <ns0:c r="B1060" s="26" t="n"/>
      <ns0:c r="C1060" s="26" t="n"/>
      <ns0:c r="D1060" s="26" t="n"/>
      <ns0:c r="E1060" s="27" t="n"/>
      <ns0:c r="F1060" s="28" t="str">
        <ns0:f>IF(A1060="","",YEAR(A1060)&amp;"-"&amp;RIGHT("0"&amp;MONTH(A1060),2))</ns0:f>
        <ns0:v/>
      </ns0:c>
    </ns0:row>
    <ns0:row r="1061" ht="21" customHeight="1">
      <ns0:c r="A1061" s="25" t="n"/>
      <ns0:c r="B1061" s="26" t="n"/>
      <ns0:c r="C1061" s="26" t="n"/>
      <ns0:c r="D1061" s="26" t="n"/>
      <ns0:c r="E1061" s="27" t="n"/>
      <ns0:c r="F1061" s="28" t="str">
        <ns0:f>IF(A1061="","",YEAR(A1061)&amp;"-"&amp;RIGHT("0"&amp;MONTH(A1061),2))</ns0:f>
        <ns0:v/>
      </ns0:c>
    </ns0:row>
    <ns0:row r="1062" ht="21" customHeight="1">
      <ns0:c r="A1062" s="25" t="n"/>
      <ns0:c r="B1062" s="26" t="n"/>
      <ns0:c r="C1062" s="26" t="n"/>
      <ns0:c r="D1062" s="26" t="n"/>
      <ns0:c r="E1062" s="27" t="n"/>
      <ns0:c r="F1062" s="28" t="str">
        <ns0:f>IF(A1062="","",YEAR(A1062)&amp;"-"&amp;RIGHT("0"&amp;MONTH(A1062),2))</ns0:f>
        <ns0:v/>
      </ns0:c>
    </ns0:row>
    <ns0:row r="1063" ht="21" customHeight="1">
      <ns0:c r="A1063" s="25" t="n"/>
      <ns0:c r="B1063" s="26" t="n"/>
      <ns0:c r="C1063" s="26" t="n"/>
      <ns0:c r="D1063" s="26" t="n"/>
      <ns0:c r="E1063" s="27" t="n"/>
      <ns0:c r="F1063" s="28" t="str">
        <ns0:f>IF(A1063="","",YEAR(A1063)&amp;"-"&amp;RIGHT("0"&amp;MONTH(A1063),2))</ns0:f>
        <ns0:v/>
      </ns0:c>
    </ns0:row>
    <ns0:row r="1064" ht="21" customHeight="1">
      <ns0:c r="A1064" s="25" t="n"/>
      <ns0:c r="B1064" s="26" t="n"/>
      <ns0:c r="C1064" s="26" t="n"/>
      <ns0:c r="D1064" s="26" t="n"/>
      <ns0:c r="E1064" s="27" t="n"/>
      <ns0:c r="F1064" s="28" t="str">
        <ns0:f>IF(A1064="","",YEAR(A1064)&amp;"-"&amp;RIGHT("0"&amp;MONTH(A1064),2))</ns0:f>
        <ns0:v/>
      </ns0:c>
    </ns0:row>
    <ns0:row r="1065" ht="21" customHeight="1">
      <ns0:c r="A1065" s="25" t="n"/>
      <ns0:c r="B1065" s="26" t="n"/>
      <ns0:c r="C1065" s="26" t="n"/>
      <ns0:c r="D1065" s="26" t="n"/>
      <ns0:c r="E1065" s="27" t="n"/>
      <ns0:c r="F1065" s="28" t="str">
        <ns0:f>IF(A1065="","",YEAR(A1065)&amp;"-"&amp;RIGHT("0"&amp;MONTH(A1065),2))</ns0:f>
        <ns0:v/>
      </ns0:c>
    </ns0:row>
    <ns0:row r="1066" ht="21" customHeight="1">
      <ns0:c r="A1066" s="25" t="n"/>
      <ns0:c r="B1066" s="26" t="n"/>
      <ns0:c r="C1066" s="26" t="n"/>
      <ns0:c r="D1066" s="26" t="n"/>
      <ns0:c r="E1066" s="27" t="n"/>
      <ns0:c r="F1066" s="28" t="str">
        <ns0:f>IF(A1066="","",YEAR(A1066)&amp;"-"&amp;RIGHT("0"&amp;MONTH(A1066),2))</ns0:f>
        <ns0:v/>
      </ns0:c>
    </ns0:row>
    <ns0:row r="1067" ht="21" customHeight="1">
      <ns0:c r="A1067" s="25" t="n"/>
      <ns0:c r="B1067" s="26" t="n"/>
      <ns0:c r="C1067" s="26" t="n"/>
      <ns0:c r="D1067" s="26" t="n"/>
      <ns0:c r="E1067" s="27" t="n"/>
      <ns0:c r="F1067" s="28" t="str">
        <ns0:f>IF(A1067="","",YEAR(A1067)&amp;"-"&amp;RIGHT("0"&amp;MONTH(A1067),2))</ns0:f>
        <ns0:v/>
      </ns0:c>
    </ns0:row>
    <ns0:row r="1068" ht="21" customHeight="1">
      <ns0:c r="A1068" s="25" t="n"/>
      <ns0:c r="B1068" s="26" t="n"/>
      <ns0:c r="C1068" s="26" t="n"/>
      <ns0:c r="D1068" s="26" t="n"/>
      <ns0:c r="E1068" s="27" t="n"/>
      <ns0:c r="F1068" s="28" t="str">
        <ns0:f>IF(A1068="","",YEAR(A1068)&amp;"-"&amp;RIGHT("0"&amp;MONTH(A1068),2))</ns0:f>
        <ns0:v/>
      </ns0:c>
    </ns0:row>
    <ns0:row r="1069" ht="21" customHeight="1">
      <ns0:c r="A1069" s="25" t="n"/>
      <ns0:c r="B1069" s="26" t="n"/>
      <ns0:c r="C1069" s="26" t="n"/>
      <ns0:c r="D1069" s="26" t="n"/>
      <ns0:c r="E1069" s="27" t="n"/>
      <ns0:c r="F1069" s="28" t="str">
        <ns0:f>IF(A1069="","",YEAR(A1069)&amp;"-"&amp;RIGHT("0"&amp;MONTH(A1069),2))</ns0:f>
        <ns0:v/>
      </ns0:c>
    </ns0:row>
    <ns0:row r="1070" ht="21" customHeight="1">
      <ns0:c r="A1070" s="25" t="n"/>
      <ns0:c r="B1070" s="26" t="n"/>
      <ns0:c r="C1070" s="26" t="n"/>
      <ns0:c r="D1070" s="26" t="n"/>
      <ns0:c r="E1070" s="27" t="n"/>
      <ns0:c r="F1070" s="28" t="str">
        <ns0:f>IF(A1070="","",YEAR(A1070)&amp;"-"&amp;RIGHT("0"&amp;MONTH(A1070),2))</ns0:f>
        <ns0:v/>
      </ns0:c>
    </ns0:row>
    <ns0:row r="1071" ht="21" customHeight="1">
      <ns0:c r="A1071" s="25" t="n"/>
      <ns0:c r="B1071" s="26" t="n"/>
      <ns0:c r="C1071" s="26" t="n"/>
      <ns0:c r="D1071" s="26" t="n"/>
      <ns0:c r="E1071" s="27" t="n"/>
      <ns0:c r="F1071" s="28" t="str">
        <ns0:f>IF(A1071="","",YEAR(A1071)&amp;"-"&amp;RIGHT("0"&amp;MONTH(A1071),2))</ns0:f>
        <ns0:v/>
      </ns0:c>
    </ns0:row>
    <ns0:row r="1072" ht="21" customHeight="1">
      <ns0:c r="A1072" s="25" t="n"/>
      <ns0:c r="B1072" s="26" t="n"/>
      <ns0:c r="C1072" s="26" t="n"/>
      <ns0:c r="D1072" s="26" t="n"/>
      <ns0:c r="E1072" s="27" t="n"/>
      <ns0:c r="F1072" s="28" t="str">
        <ns0:f>IF(A1072="","",YEAR(A1072)&amp;"-"&amp;RIGHT("0"&amp;MONTH(A1072),2))</ns0:f>
        <ns0:v/>
      </ns0:c>
    </ns0:row>
    <ns0:row r="1073" ht="21" customHeight="1">
      <ns0:c r="A1073" s="25" t="n"/>
      <ns0:c r="B1073" s="26" t="n"/>
      <ns0:c r="C1073" s="26" t="n"/>
      <ns0:c r="D1073" s="26" t="n"/>
      <ns0:c r="E1073" s="27" t="n"/>
      <ns0:c r="F1073" s="28" t="str">
        <ns0:f>IF(A1073="","",YEAR(A1073)&amp;"-"&amp;RIGHT("0"&amp;MONTH(A1073),2))</ns0:f>
        <ns0:v/>
      </ns0:c>
    </ns0:row>
    <ns0:row r="1074" ht="21" customHeight="1">
      <ns0:c r="A1074" s="25" t="n"/>
      <ns0:c r="B1074" s="26" t="n"/>
      <ns0:c r="C1074" s="26" t="n"/>
      <ns0:c r="D1074" s="26" t="n"/>
      <ns0:c r="E1074" s="27" t="n"/>
      <ns0:c r="F1074" s="28" t="str">
        <ns0:f>IF(A1074="","",YEAR(A1074)&amp;"-"&amp;RIGHT("0"&amp;MONTH(A1074),2))</ns0:f>
        <ns0:v/>
      </ns0:c>
    </ns0:row>
    <ns0:row r="1075" ht="21" customHeight="1">
      <ns0:c r="A1075" s="25" t="n"/>
      <ns0:c r="B1075" s="26" t="n"/>
      <ns0:c r="C1075" s="26" t="n"/>
      <ns0:c r="D1075" s="26" t="n"/>
      <ns0:c r="E1075" s="27" t="n"/>
      <ns0:c r="F1075" s="28" t="str">
        <ns0:f>IF(A1075="","",YEAR(A1075)&amp;"-"&amp;RIGHT("0"&amp;MONTH(A1075),2))</ns0:f>
        <ns0:v/>
      </ns0:c>
    </ns0:row>
    <ns0:row r="1076" ht="21" customHeight="1">
      <ns0:c r="A1076" s="25" t="n"/>
      <ns0:c r="B1076" s="26" t="n"/>
      <ns0:c r="C1076" s="26" t="n"/>
      <ns0:c r="D1076" s="26" t="n"/>
      <ns0:c r="E1076" s="27" t="n"/>
      <ns0:c r="F1076" s="28" t="str">
        <ns0:f>IF(A1076="","",YEAR(A1076)&amp;"-"&amp;RIGHT("0"&amp;MONTH(A1076),2))</ns0:f>
        <ns0:v/>
      </ns0:c>
    </ns0:row>
    <ns0:row r="1077" ht="21" customHeight="1">
      <ns0:c r="A1077" s="25" t="n"/>
      <ns0:c r="B1077" s="26" t="n"/>
      <ns0:c r="C1077" s="26" t="n"/>
      <ns0:c r="D1077" s="26" t="n"/>
      <ns0:c r="E1077" s="27" t="n"/>
      <ns0:c r="F1077" s="28" t="str">
        <ns0:f>IF(A1077="","",YEAR(A1077)&amp;"-"&amp;RIGHT("0"&amp;MONTH(A1077),2))</ns0:f>
        <ns0:v/>
      </ns0:c>
    </ns0:row>
    <ns0:row r="1078" ht="21" customHeight="1">
      <ns0:c r="A1078" s="25" t="n"/>
      <ns0:c r="B1078" s="26" t="n"/>
      <ns0:c r="C1078" s="26" t="n"/>
      <ns0:c r="D1078" s="26" t="n"/>
      <ns0:c r="E1078" s="27" t="n"/>
      <ns0:c r="F1078" s="28" t="str">
        <ns0:f>IF(A1078="","",YEAR(A1078)&amp;"-"&amp;RIGHT("0"&amp;MONTH(A1078),2))</ns0:f>
        <ns0:v/>
      </ns0:c>
    </ns0:row>
    <ns0:row r="1079" ht="21" customHeight="1">
      <ns0:c r="A1079" s="25" t="n"/>
      <ns0:c r="B1079" s="26" t="n"/>
      <ns0:c r="C1079" s="26" t="n"/>
      <ns0:c r="D1079" s="26" t="n"/>
      <ns0:c r="E1079" s="27" t="n"/>
      <ns0:c r="F1079" s="28" t="str">
        <ns0:f>IF(A1079="","",YEAR(A1079)&amp;"-"&amp;RIGHT("0"&amp;MONTH(A1079),2))</ns0:f>
        <ns0:v/>
      </ns0:c>
    </ns0:row>
    <ns0:row r="1080" ht="21" customHeight="1">
      <ns0:c r="A1080" s="25" t="n"/>
      <ns0:c r="B1080" s="26" t="n"/>
      <ns0:c r="C1080" s="26" t="n"/>
      <ns0:c r="D1080" s="26" t="n"/>
      <ns0:c r="E1080" s="27" t="n"/>
      <ns0:c r="F1080" s="28" t="str">
        <ns0:f>IF(A1080="","",YEAR(A1080)&amp;"-"&amp;RIGHT("0"&amp;MONTH(A1080),2))</ns0:f>
        <ns0:v/>
      </ns0:c>
    </ns0:row>
    <ns0:row r="1081" ht="21" customHeight="1">
      <ns0:c r="A1081" s="25" t="n"/>
      <ns0:c r="B1081" s="26" t="n"/>
      <ns0:c r="C1081" s="26" t="n"/>
      <ns0:c r="D1081" s="26" t="n"/>
      <ns0:c r="E1081" s="27" t="n"/>
      <ns0:c r="F1081" s="28" t="str">
        <ns0:f>IF(A1081="","",YEAR(A1081)&amp;"-"&amp;RIGHT("0"&amp;MONTH(A1081),2))</ns0:f>
        <ns0:v/>
      </ns0:c>
    </ns0:row>
    <ns0:row r="1082" ht="21" customHeight="1">
      <ns0:c r="A1082" s="25" t="n"/>
      <ns0:c r="B1082" s="26" t="n"/>
      <ns0:c r="C1082" s="26" t="n"/>
      <ns0:c r="D1082" s="26" t="n"/>
      <ns0:c r="E1082" s="27" t="n"/>
      <ns0:c r="F1082" s="28" t="str">
        <ns0:f>IF(A1082="","",YEAR(A1082)&amp;"-"&amp;RIGHT("0"&amp;MONTH(A1082),2))</ns0:f>
        <ns0:v/>
      </ns0:c>
    </ns0:row>
    <ns0:row r="1083" ht="21" customHeight="1">
      <ns0:c r="A1083" s="25" t="n"/>
      <ns0:c r="B1083" s="26" t="n"/>
      <ns0:c r="C1083" s="26" t="n"/>
      <ns0:c r="D1083" s="26" t="n"/>
      <ns0:c r="E1083" s="27" t="n"/>
      <ns0:c r="F1083" s="28" t="str">
        <ns0:f>IF(A1083="","",YEAR(A1083)&amp;"-"&amp;RIGHT("0"&amp;MONTH(A1083),2))</ns0:f>
        <ns0:v/>
      </ns0:c>
    </ns0:row>
    <ns0:row r="1084" ht="21" customHeight="1">
      <ns0:c r="A1084" s="25" t="n"/>
      <ns0:c r="B1084" s="26" t="n"/>
      <ns0:c r="C1084" s="26" t="n"/>
      <ns0:c r="D1084" s="26" t="n"/>
      <ns0:c r="E1084" s="27" t="n"/>
      <ns0:c r="F1084" s="28" t="str">
        <ns0:f>IF(A1084="","",YEAR(A1084)&amp;"-"&amp;RIGHT("0"&amp;MONTH(A1084),2))</ns0:f>
        <ns0:v/>
      </ns0:c>
    </ns0:row>
    <ns0:row r="1085" ht="21" customHeight="1">
      <ns0:c r="A1085" s="25" t="n"/>
      <ns0:c r="B1085" s="26" t="n"/>
      <ns0:c r="C1085" s="26" t="n"/>
      <ns0:c r="D1085" s="26" t="n"/>
      <ns0:c r="E1085" s="27" t="n"/>
      <ns0:c r="F1085" s="28" t="str">
        <ns0:f>IF(A1085="","",YEAR(A1085)&amp;"-"&amp;RIGHT("0"&amp;MONTH(A1085),2))</ns0:f>
        <ns0:v/>
      </ns0:c>
    </ns0:row>
    <ns0:row r="1086" ht="21" customHeight="1">
      <ns0:c r="A1086" s="25" t="n"/>
      <ns0:c r="B1086" s="26" t="n"/>
      <ns0:c r="C1086" s="26" t="n"/>
      <ns0:c r="D1086" s="26" t="n"/>
      <ns0:c r="E1086" s="27" t="n"/>
      <ns0:c r="F1086" s="28" t="str">
        <ns0:f>IF(A1086="","",YEAR(A1086)&amp;"-"&amp;RIGHT("0"&amp;MONTH(A1086),2))</ns0:f>
        <ns0:v/>
      </ns0:c>
    </ns0:row>
    <ns0:row r="1087" ht="21" customHeight="1">
      <ns0:c r="A1087" s="25" t="n"/>
      <ns0:c r="B1087" s="26" t="n"/>
      <ns0:c r="C1087" s="26" t="n"/>
      <ns0:c r="D1087" s="26" t="n"/>
      <ns0:c r="E1087" s="27" t="n"/>
      <ns0:c r="F1087" s="28" t="str">
        <ns0:f>IF(A1087="","",YEAR(A1087)&amp;"-"&amp;RIGHT("0"&amp;MONTH(A1087),2))</ns0:f>
        <ns0:v/>
      </ns0:c>
    </ns0:row>
    <ns0:row r="1088" ht="21" customHeight="1">
      <ns0:c r="A1088" s="25" t="n"/>
      <ns0:c r="B1088" s="26" t="n"/>
      <ns0:c r="C1088" s="26" t="n"/>
      <ns0:c r="D1088" s="26" t="n"/>
      <ns0:c r="E1088" s="27" t="n"/>
      <ns0:c r="F1088" s="28" t="str">
        <ns0:f>IF(A1088="","",YEAR(A1088)&amp;"-"&amp;RIGHT("0"&amp;MONTH(A1088),2))</ns0:f>
        <ns0:v/>
      </ns0:c>
    </ns0:row>
    <ns0:row r="1089" ht="21" customHeight="1">
      <ns0:c r="A1089" s="25" t="n"/>
      <ns0:c r="B1089" s="26" t="n"/>
      <ns0:c r="C1089" s="26" t="n"/>
      <ns0:c r="D1089" s="26" t="n"/>
      <ns0:c r="E1089" s="27" t="n"/>
      <ns0:c r="F1089" s="28" t="str">
        <ns0:f>IF(A1089="","",YEAR(A1089)&amp;"-"&amp;RIGHT("0"&amp;MONTH(A1089),2))</ns0:f>
        <ns0:v/>
      </ns0:c>
    </ns0:row>
    <ns0:row r="1090" ht="21" customHeight="1">
      <ns0:c r="A1090" s="25" t="n"/>
      <ns0:c r="B1090" s="26" t="n"/>
      <ns0:c r="C1090" s="26" t="n"/>
      <ns0:c r="D1090" s="26" t="n"/>
      <ns0:c r="E1090" s="27" t="n"/>
      <ns0:c r="F1090" s="28" t="str">
        <ns0:f>IF(A1090="","",YEAR(A1090)&amp;"-"&amp;RIGHT("0"&amp;MONTH(A1090),2))</ns0:f>
        <ns0:v/>
      </ns0:c>
    </ns0:row>
    <ns0:row r="1091" ht="21" customHeight="1">
      <ns0:c r="A1091" s="25" t="n"/>
      <ns0:c r="B1091" s="26" t="n"/>
      <ns0:c r="C1091" s="26" t="n"/>
      <ns0:c r="D1091" s="26" t="n"/>
      <ns0:c r="E1091" s="27" t="n"/>
      <ns0:c r="F1091" s="28" t="str">
        <ns0:f>IF(A1091="","",YEAR(A1091)&amp;"-"&amp;RIGHT("0"&amp;MONTH(A1091),2))</ns0:f>
        <ns0:v/>
      </ns0:c>
    </ns0:row>
    <ns0:row r="1092" ht="21" customHeight="1">
      <ns0:c r="A1092" s="25" t="n"/>
      <ns0:c r="B1092" s="26" t="n"/>
      <ns0:c r="C1092" s="26" t="n"/>
      <ns0:c r="D1092" s="26" t="n"/>
      <ns0:c r="E1092" s="27" t="n"/>
      <ns0:c r="F1092" s="28" t="str">
        <ns0:f>IF(A1092="","",YEAR(A1092)&amp;"-"&amp;RIGHT("0"&amp;MONTH(A1092),2))</ns0:f>
        <ns0:v/>
      </ns0:c>
    </ns0:row>
    <ns0:row r="1093" ht="21" customHeight="1">
      <ns0:c r="A1093" s="25" t="n"/>
      <ns0:c r="B1093" s="26" t="n"/>
      <ns0:c r="C1093" s="26" t="n"/>
      <ns0:c r="D1093" s="26" t="n"/>
      <ns0:c r="E1093" s="27" t="n"/>
      <ns0:c r="F1093" s="28" t="str">
        <ns0:f>IF(A1093="","",YEAR(A1093)&amp;"-"&amp;RIGHT("0"&amp;MONTH(A1093),2))</ns0:f>
        <ns0:v/>
      </ns0:c>
    </ns0:row>
    <ns0:row r="1094" ht="21" customHeight="1">
      <ns0:c r="A1094" s="25" t="n"/>
      <ns0:c r="B1094" s="26" t="n"/>
      <ns0:c r="C1094" s="26" t="n"/>
      <ns0:c r="D1094" s="26" t="n"/>
      <ns0:c r="E1094" s="27" t="n"/>
      <ns0:c r="F1094" s="28" t="str">
        <ns0:f>IF(A1094="","",YEAR(A1094)&amp;"-"&amp;RIGHT("0"&amp;MONTH(A1094),2))</ns0:f>
        <ns0:v/>
      </ns0:c>
    </ns0:row>
    <ns0:row r="1095" ht="21" customHeight="1">
      <ns0:c r="A1095" s="25" t="n"/>
      <ns0:c r="B1095" s="26" t="n"/>
      <ns0:c r="C1095" s="26" t="n"/>
      <ns0:c r="D1095" s="26" t="n"/>
      <ns0:c r="E1095" s="27" t="n"/>
      <ns0:c r="F1095" s="28" t="str">
        <ns0:f>IF(A1095="","",YEAR(A1095)&amp;"-"&amp;RIGHT("0"&amp;MONTH(A1095),2))</ns0:f>
        <ns0:v/>
      </ns0:c>
    </ns0:row>
    <ns0:row r="1096" ht="21" customHeight="1">
      <ns0:c r="A1096" s="25" t="n"/>
      <ns0:c r="B1096" s="26" t="n"/>
      <ns0:c r="C1096" s="26" t="n"/>
      <ns0:c r="D1096" s="26" t="n"/>
      <ns0:c r="E1096" s="27" t="n"/>
      <ns0:c r="F1096" s="28" t="str">
        <ns0:f>IF(A1096="","",YEAR(A1096)&amp;"-"&amp;RIGHT("0"&amp;MONTH(A1096),2))</ns0:f>
        <ns0:v/>
      </ns0:c>
    </ns0:row>
    <ns0:row r="1097" ht="21" customHeight="1">
      <ns0:c r="A1097" s="25" t="n"/>
      <ns0:c r="B1097" s="26" t="n"/>
      <ns0:c r="C1097" s="26" t="n"/>
      <ns0:c r="D1097" s="26" t="n"/>
      <ns0:c r="E1097" s="27" t="n"/>
      <ns0:c r="F1097" s="28" t="str">
        <ns0:f>IF(A1097="","",YEAR(A1097)&amp;"-"&amp;RIGHT("0"&amp;MONTH(A1097),2))</ns0:f>
        <ns0:v/>
      </ns0:c>
    </ns0:row>
    <ns0:row r="1098" ht="21" customHeight="1">
      <ns0:c r="A1098" s="25" t="n"/>
      <ns0:c r="B1098" s="26" t="n"/>
      <ns0:c r="C1098" s="26" t="n"/>
      <ns0:c r="D1098" s="26" t="n"/>
      <ns0:c r="E1098" s="27" t="n"/>
      <ns0:c r="F1098" s="28" t="str">
        <ns0:f>IF(A1098="","",YEAR(A1098)&amp;"-"&amp;RIGHT("0"&amp;MONTH(A1098),2))</ns0:f>
        <ns0:v/>
      </ns0:c>
    </ns0:row>
    <ns0:row r="1099" ht="21" customHeight="1">
      <ns0:c r="A1099" s="25" t="n"/>
      <ns0:c r="B1099" s="26" t="n"/>
      <ns0:c r="C1099" s="26" t="n"/>
      <ns0:c r="D1099" s="26" t="n"/>
      <ns0:c r="E1099" s="27" t="n"/>
      <ns0:c r="F1099" s="28" t="str">
        <ns0:f>IF(A1099="","",YEAR(A1099)&amp;"-"&amp;RIGHT("0"&amp;MONTH(A1099),2))</ns0:f>
        <ns0:v/>
      </ns0:c>
    </ns0:row>
    <ns0:row r="1100" ht="21" customHeight="1">
      <ns0:c r="A1100" s="25" t="n"/>
      <ns0:c r="B1100" s="26" t="n"/>
      <ns0:c r="C1100" s="26" t="n"/>
      <ns0:c r="D1100" s="26" t="n"/>
      <ns0:c r="E1100" s="27" t="n"/>
      <ns0:c r="F1100" s="28" t="str">
        <ns0:f>IF(A1100="","",YEAR(A1100)&amp;"-"&amp;RIGHT("0"&amp;MONTH(A1100),2))</ns0:f>
        <ns0:v/>
      </ns0:c>
    </ns0:row>
    <ns0:row r="1101" ht="21" customHeight="1">
      <ns0:c r="A1101" s="25" t="n"/>
      <ns0:c r="B1101" s="26" t="n"/>
      <ns0:c r="C1101" s="26" t="n"/>
      <ns0:c r="D1101" s="26" t="n"/>
      <ns0:c r="E1101" s="27" t="n"/>
      <ns0:c r="F1101" s="28" t="str">
        <ns0:f>IF(A1101="","",YEAR(A1101)&amp;"-"&amp;RIGHT("0"&amp;MONTH(A1101),2))</ns0:f>
        <ns0:v/>
      </ns0:c>
    </ns0:row>
    <ns0:row r="1102" ht="21" customHeight="1">
      <ns0:c r="A1102" s="25" t="n"/>
      <ns0:c r="B1102" s="26" t="n"/>
      <ns0:c r="C1102" s="26" t="n"/>
      <ns0:c r="D1102" s="26" t="n"/>
      <ns0:c r="E1102" s="27" t="n"/>
      <ns0:c r="F1102" s="28" t="str">
        <ns0:f>IF(A1102="","",YEAR(A1102)&amp;"-"&amp;RIGHT("0"&amp;MONTH(A1102),2))</ns0:f>
        <ns0:v/>
      </ns0:c>
    </ns0:row>
    <ns0:row r="1103" ht="21" customHeight="1">
      <ns0:c r="A1103" s="25" t="n"/>
      <ns0:c r="B1103" s="26" t="n"/>
      <ns0:c r="C1103" s="26" t="n"/>
      <ns0:c r="D1103" s="26" t="n"/>
      <ns0:c r="E1103" s="27" t="n"/>
      <ns0:c r="F1103" s="28" t="str">
        <ns0:f>IF(A1103="","",YEAR(A1103)&amp;"-"&amp;RIGHT("0"&amp;MONTH(A1103),2))</ns0:f>
        <ns0:v/>
      </ns0:c>
    </ns0:row>
    <ns0:row r="1104" ht="21" customHeight="1">
      <ns0:c r="A1104" s="25" t="n"/>
      <ns0:c r="B1104" s="26" t="n"/>
      <ns0:c r="C1104" s="26" t="n"/>
      <ns0:c r="D1104" s="26" t="n"/>
      <ns0:c r="E1104" s="27" t="n"/>
      <ns0:c r="F1104" s="28" t="str">
        <ns0:f>IF(A1104="","",YEAR(A1104)&amp;"-"&amp;RIGHT("0"&amp;MONTH(A1104),2))</ns0:f>
        <ns0:v/>
      </ns0:c>
    </ns0:row>
    <ns0:row r="1105" ht="21" customHeight="1">
      <ns0:c r="A1105" s="25" t="n"/>
      <ns0:c r="B1105" s="26" t="n"/>
      <ns0:c r="C1105" s="26" t="n"/>
      <ns0:c r="D1105" s="26" t="n"/>
      <ns0:c r="E1105" s="27" t="n"/>
      <ns0:c r="F1105" s="28" t="str">
        <ns0:f>IF(A1105="","",YEAR(A1105)&amp;"-"&amp;RIGHT("0"&amp;MONTH(A1105),2))</ns0:f>
        <ns0:v/>
      </ns0:c>
    </ns0:row>
    <ns0:row r="1106" ht="21" customHeight="1">
      <ns0:c r="A1106" s="25" t="n"/>
      <ns0:c r="B1106" s="26" t="n"/>
      <ns0:c r="C1106" s="26" t="n"/>
      <ns0:c r="D1106" s="26" t="n"/>
      <ns0:c r="E1106" s="27" t="n"/>
      <ns0:c r="F1106" s="28" t="str">
        <ns0:f>IF(A1106="","",YEAR(A1106)&amp;"-"&amp;RIGHT("0"&amp;MONTH(A1106),2))</ns0:f>
        <ns0:v/>
      </ns0:c>
    </ns0:row>
    <ns0:row r="1107" ht="21" customHeight="1">
      <ns0:c r="A1107" s="25" t="n"/>
      <ns0:c r="B1107" s="26" t="n"/>
      <ns0:c r="C1107" s="26" t="n"/>
      <ns0:c r="D1107" s="26" t="n"/>
      <ns0:c r="E1107" s="27" t="n"/>
      <ns0:c r="F1107" s="28" t="str">
        <ns0:f>IF(A1107="","",YEAR(A1107)&amp;"-"&amp;RIGHT("0"&amp;MONTH(A1107),2))</ns0:f>
        <ns0:v/>
      </ns0:c>
    </ns0:row>
    <ns0:row r="1108" ht="21" customHeight="1">
      <ns0:c r="A1108" s="25" t="n"/>
      <ns0:c r="B1108" s="26" t="n"/>
      <ns0:c r="C1108" s="26" t="n"/>
      <ns0:c r="D1108" s="26" t="n"/>
      <ns0:c r="E1108" s="27" t="n"/>
      <ns0:c r="F1108" s="28" t="str">
        <ns0:f>IF(A1108="","",YEAR(A1108)&amp;"-"&amp;RIGHT("0"&amp;MONTH(A1108),2))</ns0:f>
        <ns0:v/>
      </ns0:c>
    </ns0:row>
    <ns0:row r="1109" ht="21" customHeight="1">
      <ns0:c r="A1109" s="25" t="n"/>
      <ns0:c r="B1109" s="26" t="n"/>
      <ns0:c r="C1109" s="26" t="n"/>
      <ns0:c r="D1109" s="26" t="n"/>
      <ns0:c r="E1109" s="27" t="n"/>
      <ns0:c r="F1109" s="28" t="str">
        <ns0:f>IF(A1109="","",YEAR(A1109)&amp;"-"&amp;RIGHT("0"&amp;MONTH(A1109),2))</ns0:f>
        <ns0:v/>
      </ns0:c>
    </ns0:row>
    <ns0:row r="1110" ht="21" customHeight="1">
      <ns0:c r="A1110" s="25" t="n"/>
      <ns0:c r="B1110" s="26" t="n"/>
      <ns0:c r="C1110" s="26" t="n"/>
      <ns0:c r="D1110" s="26" t="n"/>
      <ns0:c r="E1110" s="27" t="n"/>
      <ns0:c r="F1110" s="28" t="str">
        <ns0:f>IF(A1110="","",YEAR(A1110)&amp;"-"&amp;RIGHT("0"&amp;MONTH(A1110),2))</ns0:f>
        <ns0:v/>
      </ns0:c>
    </ns0:row>
    <ns0:row r="1111" ht="21" customHeight="1">
      <ns0:c r="A1111" s="25" t="n"/>
      <ns0:c r="B1111" s="26" t="n"/>
      <ns0:c r="C1111" s="26" t="n"/>
      <ns0:c r="D1111" s="26" t="n"/>
      <ns0:c r="E1111" s="27" t="n"/>
      <ns0:c r="F1111" s="28" t="str">
        <ns0:f>IF(A1111="","",YEAR(A1111)&amp;"-"&amp;RIGHT("0"&amp;MONTH(A1111),2))</ns0:f>
        <ns0:v/>
      </ns0:c>
    </ns0:row>
    <ns0:row r="1112" ht="21" customHeight="1">
      <ns0:c r="A1112" s="25" t="n"/>
      <ns0:c r="B1112" s="26" t="n"/>
      <ns0:c r="C1112" s="26" t="n"/>
      <ns0:c r="D1112" s="26" t="n"/>
      <ns0:c r="E1112" s="27" t="n"/>
      <ns0:c r="F1112" s="28" t="str">
        <ns0:f>IF(A1112="","",YEAR(A1112)&amp;"-"&amp;RIGHT("0"&amp;MONTH(A1112),2))</ns0:f>
        <ns0:v/>
      </ns0:c>
    </ns0:row>
    <ns0:row r="1113" ht="21" customHeight="1">
      <ns0:c r="A1113" s="25" t="n"/>
      <ns0:c r="B1113" s="26" t="n"/>
      <ns0:c r="C1113" s="26" t="n"/>
      <ns0:c r="D1113" s="26" t="n"/>
      <ns0:c r="E1113" s="27" t="n"/>
      <ns0:c r="F1113" s="28" t="str">
        <ns0:f>IF(A1113="","",YEAR(A1113)&amp;"-"&amp;RIGHT("0"&amp;MONTH(A1113),2))</ns0:f>
        <ns0:v/>
      </ns0:c>
    </ns0:row>
    <ns0:row r="1114" ht="21" customHeight="1">
      <ns0:c r="A1114" s="25" t="n"/>
      <ns0:c r="B1114" s="26" t="n"/>
      <ns0:c r="C1114" s="26" t="n"/>
      <ns0:c r="D1114" s="26" t="n"/>
      <ns0:c r="E1114" s="27" t="n"/>
      <ns0:c r="F1114" s="28" t="str">
        <ns0:f>IF(A1114="","",YEAR(A1114)&amp;"-"&amp;RIGHT("0"&amp;MONTH(A1114),2))</ns0:f>
        <ns0:v/>
      </ns0:c>
    </ns0:row>
    <ns0:row r="1115" ht="21" customHeight="1">
      <ns0:c r="A1115" s="25" t="n"/>
      <ns0:c r="B1115" s="26" t="n"/>
      <ns0:c r="C1115" s="26" t="n"/>
      <ns0:c r="D1115" s="26" t="n"/>
      <ns0:c r="E1115" s="27" t="n"/>
      <ns0:c r="F1115" s="28" t="str">
        <ns0:f>IF(A1115="","",YEAR(A1115)&amp;"-"&amp;RIGHT("0"&amp;MONTH(A1115),2))</ns0:f>
        <ns0:v/>
      </ns0:c>
    </ns0:row>
    <ns0:row r="1116" ht="21" customHeight="1">
      <ns0:c r="A1116" s="25" t="n"/>
      <ns0:c r="B1116" s="26" t="n"/>
      <ns0:c r="C1116" s="26" t="n"/>
      <ns0:c r="D1116" s="26" t="n"/>
      <ns0:c r="E1116" s="27" t="n"/>
      <ns0:c r="F1116" s="28" t="str">
        <ns0:f>IF(A1116="","",YEAR(A1116)&amp;"-"&amp;RIGHT("0"&amp;MONTH(A1116),2))</ns0:f>
        <ns0:v/>
      </ns0:c>
    </ns0:row>
    <ns0:row r="1117" ht="21" customHeight="1">
      <ns0:c r="A1117" s="25" t="n"/>
      <ns0:c r="B1117" s="26" t="n"/>
      <ns0:c r="C1117" s="26" t="n"/>
      <ns0:c r="D1117" s="26" t="n"/>
      <ns0:c r="E1117" s="27" t="n"/>
      <ns0:c r="F1117" s="28" t="str">
        <ns0:f>IF(A1117="","",YEAR(A1117)&amp;"-"&amp;RIGHT("0"&amp;MONTH(A1117),2))</ns0:f>
        <ns0:v/>
      </ns0:c>
    </ns0:row>
    <ns0:row r="1118" ht="21" customHeight="1">
      <ns0:c r="A1118" s="25" t="n"/>
      <ns0:c r="B1118" s="26" t="n"/>
      <ns0:c r="C1118" s="26" t="n"/>
      <ns0:c r="D1118" s="26" t="n"/>
      <ns0:c r="E1118" s="27" t="n"/>
      <ns0:c r="F1118" s="28" t="str">
        <ns0:f>IF(A1118="","",YEAR(A1118)&amp;"-"&amp;RIGHT("0"&amp;MONTH(A1118),2))</ns0:f>
        <ns0:v/>
      </ns0:c>
    </ns0:row>
    <ns0:row r="1119" ht="21" customHeight="1">
      <ns0:c r="A1119" s="25" t="n"/>
      <ns0:c r="B1119" s="26" t="n"/>
      <ns0:c r="C1119" s="26" t="n"/>
      <ns0:c r="D1119" s="26" t="n"/>
      <ns0:c r="E1119" s="27" t="n"/>
      <ns0:c r="F1119" s="28" t="str">
        <ns0:f>IF(A1119="","",YEAR(A1119)&amp;"-"&amp;RIGHT("0"&amp;MONTH(A1119),2))</ns0:f>
        <ns0:v/>
      </ns0:c>
    </ns0:row>
    <ns0:row r="1120" ht="21" customHeight="1">
      <ns0:c r="A1120" s="25" t="n"/>
      <ns0:c r="B1120" s="26" t="n"/>
      <ns0:c r="C1120" s="26" t="n"/>
      <ns0:c r="D1120" s="26" t="n"/>
      <ns0:c r="E1120" s="27" t="n"/>
      <ns0:c r="F1120" s="28" t="str">
        <ns0:f>IF(A1120="","",YEAR(A1120)&amp;"-"&amp;RIGHT("0"&amp;MONTH(A1120),2))</ns0:f>
        <ns0:v/>
      </ns0:c>
    </ns0:row>
    <ns0:row r="1121" ht="21" customHeight="1">
      <ns0:c r="A1121" s="25" t="n"/>
      <ns0:c r="B1121" s="26" t="n"/>
      <ns0:c r="C1121" s="26" t="n"/>
      <ns0:c r="D1121" s="26" t="n"/>
      <ns0:c r="E1121" s="27" t="n"/>
      <ns0:c r="F1121" s="28" t="str">
        <ns0:f>IF(A1121="","",YEAR(A1121)&amp;"-"&amp;RIGHT("0"&amp;MONTH(A1121),2))</ns0:f>
        <ns0:v/>
      </ns0:c>
    </ns0:row>
    <ns0:row r="1122" ht="21" customHeight="1">
      <ns0:c r="A1122" s="25" t="n"/>
      <ns0:c r="B1122" s="26" t="n"/>
      <ns0:c r="C1122" s="26" t="n"/>
      <ns0:c r="D1122" s="26" t="n"/>
      <ns0:c r="E1122" s="27" t="n"/>
      <ns0:c r="F1122" s="28" t="str">
        <ns0:f>IF(A1122="","",YEAR(A1122)&amp;"-"&amp;RIGHT("0"&amp;MONTH(A1122),2))</ns0:f>
        <ns0:v/>
      </ns0:c>
    </ns0:row>
    <ns0:row r="1123" ht="21" customHeight="1">
      <ns0:c r="A1123" s="25" t="n"/>
      <ns0:c r="B1123" s="26" t="n"/>
      <ns0:c r="C1123" s="26" t="n"/>
      <ns0:c r="D1123" s="26" t="n"/>
      <ns0:c r="E1123" s="27" t="n"/>
      <ns0:c r="F1123" s="28" t="str">
        <ns0:f>IF(A1123="","",YEAR(A1123)&amp;"-"&amp;RIGHT("0"&amp;MONTH(A1123),2))</ns0:f>
        <ns0:v/>
      </ns0:c>
    </ns0:row>
    <ns0:row r="1124" ht="21" customHeight="1">
      <ns0:c r="A1124" s="25" t="n"/>
      <ns0:c r="B1124" s="26" t="n"/>
      <ns0:c r="C1124" s="26" t="n"/>
      <ns0:c r="D1124" s="26" t="n"/>
      <ns0:c r="E1124" s="27" t="n"/>
      <ns0:c r="F1124" s="28" t="str">
        <ns0:f>IF(A1124="","",YEAR(A1124)&amp;"-"&amp;RIGHT("0"&amp;MONTH(A1124),2))</ns0:f>
        <ns0:v/>
      </ns0:c>
    </ns0:row>
    <ns0:row r="1125" ht="21" customHeight="1">
      <ns0:c r="A1125" s="25" t="n"/>
      <ns0:c r="B1125" s="26" t="n"/>
      <ns0:c r="C1125" s="26" t="n"/>
      <ns0:c r="D1125" s="26" t="n"/>
      <ns0:c r="E1125" s="27" t="n"/>
      <ns0:c r="F1125" s="28" t="str">
        <ns0:f>IF(A1125="","",YEAR(A1125)&amp;"-"&amp;RIGHT("0"&amp;MONTH(A1125),2))</ns0:f>
        <ns0:v/>
      </ns0:c>
    </ns0:row>
    <ns0:row r="1126" ht="21" customHeight="1">
      <ns0:c r="A1126" s="25" t="n"/>
      <ns0:c r="B1126" s="26" t="n"/>
      <ns0:c r="C1126" s="26" t="n"/>
      <ns0:c r="D1126" s="26" t="n"/>
      <ns0:c r="E1126" s="27" t="n"/>
      <ns0:c r="F1126" s="28" t="str">
        <ns0:f>IF(A1126="","",YEAR(A1126)&amp;"-"&amp;RIGHT("0"&amp;MONTH(A1126),2))</ns0:f>
        <ns0:v/>
      </ns0:c>
    </ns0:row>
    <ns0:row r="1127" ht="21" customHeight="1">
      <ns0:c r="A1127" s="25" t="n"/>
      <ns0:c r="B1127" s="26" t="n"/>
      <ns0:c r="C1127" s="26" t="n"/>
      <ns0:c r="D1127" s="26" t="n"/>
      <ns0:c r="E1127" s="27" t="n"/>
      <ns0:c r="F1127" s="28" t="str">
        <ns0:f>IF(A1127="","",YEAR(A1127)&amp;"-"&amp;RIGHT("0"&amp;MONTH(A1127),2))</ns0:f>
        <ns0:v/>
      </ns0:c>
    </ns0:row>
    <ns0:row r="1128" ht="21" customHeight="1">
      <ns0:c r="A1128" s="25" t="n"/>
      <ns0:c r="B1128" s="26" t="n"/>
      <ns0:c r="C1128" s="26" t="n"/>
      <ns0:c r="D1128" s="26" t="n"/>
      <ns0:c r="E1128" s="27" t="n"/>
      <ns0:c r="F1128" s="28" t="str">
        <ns0:f>IF(A1128="","",YEAR(A1128)&amp;"-"&amp;RIGHT("0"&amp;MONTH(A1128),2))</ns0:f>
        <ns0:v/>
      </ns0:c>
    </ns0:row>
    <ns0:row r="1129" ht="21" customHeight="1">
      <ns0:c r="A1129" s="25" t="n"/>
      <ns0:c r="B1129" s="26" t="n"/>
      <ns0:c r="C1129" s="26" t="n"/>
      <ns0:c r="D1129" s="26" t="n"/>
      <ns0:c r="E1129" s="27" t="n"/>
      <ns0:c r="F1129" s="28" t="str">
        <ns0:f>IF(A1129="","",YEAR(A1129)&amp;"-"&amp;RIGHT("0"&amp;MONTH(A1129),2))</ns0:f>
        <ns0:v/>
      </ns0:c>
    </ns0:row>
    <ns0:row r="1130" ht="21" customHeight="1">
      <ns0:c r="A1130" s="25" t="n"/>
      <ns0:c r="B1130" s="26" t="n"/>
      <ns0:c r="C1130" s="26" t="n"/>
      <ns0:c r="D1130" s="26" t="n"/>
      <ns0:c r="E1130" s="27" t="n"/>
      <ns0:c r="F1130" s="28" t="str">
        <ns0:f>IF(A1130="","",YEAR(A1130)&amp;"-"&amp;RIGHT("0"&amp;MONTH(A1130),2))</ns0:f>
        <ns0:v/>
      </ns0:c>
    </ns0:row>
    <ns0:row r="1131" ht="21" customHeight="1">
      <ns0:c r="A1131" s="25" t="n"/>
      <ns0:c r="B1131" s="26" t="n"/>
      <ns0:c r="C1131" s="26" t="n"/>
      <ns0:c r="D1131" s="26" t="n"/>
      <ns0:c r="E1131" s="27" t="n"/>
      <ns0:c r="F1131" s="28" t="str">
        <ns0:f>IF(A1131="","",YEAR(A1131)&amp;"-"&amp;RIGHT("0"&amp;MONTH(A1131),2))</ns0:f>
        <ns0:v/>
      </ns0:c>
    </ns0:row>
    <ns0:row r="1132" ht="21" customHeight="1">
      <ns0:c r="A1132" s="25" t="n"/>
      <ns0:c r="B1132" s="26" t="n"/>
      <ns0:c r="C1132" s="26" t="n"/>
      <ns0:c r="D1132" s="26" t="n"/>
      <ns0:c r="E1132" s="27" t="n"/>
      <ns0:c r="F1132" s="28" t="str">
        <ns0:f>IF(A1132="","",YEAR(A1132)&amp;"-"&amp;RIGHT("0"&amp;MONTH(A1132),2))</ns0:f>
        <ns0:v/>
      </ns0:c>
    </ns0:row>
    <ns0:row r="1133" ht="21" customHeight="1">
      <ns0:c r="A1133" s="25" t="n"/>
      <ns0:c r="B1133" s="26" t="n"/>
      <ns0:c r="C1133" s="26" t="n"/>
      <ns0:c r="D1133" s="26" t="n"/>
      <ns0:c r="E1133" s="27" t="n"/>
      <ns0:c r="F1133" s="28" t="str">
        <ns0:f>IF(A1133="","",YEAR(A1133)&amp;"-"&amp;RIGHT("0"&amp;MONTH(A1133),2))</ns0:f>
        <ns0:v/>
      </ns0:c>
    </ns0:row>
    <ns0:row r="1134" ht="21" customHeight="1">
      <ns0:c r="A1134" s="25" t="n"/>
      <ns0:c r="B1134" s="26" t="n"/>
      <ns0:c r="C1134" s="26" t="n"/>
      <ns0:c r="D1134" s="26" t="n"/>
      <ns0:c r="E1134" s="27" t="n"/>
      <ns0:c r="F1134" s="28" t="str">
        <ns0:f>IF(A1134="","",YEAR(A1134)&amp;"-"&amp;RIGHT("0"&amp;MONTH(A1134),2))</ns0:f>
        <ns0:v/>
      </ns0:c>
    </ns0:row>
    <ns0:row r="1135" ht="21" customHeight="1">
      <ns0:c r="A1135" s="25" t="n"/>
      <ns0:c r="B1135" s="26" t="n"/>
      <ns0:c r="C1135" s="26" t="n"/>
      <ns0:c r="D1135" s="26" t="n"/>
      <ns0:c r="E1135" s="27" t="n"/>
      <ns0:c r="F1135" s="28" t="str">
        <ns0:f>IF(A1135="","",YEAR(A1135)&amp;"-"&amp;RIGHT("0"&amp;MONTH(A1135),2))</ns0:f>
        <ns0:v/>
      </ns0:c>
    </ns0:row>
    <ns0:row r="1136" ht="21" customHeight="1">
      <ns0:c r="A1136" s="25" t="n"/>
      <ns0:c r="B1136" s="26" t="n"/>
      <ns0:c r="C1136" s="26" t="n"/>
      <ns0:c r="D1136" s="26" t="n"/>
      <ns0:c r="E1136" s="27" t="n"/>
      <ns0:c r="F1136" s="28" t="str">
        <ns0:f>IF(A1136="","",YEAR(A1136)&amp;"-"&amp;RIGHT("0"&amp;MONTH(A1136),2))</ns0:f>
        <ns0:v/>
      </ns0:c>
    </ns0:row>
    <ns0:row r="1137" ht="21" customHeight="1">
      <ns0:c r="A1137" s="25" t="n"/>
      <ns0:c r="B1137" s="26" t="n"/>
      <ns0:c r="C1137" s="26" t="n"/>
      <ns0:c r="D1137" s="26" t="n"/>
      <ns0:c r="E1137" s="27" t="n"/>
      <ns0:c r="F1137" s="28" t="str">
        <ns0:f>IF(A1137="","",YEAR(A1137)&amp;"-"&amp;RIGHT("0"&amp;MONTH(A1137),2))</ns0:f>
        <ns0:v/>
      </ns0:c>
    </ns0:row>
    <ns0:row r="1138" ht="21" customHeight="1">
      <ns0:c r="A1138" s="25" t="n"/>
      <ns0:c r="B1138" s="26" t="n"/>
      <ns0:c r="C1138" s="26" t="n"/>
      <ns0:c r="D1138" s="26" t="n"/>
      <ns0:c r="E1138" s="27" t="n"/>
      <ns0:c r="F1138" s="28" t="str">
        <ns0:f>IF(A1138="","",YEAR(A1138)&amp;"-"&amp;RIGHT("0"&amp;MONTH(A1138),2))</ns0:f>
        <ns0:v/>
      </ns0:c>
    </ns0:row>
    <ns0:row r="1139" ht="21" customHeight="1">
      <ns0:c r="A1139" s="25" t="n"/>
      <ns0:c r="B1139" s="26" t="n"/>
      <ns0:c r="C1139" s="26" t="n"/>
      <ns0:c r="D1139" s="26" t="n"/>
      <ns0:c r="E1139" s="27" t="n"/>
      <ns0:c r="F1139" s="28" t="str">
        <ns0:f>IF(A1139="","",YEAR(A1139)&amp;"-"&amp;RIGHT("0"&amp;MONTH(A1139),2))</ns0:f>
        <ns0:v/>
      </ns0:c>
    </ns0:row>
    <ns0:row r="1140" ht="21" customHeight="1">
      <ns0:c r="A1140" s="25" t="n"/>
      <ns0:c r="B1140" s="26" t="n"/>
      <ns0:c r="C1140" s="26" t="n"/>
      <ns0:c r="D1140" s="26" t="n"/>
      <ns0:c r="E1140" s="27" t="n"/>
      <ns0:c r="F1140" s="28" t="str">
        <ns0:f>IF(A1140="","",YEAR(A1140)&amp;"-"&amp;RIGHT("0"&amp;MONTH(A1140),2))</ns0:f>
        <ns0:v/>
      </ns0:c>
    </ns0:row>
    <ns0:row r="1141" ht="21" customHeight="1">
      <ns0:c r="A1141" s="25" t="n"/>
      <ns0:c r="B1141" s="26" t="n"/>
      <ns0:c r="C1141" s="26" t="n"/>
      <ns0:c r="D1141" s="26" t="n"/>
      <ns0:c r="E1141" s="27" t="n"/>
      <ns0:c r="F1141" s="28" t="str">
        <ns0:f>IF(A1141="","",YEAR(A1141)&amp;"-"&amp;RIGHT("0"&amp;MONTH(A1141),2))</ns0:f>
        <ns0:v/>
      </ns0:c>
    </ns0:row>
    <ns0:row r="1142" ht="21" customHeight="1">
      <ns0:c r="A1142" s="25" t="n"/>
      <ns0:c r="B1142" s="26" t="n"/>
      <ns0:c r="C1142" s="26" t="n"/>
      <ns0:c r="D1142" s="26" t="n"/>
      <ns0:c r="E1142" s="27" t="n"/>
      <ns0:c r="F1142" s="28" t="str">
        <ns0:f>IF(A1142="","",YEAR(A1142)&amp;"-"&amp;RIGHT("0"&amp;MONTH(A1142),2))</ns0:f>
        <ns0:v/>
      </ns0:c>
    </ns0:row>
    <ns0:row r="1143" ht="21" customHeight="1">
      <ns0:c r="A1143" s="25" t="n"/>
      <ns0:c r="B1143" s="26" t="n"/>
      <ns0:c r="C1143" s="26" t="n"/>
      <ns0:c r="D1143" s="26" t="n"/>
      <ns0:c r="E1143" s="27" t="n"/>
      <ns0:c r="F1143" s="28" t="str">
        <ns0:f>IF(A1143="","",YEAR(A1143)&amp;"-"&amp;RIGHT("0"&amp;MONTH(A1143),2))</ns0:f>
        <ns0:v/>
      </ns0:c>
    </ns0:row>
    <ns0:row r="1144" ht="21" customHeight="1">
      <ns0:c r="A1144" s="25" t="n"/>
      <ns0:c r="B1144" s="26" t="n"/>
      <ns0:c r="C1144" s="26" t="n"/>
      <ns0:c r="D1144" s="26" t="n"/>
      <ns0:c r="E1144" s="27" t="n"/>
      <ns0:c r="F1144" s="28" t="str">
        <ns0:f>IF(A1144="","",YEAR(A1144)&amp;"-"&amp;RIGHT("0"&amp;MONTH(A1144),2))</ns0:f>
        <ns0:v/>
      </ns0:c>
    </ns0:row>
    <ns0:row r="1145" ht="21" customHeight="1">
      <ns0:c r="A1145" s="25" t="n"/>
      <ns0:c r="B1145" s="26" t="n"/>
      <ns0:c r="C1145" s="26" t="n"/>
      <ns0:c r="D1145" s="26" t="n"/>
      <ns0:c r="E1145" s="27" t="n"/>
      <ns0:c r="F1145" s="28" t="str">
        <ns0:f>IF(A1145="","",YEAR(A1145)&amp;"-"&amp;RIGHT("0"&amp;MONTH(A1145),2))</ns0:f>
        <ns0:v/>
      </ns0:c>
    </ns0:row>
    <ns0:row r="1146" ht="21" customHeight="1">
      <ns0:c r="A1146" s="25" t="n"/>
      <ns0:c r="B1146" s="26" t="n"/>
      <ns0:c r="C1146" s="26" t="n"/>
      <ns0:c r="D1146" s="26" t="n"/>
      <ns0:c r="E1146" s="27" t="n"/>
      <ns0:c r="F1146" s="28" t="str">
        <ns0:f>IF(A1146="","",YEAR(A1146)&amp;"-"&amp;RIGHT("0"&amp;MONTH(A1146),2))</ns0:f>
        <ns0:v/>
      </ns0:c>
    </ns0:row>
    <ns0:row r="1147" ht="21" customHeight="1">
      <ns0:c r="A1147" s="25" t="n"/>
      <ns0:c r="B1147" s="26" t="n"/>
      <ns0:c r="C1147" s="26" t="n"/>
      <ns0:c r="D1147" s="26" t="n"/>
      <ns0:c r="E1147" s="27" t="n"/>
      <ns0:c r="F1147" s="28" t="str">
        <ns0:f>IF(A1147="","",YEAR(A1147)&amp;"-"&amp;RIGHT("0"&amp;MONTH(A1147),2))</ns0:f>
        <ns0:v/>
      </ns0:c>
    </ns0:row>
    <ns0:row r="1148" ht="21" customHeight="1">
      <ns0:c r="A1148" s="25" t="n"/>
      <ns0:c r="B1148" s="26" t="n"/>
      <ns0:c r="C1148" s="26" t="n"/>
      <ns0:c r="D1148" s="26" t="n"/>
      <ns0:c r="E1148" s="27" t="n"/>
      <ns0:c r="F1148" s="28" t="str">
        <ns0:f>IF(A1148="","",YEAR(A1148)&amp;"-"&amp;RIGHT("0"&amp;MONTH(A1148),2))</ns0:f>
        <ns0:v/>
      </ns0:c>
    </ns0:row>
    <ns0:row r="1149" ht="21" customHeight="1">
      <ns0:c r="A1149" s="25" t="n"/>
      <ns0:c r="B1149" s="26" t="n"/>
      <ns0:c r="C1149" s="26" t="n"/>
      <ns0:c r="D1149" s="26" t="n"/>
      <ns0:c r="E1149" s="27" t="n"/>
      <ns0:c r="F1149" s="28" t="str">
        <ns0:f>IF(A1149="","",YEAR(A1149)&amp;"-"&amp;RIGHT("0"&amp;MONTH(A1149),2))</ns0:f>
        <ns0:v/>
      </ns0:c>
    </ns0:row>
    <ns0:row r="1150" ht="21" customHeight="1">
      <ns0:c r="A1150" s="25" t="n"/>
      <ns0:c r="B1150" s="26" t="n"/>
      <ns0:c r="C1150" s="26" t="n"/>
      <ns0:c r="D1150" s="26" t="n"/>
      <ns0:c r="E1150" s="27" t="n"/>
      <ns0:c r="F1150" s="28" t="str">
        <ns0:f>IF(A1150="","",YEAR(A1150)&amp;"-"&amp;RIGHT("0"&amp;MONTH(A1150),2))</ns0:f>
        <ns0:v/>
      </ns0:c>
    </ns0:row>
    <ns0:row r="1151" ht="21" customHeight="1">
      <ns0:c r="A1151" s="25" t="n"/>
      <ns0:c r="B1151" s="26" t="n"/>
      <ns0:c r="C1151" s="26" t="n"/>
      <ns0:c r="D1151" s="26" t="n"/>
      <ns0:c r="E1151" s="27" t="n"/>
      <ns0:c r="F1151" s="28" t="str">
        <ns0:f>IF(A1151="","",YEAR(A1151)&amp;"-"&amp;RIGHT("0"&amp;MONTH(A1151),2))</ns0:f>
        <ns0:v/>
      </ns0:c>
    </ns0:row>
    <ns0:row r="1152" ht="21" customHeight="1">
      <ns0:c r="A1152" s="25" t="n"/>
      <ns0:c r="B1152" s="26" t="n"/>
      <ns0:c r="C1152" s="26" t="n"/>
      <ns0:c r="D1152" s="26" t="n"/>
      <ns0:c r="E1152" s="27" t="n"/>
      <ns0:c r="F1152" s="28" t="str">
        <ns0:f>IF(A1152="","",YEAR(A1152)&amp;"-"&amp;RIGHT("0"&amp;MONTH(A1152),2))</ns0:f>
        <ns0:v/>
      </ns0:c>
    </ns0:row>
    <ns0:row r="1153" ht="21" customHeight="1">
      <ns0:c r="A1153" s="25" t="n"/>
      <ns0:c r="B1153" s="26" t="n"/>
      <ns0:c r="C1153" s="26" t="n"/>
      <ns0:c r="D1153" s="26" t="n"/>
      <ns0:c r="E1153" s="27" t="n"/>
      <ns0:c r="F1153" s="28" t="str">
        <ns0:f>IF(A1153="","",YEAR(A1153)&amp;"-"&amp;RIGHT("0"&amp;MONTH(A1153),2))</ns0:f>
        <ns0:v/>
      </ns0:c>
    </ns0:row>
    <ns0:row r="1154" ht="21" customHeight="1">
      <ns0:c r="A1154" s="25" t="n"/>
      <ns0:c r="B1154" s="26" t="n"/>
      <ns0:c r="C1154" s="26" t="n"/>
      <ns0:c r="D1154" s="26" t="n"/>
      <ns0:c r="E1154" s="27" t="n"/>
      <ns0:c r="F1154" s="28" t="str">
        <ns0:f>IF(A1154="","",YEAR(A1154)&amp;"-"&amp;RIGHT("0"&amp;MONTH(A1154),2))</ns0:f>
        <ns0:v/>
      </ns0:c>
    </ns0:row>
    <ns0:row r="1155" ht="21" customHeight="1">
      <ns0:c r="A1155" s="25" t="n"/>
      <ns0:c r="B1155" s="26" t="n"/>
      <ns0:c r="C1155" s="26" t="n"/>
      <ns0:c r="D1155" s="26" t="n"/>
      <ns0:c r="E1155" s="27" t="n"/>
      <ns0:c r="F1155" s="28" t="str">
        <ns0:f>IF(A1155="","",YEAR(A1155)&amp;"-"&amp;RIGHT("0"&amp;MONTH(A1155),2))</ns0:f>
        <ns0:v/>
      </ns0:c>
    </ns0:row>
    <ns0:row r="1156" ht="21" customHeight="1">
      <ns0:c r="A1156" s="25" t="n"/>
      <ns0:c r="B1156" s="26" t="n"/>
      <ns0:c r="C1156" s="26" t="n"/>
      <ns0:c r="D1156" s="26" t="n"/>
      <ns0:c r="E1156" s="27" t="n"/>
      <ns0:c r="F1156" s="28" t="str">
        <ns0:f>IF(A1156="","",YEAR(A1156)&amp;"-"&amp;RIGHT("0"&amp;MONTH(A1156),2))</ns0:f>
        <ns0:v/>
      </ns0:c>
    </ns0:row>
    <ns0:row r="1157" ht="21" customHeight="1">
      <ns0:c r="A1157" s="25" t="n"/>
      <ns0:c r="B1157" s="26" t="n"/>
      <ns0:c r="C1157" s="26" t="n"/>
      <ns0:c r="D1157" s="26" t="n"/>
      <ns0:c r="E1157" s="27" t="n"/>
      <ns0:c r="F1157" s="28" t="str">
        <ns0:f>IF(A1157="","",YEAR(A1157)&amp;"-"&amp;RIGHT("0"&amp;MONTH(A1157),2))</ns0:f>
        <ns0:v/>
      </ns0:c>
    </ns0:row>
    <ns0:row r="1158" ht="21" customHeight="1">
      <ns0:c r="A1158" s="25" t="n"/>
      <ns0:c r="B1158" s="26" t="n"/>
      <ns0:c r="C1158" s="26" t="n"/>
      <ns0:c r="D1158" s="26" t="n"/>
      <ns0:c r="E1158" s="27" t="n"/>
      <ns0:c r="F1158" s="28" t="str">
        <ns0:f>IF(A1158="","",YEAR(A1158)&amp;"-"&amp;RIGHT("0"&amp;MONTH(A1158),2))</ns0:f>
        <ns0:v/>
      </ns0:c>
    </ns0:row>
    <ns0:row r="1159" ht="21" customHeight="1">
      <ns0:c r="A1159" s="25" t="n"/>
      <ns0:c r="B1159" s="26" t="n"/>
      <ns0:c r="C1159" s="26" t="n"/>
      <ns0:c r="D1159" s="26" t="n"/>
      <ns0:c r="E1159" s="27" t="n"/>
      <ns0:c r="F1159" s="28" t="str">
        <ns0:f>IF(A1159="","",YEAR(A1159)&amp;"-"&amp;RIGHT("0"&amp;MONTH(A1159),2))</ns0:f>
        <ns0:v/>
      </ns0:c>
    </ns0:row>
    <ns0:row r="1160" ht="21" customHeight="1">
      <ns0:c r="A1160" s="25" t="n"/>
      <ns0:c r="B1160" s="26" t="n"/>
      <ns0:c r="C1160" s="26" t="n"/>
      <ns0:c r="D1160" s="26" t="n"/>
      <ns0:c r="E1160" s="27" t="n"/>
      <ns0:c r="F1160" s="28" t="str">
        <ns0:f>IF(A1160="","",YEAR(A1160)&amp;"-"&amp;RIGHT("0"&amp;MONTH(A1160),2))</ns0:f>
        <ns0:v/>
      </ns0:c>
    </ns0:row>
    <ns0:row r="1161" ht="21" customHeight="1">
      <ns0:c r="A1161" s="25" t="n"/>
      <ns0:c r="B1161" s="26" t="n"/>
      <ns0:c r="C1161" s="26" t="n"/>
      <ns0:c r="D1161" s="26" t="n"/>
      <ns0:c r="E1161" s="27" t="n"/>
      <ns0:c r="F1161" s="28" t="str">
        <ns0:f>IF(A1161="","",YEAR(A1161)&amp;"-"&amp;RIGHT("0"&amp;MONTH(A1161),2))</ns0:f>
        <ns0:v/>
      </ns0:c>
    </ns0:row>
    <ns0:row r="1162" ht="21" customHeight="1">
      <ns0:c r="A1162" s="25" t="n"/>
      <ns0:c r="B1162" s="26" t="n"/>
      <ns0:c r="C1162" s="26" t="n"/>
      <ns0:c r="D1162" s="26" t="n"/>
      <ns0:c r="E1162" s="27" t="n"/>
      <ns0:c r="F1162" s="28" t="str">
        <ns0:f>IF(A1162="","",YEAR(A1162)&amp;"-"&amp;RIGHT("0"&amp;MONTH(A1162),2))</ns0:f>
        <ns0:v/>
      </ns0:c>
    </ns0:row>
    <ns0:row r="1163" ht="21" customHeight="1">
      <ns0:c r="A1163" s="25" t="n"/>
      <ns0:c r="B1163" s="26" t="n"/>
      <ns0:c r="C1163" s="26" t="n"/>
      <ns0:c r="D1163" s="26" t="n"/>
      <ns0:c r="E1163" s="27" t="n"/>
      <ns0:c r="F1163" s="28" t="str">
        <ns0:f>IF(A1163="","",YEAR(A1163)&amp;"-"&amp;RIGHT("0"&amp;MONTH(A1163),2))</ns0:f>
        <ns0:v/>
      </ns0:c>
    </ns0:row>
    <ns0:row r="1164" ht="21" customHeight="1">
      <ns0:c r="A1164" s="25" t="n"/>
      <ns0:c r="B1164" s="26" t="n"/>
      <ns0:c r="C1164" s="26" t="n"/>
      <ns0:c r="D1164" s="26" t="n"/>
      <ns0:c r="E1164" s="27" t="n"/>
      <ns0:c r="F1164" s="28" t="str">
        <ns0:f>IF(A1164="","",YEAR(A1164)&amp;"-"&amp;RIGHT("0"&amp;MONTH(A1164),2))</ns0:f>
        <ns0:v/>
      </ns0:c>
    </ns0:row>
    <ns0:row r="1165" ht="21" customHeight="1">
      <ns0:c r="A1165" s="25" t="n"/>
      <ns0:c r="B1165" s="26" t="n"/>
      <ns0:c r="C1165" s="26" t="n"/>
      <ns0:c r="D1165" s="26" t="n"/>
      <ns0:c r="E1165" s="27" t="n"/>
      <ns0:c r="F1165" s="28" t="str">
        <ns0:f>IF(A1165="","",YEAR(A1165)&amp;"-"&amp;RIGHT("0"&amp;MONTH(A1165),2))</ns0:f>
        <ns0:v/>
      </ns0:c>
    </ns0:row>
    <ns0:row r="1166" ht="21" customHeight="1">
      <ns0:c r="A1166" s="25" t="n"/>
      <ns0:c r="B1166" s="26" t="n"/>
      <ns0:c r="C1166" s="26" t="n"/>
      <ns0:c r="D1166" s="26" t="n"/>
      <ns0:c r="E1166" s="27" t="n"/>
      <ns0:c r="F1166" s="28" t="str">
        <ns0:f>IF(A1166="","",YEAR(A1166)&amp;"-"&amp;RIGHT("0"&amp;MONTH(A1166),2))</ns0:f>
        <ns0:v/>
      </ns0:c>
    </ns0:row>
    <ns0:row r="1167" ht="21" customHeight="1">
      <ns0:c r="A1167" s="25" t="n"/>
      <ns0:c r="B1167" s="26" t="n"/>
      <ns0:c r="C1167" s="26" t="n"/>
      <ns0:c r="D1167" s="26" t="n"/>
      <ns0:c r="E1167" s="27" t="n"/>
      <ns0:c r="F1167" s="28" t="str">
        <ns0:f>IF(A1167="","",YEAR(A1167)&amp;"-"&amp;RIGHT("0"&amp;MONTH(A1167),2))</ns0:f>
        <ns0:v/>
      </ns0:c>
    </ns0:row>
    <ns0:row r="1168" ht="21" customHeight="1">
      <ns0:c r="A1168" s="25" t="n"/>
      <ns0:c r="B1168" s="26" t="n"/>
      <ns0:c r="C1168" s="26" t="n"/>
      <ns0:c r="D1168" s="26" t="n"/>
      <ns0:c r="E1168" s="27" t="n"/>
      <ns0:c r="F1168" s="28" t="str">
        <ns0:f>IF(A1168="","",YEAR(A1168)&amp;"-"&amp;RIGHT("0"&amp;MONTH(A1168),2))</ns0:f>
        <ns0:v/>
      </ns0:c>
    </ns0:row>
    <ns0:row r="1169" ht="21" customHeight="1">
      <ns0:c r="A1169" s="25" t="n"/>
      <ns0:c r="B1169" s="26" t="n"/>
      <ns0:c r="C1169" s="26" t="n"/>
      <ns0:c r="D1169" s="26" t="n"/>
      <ns0:c r="E1169" s="27" t="n"/>
      <ns0:c r="F1169" s="28" t="str">
        <ns0:f>IF(A1169="","",YEAR(A1169)&amp;"-"&amp;RIGHT("0"&amp;MONTH(A1169),2))</ns0:f>
        <ns0:v/>
      </ns0:c>
    </ns0:row>
    <ns0:row r="1170" ht="21" customHeight="1">
      <ns0:c r="A1170" s="25" t="n"/>
      <ns0:c r="B1170" s="26" t="n"/>
      <ns0:c r="C1170" s="26" t="n"/>
      <ns0:c r="D1170" s="26" t="n"/>
      <ns0:c r="E1170" s="27" t="n"/>
      <ns0:c r="F1170" s="28" t="str">
        <ns0:f>IF(A1170="","",YEAR(A1170)&amp;"-"&amp;RIGHT("0"&amp;MONTH(A1170),2))</ns0:f>
        <ns0:v/>
      </ns0:c>
    </ns0:row>
    <ns0:row r="1171" ht="21" customHeight="1">
      <ns0:c r="A1171" s="25" t="n"/>
      <ns0:c r="B1171" s="26" t="n"/>
      <ns0:c r="C1171" s="26" t="n"/>
      <ns0:c r="D1171" s="26" t="n"/>
      <ns0:c r="E1171" s="27" t="n"/>
      <ns0:c r="F1171" s="28" t="str">
        <ns0:f>IF(A1171="","",YEAR(A1171)&amp;"-"&amp;RIGHT("0"&amp;MONTH(A1171),2))</ns0:f>
        <ns0:v/>
      </ns0:c>
    </ns0:row>
    <ns0:row r="1172" ht="21" customHeight="1">
      <ns0:c r="A1172" s="25" t="n"/>
      <ns0:c r="B1172" s="26" t="n"/>
      <ns0:c r="C1172" s="26" t="n"/>
      <ns0:c r="D1172" s="26" t="n"/>
      <ns0:c r="E1172" s="27" t="n"/>
      <ns0:c r="F1172" s="28" t="str">
        <ns0:f>IF(A1172="","",YEAR(A1172)&amp;"-"&amp;RIGHT("0"&amp;MONTH(A1172),2))</ns0:f>
        <ns0:v/>
      </ns0:c>
    </ns0:row>
    <ns0:row r="1173" ht="21" customHeight="1">
      <ns0:c r="A1173" s="25" t="n"/>
      <ns0:c r="B1173" s="26" t="n"/>
      <ns0:c r="C1173" s="26" t="n"/>
      <ns0:c r="D1173" s="26" t="n"/>
      <ns0:c r="E1173" s="27" t="n"/>
      <ns0:c r="F1173" s="28" t="str">
        <ns0:f>IF(A1173="","",YEAR(A1173)&amp;"-"&amp;RIGHT("0"&amp;MONTH(A1173),2))</ns0:f>
        <ns0:v/>
      </ns0:c>
    </ns0:row>
    <ns0:row r="1174" ht="21" customHeight="1">
      <ns0:c r="A1174" s="25" t="n"/>
      <ns0:c r="B1174" s="26" t="n"/>
      <ns0:c r="C1174" s="26" t="n"/>
      <ns0:c r="D1174" s="26" t="n"/>
      <ns0:c r="E1174" s="27" t="n"/>
      <ns0:c r="F1174" s="28" t="str">
        <ns0:f>IF(A1174="","",YEAR(A1174)&amp;"-"&amp;RIGHT("0"&amp;MONTH(A1174),2))</ns0:f>
        <ns0:v/>
      </ns0:c>
    </ns0:row>
    <ns0:row r="1175" ht="21" customHeight="1">
      <ns0:c r="A1175" s="25" t="n"/>
      <ns0:c r="B1175" s="26" t="n"/>
      <ns0:c r="C1175" s="26" t="n"/>
      <ns0:c r="D1175" s="26" t="n"/>
      <ns0:c r="E1175" s="27" t="n"/>
      <ns0:c r="F1175" s="28" t="str">
        <ns0:f>IF(A1175="","",YEAR(A1175)&amp;"-"&amp;RIGHT("0"&amp;MONTH(A1175),2))</ns0:f>
        <ns0:v/>
      </ns0:c>
    </ns0:row>
    <ns0:row r="1176" ht="21" customHeight="1">
      <ns0:c r="A1176" s="25" t="n"/>
      <ns0:c r="B1176" s="26" t="n"/>
      <ns0:c r="C1176" s="26" t="n"/>
      <ns0:c r="D1176" s="26" t="n"/>
      <ns0:c r="E1176" s="27" t="n"/>
      <ns0:c r="F1176" s="28" t="str">
        <ns0:f>IF(A1176="","",YEAR(A1176)&amp;"-"&amp;RIGHT("0"&amp;MONTH(A1176),2))</ns0:f>
        <ns0:v/>
      </ns0:c>
    </ns0:row>
    <ns0:row r="1177" ht="21" customHeight="1">
      <ns0:c r="A1177" s="25" t="n"/>
      <ns0:c r="B1177" s="26" t="n"/>
      <ns0:c r="C1177" s="26" t="n"/>
      <ns0:c r="D1177" s="26" t="n"/>
      <ns0:c r="E1177" s="27" t="n"/>
      <ns0:c r="F1177" s="28" t="str">
        <ns0:f>IF(A1177="","",YEAR(A1177)&amp;"-"&amp;RIGHT("0"&amp;MONTH(A1177),2))</ns0:f>
        <ns0:v/>
      </ns0:c>
    </ns0:row>
    <ns0:row r="1178" ht="21" customHeight="1">
      <ns0:c r="A1178" s="25" t="n"/>
      <ns0:c r="B1178" s="26" t="n"/>
      <ns0:c r="C1178" s="26" t="n"/>
      <ns0:c r="D1178" s="26" t="n"/>
      <ns0:c r="E1178" s="27" t="n"/>
      <ns0:c r="F1178" s="28" t="str">
        <ns0:f>IF(A1178="","",YEAR(A1178)&amp;"-"&amp;RIGHT("0"&amp;MONTH(A1178),2))</ns0:f>
        <ns0:v/>
      </ns0:c>
    </ns0:row>
    <ns0:row r="1179" ht="21" customHeight="1">
      <ns0:c r="A1179" s="25" t="n"/>
      <ns0:c r="B1179" s="26" t="n"/>
      <ns0:c r="C1179" s="26" t="n"/>
      <ns0:c r="D1179" s="26" t="n"/>
      <ns0:c r="E1179" s="27" t="n"/>
      <ns0:c r="F1179" s="28" t="str">
        <ns0:f>IF(A1179="","",YEAR(A1179)&amp;"-"&amp;RIGHT("0"&amp;MONTH(A1179),2))</ns0:f>
        <ns0:v/>
      </ns0:c>
    </ns0:row>
    <ns0:row r="1180" ht="21" customHeight="1">
      <ns0:c r="A1180" s="25" t="n"/>
      <ns0:c r="B1180" s="26" t="n"/>
      <ns0:c r="C1180" s="26" t="n"/>
      <ns0:c r="D1180" s="26" t="n"/>
      <ns0:c r="E1180" s="27" t="n"/>
      <ns0:c r="F1180" s="28" t="str">
        <ns0:f>IF(A1180="","",YEAR(A1180)&amp;"-"&amp;RIGHT("0"&amp;MONTH(A1180),2))</ns0:f>
        <ns0:v/>
      </ns0:c>
    </ns0:row>
    <ns0:row r="1181" ht="21" customHeight="1">
      <ns0:c r="A1181" s="25" t="n"/>
      <ns0:c r="B1181" s="26" t="n"/>
      <ns0:c r="C1181" s="26" t="n"/>
      <ns0:c r="D1181" s="26" t="n"/>
      <ns0:c r="E1181" s="27" t="n"/>
      <ns0:c r="F1181" s="28" t="str">
        <ns0:f>IF(A1181="","",YEAR(A1181)&amp;"-"&amp;RIGHT("0"&amp;MONTH(A1181),2))</ns0:f>
        <ns0:v/>
      </ns0:c>
    </ns0:row>
    <ns0:row r="1182" ht="21" customHeight="1">
      <ns0:c r="A1182" s="25" t="n"/>
      <ns0:c r="B1182" s="26" t="n"/>
      <ns0:c r="C1182" s="26" t="n"/>
      <ns0:c r="D1182" s="26" t="n"/>
      <ns0:c r="E1182" s="27" t="n"/>
      <ns0:c r="F1182" s="28" t="str">
        <ns0:f>IF(A1182="","",YEAR(A1182)&amp;"-"&amp;RIGHT("0"&amp;MONTH(A1182),2))</ns0:f>
        <ns0:v/>
      </ns0:c>
    </ns0:row>
    <ns0:row r="1183" ht="21" customHeight="1">
      <ns0:c r="A1183" s="25" t="n"/>
      <ns0:c r="B1183" s="26" t="n"/>
      <ns0:c r="C1183" s="26" t="n"/>
      <ns0:c r="D1183" s="26" t="n"/>
      <ns0:c r="E1183" s="27" t="n"/>
      <ns0:c r="F1183" s="28" t="str">
        <ns0:f>IF(A1183="","",YEAR(A1183)&amp;"-"&amp;RIGHT("0"&amp;MONTH(A1183),2))</ns0:f>
        <ns0:v/>
      </ns0:c>
    </ns0:row>
    <ns0:row r="1184" ht="21" customHeight="1">
      <ns0:c r="A1184" s="25" t="n"/>
      <ns0:c r="B1184" s="26" t="n"/>
      <ns0:c r="C1184" s="26" t="n"/>
      <ns0:c r="D1184" s="26" t="n"/>
      <ns0:c r="E1184" s="27" t="n"/>
      <ns0:c r="F1184" s="28" t="str">
        <ns0:f>IF(A1184="","",YEAR(A1184)&amp;"-"&amp;RIGHT("0"&amp;MONTH(A1184),2))</ns0:f>
        <ns0:v/>
      </ns0:c>
    </ns0:row>
    <ns0:row r="1185" ht="21" customHeight="1">
      <ns0:c r="A1185" s="25" t="n"/>
      <ns0:c r="B1185" s="26" t="n"/>
      <ns0:c r="C1185" s="26" t="n"/>
      <ns0:c r="D1185" s="26" t="n"/>
      <ns0:c r="E1185" s="27" t="n"/>
      <ns0:c r="F1185" s="28" t="str">
        <ns0:f>IF(A1185="","",YEAR(A1185)&amp;"-"&amp;RIGHT("0"&amp;MONTH(A1185),2))</ns0:f>
        <ns0:v/>
      </ns0:c>
    </ns0:row>
    <ns0:row r="1186" ht="21" customHeight="1">
      <ns0:c r="A1186" s="25" t="n"/>
      <ns0:c r="B1186" s="26" t="n"/>
      <ns0:c r="C1186" s="26" t="n"/>
      <ns0:c r="D1186" s="26" t="n"/>
      <ns0:c r="E1186" s="27" t="n"/>
      <ns0:c r="F1186" s="28" t="str">
        <ns0:f>IF(A1186="","",YEAR(A1186)&amp;"-"&amp;RIGHT("0"&amp;MONTH(A1186),2))</ns0:f>
        <ns0:v/>
      </ns0:c>
    </ns0:row>
    <ns0:row r="1187" ht="21" customHeight="1">
      <ns0:c r="A1187" s="25" t="n"/>
      <ns0:c r="B1187" s="26" t="n"/>
      <ns0:c r="C1187" s="26" t="n"/>
      <ns0:c r="D1187" s="26" t="n"/>
      <ns0:c r="E1187" s="27" t="n"/>
      <ns0:c r="F1187" s="28" t="str">
        <ns0:f>IF(A1187="","",YEAR(A1187)&amp;"-"&amp;RIGHT("0"&amp;MONTH(A1187),2))</ns0:f>
        <ns0:v/>
      </ns0:c>
    </ns0:row>
    <ns0:row r="1188" ht="21" customHeight="1">
      <ns0:c r="A1188" s="25" t="n"/>
      <ns0:c r="B1188" s="26" t="n"/>
      <ns0:c r="C1188" s="26" t="n"/>
      <ns0:c r="D1188" s="26" t="n"/>
      <ns0:c r="E1188" s="27" t="n"/>
      <ns0:c r="F1188" s="28" t="str">
        <ns0:f>IF(A1188="","",YEAR(A1188)&amp;"-"&amp;RIGHT("0"&amp;MONTH(A1188),2))</ns0:f>
        <ns0:v/>
      </ns0:c>
    </ns0:row>
    <ns0:row r="1189" ht="21" customHeight="1">
      <ns0:c r="A1189" s="25" t="n"/>
      <ns0:c r="B1189" s="26" t="n"/>
      <ns0:c r="C1189" s="26" t="n"/>
      <ns0:c r="D1189" s="26" t="n"/>
      <ns0:c r="E1189" s="27" t="n"/>
      <ns0:c r="F1189" s="28" t="str">
        <ns0:f>IF(A1189="","",YEAR(A1189)&amp;"-"&amp;RIGHT("0"&amp;MONTH(A1189),2))</ns0:f>
        <ns0:v/>
      </ns0:c>
    </ns0:row>
    <ns0:row r="1190" ht="21" customHeight="1">
      <ns0:c r="A1190" s="25" t="n"/>
      <ns0:c r="B1190" s="26" t="n"/>
      <ns0:c r="C1190" s="26" t="n"/>
      <ns0:c r="D1190" s="26" t="n"/>
      <ns0:c r="E1190" s="27" t="n"/>
      <ns0:c r="F1190" s="28" t="str">
        <ns0:f>IF(A1190="","",YEAR(A1190)&amp;"-"&amp;RIGHT("0"&amp;MONTH(A1190),2))</ns0:f>
        <ns0:v/>
      </ns0:c>
    </ns0:row>
    <ns0:row r="1191" ht="21" customHeight="1">
      <ns0:c r="A1191" s="25" t="n"/>
      <ns0:c r="B1191" s="26" t="n"/>
      <ns0:c r="C1191" s="26" t="n"/>
      <ns0:c r="D1191" s="26" t="n"/>
      <ns0:c r="E1191" s="27" t="n"/>
      <ns0:c r="F1191" s="28" t="str">
        <ns0:f>IF(A1191="","",YEAR(A1191)&amp;"-"&amp;RIGHT("0"&amp;MONTH(A1191),2))</ns0:f>
        <ns0:v/>
      </ns0:c>
    </ns0:row>
    <ns0:row r="1192" ht="21" customHeight="1">
      <ns0:c r="A1192" s="25" t="n"/>
      <ns0:c r="B1192" s="26" t="n"/>
      <ns0:c r="C1192" s="26" t="n"/>
      <ns0:c r="D1192" s="26" t="n"/>
      <ns0:c r="E1192" s="27" t="n"/>
      <ns0:c r="F1192" s="28" t="str">
        <ns0:f>IF(A1192="","",YEAR(A1192)&amp;"-"&amp;RIGHT("0"&amp;MONTH(A1192),2))</ns0:f>
        <ns0:v/>
      </ns0:c>
    </ns0:row>
    <ns0:row r="1193" ht="21" customHeight="1">
      <ns0:c r="A1193" s="25" t="n"/>
      <ns0:c r="B1193" s="26" t="n"/>
      <ns0:c r="C1193" s="26" t="n"/>
      <ns0:c r="D1193" s="26" t="n"/>
      <ns0:c r="E1193" s="27" t="n"/>
      <ns0:c r="F1193" s="28" t="str">
        <ns0:f>IF(A1193="","",YEAR(A1193)&amp;"-"&amp;RIGHT("0"&amp;MONTH(A1193),2))</ns0:f>
        <ns0:v/>
      </ns0:c>
    </ns0:row>
    <ns0:row r="1194" ht="21" customHeight="1">
      <ns0:c r="A1194" s="25" t="n"/>
      <ns0:c r="B1194" s="26" t="n"/>
      <ns0:c r="C1194" s="26" t="n"/>
      <ns0:c r="D1194" s="26" t="n"/>
      <ns0:c r="E1194" s="27" t="n"/>
      <ns0:c r="F1194" s="28" t="str">
        <ns0:f>IF(A1194="","",YEAR(A1194)&amp;"-"&amp;RIGHT("0"&amp;MONTH(A1194),2))</ns0:f>
        <ns0:v/>
      </ns0:c>
    </ns0:row>
    <ns0:row r="1195" ht="21" customHeight="1">
      <ns0:c r="A1195" s="25" t="n"/>
      <ns0:c r="B1195" s="26" t="n"/>
      <ns0:c r="C1195" s="26" t="n"/>
      <ns0:c r="D1195" s="26" t="n"/>
      <ns0:c r="E1195" s="27" t="n"/>
      <ns0:c r="F1195" s="28" t="str">
        <ns0:f>IF(A1195="","",YEAR(A1195)&amp;"-"&amp;RIGHT("0"&amp;MONTH(A1195),2))</ns0:f>
        <ns0:v/>
      </ns0:c>
    </ns0:row>
    <ns0:row r="1196" ht="21" customHeight="1">
      <ns0:c r="A1196" s="25" t="n"/>
      <ns0:c r="B1196" s="26" t="n"/>
      <ns0:c r="C1196" s="26" t="n"/>
      <ns0:c r="D1196" s="26" t="n"/>
      <ns0:c r="E1196" s="27" t="n"/>
      <ns0:c r="F1196" s="28" t="str">
        <ns0:f>IF(A1196="","",YEAR(A1196)&amp;"-"&amp;RIGHT("0"&amp;MONTH(A1196),2))</ns0:f>
        <ns0:v/>
      </ns0:c>
    </ns0:row>
    <ns0:row r="1197" ht="21" customHeight="1">
      <ns0:c r="A1197" s="25" t="n"/>
      <ns0:c r="B1197" s="26" t="n"/>
      <ns0:c r="C1197" s="26" t="n"/>
      <ns0:c r="D1197" s="26" t="n"/>
      <ns0:c r="E1197" s="27" t="n"/>
      <ns0:c r="F1197" s="28" t="str">
        <ns0:f>IF(A1197="","",YEAR(A1197)&amp;"-"&amp;RIGHT("0"&amp;MONTH(A1197),2))</ns0:f>
        <ns0:v/>
      </ns0:c>
    </ns0:row>
    <ns0:row r="1198" ht="21" customHeight="1">
      <ns0:c r="A1198" s="25" t="n"/>
      <ns0:c r="B1198" s="26" t="n"/>
      <ns0:c r="C1198" s="26" t="n"/>
      <ns0:c r="D1198" s="26" t="n"/>
      <ns0:c r="E1198" s="27" t="n"/>
      <ns0:c r="F1198" s="28" t="str">
        <ns0:f>IF(A1198="","",YEAR(A1198)&amp;"-"&amp;RIGHT("0"&amp;MONTH(A1198),2))</ns0:f>
        <ns0:v/>
      </ns0:c>
    </ns0:row>
    <ns0:row r="1199" ht="21" customHeight="1">
      <ns0:c r="A1199" s="25" t="n"/>
      <ns0:c r="B1199" s="26" t="n"/>
      <ns0:c r="C1199" s="26" t="n"/>
      <ns0:c r="D1199" s="26" t="n"/>
      <ns0:c r="E1199" s="27" t="n"/>
      <ns0:c r="F1199" s="28" t="str">
        <ns0:f>IF(A1199="","",YEAR(A1199)&amp;"-"&amp;RIGHT("0"&amp;MONTH(A1199),2))</ns0:f>
        <ns0:v/>
      </ns0:c>
    </ns0:row>
    <ns0:row r="1200" ht="21" customHeight="1">
      <ns0:c r="A1200" s="25" t="n"/>
      <ns0:c r="B1200" s="26" t="n"/>
      <ns0:c r="C1200" s="26" t="n"/>
      <ns0:c r="D1200" s="26" t="n"/>
      <ns0:c r="E1200" s="27" t="n"/>
      <ns0:c r="F1200" s="28" t="str">
        <ns0:f>IF(A1200="","",YEAR(A1200)&amp;"-"&amp;RIGHT("0"&amp;MONTH(A1200),2))</ns0:f>
        <ns0:v/>
      </ns0:c>
    </ns0:row>
    <ns0:row r="1201" ht="21" customHeight="1">
      <ns0:c r="A1201" s="25" t="n"/>
      <ns0:c r="B1201" s="26" t="n"/>
      <ns0:c r="C1201" s="26" t="n"/>
      <ns0:c r="D1201" s="26" t="n"/>
      <ns0:c r="E1201" s="27" t="n"/>
      <ns0:c r="F1201" s="28" t="str">
        <ns0:f>IF(A1201="","",YEAR(A1201)&amp;"-"&amp;RIGHT("0"&amp;MONTH(A1201),2))</ns0:f>
        <ns0:v/>
      </ns0:c>
    </ns0:row>
    <ns0:row r="1202" ht="21" customHeight="1">
      <ns0:c r="A1202" s="25" t="n"/>
      <ns0:c r="B1202" s="26" t="n"/>
      <ns0:c r="C1202" s="26" t="n"/>
      <ns0:c r="D1202" s="26" t="n"/>
      <ns0:c r="E1202" s="27" t="n"/>
      <ns0:c r="F1202" s="28" t="str">
        <ns0:f>IF(A1202="","",YEAR(A1202)&amp;"-"&amp;RIGHT("0"&amp;MONTH(A1202),2))</ns0:f>
        <ns0:v/>
      </ns0:c>
    </ns0:row>
    <ns0:row r="1203" ht="21" customHeight="1">
      <ns0:c r="A1203" s="25" t="n"/>
      <ns0:c r="B1203" s="26" t="n"/>
      <ns0:c r="C1203" s="26" t="n"/>
      <ns0:c r="D1203" s="26" t="n"/>
      <ns0:c r="E1203" s="27" t="n"/>
      <ns0:c r="F1203" s="28" t="str">
        <ns0:f>IF(A1203="","",YEAR(A1203)&amp;"-"&amp;RIGHT("0"&amp;MONTH(A1203),2))</ns0:f>
        <ns0:v/>
      </ns0:c>
    </ns0:row>
    <ns0:row r="1204" ht="21" customHeight="1">
      <ns0:c r="A1204" s="25" t="n"/>
      <ns0:c r="B1204" s="26" t="n"/>
      <ns0:c r="C1204" s="26" t="n"/>
      <ns0:c r="D1204" s="26" t="n"/>
      <ns0:c r="E1204" s="27" t="n"/>
      <ns0:c r="F1204" s="28" t="str">
        <ns0:f>IF(A1204="","",YEAR(A1204)&amp;"-"&amp;RIGHT("0"&amp;MONTH(A1204),2))</ns0:f>
        <ns0:v/>
      </ns0:c>
    </ns0:row>
    <ns0:row r="1205" ht="21" customHeight="1">
      <ns0:c r="A1205" s="25" t="n"/>
      <ns0:c r="B1205" s="26" t="n"/>
      <ns0:c r="C1205" s="26" t="n"/>
      <ns0:c r="D1205" s="26" t="n"/>
      <ns0:c r="E1205" s="27" t="n"/>
      <ns0:c r="F1205" s="28" t="str">
        <ns0:f>IF(A1205="","",YEAR(A1205)&amp;"-"&amp;RIGHT("0"&amp;MONTH(A1205),2))</ns0:f>
        <ns0:v/>
      </ns0:c>
    </ns0:row>
    <ns0:row r="1206" ht="21" customHeight="1">
      <ns0:c r="A1206" s="25" t="n"/>
      <ns0:c r="B1206" s="26" t="n"/>
      <ns0:c r="C1206" s="26" t="n"/>
      <ns0:c r="D1206" s="26" t="n"/>
      <ns0:c r="E1206" s="27" t="n"/>
      <ns0:c r="F1206" s="28" t="str">
        <ns0:f>IF(A1206="","",YEAR(A1206)&amp;"-"&amp;RIGHT("0"&amp;MONTH(A1206),2))</ns0:f>
        <ns0:v/>
      </ns0:c>
    </ns0:row>
    <ns0:row r="1207" ht="21" customHeight="1">
      <ns0:c r="A1207" s="25" t="n"/>
      <ns0:c r="B1207" s="26" t="n"/>
      <ns0:c r="C1207" s="26" t="n"/>
      <ns0:c r="D1207" s="26" t="n"/>
      <ns0:c r="E1207" s="27" t="n"/>
      <ns0:c r="F1207" s="28" t="str">
        <ns0:f>IF(A1207="","",YEAR(A1207)&amp;"-"&amp;RIGHT("0"&amp;MONTH(A1207),2))</ns0:f>
        <ns0:v/>
      </ns0:c>
    </ns0:row>
    <ns0:row r="1208" ht="21" customHeight="1">
      <ns0:c r="A1208" s="25" t="n"/>
      <ns0:c r="B1208" s="26" t="n"/>
      <ns0:c r="C1208" s="26" t="n"/>
      <ns0:c r="D1208" s="26" t="n"/>
      <ns0:c r="E1208" s="27" t="n"/>
      <ns0:c r="F1208" s="28" t="str">
        <ns0:f>IF(A1208="","",YEAR(A1208)&amp;"-"&amp;RIGHT("0"&amp;MONTH(A1208),2))</ns0:f>
        <ns0:v/>
      </ns0:c>
    </ns0:row>
    <ns0:row r="1209" ht="21" customHeight="1">
      <ns0:c r="A1209" s="25" t="n"/>
      <ns0:c r="B1209" s="26" t="n"/>
      <ns0:c r="C1209" s="26" t="n"/>
      <ns0:c r="D1209" s="26" t="n"/>
      <ns0:c r="E1209" s="27" t="n"/>
      <ns0:c r="F1209" s="28" t="str">
        <ns0:f>IF(A1209="","",YEAR(A1209)&amp;"-"&amp;RIGHT("0"&amp;MONTH(A1209),2))</ns0:f>
        <ns0:v/>
      </ns0:c>
    </ns0:row>
    <ns0:row r="1210" ht="21" customHeight="1">
      <ns0:c r="A1210" s="25" t="n"/>
      <ns0:c r="B1210" s="26" t="n"/>
      <ns0:c r="C1210" s="26" t="n"/>
      <ns0:c r="D1210" s="26" t="n"/>
      <ns0:c r="E1210" s="27" t="n"/>
      <ns0:c r="F1210" s="28" t="str">
        <ns0:f>IF(A1210="","",YEAR(A1210)&amp;"-"&amp;RIGHT("0"&amp;MONTH(A1210),2))</ns0:f>
        <ns0:v/>
      </ns0:c>
    </ns0:row>
    <ns0:row r="1211" ht="21" customHeight="1">
      <ns0:c r="A1211" s="25" t="n"/>
      <ns0:c r="B1211" s="26" t="n"/>
      <ns0:c r="C1211" s="26" t="n"/>
      <ns0:c r="D1211" s="26" t="n"/>
      <ns0:c r="E1211" s="27" t="n"/>
      <ns0:c r="F1211" s="28" t="str">
        <ns0:f>IF(A1211="","",YEAR(A1211)&amp;"-"&amp;RIGHT("0"&amp;MONTH(A1211),2))</ns0:f>
        <ns0:v/>
      </ns0:c>
    </ns0:row>
    <ns0:row r="1212" ht="21" customHeight="1">
      <ns0:c r="A1212" s="25" t="n"/>
      <ns0:c r="B1212" s="26" t="n"/>
      <ns0:c r="C1212" s="26" t="n"/>
      <ns0:c r="D1212" s="26" t="n"/>
      <ns0:c r="E1212" s="27" t="n"/>
      <ns0:c r="F1212" s="28" t="str">
        <ns0:f>IF(A1212="","",YEAR(A1212)&amp;"-"&amp;RIGHT("0"&amp;MONTH(A1212),2))</ns0:f>
        <ns0:v/>
      </ns0:c>
    </ns0:row>
    <ns0:row r="1213" ht="21" customHeight="1">
      <ns0:c r="A1213" s="25" t="n"/>
      <ns0:c r="B1213" s="26" t="n"/>
      <ns0:c r="C1213" s="26" t="n"/>
      <ns0:c r="D1213" s="26" t="n"/>
      <ns0:c r="E1213" s="27" t="n"/>
      <ns0:c r="F1213" s="28" t="str">
        <ns0:f>IF(A1213="","",YEAR(A1213)&amp;"-"&amp;RIGHT("0"&amp;MONTH(A1213),2))</ns0:f>
        <ns0:v/>
      </ns0:c>
    </ns0:row>
    <ns0:row r="1214" ht="21" customHeight="1">
      <ns0:c r="A1214" s="25" t="n"/>
      <ns0:c r="B1214" s="26" t="n"/>
      <ns0:c r="C1214" s="26" t="n"/>
      <ns0:c r="D1214" s="26" t="n"/>
      <ns0:c r="E1214" s="27" t="n"/>
      <ns0:c r="F1214" s="28" t="str">
        <ns0:f>IF(A1214="","",YEAR(A1214)&amp;"-"&amp;RIGHT("0"&amp;MONTH(A1214),2))</ns0:f>
        <ns0:v/>
      </ns0:c>
    </ns0:row>
    <ns0:row r="1215" ht="21" customHeight="1">
      <ns0:c r="A1215" s="25" t="n"/>
      <ns0:c r="B1215" s="26" t="n"/>
      <ns0:c r="C1215" s="26" t="n"/>
      <ns0:c r="D1215" s="26" t="n"/>
      <ns0:c r="E1215" s="27" t="n"/>
      <ns0:c r="F1215" s="28" t="str">
        <ns0:f>IF(A1215="","",YEAR(A1215)&amp;"-"&amp;RIGHT("0"&amp;MONTH(A1215),2))</ns0:f>
        <ns0:v/>
      </ns0:c>
    </ns0:row>
    <ns0:row r="1216" ht="21" customHeight="1">
      <ns0:c r="A1216" s="25" t="n"/>
      <ns0:c r="B1216" s="26" t="n"/>
      <ns0:c r="C1216" s="26" t="n"/>
      <ns0:c r="D1216" s="26" t="n"/>
      <ns0:c r="E1216" s="27" t="n"/>
      <ns0:c r="F1216" s="28" t="str">
        <ns0:f>IF(A1216="","",YEAR(A1216)&amp;"-"&amp;RIGHT("0"&amp;MONTH(A1216),2))</ns0:f>
        <ns0:v/>
      </ns0:c>
    </ns0:row>
    <ns0:row r="1217" ht="21" customHeight="1">
      <ns0:c r="A1217" s="25" t="n"/>
      <ns0:c r="B1217" s="26" t="n"/>
      <ns0:c r="C1217" s="26" t="n"/>
      <ns0:c r="D1217" s="26" t="n"/>
      <ns0:c r="E1217" s="27" t="n"/>
      <ns0:c r="F1217" s="28" t="str">
        <ns0:f>IF(A1217="","",YEAR(A1217)&amp;"-"&amp;RIGHT("0"&amp;MONTH(A1217),2))</ns0:f>
        <ns0:v/>
      </ns0:c>
    </ns0:row>
    <ns0:row r="1218" ht="21" customHeight="1">
      <ns0:c r="A1218" s="25" t="n"/>
      <ns0:c r="B1218" s="26" t="n"/>
      <ns0:c r="C1218" s="26" t="n"/>
      <ns0:c r="D1218" s="26" t="n"/>
      <ns0:c r="E1218" s="27" t="n"/>
      <ns0:c r="F1218" s="28" t="str">
        <ns0:f>IF(A1218="","",YEAR(A1218)&amp;"-"&amp;RIGHT("0"&amp;MONTH(A1218),2))</ns0:f>
        <ns0:v/>
      </ns0:c>
    </ns0:row>
    <ns0:row r="1219" ht="21" customHeight="1">
      <ns0:c r="A1219" s="25" t="n"/>
      <ns0:c r="B1219" s="26" t="n"/>
      <ns0:c r="C1219" s="26" t="n"/>
      <ns0:c r="D1219" s="26" t="n"/>
      <ns0:c r="E1219" s="27" t="n"/>
      <ns0:c r="F1219" s="28" t="str">
        <ns0:f>IF(A1219="","",YEAR(A1219)&amp;"-"&amp;RIGHT("0"&amp;MONTH(A1219),2))</ns0:f>
        <ns0:v/>
      </ns0:c>
    </ns0:row>
    <ns0:row r="1220" ht="21" customHeight="1">
      <ns0:c r="A1220" s="25" t="n"/>
      <ns0:c r="B1220" s="26" t="n"/>
      <ns0:c r="C1220" s="26" t="n"/>
      <ns0:c r="D1220" s="26" t="n"/>
      <ns0:c r="E1220" s="27" t="n"/>
      <ns0:c r="F1220" s="28" t="str">
        <ns0:f>IF(A1220="","",YEAR(A1220)&amp;"-"&amp;RIGHT("0"&amp;MONTH(A1220),2))</ns0:f>
        <ns0:v/>
      </ns0:c>
    </ns0:row>
    <ns0:row r="1221" ht="21" customHeight="1">
      <ns0:c r="A1221" s="25" t="n"/>
      <ns0:c r="B1221" s="26" t="n"/>
      <ns0:c r="C1221" s="26" t="n"/>
      <ns0:c r="D1221" s="26" t="n"/>
      <ns0:c r="E1221" s="27" t="n"/>
      <ns0:c r="F1221" s="28" t="str">
        <ns0:f>IF(A1221="","",YEAR(A1221)&amp;"-"&amp;RIGHT("0"&amp;MONTH(A1221),2))</ns0:f>
        <ns0:v/>
      </ns0:c>
    </ns0:row>
    <ns0:row r="1222" ht="21" customHeight="1">
      <ns0:c r="A1222" s="25" t="n"/>
      <ns0:c r="B1222" s="26" t="n"/>
      <ns0:c r="C1222" s="26" t="n"/>
      <ns0:c r="D1222" s="26" t="n"/>
      <ns0:c r="E1222" s="27" t="n"/>
      <ns0:c r="F1222" s="28" t="str">
        <ns0:f>IF(A1222="","",YEAR(A1222)&amp;"-"&amp;RIGHT("0"&amp;MONTH(A1222),2))</ns0:f>
        <ns0:v/>
      </ns0:c>
    </ns0:row>
    <ns0:row r="1223" ht="21" customHeight="1">
      <ns0:c r="A1223" s="25" t="n"/>
      <ns0:c r="B1223" s="26" t="n"/>
      <ns0:c r="C1223" s="26" t="n"/>
      <ns0:c r="D1223" s="26" t="n"/>
      <ns0:c r="E1223" s="27" t="n"/>
      <ns0:c r="F1223" s="28" t="str">
        <ns0:f>IF(A1223="","",YEAR(A1223)&amp;"-"&amp;RIGHT("0"&amp;MONTH(A1223),2))</ns0:f>
        <ns0:v/>
      </ns0:c>
    </ns0:row>
    <ns0:row r="1224" ht="21" customHeight="1">
      <ns0:c r="A1224" s="25" t="n"/>
      <ns0:c r="B1224" s="26" t="n"/>
      <ns0:c r="C1224" s="26" t="n"/>
      <ns0:c r="D1224" s="26" t="n"/>
      <ns0:c r="E1224" s="27" t="n"/>
      <ns0:c r="F1224" s="28" t="str">
        <ns0:f>IF(A1224="","",YEAR(A1224)&amp;"-"&amp;RIGHT("0"&amp;MONTH(A1224),2))</ns0:f>
        <ns0:v/>
      </ns0:c>
    </ns0:row>
    <ns0:row r="1225" ht="21" customHeight="1">
      <ns0:c r="A1225" s="25" t="n"/>
      <ns0:c r="B1225" s="26" t="n"/>
      <ns0:c r="C1225" s="26" t="n"/>
      <ns0:c r="D1225" s="26" t="n"/>
      <ns0:c r="E1225" s="27" t="n"/>
      <ns0:c r="F1225" s="28" t="str">
        <ns0:f>IF(A1225="","",YEAR(A1225)&amp;"-"&amp;RIGHT("0"&amp;MONTH(A1225),2))</ns0:f>
        <ns0:v/>
      </ns0:c>
    </ns0:row>
    <ns0:row r="1226" ht="21" customHeight="1">
      <ns0:c r="A1226" s="25" t="n"/>
      <ns0:c r="B1226" s="26" t="n"/>
      <ns0:c r="C1226" s="26" t="n"/>
      <ns0:c r="D1226" s="26" t="n"/>
      <ns0:c r="E1226" s="27" t="n"/>
      <ns0:c r="F1226" s="28" t="str">
        <ns0:f>IF(A1226="","",YEAR(A1226)&amp;"-"&amp;RIGHT("0"&amp;MONTH(A1226),2))</ns0:f>
        <ns0:v/>
      </ns0:c>
    </ns0:row>
    <ns0:row r="1227" ht="21" customHeight="1">
      <ns0:c r="A1227" s="25" t="n"/>
      <ns0:c r="B1227" s="26" t="n"/>
      <ns0:c r="C1227" s="26" t="n"/>
      <ns0:c r="D1227" s="26" t="n"/>
      <ns0:c r="E1227" s="27" t="n"/>
      <ns0:c r="F1227" s="28" t="str">
        <ns0:f>IF(A1227="","",YEAR(A1227)&amp;"-"&amp;RIGHT("0"&amp;MONTH(A1227),2))</ns0:f>
        <ns0:v/>
      </ns0:c>
    </ns0:row>
    <ns0:row r="1228" ht="21" customHeight="1">
      <ns0:c r="A1228" s="25" t="n"/>
      <ns0:c r="B1228" s="26" t="n"/>
      <ns0:c r="C1228" s="26" t="n"/>
      <ns0:c r="D1228" s="26" t="n"/>
      <ns0:c r="E1228" s="27" t="n"/>
      <ns0:c r="F1228" s="28" t="str">
        <ns0:f>IF(A1228="","",YEAR(A1228)&amp;"-"&amp;RIGHT("0"&amp;MONTH(A1228),2))</ns0:f>
        <ns0:v/>
      </ns0:c>
    </ns0:row>
    <ns0:row r="1229" ht="21" customHeight="1">
      <ns0:c r="A1229" s="25" t="n"/>
      <ns0:c r="B1229" s="26" t="n"/>
      <ns0:c r="C1229" s="26" t="n"/>
      <ns0:c r="D1229" s="26" t="n"/>
      <ns0:c r="E1229" s="27" t="n"/>
      <ns0:c r="F1229" s="28" t="str">
        <ns0:f>IF(A1229="","",YEAR(A1229)&amp;"-"&amp;RIGHT("0"&amp;MONTH(A1229),2))</ns0:f>
        <ns0:v/>
      </ns0:c>
    </ns0:row>
    <ns0:row r="1230" ht="21" customHeight="1">
      <ns0:c r="A1230" s="25" t="n"/>
      <ns0:c r="B1230" s="26" t="n"/>
      <ns0:c r="C1230" s="26" t="n"/>
      <ns0:c r="D1230" s="26" t="n"/>
      <ns0:c r="E1230" s="27" t="n"/>
      <ns0:c r="F1230" s="28" t="str">
        <ns0:f>IF(A1230="","",YEAR(A1230)&amp;"-"&amp;RIGHT("0"&amp;MONTH(A1230),2))</ns0:f>
        <ns0:v/>
      </ns0:c>
    </ns0:row>
    <ns0:row r="1231" ht="21" customHeight="1">
      <ns0:c r="A1231" s="25" t="n"/>
      <ns0:c r="B1231" s="26" t="n"/>
      <ns0:c r="C1231" s="26" t="n"/>
      <ns0:c r="D1231" s="26" t="n"/>
      <ns0:c r="E1231" s="27" t="n"/>
      <ns0:c r="F1231" s="28" t="str">
        <ns0:f>IF(A1231="","",YEAR(A1231)&amp;"-"&amp;RIGHT("0"&amp;MONTH(A1231),2))</ns0:f>
        <ns0:v/>
      </ns0:c>
    </ns0:row>
    <ns0:row r="1232" ht="21" customHeight="1">
      <ns0:c r="A1232" s="25" t="n"/>
      <ns0:c r="B1232" s="26" t="n"/>
      <ns0:c r="C1232" s="26" t="n"/>
      <ns0:c r="D1232" s="26" t="n"/>
      <ns0:c r="E1232" s="27" t="n"/>
      <ns0:c r="F1232" s="28" t="str">
        <ns0:f>IF(A1232="","",YEAR(A1232)&amp;"-"&amp;RIGHT("0"&amp;MONTH(A1232),2))</ns0:f>
        <ns0:v/>
      </ns0:c>
    </ns0:row>
    <ns0:row r="1233" ht="21" customHeight="1">
      <ns0:c r="A1233" s="25" t="n"/>
      <ns0:c r="B1233" s="26" t="n"/>
      <ns0:c r="C1233" s="26" t="n"/>
      <ns0:c r="D1233" s="26" t="n"/>
      <ns0:c r="E1233" s="27" t="n"/>
      <ns0:c r="F1233" s="28" t="str">
        <ns0:f>IF(A1233="","",YEAR(A1233)&amp;"-"&amp;RIGHT("0"&amp;MONTH(A1233),2))</ns0:f>
        <ns0:v/>
      </ns0:c>
    </ns0:row>
    <ns0:row r="1234" ht="21" customHeight="1">
      <ns0:c r="A1234" s="25" t="n"/>
      <ns0:c r="B1234" s="26" t="n"/>
      <ns0:c r="C1234" s="26" t="n"/>
      <ns0:c r="D1234" s="26" t="n"/>
      <ns0:c r="E1234" s="27" t="n"/>
      <ns0:c r="F1234" s="28" t="str">
        <ns0:f>IF(A1234="","",YEAR(A1234)&amp;"-"&amp;RIGHT("0"&amp;MONTH(A1234),2))</ns0:f>
        <ns0:v/>
      </ns0:c>
    </ns0:row>
    <ns0:row r="1235" ht="21" customHeight="1">
      <ns0:c r="A1235" s="25" t="n"/>
      <ns0:c r="B1235" s="26" t="n"/>
      <ns0:c r="C1235" s="26" t="n"/>
      <ns0:c r="D1235" s="26" t="n"/>
      <ns0:c r="E1235" s="27" t="n"/>
      <ns0:c r="F1235" s="28" t="str">
        <ns0:f>IF(A1235="","",YEAR(A1235)&amp;"-"&amp;RIGHT("0"&amp;MONTH(A1235),2))</ns0:f>
        <ns0:v/>
      </ns0:c>
    </ns0:row>
    <ns0:row r="1236" ht="21" customHeight="1">
      <ns0:c r="A1236" s="25" t="n"/>
      <ns0:c r="B1236" s="26" t="n"/>
      <ns0:c r="C1236" s="26" t="n"/>
      <ns0:c r="D1236" s="26" t="n"/>
      <ns0:c r="E1236" s="27" t="n"/>
      <ns0:c r="F1236" s="28" t="str">
        <ns0:f>IF(A1236="","",YEAR(A1236)&amp;"-"&amp;RIGHT("0"&amp;MONTH(A1236),2))</ns0:f>
        <ns0:v/>
      </ns0:c>
    </ns0:row>
    <ns0:row r="1237" ht="21" customHeight="1">
      <ns0:c r="A1237" s="25" t="n"/>
      <ns0:c r="B1237" s="26" t="n"/>
      <ns0:c r="C1237" s="26" t="n"/>
      <ns0:c r="D1237" s="26" t="n"/>
      <ns0:c r="E1237" s="27" t="n"/>
      <ns0:c r="F1237" s="28" t="str">
        <ns0:f>IF(A1237="","",YEAR(A1237)&amp;"-"&amp;RIGHT("0"&amp;MONTH(A1237),2))</ns0:f>
        <ns0:v/>
      </ns0:c>
    </ns0:row>
    <ns0:row r="1238" ht="21" customHeight="1">
      <ns0:c r="A1238" s="25" t="n"/>
      <ns0:c r="B1238" s="26" t="n"/>
      <ns0:c r="C1238" s="26" t="n"/>
      <ns0:c r="D1238" s="26" t="n"/>
      <ns0:c r="E1238" s="27" t="n"/>
      <ns0:c r="F1238" s="28" t="str">
        <ns0:f>IF(A1238="","",YEAR(A1238)&amp;"-"&amp;RIGHT("0"&amp;MONTH(A1238),2))</ns0:f>
        <ns0:v/>
      </ns0:c>
    </ns0:row>
    <ns0:row r="1239" ht="21" customHeight="1">
      <ns0:c r="A1239" s="25" t="n"/>
      <ns0:c r="B1239" s="26" t="n"/>
      <ns0:c r="C1239" s="26" t="n"/>
      <ns0:c r="D1239" s="26" t="n"/>
      <ns0:c r="E1239" s="27" t="n"/>
      <ns0:c r="F1239" s="28" t="str">
        <ns0:f>IF(A1239="","",YEAR(A1239)&amp;"-"&amp;RIGHT("0"&amp;MONTH(A1239),2))</ns0:f>
        <ns0:v/>
      </ns0:c>
    </ns0:row>
    <ns0:row r="1240" ht="21" customHeight="1">
      <ns0:c r="A1240" s="25" t="n"/>
      <ns0:c r="B1240" s="26" t="n"/>
      <ns0:c r="C1240" s="26" t="n"/>
      <ns0:c r="D1240" s="26" t="n"/>
      <ns0:c r="E1240" s="27" t="n"/>
      <ns0:c r="F1240" s="28" t="str">
        <ns0:f>IF(A1240="","",YEAR(A1240)&amp;"-"&amp;RIGHT("0"&amp;MONTH(A1240),2))</ns0:f>
        <ns0:v/>
      </ns0:c>
    </ns0:row>
    <ns0:row r="1241" ht="21" customHeight="1">
      <ns0:c r="A1241" s="25" t="n"/>
      <ns0:c r="B1241" s="26" t="n"/>
      <ns0:c r="C1241" s="26" t="n"/>
      <ns0:c r="D1241" s="26" t="n"/>
      <ns0:c r="E1241" s="27" t="n"/>
      <ns0:c r="F1241" s="28" t="str">
        <ns0:f>IF(A1241="","",YEAR(A1241)&amp;"-"&amp;RIGHT("0"&amp;MONTH(A1241),2))</ns0:f>
        <ns0:v/>
      </ns0:c>
    </ns0:row>
    <ns0:row r="1242" ht="21" customHeight="1">
      <ns0:c r="A1242" s="25" t="n"/>
      <ns0:c r="B1242" s="26" t="n"/>
      <ns0:c r="C1242" s="26" t="n"/>
      <ns0:c r="D1242" s="26" t="n"/>
      <ns0:c r="E1242" s="27" t="n"/>
      <ns0:c r="F1242" s="28" t="str">
        <ns0:f>IF(A1242="","",YEAR(A1242)&amp;"-"&amp;RIGHT("0"&amp;MONTH(A1242),2))</ns0:f>
        <ns0:v/>
      </ns0:c>
    </ns0:row>
    <ns0:row r="1243" ht="21" customHeight="1">
      <ns0:c r="A1243" s="25" t="n"/>
      <ns0:c r="B1243" s="26" t="n"/>
      <ns0:c r="C1243" s="26" t="n"/>
      <ns0:c r="D1243" s="26" t="n"/>
      <ns0:c r="E1243" s="27" t="n"/>
      <ns0:c r="F1243" s="28" t="str">
        <ns0:f>IF(A1243="","",YEAR(A1243)&amp;"-"&amp;RIGHT("0"&amp;MONTH(A1243),2))</ns0:f>
        <ns0:v/>
      </ns0:c>
    </ns0:row>
    <ns0:row r="1244" ht="21" customHeight="1">
      <ns0:c r="A1244" s="25" t="n"/>
      <ns0:c r="B1244" s="26" t="n"/>
      <ns0:c r="C1244" s="26" t="n"/>
      <ns0:c r="D1244" s="26" t="n"/>
      <ns0:c r="E1244" s="27" t="n"/>
      <ns0:c r="F1244" s="28" t="str">
        <ns0:f>IF(A1244="","",YEAR(A1244)&amp;"-"&amp;RIGHT("0"&amp;MONTH(A1244),2))</ns0:f>
        <ns0:v/>
      </ns0:c>
    </ns0:row>
    <ns0:row r="1245" ht="21" customHeight="1">
      <ns0:c r="A1245" s="25" t="n"/>
      <ns0:c r="B1245" s="26" t="n"/>
      <ns0:c r="C1245" s="26" t="n"/>
      <ns0:c r="D1245" s="26" t="n"/>
      <ns0:c r="E1245" s="27" t="n"/>
      <ns0:c r="F1245" s="28" t="str">
        <ns0:f>IF(A1245="","",YEAR(A1245)&amp;"-"&amp;RIGHT("0"&amp;MONTH(A1245),2))</ns0:f>
        <ns0:v/>
      </ns0:c>
    </ns0:row>
    <ns0:row r="1246" ht="21" customHeight="1">
      <ns0:c r="A1246" s="25" t="n"/>
      <ns0:c r="B1246" s="26" t="n"/>
      <ns0:c r="C1246" s="26" t="n"/>
      <ns0:c r="D1246" s="26" t="n"/>
      <ns0:c r="E1246" s="27" t="n"/>
      <ns0:c r="F1246" s="28" t="str">
        <ns0:f>IF(A1246="","",YEAR(A1246)&amp;"-"&amp;RIGHT("0"&amp;MONTH(A1246),2))</ns0:f>
        <ns0:v/>
      </ns0:c>
    </ns0:row>
    <ns0:row r="1247" ht="21" customHeight="1">
      <ns0:c r="A1247" s="25" t="n"/>
      <ns0:c r="B1247" s="26" t="n"/>
      <ns0:c r="C1247" s="26" t="n"/>
      <ns0:c r="D1247" s="26" t="n"/>
      <ns0:c r="E1247" s="27" t="n"/>
      <ns0:c r="F1247" s="28" t="str">
        <ns0:f>IF(A1247="","",YEAR(A1247)&amp;"-"&amp;RIGHT("0"&amp;MONTH(A1247),2))</ns0:f>
        <ns0:v/>
      </ns0:c>
    </ns0:row>
    <ns0:row r="1248" ht="21" customHeight="1">
      <ns0:c r="A1248" s="25" t="n"/>
      <ns0:c r="B1248" s="26" t="n"/>
      <ns0:c r="C1248" s="26" t="n"/>
      <ns0:c r="D1248" s="26" t="n"/>
      <ns0:c r="E1248" s="27" t="n"/>
      <ns0:c r="F1248" s="28" t="str">
        <ns0:f>IF(A1248="","",YEAR(A1248)&amp;"-"&amp;RIGHT("0"&amp;MONTH(A1248),2))</ns0:f>
        <ns0:v/>
      </ns0:c>
    </ns0:row>
    <ns0:row r="1249" ht="21" customHeight="1">
      <ns0:c r="A1249" s="25" t="n"/>
      <ns0:c r="B1249" s="26" t="n"/>
      <ns0:c r="C1249" s="26" t="n"/>
      <ns0:c r="D1249" s="26" t="n"/>
      <ns0:c r="E1249" s="27" t="n"/>
      <ns0:c r="F1249" s="28" t="str">
        <ns0:f>IF(A1249="","",YEAR(A1249)&amp;"-"&amp;RIGHT("0"&amp;MONTH(A1249),2))</ns0:f>
        <ns0:v/>
      </ns0:c>
    </ns0:row>
    <ns0:row r="1250" ht="21" customHeight="1">
      <ns0:c r="A1250" s="25" t="n"/>
      <ns0:c r="B1250" s="26" t="n"/>
      <ns0:c r="C1250" s="26" t="n"/>
      <ns0:c r="D1250" s="26" t="n"/>
      <ns0:c r="E1250" s="27" t="n"/>
      <ns0:c r="F1250" s="28" t="str">
        <ns0:f>IF(A1250="","",YEAR(A1250)&amp;"-"&amp;RIGHT("0"&amp;MONTH(A1250),2))</ns0:f>
        <ns0:v/>
      </ns0:c>
    </ns0:row>
    <ns0:row r="1251" ht="21" customHeight="1">
      <ns0:c r="A1251" s="25" t="n"/>
      <ns0:c r="B1251" s="26" t="n"/>
      <ns0:c r="C1251" s="26" t="n"/>
      <ns0:c r="D1251" s="26" t="n"/>
      <ns0:c r="E1251" s="27" t="n"/>
      <ns0:c r="F1251" s="28" t="str">
        <ns0:f>IF(A1251="","",YEAR(A1251)&amp;"-"&amp;RIGHT("0"&amp;MONTH(A1251),2))</ns0:f>
        <ns0:v/>
      </ns0:c>
    </ns0:row>
    <ns0:row r="1252" ht="21" customHeight="1">
      <ns0:c r="A1252" s="25" t="n"/>
      <ns0:c r="B1252" s="26" t="n"/>
      <ns0:c r="C1252" s="26" t="n"/>
      <ns0:c r="D1252" s="26" t="n"/>
      <ns0:c r="E1252" s="27" t="n"/>
      <ns0:c r="F1252" s="28" t="str">
        <ns0:f>IF(A1252="","",YEAR(A1252)&amp;"-"&amp;RIGHT("0"&amp;MONTH(A1252),2))</ns0:f>
        <ns0:v/>
      </ns0:c>
    </ns0:row>
    <ns0:row r="1253" ht="21" customHeight="1">
      <ns0:c r="A1253" s="25" t="n"/>
      <ns0:c r="B1253" s="26" t="n"/>
      <ns0:c r="C1253" s="26" t="n"/>
      <ns0:c r="D1253" s="26" t="n"/>
      <ns0:c r="E1253" s="27" t="n"/>
      <ns0:c r="F1253" s="28" t="str">
        <ns0:f>IF(A1253="","",YEAR(A1253)&amp;"-"&amp;RIGHT("0"&amp;MONTH(A1253),2))</ns0:f>
        <ns0:v/>
      </ns0:c>
    </ns0:row>
    <ns0:row r="1254" ht="21" customHeight="1">
      <ns0:c r="A1254" s="25" t="n"/>
      <ns0:c r="B1254" s="26" t="n"/>
      <ns0:c r="C1254" s="26" t="n"/>
      <ns0:c r="D1254" s="26" t="n"/>
      <ns0:c r="E1254" s="27" t="n"/>
      <ns0:c r="F1254" s="28" t="str">
        <ns0:f>IF(A1254="","",YEAR(A1254)&amp;"-"&amp;RIGHT("0"&amp;MONTH(A1254),2))</ns0:f>
        <ns0:v/>
      </ns0:c>
    </ns0:row>
    <ns0:row r="1255" ht="21" customHeight="1">
      <ns0:c r="A1255" s="25" t="n"/>
      <ns0:c r="B1255" s="26" t="n"/>
      <ns0:c r="C1255" s="26" t="n"/>
      <ns0:c r="D1255" s="26" t="n"/>
      <ns0:c r="E1255" s="27" t="n"/>
      <ns0:c r="F1255" s="28" t="str">
        <ns0:f>IF(A1255="","",YEAR(A1255)&amp;"-"&amp;RIGHT("0"&amp;MONTH(A1255),2))</ns0:f>
        <ns0:v/>
      </ns0:c>
    </ns0:row>
    <ns0:row r="1256" ht="21" customHeight="1">
      <ns0:c r="A1256" s="25" t="n"/>
      <ns0:c r="B1256" s="26" t="n"/>
      <ns0:c r="C1256" s="26" t="n"/>
      <ns0:c r="D1256" s="26" t="n"/>
      <ns0:c r="E1256" s="27" t="n"/>
      <ns0:c r="F1256" s="28" t="str">
        <ns0:f>IF(A1256="","",YEAR(A1256)&amp;"-"&amp;RIGHT("0"&amp;MONTH(A1256),2))</ns0:f>
        <ns0:v/>
      </ns0:c>
    </ns0:row>
    <ns0:row r="1257" ht="21" customHeight="1">
      <ns0:c r="A1257" s="25" t="n"/>
      <ns0:c r="B1257" s="26" t="n"/>
      <ns0:c r="C1257" s="26" t="n"/>
      <ns0:c r="D1257" s="26" t="n"/>
      <ns0:c r="E1257" s="27" t="n"/>
      <ns0:c r="F1257" s="28" t="str">
        <ns0:f>IF(A1257="","",YEAR(A1257)&amp;"-"&amp;RIGHT("0"&amp;MONTH(A1257),2))</ns0:f>
        <ns0:v/>
      </ns0:c>
    </ns0:row>
    <ns0:row r="1258" ht="21" customHeight="1">
      <ns0:c r="A1258" s="25" t="n"/>
      <ns0:c r="B1258" s="26" t="n"/>
      <ns0:c r="C1258" s="26" t="n"/>
      <ns0:c r="D1258" s="26" t="n"/>
      <ns0:c r="E1258" s="27" t="n"/>
      <ns0:c r="F1258" s="28" t="str">
        <ns0:f>IF(A1258="","",YEAR(A1258)&amp;"-"&amp;RIGHT("0"&amp;MONTH(A1258),2))</ns0:f>
        <ns0:v/>
      </ns0:c>
    </ns0:row>
    <ns0:row r="1259" ht="21" customHeight="1">
      <ns0:c r="A1259" s="25" t="n"/>
      <ns0:c r="B1259" s="26" t="n"/>
      <ns0:c r="C1259" s="26" t="n"/>
      <ns0:c r="D1259" s="26" t="n"/>
      <ns0:c r="E1259" s="27" t="n"/>
      <ns0:c r="F1259" s="28" t="str">
        <ns0:f>IF(A1259="","",YEAR(A1259)&amp;"-"&amp;RIGHT("0"&amp;MONTH(A1259),2))</ns0:f>
        <ns0:v/>
      </ns0:c>
    </ns0:row>
    <ns0:row r="1260" ht="21" customHeight="1">
      <ns0:c r="A1260" s="25" t="n"/>
      <ns0:c r="B1260" s="26" t="n"/>
      <ns0:c r="C1260" s="26" t="n"/>
      <ns0:c r="D1260" s="26" t="n"/>
      <ns0:c r="E1260" s="27" t="n"/>
      <ns0:c r="F1260" s="28" t="str">
        <ns0:f>IF(A1260="","",YEAR(A1260)&amp;"-"&amp;RIGHT("0"&amp;MONTH(A1260),2))</ns0:f>
        <ns0:v/>
      </ns0:c>
    </ns0:row>
    <ns0:row r="1261" ht="21" customHeight="1">
      <ns0:c r="A1261" s="25" t="n"/>
      <ns0:c r="B1261" s="26" t="n"/>
      <ns0:c r="C1261" s="26" t="n"/>
      <ns0:c r="D1261" s="26" t="n"/>
      <ns0:c r="E1261" s="27" t="n"/>
      <ns0:c r="F1261" s="28" t="str">
        <ns0:f>IF(A1261="","",YEAR(A1261)&amp;"-"&amp;RIGHT("0"&amp;MONTH(A1261),2))</ns0:f>
        <ns0:v/>
      </ns0:c>
    </ns0:row>
    <ns0:row r="1262" ht="21" customHeight="1">
      <ns0:c r="A1262" s="25" t="n"/>
      <ns0:c r="B1262" s="26" t="n"/>
      <ns0:c r="C1262" s="26" t="n"/>
      <ns0:c r="D1262" s="26" t="n"/>
      <ns0:c r="E1262" s="27" t="n"/>
      <ns0:c r="F1262" s="28" t="str">
        <ns0:f>IF(A1262="","",YEAR(A1262)&amp;"-"&amp;RIGHT("0"&amp;MONTH(A1262),2))</ns0:f>
        <ns0:v/>
      </ns0:c>
    </ns0:row>
    <ns0:row r="1263" ht="21" customHeight="1">
      <ns0:c r="A1263" s="25" t="n"/>
      <ns0:c r="B1263" s="26" t="n"/>
      <ns0:c r="C1263" s="26" t="n"/>
      <ns0:c r="D1263" s="26" t="n"/>
      <ns0:c r="E1263" s="27" t="n"/>
      <ns0:c r="F1263" s="28" t="str">
        <ns0:f>IF(A1263="","",YEAR(A1263)&amp;"-"&amp;RIGHT("0"&amp;MONTH(A1263),2))</ns0:f>
        <ns0:v/>
      </ns0:c>
    </ns0:row>
    <ns0:row r="1264" ht="21" customHeight="1">
      <ns0:c r="A1264" s="25" t="n"/>
      <ns0:c r="B1264" s="26" t="n"/>
      <ns0:c r="C1264" s="26" t="n"/>
      <ns0:c r="D1264" s="26" t="n"/>
      <ns0:c r="E1264" s="27" t="n"/>
      <ns0:c r="F1264" s="28" t="str">
        <ns0:f>IF(A1264="","",YEAR(A1264)&amp;"-"&amp;RIGHT("0"&amp;MONTH(A1264),2))</ns0:f>
        <ns0:v/>
      </ns0:c>
    </ns0:row>
    <ns0:row r="1265" ht="21" customHeight="1">
      <ns0:c r="A1265" s="25" t="n"/>
      <ns0:c r="B1265" s="26" t="n"/>
      <ns0:c r="C1265" s="26" t="n"/>
      <ns0:c r="D1265" s="26" t="n"/>
      <ns0:c r="E1265" s="27" t="n"/>
      <ns0:c r="F1265" s="28" t="str">
        <ns0:f>IF(A1265="","",YEAR(A1265)&amp;"-"&amp;RIGHT("0"&amp;MONTH(A1265),2))</ns0:f>
        <ns0:v/>
      </ns0:c>
    </ns0:row>
    <ns0:row r="1266" ht="21" customHeight="1">
      <ns0:c r="A1266" s="25" t="n"/>
      <ns0:c r="B1266" s="26" t="n"/>
      <ns0:c r="C1266" s="26" t="n"/>
      <ns0:c r="D1266" s="26" t="n"/>
      <ns0:c r="E1266" s="27" t="n"/>
      <ns0:c r="F1266" s="28" t="str">
        <ns0:f>IF(A1266="","",YEAR(A1266)&amp;"-"&amp;RIGHT("0"&amp;MONTH(A1266),2))</ns0:f>
        <ns0:v/>
      </ns0:c>
    </ns0:row>
    <ns0:row r="1267" ht="21" customHeight="1">
      <ns0:c r="A1267" s="25" t="n"/>
      <ns0:c r="B1267" s="26" t="n"/>
      <ns0:c r="C1267" s="26" t="n"/>
      <ns0:c r="D1267" s="26" t="n"/>
      <ns0:c r="E1267" s="27" t="n"/>
      <ns0:c r="F1267" s="28" t="str">
        <ns0:f>IF(A1267="","",YEAR(A1267)&amp;"-"&amp;RIGHT("0"&amp;MONTH(A1267),2))</ns0:f>
        <ns0:v/>
      </ns0:c>
    </ns0:row>
    <ns0:row r="1268" ht="21" customHeight="1">
      <ns0:c r="A1268" s="25" t="n"/>
      <ns0:c r="B1268" s="26" t="n"/>
      <ns0:c r="C1268" s="26" t="n"/>
      <ns0:c r="D1268" s="26" t="n"/>
      <ns0:c r="E1268" s="27" t="n"/>
      <ns0:c r="F1268" s="28" t="str">
        <ns0:f>IF(A1268="","",YEAR(A1268)&amp;"-"&amp;RIGHT("0"&amp;MONTH(A1268),2))</ns0:f>
        <ns0:v/>
      </ns0:c>
    </ns0:row>
    <ns0:row r="1269" ht="21" customHeight="1">
      <ns0:c r="A1269" s="25" t="n"/>
      <ns0:c r="B1269" s="26" t="n"/>
      <ns0:c r="C1269" s="26" t="n"/>
      <ns0:c r="D1269" s="26" t="n"/>
      <ns0:c r="E1269" s="27" t="n"/>
      <ns0:c r="F1269" s="28" t="str">
        <ns0:f>IF(A1269="","",YEAR(A1269)&amp;"-"&amp;RIGHT("0"&amp;MONTH(A1269),2))</ns0:f>
        <ns0:v/>
      </ns0:c>
    </ns0:row>
    <ns0:row r="1270" ht="21" customHeight="1">
      <ns0:c r="A1270" s="25" t="n"/>
      <ns0:c r="B1270" s="26" t="n"/>
      <ns0:c r="C1270" s="26" t="n"/>
      <ns0:c r="D1270" s="26" t="n"/>
      <ns0:c r="E1270" s="27" t="n"/>
      <ns0:c r="F1270" s="28" t="str">
        <ns0:f>IF(A1270="","",YEAR(A1270)&amp;"-"&amp;RIGHT("0"&amp;MONTH(A1270),2))</ns0:f>
        <ns0:v/>
      </ns0:c>
    </ns0:row>
    <ns0:row r="1271" ht="21" customHeight="1">
      <ns0:c r="A1271" s="25" t="n"/>
      <ns0:c r="B1271" s="26" t="n"/>
      <ns0:c r="C1271" s="26" t="n"/>
      <ns0:c r="D1271" s="26" t="n"/>
      <ns0:c r="E1271" s="27" t="n"/>
      <ns0:c r="F1271" s="28" t="str">
        <ns0:f>IF(A1271="","",YEAR(A1271)&amp;"-"&amp;RIGHT("0"&amp;MONTH(A1271),2))</ns0:f>
        <ns0:v/>
      </ns0:c>
    </ns0:row>
    <ns0:row r="1272" ht="21" customHeight="1">
      <ns0:c r="A1272" s="25" t="n"/>
      <ns0:c r="B1272" s="26" t="n"/>
      <ns0:c r="C1272" s="26" t="n"/>
      <ns0:c r="D1272" s="26" t="n"/>
      <ns0:c r="E1272" s="27" t="n"/>
      <ns0:c r="F1272" s="28" t="str">
        <ns0:f>IF(A1272="","",YEAR(A1272)&amp;"-"&amp;RIGHT("0"&amp;MONTH(A1272),2))</ns0:f>
        <ns0:v/>
      </ns0:c>
    </ns0:row>
    <ns0:row r="1273" ht="21" customHeight="1">
      <ns0:c r="A1273" s="25" t="n"/>
      <ns0:c r="B1273" s="26" t="n"/>
      <ns0:c r="C1273" s="26" t="n"/>
      <ns0:c r="D1273" s="26" t="n"/>
      <ns0:c r="E1273" s="27" t="n"/>
      <ns0:c r="F1273" s="28" t="str">
        <ns0:f>IF(A1273="","",YEAR(A1273)&amp;"-"&amp;RIGHT("0"&amp;MONTH(A1273),2))</ns0:f>
        <ns0:v/>
      </ns0:c>
    </ns0:row>
    <ns0:row r="1274" ht="21" customHeight="1">
      <ns0:c r="A1274" s="25" t="n"/>
      <ns0:c r="B1274" s="26" t="n"/>
      <ns0:c r="C1274" s="26" t="n"/>
      <ns0:c r="D1274" s="26" t="n"/>
      <ns0:c r="E1274" s="27" t="n"/>
      <ns0:c r="F1274" s="28" t="str">
        <ns0:f>IF(A1274="","",YEAR(A1274)&amp;"-"&amp;RIGHT("0"&amp;MONTH(A1274),2))</ns0:f>
        <ns0:v/>
      </ns0:c>
    </ns0:row>
    <ns0:row r="1275" ht="21" customHeight="1">
      <ns0:c r="A1275" s="25" t="n"/>
      <ns0:c r="B1275" s="26" t="n"/>
      <ns0:c r="C1275" s="26" t="n"/>
      <ns0:c r="D1275" s="26" t="n"/>
      <ns0:c r="E1275" s="27" t="n"/>
      <ns0:c r="F1275" s="28" t="str">
        <ns0:f>IF(A1275="","",YEAR(A1275)&amp;"-"&amp;RIGHT("0"&amp;MONTH(A1275),2))</ns0:f>
        <ns0:v/>
      </ns0:c>
    </ns0:row>
    <ns0:row r="1276" ht="21" customHeight="1">
      <ns0:c r="A1276" s="25" t="n"/>
      <ns0:c r="B1276" s="26" t="n"/>
      <ns0:c r="C1276" s="26" t="n"/>
      <ns0:c r="D1276" s="26" t="n"/>
      <ns0:c r="E1276" s="27" t="n"/>
      <ns0:c r="F1276" s="28" t="str">
        <ns0:f>IF(A1276="","",YEAR(A1276)&amp;"-"&amp;RIGHT("0"&amp;MONTH(A1276),2))</ns0:f>
        <ns0:v/>
      </ns0:c>
    </ns0:row>
    <ns0:row r="1277" ht="21" customHeight="1">
      <ns0:c r="A1277" s="25" t="n"/>
      <ns0:c r="B1277" s="26" t="n"/>
      <ns0:c r="C1277" s="26" t="n"/>
      <ns0:c r="D1277" s="26" t="n"/>
      <ns0:c r="E1277" s="27" t="n"/>
      <ns0:c r="F1277" s="28" t="str">
        <ns0:f>IF(A1277="","",YEAR(A1277)&amp;"-"&amp;RIGHT("0"&amp;MONTH(A1277),2))</ns0:f>
        <ns0:v/>
      </ns0:c>
    </ns0:row>
    <ns0:row r="1278" ht="21" customHeight="1">
      <ns0:c r="A1278" s="25" t="n"/>
      <ns0:c r="B1278" s="26" t="n"/>
      <ns0:c r="C1278" s="26" t="n"/>
      <ns0:c r="D1278" s="26" t="n"/>
      <ns0:c r="E1278" s="27" t="n"/>
      <ns0:c r="F1278" s="28" t="str">
        <ns0:f>IF(A1278="","",YEAR(A1278)&amp;"-"&amp;RIGHT("0"&amp;MONTH(A1278),2))</ns0:f>
        <ns0:v/>
      </ns0:c>
    </ns0:row>
    <ns0:row r="1279" ht="21" customHeight="1">
      <ns0:c r="A1279" s="25" t="n"/>
      <ns0:c r="B1279" s="26" t="n"/>
      <ns0:c r="C1279" s="26" t="n"/>
      <ns0:c r="D1279" s="26" t="n"/>
      <ns0:c r="E1279" s="27" t="n"/>
      <ns0:c r="F1279" s="28" t="str">
        <ns0:f>IF(A1279="","",YEAR(A1279)&amp;"-"&amp;RIGHT("0"&amp;MONTH(A1279),2))</ns0:f>
        <ns0:v/>
      </ns0:c>
    </ns0:row>
    <ns0:row r="1280" ht="21" customHeight="1">
      <ns0:c r="A1280" s="25" t="n"/>
      <ns0:c r="B1280" s="26" t="n"/>
      <ns0:c r="C1280" s="26" t="n"/>
      <ns0:c r="D1280" s="26" t="n"/>
      <ns0:c r="E1280" s="27" t="n"/>
      <ns0:c r="F1280" s="28" t="str">
        <ns0:f>IF(A1280="","",YEAR(A1280)&amp;"-"&amp;RIGHT("0"&amp;MONTH(A1280),2))</ns0:f>
        <ns0:v/>
      </ns0:c>
    </ns0:row>
    <ns0:row r="1281" ht="21" customHeight="1">
      <ns0:c r="A1281" s="25" t="n"/>
      <ns0:c r="B1281" s="26" t="n"/>
      <ns0:c r="C1281" s="26" t="n"/>
      <ns0:c r="D1281" s="26" t="n"/>
      <ns0:c r="E1281" s="27" t="n"/>
      <ns0:c r="F1281" s="28" t="str">
        <ns0:f>IF(A1281="","",YEAR(A1281)&amp;"-"&amp;RIGHT("0"&amp;MONTH(A1281),2))</ns0:f>
        <ns0:v/>
      </ns0:c>
    </ns0:row>
    <ns0:row r="1282" ht="21" customHeight="1">
      <ns0:c r="A1282" s="25" t="n"/>
      <ns0:c r="B1282" s="26" t="n"/>
      <ns0:c r="C1282" s="26" t="n"/>
      <ns0:c r="D1282" s="26" t="n"/>
      <ns0:c r="E1282" s="27" t="n"/>
      <ns0:c r="F1282" s="28" t="str">
        <ns0:f>IF(A1282="","",YEAR(A1282)&amp;"-"&amp;RIGHT("0"&amp;MONTH(A1282),2))</ns0:f>
        <ns0:v/>
      </ns0:c>
    </ns0:row>
    <ns0:row r="1283" ht="21" customHeight="1">
      <ns0:c r="A1283" s="25" t="n"/>
      <ns0:c r="B1283" s="26" t="n"/>
      <ns0:c r="C1283" s="26" t="n"/>
      <ns0:c r="D1283" s="26" t="n"/>
      <ns0:c r="E1283" s="27" t="n"/>
      <ns0:c r="F1283" s="28" t="str">
        <ns0:f>IF(A1283="","",YEAR(A1283)&amp;"-"&amp;RIGHT("0"&amp;MONTH(A1283),2))</ns0:f>
        <ns0:v/>
      </ns0:c>
    </ns0:row>
    <ns0:row r="1284" ht="21" customHeight="1">
      <ns0:c r="A1284" s="25" t="n"/>
      <ns0:c r="B1284" s="26" t="n"/>
      <ns0:c r="C1284" s="26" t="n"/>
      <ns0:c r="D1284" s="26" t="n"/>
      <ns0:c r="E1284" s="27" t="n"/>
      <ns0:c r="F1284" s="28" t="str">
        <ns0:f>IF(A1284="","",YEAR(A1284)&amp;"-"&amp;RIGHT("0"&amp;MONTH(A1284),2))</ns0:f>
        <ns0:v/>
      </ns0:c>
    </ns0:row>
    <ns0:row r="1285" ht="21" customHeight="1">
      <ns0:c r="A1285" s="25" t="n"/>
      <ns0:c r="B1285" s="26" t="n"/>
      <ns0:c r="C1285" s="26" t="n"/>
      <ns0:c r="D1285" s="26" t="n"/>
      <ns0:c r="E1285" s="27" t="n"/>
      <ns0:c r="F1285" s="28" t="str">
        <ns0:f>IF(A1285="","",YEAR(A1285)&amp;"-"&amp;RIGHT("0"&amp;MONTH(A1285),2))</ns0:f>
        <ns0:v/>
      </ns0:c>
    </ns0:row>
    <ns0:row r="1286" ht="21" customHeight="1">
      <ns0:c r="A1286" s="25" t="n"/>
      <ns0:c r="B1286" s="26" t="n"/>
      <ns0:c r="C1286" s="26" t="n"/>
      <ns0:c r="D1286" s="26" t="n"/>
      <ns0:c r="E1286" s="27" t="n"/>
      <ns0:c r="F1286" s="28" t="str">
        <ns0:f>IF(A1286="","",YEAR(A1286)&amp;"-"&amp;RIGHT("0"&amp;MONTH(A1286),2))</ns0:f>
        <ns0:v/>
      </ns0:c>
    </ns0:row>
    <ns0:row r="1287" ht="21" customHeight="1">
      <ns0:c r="A1287" s="25" t="n"/>
      <ns0:c r="B1287" s="26" t="n"/>
      <ns0:c r="C1287" s="26" t="n"/>
      <ns0:c r="D1287" s="26" t="n"/>
      <ns0:c r="E1287" s="27" t="n"/>
      <ns0:c r="F1287" s="28" t="str">
        <ns0:f>IF(A1287="","",YEAR(A1287)&amp;"-"&amp;RIGHT("0"&amp;MONTH(A1287),2))</ns0:f>
        <ns0:v/>
      </ns0:c>
    </ns0:row>
    <ns0:row r="1288" ht="21" customHeight="1">
      <ns0:c r="A1288" s="25" t="n"/>
      <ns0:c r="B1288" s="26" t="n"/>
      <ns0:c r="C1288" s="26" t="n"/>
      <ns0:c r="D1288" s="26" t="n"/>
      <ns0:c r="E1288" s="27" t="n"/>
      <ns0:c r="F1288" s="28" t="str">
        <ns0:f>IF(A1288="","",YEAR(A1288)&amp;"-"&amp;RIGHT("0"&amp;MONTH(A1288),2))</ns0:f>
        <ns0:v/>
      </ns0:c>
    </ns0:row>
    <ns0:row r="1289" ht="21" customHeight="1">
      <ns0:c r="A1289" s="25" t="n"/>
      <ns0:c r="B1289" s="26" t="n"/>
      <ns0:c r="C1289" s="26" t="n"/>
      <ns0:c r="D1289" s="26" t="n"/>
      <ns0:c r="E1289" s="27" t="n"/>
      <ns0:c r="F1289" s="28" t="str">
        <ns0:f>IF(A1289="","",YEAR(A1289)&amp;"-"&amp;RIGHT("0"&amp;MONTH(A1289),2))</ns0:f>
        <ns0:v/>
      </ns0:c>
    </ns0:row>
    <ns0:row r="1290" ht="21" customHeight="1">
      <ns0:c r="A1290" s="25" t="n"/>
      <ns0:c r="B1290" s="26" t="n"/>
      <ns0:c r="C1290" s="26" t="n"/>
      <ns0:c r="D1290" s="26" t="n"/>
      <ns0:c r="E1290" s="27" t="n"/>
      <ns0:c r="F1290" s="28" t="str">
        <ns0:f>IF(A1290="","",YEAR(A1290)&amp;"-"&amp;RIGHT("0"&amp;MONTH(A1290),2))</ns0:f>
        <ns0:v/>
      </ns0:c>
    </ns0:row>
    <ns0:row r="1291" ht="21" customHeight="1">
      <ns0:c r="A1291" s="25" t="n"/>
      <ns0:c r="B1291" s="26" t="n"/>
      <ns0:c r="C1291" s="26" t="n"/>
      <ns0:c r="D1291" s="26" t="n"/>
      <ns0:c r="E1291" s="27" t="n"/>
      <ns0:c r="F1291" s="28" t="str">
        <ns0:f>IF(A1291="","",YEAR(A1291)&amp;"-"&amp;RIGHT("0"&amp;MONTH(A1291),2))</ns0:f>
        <ns0:v/>
      </ns0:c>
    </ns0:row>
    <ns0:row r="1292" ht="21" customHeight="1">
      <ns0:c r="A1292" s="25" t="n"/>
      <ns0:c r="B1292" s="26" t="n"/>
      <ns0:c r="C1292" s="26" t="n"/>
      <ns0:c r="D1292" s="26" t="n"/>
      <ns0:c r="E1292" s="27" t="n"/>
      <ns0:c r="F1292" s="28" t="str">
        <ns0:f>IF(A1292="","",YEAR(A1292)&amp;"-"&amp;RIGHT("0"&amp;MONTH(A1292),2))</ns0:f>
        <ns0:v/>
      </ns0:c>
    </ns0:row>
    <ns0:row r="1293" ht="21" customHeight="1">
      <ns0:c r="A1293" s="25" t="n"/>
      <ns0:c r="B1293" s="26" t="n"/>
      <ns0:c r="C1293" s="26" t="n"/>
      <ns0:c r="D1293" s="26" t="n"/>
      <ns0:c r="E1293" s="27" t="n"/>
      <ns0:c r="F1293" s="28" t="str">
        <ns0:f>IF(A1293="","",YEAR(A1293)&amp;"-"&amp;RIGHT("0"&amp;MONTH(A1293),2))</ns0:f>
        <ns0:v/>
      </ns0:c>
    </ns0:row>
    <ns0:row r="1294" ht="21" customHeight="1">
      <ns0:c r="A1294" s="25" t="n"/>
      <ns0:c r="B1294" s="26" t="n"/>
      <ns0:c r="C1294" s="26" t="n"/>
      <ns0:c r="D1294" s="26" t="n"/>
      <ns0:c r="E1294" s="27" t="n"/>
      <ns0:c r="F1294" s="28" t="str">
        <ns0:f>IF(A1294="","",YEAR(A1294)&amp;"-"&amp;RIGHT("0"&amp;MONTH(A1294),2))</ns0:f>
        <ns0:v/>
      </ns0:c>
    </ns0:row>
    <ns0:row r="1295" ht="21" customHeight="1">
      <ns0:c r="A1295" s="25" t="n"/>
      <ns0:c r="B1295" s="26" t="n"/>
      <ns0:c r="C1295" s="26" t="n"/>
      <ns0:c r="D1295" s="26" t="n"/>
      <ns0:c r="E1295" s="27" t="n"/>
      <ns0:c r="F1295" s="28" t="str">
        <ns0:f>IF(A1295="","",YEAR(A1295)&amp;"-"&amp;RIGHT("0"&amp;MONTH(A1295),2))</ns0:f>
        <ns0:v/>
      </ns0:c>
    </ns0:row>
    <ns0:row r="1296" ht="21" customHeight="1">
      <ns0:c r="A1296" s="25" t="n"/>
      <ns0:c r="B1296" s="26" t="n"/>
      <ns0:c r="C1296" s="26" t="n"/>
      <ns0:c r="D1296" s="26" t="n"/>
      <ns0:c r="E1296" s="27" t="n"/>
      <ns0:c r="F1296" s="28" t="str">
        <ns0:f>IF(A1296="","",YEAR(A1296)&amp;"-"&amp;RIGHT("0"&amp;MONTH(A1296),2))</ns0:f>
        <ns0:v/>
      </ns0:c>
    </ns0:row>
    <ns0:row r="1297" ht="21" customHeight="1">
      <ns0:c r="A1297" s="25" t="n"/>
      <ns0:c r="B1297" s="26" t="n"/>
      <ns0:c r="C1297" s="26" t="n"/>
      <ns0:c r="D1297" s="26" t="n"/>
      <ns0:c r="E1297" s="27" t="n"/>
      <ns0:c r="F1297" s="28" t="str">
        <ns0:f>IF(A1297="","",YEAR(A1297)&amp;"-"&amp;RIGHT("0"&amp;MONTH(A1297),2))</ns0:f>
        <ns0:v/>
      </ns0:c>
    </ns0:row>
    <ns0:row r="1298" ht="21" customHeight="1">
      <ns0:c r="A1298" s="25" t="n"/>
      <ns0:c r="B1298" s="26" t="n"/>
      <ns0:c r="C1298" s="26" t="n"/>
      <ns0:c r="D1298" s="26" t="n"/>
      <ns0:c r="E1298" s="27" t="n"/>
      <ns0:c r="F1298" s="28" t="str">
        <ns0:f>IF(A1298="","",YEAR(A1298)&amp;"-"&amp;RIGHT("0"&amp;MONTH(A1298),2))</ns0:f>
        <ns0:v/>
      </ns0:c>
    </ns0:row>
    <ns0:row r="1299" ht="21" customHeight="1">
      <ns0:c r="A1299" s="25" t="n"/>
      <ns0:c r="B1299" s="26" t="n"/>
      <ns0:c r="C1299" s="26" t="n"/>
      <ns0:c r="D1299" s="26" t="n"/>
      <ns0:c r="E1299" s="27" t="n"/>
      <ns0:c r="F1299" s="28" t="str">
        <ns0:f>IF(A1299="","",YEAR(A1299)&amp;"-"&amp;RIGHT("0"&amp;MONTH(A1299),2))</ns0:f>
        <ns0:v/>
      </ns0:c>
    </ns0:row>
    <ns0:row r="1300" ht="21" customHeight="1">
      <ns0:c r="A1300" s="25" t="n"/>
      <ns0:c r="B1300" s="26" t="n"/>
      <ns0:c r="C1300" s="26" t="n"/>
      <ns0:c r="D1300" s="26" t="n"/>
      <ns0:c r="E1300" s="27" t="n"/>
      <ns0:c r="F1300" s="28" t="str">
        <ns0:f>IF(A1300="","",YEAR(A1300)&amp;"-"&amp;RIGHT("0"&amp;MONTH(A1300),2))</ns0:f>
        <ns0:v/>
      </ns0:c>
    </ns0:row>
    <ns0:row r="1301" ht="21" customHeight="1">
      <ns0:c r="A1301" s="25" t="n"/>
      <ns0:c r="B1301" s="26" t="n"/>
      <ns0:c r="C1301" s="26" t="n"/>
      <ns0:c r="D1301" s="26" t="n"/>
      <ns0:c r="E1301" s="27" t="n"/>
      <ns0:c r="F1301" s="28" t="str">
        <ns0:f>IF(A1301="","",YEAR(A1301)&amp;"-"&amp;RIGHT("0"&amp;MONTH(A1301),2))</ns0:f>
        <ns0:v/>
      </ns0:c>
    </ns0:row>
    <ns0:row r="1302" ht="21" customHeight="1">
      <ns0:c r="A1302" s="25" t="n"/>
      <ns0:c r="B1302" s="26" t="n"/>
      <ns0:c r="C1302" s="26" t="n"/>
      <ns0:c r="D1302" s="26" t="n"/>
      <ns0:c r="E1302" s="27" t="n"/>
      <ns0:c r="F1302" s="28" t="str">
        <ns0:f>IF(A1302="","",YEAR(A1302)&amp;"-"&amp;RIGHT("0"&amp;MONTH(A1302),2))</ns0:f>
        <ns0:v/>
      </ns0:c>
    </ns0:row>
    <ns0:row r="1303" ht="21" customHeight="1">
      <ns0:c r="A1303" s="25" t="n"/>
      <ns0:c r="B1303" s="26" t="n"/>
      <ns0:c r="C1303" s="26" t="n"/>
      <ns0:c r="D1303" s="26" t="n"/>
      <ns0:c r="E1303" s="27" t="n"/>
      <ns0:c r="F1303" s="28" t="str">
        <ns0:f>IF(A1303="","",YEAR(A1303)&amp;"-"&amp;RIGHT("0"&amp;MONTH(A1303),2))</ns0:f>
        <ns0:v/>
      </ns0:c>
    </ns0:row>
    <ns0:row r="1304" ht="21" customHeight="1">
      <ns0:c r="A1304" s="25" t="n"/>
      <ns0:c r="B1304" s="26" t="n"/>
      <ns0:c r="C1304" s="26" t="n"/>
      <ns0:c r="D1304" s="26" t="n"/>
      <ns0:c r="E1304" s="27" t="n"/>
      <ns0:c r="F1304" s="28" t="str">
        <ns0:f>IF(A1304="","",YEAR(A1304)&amp;"-"&amp;RIGHT("0"&amp;MONTH(A1304),2))</ns0:f>
        <ns0:v/>
      </ns0:c>
    </ns0:row>
    <ns0:row r="1305" ht="21" customHeight="1">
      <ns0:c r="A1305" s="25" t="n"/>
      <ns0:c r="B1305" s="26" t="n"/>
      <ns0:c r="C1305" s="26" t="n"/>
      <ns0:c r="D1305" s="26" t="n"/>
      <ns0:c r="E1305" s="27" t="n"/>
      <ns0:c r="F1305" s="28" t="str">
        <ns0:f>IF(A1305="","",YEAR(A1305)&amp;"-"&amp;RIGHT("0"&amp;MONTH(A1305),2))</ns0:f>
        <ns0:v/>
      </ns0:c>
    </ns0:row>
    <ns0:row r="1306" ht="21" customHeight="1">
      <ns0:c r="A1306" s="25" t="n"/>
      <ns0:c r="B1306" s="26" t="n"/>
      <ns0:c r="C1306" s="26" t="n"/>
      <ns0:c r="D1306" s="26" t="n"/>
      <ns0:c r="E1306" s="27" t="n"/>
      <ns0:c r="F1306" s="28" t="str">
        <ns0:f>IF(A1306="","",YEAR(A1306)&amp;"-"&amp;RIGHT("0"&amp;MONTH(A1306),2))</ns0:f>
        <ns0:v/>
      </ns0:c>
    </ns0:row>
    <ns0:row r="1307" ht="21" customHeight="1">
      <ns0:c r="A1307" s="25" t="n"/>
      <ns0:c r="B1307" s="26" t="n"/>
      <ns0:c r="C1307" s="26" t="n"/>
      <ns0:c r="D1307" s="26" t="n"/>
      <ns0:c r="E1307" s="27" t="n"/>
      <ns0:c r="F1307" s="28" t="str">
        <ns0:f>IF(A1307="","",YEAR(A1307)&amp;"-"&amp;RIGHT("0"&amp;MONTH(A1307),2))</ns0:f>
        <ns0:v/>
      </ns0:c>
    </ns0:row>
    <ns0:row r="1308" ht="21" customHeight="1">
      <ns0:c r="A1308" s="25" t="n"/>
      <ns0:c r="B1308" s="26" t="n"/>
      <ns0:c r="C1308" s="26" t="n"/>
      <ns0:c r="D1308" s="26" t="n"/>
      <ns0:c r="E1308" s="27" t="n"/>
      <ns0:c r="F1308" s="28" t="str">
        <ns0:f>IF(A1308="","",YEAR(A1308)&amp;"-"&amp;RIGHT("0"&amp;MONTH(A1308),2))</ns0:f>
        <ns0:v/>
      </ns0:c>
    </ns0:row>
    <ns0:row r="1309" ht="21" customHeight="1">
      <ns0:c r="A1309" s="25" t="n"/>
      <ns0:c r="B1309" s="26" t="n"/>
      <ns0:c r="C1309" s="26" t="n"/>
      <ns0:c r="D1309" s="26" t="n"/>
      <ns0:c r="E1309" s="27" t="n"/>
      <ns0:c r="F1309" s="28" t="str">
        <ns0:f>IF(A1309="","",YEAR(A1309)&amp;"-"&amp;RIGHT("0"&amp;MONTH(A1309),2))</ns0:f>
        <ns0:v/>
      </ns0:c>
    </ns0:row>
    <ns0:row r="1310" ht="21" customHeight="1">
      <ns0:c r="A1310" s="25" t="n"/>
      <ns0:c r="B1310" s="26" t="n"/>
      <ns0:c r="C1310" s="26" t="n"/>
      <ns0:c r="D1310" s="26" t="n"/>
      <ns0:c r="E1310" s="27" t="n"/>
      <ns0:c r="F1310" s="28" t="str">
        <ns0:f>IF(A1310="","",YEAR(A1310)&amp;"-"&amp;RIGHT("0"&amp;MONTH(A1310),2))</ns0:f>
        <ns0:v/>
      </ns0:c>
    </ns0:row>
    <ns0:row r="1311" ht="21" customHeight="1">
      <ns0:c r="A1311" s="25" t="n"/>
      <ns0:c r="B1311" s="26" t="n"/>
      <ns0:c r="C1311" s="26" t="n"/>
      <ns0:c r="D1311" s="26" t="n"/>
      <ns0:c r="E1311" s="27" t="n"/>
      <ns0:c r="F1311" s="28" t="str">
        <ns0:f>IF(A1311="","",YEAR(A1311)&amp;"-"&amp;RIGHT("0"&amp;MONTH(A1311),2))</ns0:f>
        <ns0:v/>
      </ns0:c>
    </ns0:row>
    <ns0:row r="1312" ht="21" customHeight="1">
      <ns0:c r="A1312" s="25" t="n"/>
      <ns0:c r="B1312" s="26" t="n"/>
      <ns0:c r="C1312" s="26" t="n"/>
      <ns0:c r="D1312" s="26" t="n"/>
      <ns0:c r="E1312" s="27" t="n"/>
      <ns0:c r="F1312" s="28" t="str">
        <ns0:f>IF(A1312="","",YEAR(A1312)&amp;"-"&amp;RIGHT("0"&amp;MONTH(A1312),2))</ns0:f>
        <ns0:v/>
      </ns0:c>
    </ns0:row>
    <ns0:row r="1313" ht="21" customHeight="1">
      <ns0:c r="A1313" s="25" t="n"/>
      <ns0:c r="B1313" s="26" t="n"/>
      <ns0:c r="C1313" s="26" t="n"/>
      <ns0:c r="D1313" s="26" t="n"/>
      <ns0:c r="E1313" s="27" t="n"/>
      <ns0:c r="F1313" s="28" t="str">
        <ns0:f>IF(A1313="","",YEAR(A1313)&amp;"-"&amp;RIGHT("0"&amp;MONTH(A1313),2))</ns0:f>
        <ns0:v/>
      </ns0:c>
    </ns0:row>
    <ns0:row r="1314" ht="21" customHeight="1">
      <ns0:c r="A1314" s="25" t="n"/>
      <ns0:c r="B1314" s="26" t="n"/>
      <ns0:c r="C1314" s="26" t="n"/>
      <ns0:c r="D1314" s="26" t="n"/>
      <ns0:c r="E1314" s="27" t="n"/>
      <ns0:c r="F1314" s="28" t="str">
        <ns0:f>IF(A1314="","",YEAR(A1314)&amp;"-"&amp;RIGHT("0"&amp;MONTH(A1314),2))</ns0:f>
        <ns0:v/>
      </ns0:c>
    </ns0:row>
    <ns0:row r="1315" ht="21" customHeight="1">
      <ns0:c r="A1315" s="25" t="n"/>
      <ns0:c r="B1315" s="26" t="n"/>
      <ns0:c r="C1315" s="26" t="n"/>
      <ns0:c r="D1315" s="26" t="n"/>
      <ns0:c r="E1315" s="27" t="n"/>
      <ns0:c r="F1315" s="28" t="str">
        <ns0:f>IF(A1315="","",YEAR(A1315)&amp;"-"&amp;RIGHT("0"&amp;MONTH(A1315),2))</ns0:f>
        <ns0:v/>
      </ns0:c>
    </ns0:row>
    <ns0:row r="1316" ht="21" customHeight="1">
      <ns0:c r="A1316" s="25" t="n"/>
      <ns0:c r="B1316" s="26" t="n"/>
      <ns0:c r="C1316" s="26" t="n"/>
      <ns0:c r="D1316" s="26" t="n"/>
      <ns0:c r="E1316" s="27" t="n"/>
      <ns0:c r="F1316" s="28" t="str">
        <ns0:f>IF(A1316="","",YEAR(A1316)&amp;"-"&amp;RIGHT("0"&amp;MONTH(A1316),2))</ns0:f>
        <ns0:v/>
      </ns0:c>
    </ns0:row>
    <ns0:row r="1317" ht="21" customHeight="1">
      <ns0:c r="A1317" s="25" t="n"/>
      <ns0:c r="B1317" s="26" t="n"/>
      <ns0:c r="C1317" s="26" t="n"/>
      <ns0:c r="D1317" s="26" t="n"/>
      <ns0:c r="E1317" s="27" t="n"/>
      <ns0:c r="F1317" s="28" t="str">
        <ns0:f>IF(A1317="","",YEAR(A1317)&amp;"-"&amp;RIGHT("0"&amp;MONTH(A1317),2))</ns0:f>
        <ns0:v/>
      </ns0:c>
    </ns0:row>
    <ns0:row r="1318" ht="21" customHeight="1">
      <ns0:c r="A1318" s="25" t="n"/>
      <ns0:c r="B1318" s="26" t="n"/>
      <ns0:c r="C1318" s="26" t="n"/>
      <ns0:c r="D1318" s="26" t="n"/>
      <ns0:c r="E1318" s="27" t="n"/>
      <ns0:c r="F1318" s="28" t="str">
        <ns0:f>IF(A1318="","",YEAR(A1318)&amp;"-"&amp;RIGHT("0"&amp;MONTH(A1318),2))</ns0:f>
        <ns0:v/>
      </ns0:c>
    </ns0:row>
    <ns0:row r="1319" ht="21" customHeight="1">
      <ns0:c r="A1319" s="25" t="n"/>
      <ns0:c r="B1319" s="26" t="n"/>
      <ns0:c r="C1319" s="26" t="n"/>
      <ns0:c r="D1319" s="26" t="n"/>
      <ns0:c r="E1319" s="27" t="n"/>
      <ns0:c r="F1319" s="28" t="str">
        <ns0:f>IF(A1319="","",YEAR(A1319)&amp;"-"&amp;RIGHT("0"&amp;MONTH(A1319),2))</ns0:f>
        <ns0:v/>
      </ns0:c>
    </ns0:row>
    <ns0:row r="1320" ht="21" customHeight="1">
      <ns0:c r="A1320" s="25" t="n"/>
      <ns0:c r="B1320" s="26" t="n"/>
      <ns0:c r="C1320" s="26" t="n"/>
      <ns0:c r="D1320" s="26" t="n"/>
      <ns0:c r="E1320" s="27" t="n"/>
      <ns0:c r="F1320" s="28" t="str">
        <ns0:f>IF(A1320="","",YEAR(A1320)&amp;"-"&amp;RIGHT("0"&amp;MONTH(A1320),2))</ns0:f>
        <ns0:v/>
      </ns0:c>
    </ns0:row>
    <ns0:row r="1321" ht="21" customHeight="1">
      <ns0:c r="A1321" s="25" t="n"/>
      <ns0:c r="B1321" s="26" t="n"/>
      <ns0:c r="C1321" s="26" t="n"/>
      <ns0:c r="D1321" s="26" t="n"/>
      <ns0:c r="E1321" s="27" t="n"/>
      <ns0:c r="F1321" s="28" t="str">
        <ns0:f>IF(A1321="","",YEAR(A1321)&amp;"-"&amp;RIGHT("0"&amp;MONTH(A1321),2))</ns0:f>
        <ns0:v/>
      </ns0:c>
    </ns0:row>
    <ns0:row r="1322" ht="21" customHeight="1">
      <ns0:c r="A1322" s="25" t="n"/>
      <ns0:c r="B1322" s="26" t="n"/>
      <ns0:c r="C1322" s="26" t="n"/>
      <ns0:c r="D1322" s="26" t="n"/>
      <ns0:c r="E1322" s="27" t="n"/>
      <ns0:c r="F1322" s="28" t="str">
        <ns0:f>IF(A1322="","",YEAR(A1322)&amp;"-"&amp;RIGHT("0"&amp;MONTH(A1322),2))</ns0:f>
        <ns0:v/>
      </ns0:c>
    </ns0:row>
    <ns0:row r="1323" ht="21" customHeight="1">
      <ns0:c r="A1323" s="25" t="n"/>
      <ns0:c r="B1323" s="26" t="n"/>
      <ns0:c r="C1323" s="26" t="n"/>
      <ns0:c r="D1323" s="26" t="n"/>
      <ns0:c r="E1323" s="27" t="n"/>
      <ns0:c r="F1323" s="28" t="str">
        <ns0:f>IF(A1323="","",YEAR(A1323)&amp;"-"&amp;RIGHT("0"&amp;MONTH(A1323),2))</ns0:f>
        <ns0:v/>
      </ns0:c>
    </ns0:row>
    <ns0:row r="1324" ht="21" customHeight="1">
      <ns0:c r="A1324" s="25" t="n"/>
      <ns0:c r="B1324" s="26" t="n"/>
      <ns0:c r="C1324" s="26" t="n"/>
      <ns0:c r="D1324" s="26" t="n"/>
      <ns0:c r="E1324" s="27" t="n"/>
      <ns0:c r="F1324" s="28" t="str">
        <ns0:f>IF(A1324="","",YEAR(A1324)&amp;"-"&amp;RIGHT("0"&amp;MONTH(A1324),2))</ns0:f>
        <ns0:v/>
      </ns0:c>
    </ns0:row>
    <ns0:row r="1325" ht="21" customHeight="1">
      <ns0:c r="A1325" s="25" t="n"/>
      <ns0:c r="B1325" s="26" t="n"/>
      <ns0:c r="C1325" s="26" t="n"/>
      <ns0:c r="D1325" s="26" t="n"/>
      <ns0:c r="E1325" s="27" t="n"/>
      <ns0:c r="F1325" s="28" t="str">
        <ns0:f>IF(A1325="","",YEAR(A1325)&amp;"-"&amp;RIGHT("0"&amp;MONTH(A1325),2))</ns0:f>
        <ns0:v/>
      </ns0:c>
    </ns0:row>
    <ns0:row r="1326" ht="21" customHeight="1">
      <ns0:c r="A1326" s="25" t="n"/>
      <ns0:c r="B1326" s="26" t="n"/>
      <ns0:c r="C1326" s="26" t="n"/>
      <ns0:c r="D1326" s="26" t="n"/>
      <ns0:c r="E1326" s="27" t="n"/>
      <ns0:c r="F1326" s="28" t="str">
        <ns0:f>IF(A1326="","",YEAR(A1326)&amp;"-"&amp;RIGHT("0"&amp;MONTH(A1326),2))</ns0:f>
        <ns0:v/>
      </ns0:c>
    </ns0:row>
    <ns0:row r="1327" ht="21" customHeight="1">
      <ns0:c r="A1327" s="25" t="n"/>
      <ns0:c r="B1327" s="26" t="n"/>
      <ns0:c r="C1327" s="26" t="n"/>
      <ns0:c r="D1327" s="26" t="n"/>
      <ns0:c r="E1327" s="27" t="n"/>
      <ns0:c r="F1327" s="28" t="str">
        <ns0:f>IF(A1327="","",YEAR(A1327)&amp;"-"&amp;RIGHT("0"&amp;MONTH(A1327),2))</ns0:f>
        <ns0:v/>
      </ns0:c>
    </ns0:row>
    <ns0:row r="1328" ht="21" customHeight="1">
      <ns0:c r="A1328" s="25" t="n"/>
      <ns0:c r="B1328" s="26" t="n"/>
      <ns0:c r="C1328" s="26" t="n"/>
      <ns0:c r="D1328" s="26" t="n"/>
      <ns0:c r="E1328" s="27" t="n"/>
      <ns0:c r="F1328" s="28" t="str">
        <ns0:f>IF(A1328="","",YEAR(A1328)&amp;"-"&amp;RIGHT("0"&amp;MONTH(A1328),2))</ns0:f>
        <ns0:v/>
      </ns0:c>
    </ns0:row>
    <ns0:row r="1329" ht="21" customHeight="1">
      <ns0:c r="A1329" s="25" t="n"/>
      <ns0:c r="B1329" s="26" t="n"/>
      <ns0:c r="C1329" s="26" t="n"/>
      <ns0:c r="D1329" s="26" t="n"/>
      <ns0:c r="E1329" s="27" t="n"/>
      <ns0:c r="F1329" s="28" t="str">
        <ns0:f>IF(A1329="","",YEAR(A1329)&amp;"-"&amp;RIGHT("0"&amp;MONTH(A1329),2))</ns0:f>
        <ns0:v/>
      </ns0:c>
    </ns0:row>
    <ns0:row r="1330" ht="21" customHeight="1">
      <ns0:c r="A1330" s="25" t="n"/>
      <ns0:c r="B1330" s="26" t="n"/>
      <ns0:c r="C1330" s="26" t="n"/>
      <ns0:c r="D1330" s="26" t="n"/>
      <ns0:c r="E1330" s="27" t="n"/>
      <ns0:c r="F1330" s="28" t="str">
        <ns0:f>IF(A1330="","",YEAR(A1330)&amp;"-"&amp;RIGHT("0"&amp;MONTH(A1330),2))</ns0:f>
        <ns0:v/>
      </ns0:c>
    </ns0:row>
    <ns0:row r="1331" ht="21" customHeight="1">
      <ns0:c r="A1331" s="25" t="n"/>
      <ns0:c r="B1331" s="26" t="n"/>
      <ns0:c r="C1331" s="26" t="n"/>
      <ns0:c r="D1331" s="26" t="n"/>
      <ns0:c r="E1331" s="27" t="n"/>
      <ns0:c r="F1331" s="28" t="str">
        <ns0:f>IF(A1331="","",YEAR(A1331)&amp;"-"&amp;RIGHT("0"&amp;MONTH(A1331),2))</ns0:f>
        <ns0:v/>
      </ns0:c>
    </ns0:row>
    <ns0:row r="1332" ht="21" customHeight="1">
      <ns0:c r="A1332" s="25" t="n"/>
      <ns0:c r="B1332" s="26" t="n"/>
      <ns0:c r="C1332" s="26" t="n"/>
      <ns0:c r="D1332" s="26" t="n"/>
      <ns0:c r="E1332" s="27" t="n"/>
      <ns0:c r="F1332" s="28" t="str">
        <ns0:f>IF(A1332="","",YEAR(A1332)&amp;"-"&amp;RIGHT("0"&amp;MONTH(A1332),2))</ns0:f>
        <ns0:v/>
      </ns0:c>
    </ns0:row>
    <ns0:row r="1333" ht="21" customHeight="1">
      <ns0:c r="A1333" s="25" t="n"/>
      <ns0:c r="B1333" s="26" t="n"/>
      <ns0:c r="C1333" s="26" t="n"/>
      <ns0:c r="D1333" s="26" t="n"/>
      <ns0:c r="E1333" s="27" t="n"/>
      <ns0:c r="F1333" s="28" t="str">
        <ns0:f>IF(A1333="","",YEAR(A1333)&amp;"-"&amp;RIGHT("0"&amp;MONTH(A1333),2))</ns0:f>
        <ns0:v/>
      </ns0:c>
    </ns0:row>
    <ns0:row r="1334" ht="21" customHeight="1">
      <ns0:c r="A1334" s="25" t="n"/>
      <ns0:c r="B1334" s="26" t="n"/>
      <ns0:c r="C1334" s="26" t="n"/>
      <ns0:c r="D1334" s="26" t="n"/>
      <ns0:c r="E1334" s="27" t="n"/>
      <ns0:c r="F1334" s="28" t="str">
        <ns0:f>IF(A1334="","",YEAR(A1334)&amp;"-"&amp;RIGHT("0"&amp;MONTH(A1334),2))</ns0:f>
        <ns0:v/>
      </ns0:c>
    </ns0:row>
    <ns0:row r="1335" ht="21" customHeight="1">
      <ns0:c r="A1335" s="25" t="n"/>
      <ns0:c r="B1335" s="26" t="n"/>
      <ns0:c r="C1335" s="26" t="n"/>
      <ns0:c r="D1335" s="26" t="n"/>
      <ns0:c r="E1335" s="27" t="n"/>
      <ns0:c r="F1335" s="28" t="str">
        <ns0:f>IF(A1335="","",YEAR(A1335)&amp;"-"&amp;RIGHT("0"&amp;MONTH(A1335),2))</ns0:f>
        <ns0:v/>
      </ns0:c>
    </ns0:row>
    <ns0:row r="1336" ht="21" customHeight="1">
      <ns0:c r="A1336" s="25" t="n"/>
      <ns0:c r="B1336" s="26" t="n"/>
      <ns0:c r="C1336" s="26" t="n"/>
      <ns0:c r="D1336" s="26" t="n"/>
      <ns0:c r="E1336" s="27" t="n"/>
      <ns0:c r="F1336" s="28" t="str">
        <ns0:f>IF(A1336="","",YEAR(A1336)&amp;"-"&amp;RIGHT("0"&amp;MONTH(A1336),2))</ns0:f>
        <ns0:v/>
      </ns0:c>
    </ns0:row>
    <ns0:row r="1337" ht="21" customHeight="1">
      <ns0:c r="A1337" s="25" t="n"/>
      <ns0:c r="B1337" s="26" t="n"/>
      <ns0:c r="C1337" s="26" t="n"/>
      <ns0:c r="D1337" s="26" t="n"/>
      <ns0:c r="E1337" s="27" t="n"/>
      <ns0:c r="F1337" s="28" t="str">
        <ns0:f>IF(A1337="","",YEAR(A1337)&amp;"-"&amp;RIGHT("0"&amp;MONTH(A1337),2))</ns0:f>
        <ns0:v/>
      </ns0:c>
    </ns0:row>
    <ns0:row r="1338" ht="21" customHeight="1">
      <ns0:c r="A1338" s="25" t="n"/>
      <ns0:c r="B1338" s="26" t="n"/>
      <ns0:c r="C1338" s="26" t="n"/>
      <ns0:c r="D1338" s="26" t="n"/>
      <ns0:c r="E1338" s="27" t="n"/>
      <ns0:c r="F1338" s="28" t="str">
        <ns0:f>IF(A1338="","",YEAR(A1338)&amp;"-"&amp;RIGHT("0"&amp;MONTH(A1338),2))</ns0:f>
        <ns0:v/>
      </ns0:c>
    </ns0:row>
    <ns0:row r="1339" ht="21" customHeight="1">
      <ns0:c r="A1339" s="25" t="n"/>
      <ns0:c r="B1339" s="26" t="n"/>
      <ns0:c r="C1339" s="26" t="n"/>
      <ns0:c r="D1339" s="26" t="n"/>
      <ns0:c r="E1339" s="27" t="n"/>
      <ns0:c r="F1339" s="28" t="str">
        <ns0:f>IF(A1339="","",YEAR(A1339)&amp;"-"&amp;RIGHT("0"&amp;MONTH(A1339),2))</ns0:f>
        <ns0:v/>
      </ns0:c>
    </ns0:row>
    <ns0:row r="1340" ht="21" customHeight="1">
      <ns0:c r="A1340" s="25" t="n"/>
      <ns0:c r="B1340" s="26" t="n"/>
      <ns0:c r="C1340" s="26" t="n"/>
      <ns0:c r="D1340" s="26" t="n"/>
      <ns0:c r="E1340" s="27" t="n"/>
      <ns0:c r="F1340" s="28" t="str">
        <ns0:f>IF(A1340="","",YEAR(A1340)&amp;"-"&amp;RIGHT("0"&amp;MONTH(A1340),2))</ns0:f>
        <ns0:v/>
      </ns0:c>
    </ns0:row>
    <ns0:row r="1341" ht="21" customHeight="1">
      <ns0:c r="A1341" s="25" t="n"/>
      <ns0:c r="B1341" s="26" t="n"/>
      <ns0:c r="C1341" s="26" t="n"/>
      <ns0:c r="D1341" s="26" t="n"/>
      <ns0:c r="E1341" s="27" t="n"/>
      <ns0:c r="F1341" s="28" t="str">
        <ns0:f>IF(A1341="","",YEAR(A1341)&amp;"-"&amp;RIGHT("0"&amp;MONTH(A1341),2))</ns0:f>
        <ns0:v/>
      </ns0:c>
    </ns0:row>
    <ns0:row r="1342" ht="21" customHeight="1">
      <ns0:c r="A1342" s="25" t="n"/>
      <ns0:c r="B1342" s="26" t="n"/>
      <ns0:c r="C1342" s="26" t="n"/>
      <ns0:c r="D1342" s="26" t="n"/>
      <ns0:c r="E1342" s="27" t="n"/>
      <ns0:c r="F1342" s="28" t="str">
        <ns0:f>IF(A1342="","",YEAR(A1342)&amp;"-"&amp;RIGHT("0"&amp;MONTH(A1342),2))</ns0:f>
        <ns0:v/>
      </ns0:c>
    </ns0:row>
    <ns0:row r="1343" ht="21" customHeight="1">
      <ns0:c r="A1343" s="25" t="n"/>
      <ns0:c r="B1343" s="26" t="n"/>
      <ns0:c r="C1343" s="26" t="n"/>
      <ns0:c r="D1343" s="26" t="n"/>
      <ns0:c r="E1343" s="27" t="n"/>
      <ns0:c r="F1343" s="28" t="str">
        <ns0:f>IF(A1343="","",YEAR(A1343)&amp;"-"&amp;RIGHT("0"&amp;MONTH(A1343),2))</ns0:f>
        <ns0:v/>
      </ns0:c>
    </ns0:row>
    <ns0:row r="1344" ht="21" customHeight="1">
      <ns0:c r="A1344" s="25" t="n"/>
      <ns0:c r="B1344" s="26" t="n"/>
      <ns0:c r="C1344" s="26" t="n"/>
      <ns0:c r="D1344" s="26" t="n"/>
      <ns0:c r="E1344" s="27" t="n"/>
      <ns0:c r="F1344" s="28" t="str">
        <ns0:f>IF(A1344="","",YEAR(A1344)&amp;"-"&amp;RIGHT("0"&amp;MONTH(A1344),2))</ns0:f>
        <ns0:v/>
      </ns0:c>
    </ns0:row>
    <ns0:row r="1345" ht="21" customHeight="1">
      <ns0:c r="A1345" s="25" t="n"/>
      <ns0:c r="B1345" s="26" t="n"/>
      <ns0:c r="C1345" s="26" t="n"/>
      <ns0:c r="D1345" s="26" t="n"/>
      <ns0:c r="E1345" s="27" t="n"/>
      <ns0:c r="F1345" s="28" t="str">
        <ns0:f>IF(A1345="","",YEAR(A1345)&amp;"-"&amp;RIGHT("0"&amp;MONTH(A1345),2))</ns0:f>
        <ns0:v/>
      </ns0:c>
    </ns0:row>
    <ns0:row r="1346" ht="21" customHeight="1">
      <ns0:c r="A1346" s="25" t="n"/>
      <ns0:c r="B1346" s="26" t="n"/>
      <ns0:c r="C1346" s="26" t="n"/>
      <ns0:c r="D1346" s="26" t="n"/>
      <ns0:c r="E1346" s="27" t="n"/>
      <ns0:c r="F1346" s="28" t="str">
        <ns0:f>IF(A1346="","",YEAR(A1346)&amp;"-"&amp;RIGHT("0"&amp;MONTH(A1346),2))</ns0:f>
        <ns0:v/>
      </ns0:c>
    </ns0:row>
    <ns0:row r="1347" ht="21" customHeight="1">
      <ns0:c r="A1347" s="25" t="n"/>
      <ns0:c r="B1347" s="26" t="n"/>
      <ns0:c r="C1347" s="26" t="n"/>
      <ns0:c r="D1347" s="26" t="n"/>
      <ns0:c r="E1347" s="27" t="n"/>
      <ns0:c r="F1347" s="28" t="str">
        <ns0:f>IF(A1347="","",YEAR(A1347)&amp;"-"&amp;RIGHT("0"&amp;MONTH(A1347),2))</ns0:f>
        <ns0:v/>
      </ns0:c>
    </ns0:row>
    <ns0:row r="1348" ht="21" customHeight="1">
      <ns0:c r="A1348" s="25" t="n"/>
      <ns0:c r="B1348" s="26" t="n"/>
      <ns0:c r="C1348" s="26" t="n"/>
      <ns0:c r="D1348" s="26" t="n"/>
      <ns0:c r="E1348" s="27" t="n"/>
      <ns0:c r="F1348" s="28" t="str">
        <ns0:f>IF(A1348="","",YEAR(A1348)&amp;"-"&amp;RIGHT("0"&amp;MONTH(A1348),2))</ns0:f>
        <ns0:v/>
      </ns0:c>
    </ns0:row>
    <ns0:row r="1349" ht="21" customHeight="1">
      <ns0:c r="A1349" s="25" t="n"/>
      <ns0:c r="B1349" s="26" t="n"/>
      <ns0:c r="C1349" s="26" t="n"/>
      <ns0:c r="D1349" s="26" t="n"/>
      <ns0:c r="E1349" s="27" t="n"/>
      <ns0:c r="F1349" s="28" t="str">
        <ns0:f>IF(A1349="","",YEAR(A1349)&amp;"-"&amp;RIGHT("0"&amp;MONTH(A1349),2))</ns0:f>
        <ns0:v/>
      </ns0:c>
    </ns0:row>
    <ns0:row r="1350" ht="21" customHeight="1">
      <ns0:c r="A1350" s="25" t="n"/>
      <ns0:c r="B1350" s="26" t="n"/>
      <ns0:c r="C1350" s="26" t="n"/>
      <ns0:c r="D1350" s="26" t="n"/>
      <ns0:c r="E1350" s="27" t="n"/>
      <ns0:c r="F1350" s="28" t="str">
        <ns0:f>IF(A1350="","",YEAR(A1350)&amp;"-"&amp;RIGHT("0"&amp;MONTH(A1350),2))</ns0:f>
        <ns0:v/>
      </ns0:c>
    </ns0:row>
    <ns0:row r="1351" ht="21" customHeight="1">
      <ns0:c r="A1351" s="25" t="n"/>
      <ns0:c r="B1351" s="26" t="n"/>
      <ns0:c r="C1351" s="26" t="n"/>
      <ns0:c r="D1351" s="26" t="n"/>
      <ns0:c r="E1351" s="27" t="n"/>
      <ns0:c r="F1351" s="28" t="str">
        <ns0:f>IF(A1351="","",YEAR(A1351)&amp;"-"&amp;RIGHT("0"&amp;MONTH(A1351),2))</ns0:f>
        <ns0:v/>
      </ns0:c>
    </ns0:row>
    <ns0:row r="1352" ht="21" customHeight="1">
      <ns0:c r="A1352" s="25" t="n"/>
      <ns0:c r="B1352" s="26" t="n"/>
      <ns0:c r="C1352" s="26" t="n"/>
      <ns0:c r="D1352" s="26" t="n"/>
      <ns0:c r="E1352" s="27" t="n"/>
      <ns0:c r="F1352" s="28" t="str">
        <ns0:f>IF(A1352="","",YEAR(A1352)&amp;"-"&amp;RIGHT("0"&amp;MONTH(A1352),2))</ns0:f>
        <ns0:v/>
      </ns0:c>
    </ns0:row>
    <ns0:row r="1353" ht="21" customHeight="1">
      <ns0:c r="A1353" s="25" t="n"/>
      <ns0:c r="B1353" s="26" t="n"/>
      <ns0:c r="C1353" s="26" t="n"/>
      <ns0:c r="D1353" s="26" t="n"/>
      <ns0:c r="E1353" s="27" t="n"/>
      <ns0:c r="F1353" s="28" t="str">
        <ns0:f>IF(A1353="","",YEAR(A1353)&amp;"-"&amp;RIGHT("0"&amp;MONTH(A1353),2))</ns0:f>
        <ns0:v/>
      </ns0:c>
    </ns0:row>
    <ns0:row r="1354" ht="21" customHeight="1">
      <ns0:c r="A1354" s="25" t="n"/>
      <ns0:c r="B1354" s="26" t="n"/>
      <ns0:c r="C1354" s="26" t="n"/>
      <ns0:c r="D1354" s="26" t="n"/>
      <ns0:c r="E1354" s="27" t="n"/>
      <ns0:c r="F1354" s="28" t="str">
        <ns0:f>IF(A1354="","",YEAR(A1354)&amp;"-"&amp;RIGHT("0"&amp;MONTH(A1354),2))</ns0:f>
        <ns0:v/>
      </ns0:c>
    </ns0:row>
    <ns0:row r="1355" ht="21" customHeight="1">
      <ns0:c r="A1355" s="25" t="n"/>
      <ns0:c r="B1355" s="26" t="n"/>
      <ns0:c r="C1355" s="26" t="n"/>
      <ns0:c r="D1355" s="26" t="n"/>
      <ns0:c r="E1355" s="27" t="n"/>
      <ns0:c r="F1355" s="28" t="str">
        <ns0:f>IF(A1355="","",YEAR(A1355)&amp;"-"&amp;RIGHT("0"&amp;MONTH(A1355),2))</ns0:f>
        <ns0:v/>
      </ns0:c>
    </ns0:row>
    <ns0:row r="1356" ht="21" customHeight="1">
      <ns0:c r="A1356" s="25" t="n"/>
      <ns0:c r="B1356" s="26" t="n"/>
      <ns0:c r="C1356" s="26" t="n"/>
      <ns0:c r="D1356" s="26" t="n"/>
      <ns0:c r="E1356" s="27" t="n"/>
      <ns0:c r="F1356" s="28" t="str">
        <ns0:f>IF(A1356="","",YEAR(A1356)&amp;"-"&amp;RIGHT("0"&amp;MONTH(A1356),2))</ns0:f>
        <ns0:v/>
      </ns0:c>
    </ns0:row>
    <ns0:row r="1357" ht="21" customHeight="1">
      <ns0:c r="A1357" s="25" t="n"/>
      <ns0:c r="B1357" s="26" t="n"/>
      <ns0:c r="C1357" s="26" t="n"/>
      <ns0:c r="D1357" s="26" t="n"/>
      <ns0:c r="E1357" s="27" t="n"/>
      <ns0:c r="F1357" s="28" t="str">
        <ns0:f>IF(A1357="","",YEAR(A1357)&amp;"-"&amp;RIGHT("0"&amp;MONTH(A1357),2))</ns0:f>
        <ns0:v/>
      </ns0:c>
    </ns0:row>
    <ns0:row r="1358" ht="21" customHeight="1">
      <ns0:c r="A1358" s="25" t="n"/>
      <ns0:c r="B1358" s="26" t="n"/>
      <ns0:c r="C1358" s="26" t="n"/>
      <ns0:c r="D1358" s="26" t="n"/>
      <ns0:c r="E1358" s="27" t="n"/>
      <ns0:c r="F1358" s="28" t="str">
        <ns0:f>IF(A1358="","",YEAR(A1358)&amp;"-"&amp;RIGHT("0"&amp;MONTH(A1358),2))</ns0:f>
        <ns0:v/>
      </ns0:c>
    </ns0:row>
    <ns0:row r="1359" ht="21" customHeight="1">
      <ns0:c r="A1359" s="25" t="n"/>
      <ns0:c r="B1359" s="26" t="n"/>
      <ns0:c r="C1359" s="26" t="n"/>
      <ns0:c r="D1359" s="26" t="n"/>
      <ns0:c r="E1359" s="27" t="n"/>
      <ns0:c r="F1359" s="28" t="str">
        <ns0:f>IF(A1359="","",YEAR(A1359)&amp;"-"&amp;RIGHT("0"&amp;MONTH(A1359),2))</ns0:f>
        <ns0:v/>
      </ns0:c>
    </ns0:row>
    <ns0:row r="1360" ht="21" customHeight="1">
      <ns0:c r="A1360" s="25" t="n"/>
      <ns0:c r="B1360" s="26" t="n"/>
      <ns0:c r="C1360" s="26" t="n"/>
      <ns0:c r="D1360" s="26" t="n"/>
      <ns0:c r="E1360" s="27" t="n"/>
      <ns0:c r="F1360" s="28" t="str">
        <ns0:f>IF(A1360="","",YEAR(A1360)&amp;"-"&amp;RIGHT("0"&amp;MONTH(A1360),2))</ns0:f>
        <ns0:v/>
      </ns0:c>
    </ns0:row>
    <ns0:row r="1361" ht="21" customHeight="1">
      <ns0:c r="A1361" s="25" t="n"/>
      <ns0:c r="B1361" s="26" t="n"/>
      <ns0:c r="C1361" s="26" t="n"/>
      <ns0:c r="D1361" s="26" t="n"/>
      <ns0:c r="E1361" s="27" t="n"/>
      <ns0:c r="F1361" s="28" t="str">
        <ns0:f>IF(A1361="","",YEAR(A1361)&amp;"-"&amp;RIGHT("0"&amp;MONTH(A1361),2))</ns0:f>
        <ns0:v/>
      </ns0:c>
    </ns0:row>
    <ns0:row r="1362" ht="21" customHeight="1">
      <ns0:c r="A1362" s="25" t="n"/>
      <ns0:c r="B1362" s="26" t="n"/>
      <ns0:c r="C1362" s="26" t="n"/>
      <ns0:c r="D1362" s="26" t="n"/>
      <ns0:c r="E1362" s="27" t="n"/>
      <ns0:c r="F1362" s="28" t="str">
        <ns0:f>IF(A1362="","",YEAR(A1362)&amp;"-"&amp;RIGHT("0"&amp;MONTH(A1362),2))</ns0:f>
        <ns0:v/>
      </ns0:c>
    </ns0:row>
    <ns0:row r="1363" ht="21" customHeight="1">
      <ns0:c r="A1363" s="25" t="n"/>
      <ns0:c r="B1363" s="26" t="n"/>
      <ns0:c r="C1363" s="26" t="n"/>
      <ns0:c r="D1363" s="26" t="n"/>
      <ns0:c r="E1363" s="27" t="n"/>
      <ns0:c r="F1363" s="28" t="str">
        <ns0:f>IF(A1363="","",YEAR(A1363)&amp;"-"&amp;RIGHT("0"&amp;MONTH(A1363),2))</ns0:f>
        <ns0:v/>
      </ns0:c>
    </ns0:row>
    <ns0:row r="1364" ht="21" customHeight="1">
      <ns0:c r="A1364" s="25" t="n"/>
      <ns0:c r="B1364" s="26" t="n"/>
      <ns0:c r="C1364" s="26" t="n"/>
      <ns0:c r="D1364" s="26" t="n"/>
      <ns0:c r="E1364" s="27" t="n"/>
      <ns0:c r="F1364" s="28" t="str">
        <ns0:f>IF(A1364="","",YEAR(A1364)&amp;"-"&amp;RIGHT("0"&amp;MONTH(A1364),2))</ns0:f>
        <ns0:v/>
      </ns0:c>
    </ns0:row>
    <ns0:row r="1365" ht="21" customHeight="1">
      <ns0:c r="A1365" s="25" t="n"/>
      <ns0:c r="B1365" s="26" t="n"/>
      <ns0:c r="C1365" s="26" t="n"/>
      <ns0:c r="D1365" s="26" t="n"/>
      <ns0:c r="E1365" s="27" t="n"/>
      <ns0:c r="F1365" s="28" t="str">
        <ns0:f>IF(A1365="","",YEAR(A1365)&amp;"-"&amp;RIGHT("0"&amp;MONTH(A1365),2))</ns0:f>
        <ns0:v/>
      </ns0:c>
    </ns0:row>
    <ns0:row r="1366" ht="21" customHeight="1">
      <ns0:c r="A1366" s="25" t="n"/>
      <ns0:c r="B1366" s="26" t="n"/>
      <ns0:c r="C1366" s="26" t="n"/>
      <ns0:c r="D1366" s="26" t="n"/>
      <ns0:c r="E1366" s="27" t="n"/>
      <ns0:c r="F1366" s="28" t="str">
        <ns0:f>IF(A1366="","",YEAR(A1366)&amp;"-"&amp;RIGHT("0"&amp;MONTH(A1366),2))</ns0:f>
        <ns0:v/>
      </ns0:c>
    </ns0:row>
    <ns0:row r="1367" ht="21" customHeight="1">
      <ns0:c r="A1367" s="25" t="n"/>
      <ns0:c r="B1367" s="26" t="n"/>
      <ns0:c r="C1367" s="26" t="n"/>
      <ns0:c r="D1367" s="26" t="n"/>
      <ns0:c r="E1367" s="27" t="n"/>
      <ns0:c r="F1367" s="28" t="str">
        <ns0:f>IF(A1367="","",YEAR(A1367)&amp;"-"&amp;RIGHT("0"&amp;MONTH(A1367),2))</ns0:f>
        <ns0:v/>
      </ns0:c>
    </ns0:row>
    <ns0:row r="1368" ht="21" customHeight="1">
      <ns0:c r="A1368" s="25" t="n"/>
      <ns0:c r="B1368" s="26" t="n"/>
      <ns0:c r="C1368" s="26" t="n"/>
      <ns0:c r="D1368" s="26" t="n"/>
      <ns0:c r="E1368" s="27" t="n"/>
      <ns0:c r="F1368" s="28" t="str">
        <ns0:f>IF(A1368="","",YEAR(A1368)&amp;"-"&amp;RIGHT("0"&amp;MONTH(A1368),2))</ns0:f>
        <ns0:v/>
      </ns0:c>
    </ns0:row>
    <ns0:row r="1369" ht="21" customHeight="1">
      <ns0:c r="A1369" s="25" t="n"/>
      <ns0:c r="B1369" s="26" t="n"/>
      <ns0:c r="C1369" s="26" t="n"/>
      <ns0:c r="D1369" s="26" t="n"/>
      <ns0:c r="E1369" s="27" t="n"/>
      <ns0:c r="F1369" s="28" t="str">
        <ns0:f>IF(A1369="","",YEAR(A1369)&amp;"-"&amp;RIGHT("0"&amp;MONTH(A1369),2))</ns0:f>
        <ns0:v/>
      </ns0:c>
    </ns0:row>
    <ns0:row r="1370" ht="21" customHeight="1">
      <ns0:c r="A1370" s="25" t="n"/>
      <ns0:c r="B1370" s="26" t="n"/>
      <ns0:c r="C1370" s="26" t="n"/>
      <ns0:c r="D1370" s="26" t="n"/>
      <ns0:c r="E1370" s="27" t="n"/>
      <ns0:c r="F1370" s="28" t="str">
        <ns0:f>IF(A1370="","",YEAR(A1370)&amp;"-"&amp;RIGHT("0"&amp;MONTH(A1370),2))</ns0:f>
        <ns0:v/>
      </ns0:c>
    </ns0:row>
    <ns0:row r="1371" ht="21" customHeight="1">
      <ns0:c r="A1371" s="25" t="n"/>
      <ns0:c r="B1371" s="26" t="n"/>
      <ns0:c r="C1371" s="26" t="n"/>
      <ns0:c r="D1371" s="26" t="n"/>
      <ns0:c r="E1371" s="27" t="n"/>
      <ns0:c r="F1371" s="28" t="str">
        <ns0:f>IF(A1371="","",YEAR(A1371)&amp;"-"&amp;RIGHT("0"&amp;MONTH(A1371),2))</ns0:f>
        <ns0:v/>
      </ns0:c>
    </ns0:row>
    <ns0:row r="1372" ht="21" customHeight="1">
      <ns0:c r="A1372" s="25" t="n"/>
      <ns0:c r="B1372" s="26" t="n"/>
      <ns0:c r="C1372" s="26" t="n"/>
      <ns0:c r="D1372" s="26" t="n"/>
      <ns0:c r="E1372" s="27" t="n"/>
      <ns0:c r="F1372" s="28" t="str">
        <ns0:f>IF(A1372="","",YEAR(A1372)&amp;"-"&amp;RIGHT("0"&amp;MONTH(A1372),2))</ns0:f>
        <ns0:v/>
      </ns0:c>
    </ns0:row>
    <ns0:row r="1373" ht="21" customHeight="1">
      <ns0:c r="A1373" s="25" t="n"/>
      <ns0:c r="B1373" s="26" t="n"/>
      <ns0:c r="C1373" s="26" t="n"/>
      <ns0:c r="D1373" s="26" t="n"/>
      <ns0:c r="E1373" s="27" t="n"/>
      <ns0:c r="F1373" s="28" t="str">
        <ns0:f>IF(A1373="","",YEAR(A1373)&amp;"-"&amp;RIGHT("0"&amp;MONTH(A1373),2))</ns0:f>
        <ns0:v/>
      </ns0:c>
    </ns0:row>
    <ns0:row r="1374" ht="21" customHeight="1">
      <ns0:c r="A1374" s="25" t="n"/>
      <ns0:c r="B1374" s="26" t="n"/>
      <ns0:c r="C1374" s="26" t="n"/>
      <ns0:c r="D1374" s="26" t="n"/>
      <ns0:c r="E1374" s="27" t="n"/>
      <ns0:c r="F1374" s="28" t="str">
        <ns0:f>IF(A1374="","",YEAR(A1374)&amp;"-"&amp;RIGHT("0"&amp;MONTH(A1374),2))</ns0:f>
        <ns0:v/>
      </ns0:c>
    </ns0:row>
    <ns0:row r="1375" ht="21" customHeight="1">
      <ns0:c r="A1375" s="25" t="n"/>
      <ns0:c r="B1375" s="26" t="n"/>
      <ns0:c r="C1375" s="26" t="n"/>
      <ns0:c r="D1375" s="26" t="n"/>
      <ns0:c r="E1375" s="27" t="n"/>
      <ns0:c r="F1375" s="28" t="str">
        <ns0:f>IF(A1375="","",YEAR(A1375)&amp;"-"&amp;RIGHT("0"&amp;MONTH(A1375),2))</ns0:f>
        <ns0:v/>
      </ns0:c>
    </ns0:row>
    <ns0:row r="1376" ht="21" customHeight="1">
      <ns0:c r="A1376" s="25" t="n"/>
      <ns0:c r="B1376" s="26" t="n"/>
      <ns0:c r="C1376" s="26" t="n"/>
      <ns0:c r="D1376" s="26" t="n"/>
      <ns0:c r="E1376" s="27" t="n"/>
      <ns0:c r="F1376" s="28" t="str">
        <ns0:f>IF(A1376="","",YEAR(A1376)&amp;"-"&amp;RIGHT("0"&amp;MONTH(A1376),2))</ns0:f>
        <ns0:v/>
      </ns0:c>
    </ns0:row>
    <ns0:row r="1377" ht="21" customHeight="1">
      <ns0:c r="A1377" s="25" t="n"/>
      <ns0:c r="B1377" s="26" t="n"/>
      <ns0:c r="C1377" s="26" t="n"/>
      <ns0:c r="D1377" s="26" t="n"/>
      <ns0:c r="E1377" s="27" t="n"/>
      <ns0:c r="F1377" s="28" t="str">
        <ns0:f>IF(A1377="","",YEAR(A1377)&amp;"-"&amp;RIGHT("0"&amp;MONTH(A1377),2))</ns0:f>
        <ns0:v/>
      </ns0:c>
    </ns0:row>
    <ns0:row r="1378" ht="21" customHeight="1">
      <ns0:c r="A1378" s="25" t="n"/>
      <ns0:c r="B1378" s="26" t="n"/>
      <ns0:c r="C1378" s="26" t="n"/>
      <ns0:c r="D1378" s="26" t="n"/>
      <ns0:c r="E1378" s="27" t="n"/>
      <ns0:c r="F1378" s="28" t="str">
        <ns0:f>IF(A1378="","",YEAR(A1378)&amp;"-"&amp;RIGHT("0"&amp;MONTH(A1378),2))</ns0:f>
        <ns0:v/>
      </ns0:c>
    </ns0:row>
    <ns0:row r="1379" ht="21" customHeight="1">
      <ns0:c r="A1379" s="25" t="n"/>
      <ns0:c r="B1379" s="26" t="n"/>
      <ns0:c r="C1379" s="26" t="n"/>
      <ns0:c r="D1379" s="26" t="n"/>
      <ns0:c r="E1379" s="27" t="n"/>
      <ns0:c r="F1379" s="28" t="str">
        <ns0:f>IF(A1379="","",YEAR(A1379)&amp;"-"&amp;RIGHT("0"&amp;MONTH(A1379),2))</ns0:f>
        <ns0:v/>
      </ns0:c>
    </ns0:row>
    <ns0:row r="1380" ht="21" customHeight="1">
      <ns0:c r="A1380" s="25" t="n"/>
      <ns0:c r="B1380" s="26" t="n"/>
      <ns0:c r="C1380" s="26" t="n"/>
      <ns0:c r="D1380" s="26" t="n"/>
      <ns0:c r="E1380" s="27" t="n"/>
      <ns0:c r="F1380" s="28" t="str">
        <ns0:f>IF(A1380="","",YEAR(A1380)&amp;"-"&amp;RIGHT("0"&amp;MONTH(A1380),2))</ns0:f>
        <ns0:v/>
      </ns0:c>
    </ns0:row>
    <ns0:row r="1381" ht="21" customHeight="1">
      <ns0:c r="A1381" s="25" t="n"/>
      <ns0:c r="B1381" s="26" t="n"/>
      <ns0:c r="C1381" s="26" t="n"/>
      <ns0:c r="D1381" s="26" t="n"/>
      <ns0:c r="E1381" s="27" t="n"/>
      <ns0:c r="F1381" s="28" t="str">
        <ns0:f>IF(A1381="","",YEAR(A1381)&amp;"-"&amp;RIGHT("0"&amp;MONTH(A1381),2))</ns0:f>
        <ns0:v/>
      </ns0:c>
    </ns0:row>
    <ns0:row r="1382" ht="21" customHeight="1">
      <ns0:c r="A1382" s="25" t="n"/>
      <ns0:c r="B1382" s="26" t="n"/>
      <ns0:c r="C1382" s="26" t="n"/>
      <ns0:c r="D1382" s="26" t="n"/>
      <ns0:c r="E1382" s="27" t="n"/>
      <ns0:c r="F1382" s="28" t="str">
        <ns0:f>IF(A1382="","",YEAR(A1382)&amp;"-"&amp;RIGHT("0"&amp;MONTH(A1382),2))</ns0:f>
        <ns0:v/>
      </ns0:c>
    </ns0:row>
    <ns0:row r="1383" ht="21" customHeight="1">
      <ns0:c r="A1383" s="25" t="n"/>
      <ns0:c r="B1383" s="26" t="n"/>
      <ns0:c r="C1383" s="26" t="n"/>
      <ns0:c r="D1383" s="26" t="n"/>
      <ns0:c r="E1383" s="27" t="n"/>
      <ns0:c r="F1383" s="28" t="str">
        <ns0:f>IF(A1383="","",YEAR(A1383)&amp;"-"&amp;RIGHT("0"&amp;MONTH(A1383),2))</ns0:f>
        <ns0:v/>
      </ns0:c>
    </ns0:row>
    <ns0:row r="1384" ht="21" customHeight="1">
      <ns0:c r="A1384" s="25" t="n"/>
      <ns0:c r="B1384" s="26" t="n"/>
      <ns0:c r="C1384" s="26" t="n"/>
      <ns0:c r="D1384" s="26" t="n"/>
      <ns0:c r="E1384" s="27" t="n"/>
      <ns0:c r="F1384" s="28" t="str">
        <ns0:f>IF(A1384="","",YEAR(A1384)&amp;"-"&amp;RIGHT("0"&amp;MONTH(A1384),2))</ns0:f>
        <ns0:v/>
      </ns0:c>
    </ns0:row>
    <ns0:row r="1385" ht="21" customHeight="1">
      <ns0:c r="A1385" s="25" t="n"/>
      <ns0:c r="B1385" s="26" t="n"/>
      <ns0:c r="C1385" s="26" t="n"/>
      <ns0:c r="D1385" s="26" t="n"/>
      <ns0:c r="E1385" s="27" t="n"/>
      <ns0:c r="F1385" s="28" t="str">
        <ns0:f>IF(A1385="","",YEAR(A1385)&amp;"-"&amp;RIGHT("0"&amp;MONTH(A1385),2))</ns0:f>
        <ns0:v/>
      </ns0:c>
    </ns0:row>
    <ns0:row r="1386" ht="21" customHeight="1">
      <ns0:c r="A1386" s="25" t="n"/>
      <ns0:c r="B1386" s="26" t="n"/>
      <ns0:c r="C1386" s="26" t="n"/>
      <ns0:c r="D1386" s="26" t="n"/>
      <ns0:c r="E1386" s="27" t="n"/>
      <ns0:c r="F1386" s="28" t="str">
        <ns0:f>IF(A1386="","",YEAR(A1386)&amp;"-"&amp;RIGHT("0"&amp;MONTH(A1386),2))</ns0:f>
        <ns0:v/>
      </ns0:c>
    </ns0:row>
    <ns0:row r="1387" ht="21" customHeight="1">
      <ns0:c r="A1387" s="25" t="n"/>
      <ns0:c r="B1387" s="26" t="n"/>
      <ns0:c r="C1387" s="26" t="n"/>
      <ns0:c r="D1387" s="26" t="n"/>
      <ns0:c r="E1387" s="27" t="n"/>
      <ns0:c r="F1387" s="28" t="str">
        <ns0:f>IF(A1387="","",YEAR(A1387)&amp;"-"&amp;RIGHT("0"&amp;MONTH(A1387),2))</ns0:f>
        <ns0:v/>
      </ns0:c>
    </ns0:row>
    <ns0:row r="1388" ht="21" customHeight="1">
      <ns0:c r="A1388" s="25" t="n"/>
      <ns0:c r="B1388" s="26" t="n"/>
      <ns0:c r="C1388" s="26" t="n"/>
      <ns0:c r="D1388" s="26" t="n"/>
      <ns0:c r="E1388" s="27" t="n"/>
      <ns0:c r="F1388" s="28" t="str">
        <ns0:f>IF(A1388="","",YEAR(A1388)&amp;"-"&amp;RIGHT("0"&amp;MONTH(A1388),2))</ns0:f>
        <ns0:v/>
      </ns0:c>
    </ns0:row>
    <ns0:row r="1389" ht="21" customHeight="1">
      <ns0:c r="A1389" s="25" t="n"/>
      <ns0:c r="B1389" s="26" t="n"/>
      <ns0:c r="C1389" s="26" t="n"/>
      <ns0:c r="D1389" s="26" t="n"/>
      <ns0:c r="E1389" s="27" t="n"/>
      <ns0:c r="F1389" s="28" t="str">
        <ns0:f>IF(A1389="","",YEAR(A1389)&amp;"-"&amp;RIGHT("0"&amp;MONTH(A1389),2))</ns0:f>
        <ns0:v/>
      </ns0:c>
    </ns0:row>
    <ns0:row r="1390" ht="21" customHeight="1">
      <ns0:c r="A1390" s="25" t="n"/>
      <ns0:c r="B1390" s="26" t="n"/>
      <ns0:c r="C1390" s="26" t="n"/>
      <ns0:c r="D1390" s="26" t="n"/>
      <ns0:c r="E1390" s="27" t="n"/>
      <ns0:c r="F1390" s="28" t="str">
        <ns0:f>IF(A1390="","",YEAR(A1390)&amp;"-"&amp;RIGHT("0"&amp;MONTH(A1390),2))</ns0:f>
        <ns0:v/>
      </ns0:c>
    </ns0:row>
    <ns0:row r="1391" ht="21" customHeight="1">
      <ns0:c r="A1391" s="25" t="n"/>
      <ns0:c r="B1391" s="26" t="n"/>
      <ns0:c r="C1391" s="26" t="n"/>
      <ns0:c r="D1391" s="26" t="n"/>
      <ns0:c r="E1391" s="27" t="n"/>
      <ns0:c r="F1391" s="28" t="str">
        <ns0:f>IF(A1391="","",YEAR(A1391)&amp;"-"&amp;RIGHT("0"&amp;MONTH(A1391),2))</ns0:f>
        <ns0:v/>
      </ns0:c>
    </ns0:row>
    <ns0:row r="1392" ht="21" customHeight="1">
      <ns0:c r="A1392" s="25" t="n"/>
      <ns0:c r="B1392" s="26" t="n"/>
      <ns0:c r="C1392" s="26" t="n"/>
      <ns0:c r="D1392" s="26" t="n"/>
      <ns0:c r="E1392" s="27" t="n"/>
      <ns0:c r="F1392" s="28" t="str">
        <ns0:f>IF(A1392="","",YEAR(A1392)&amp;"-"&amp;RIGHT("0"&amp;MONTH(A1392),2))</ns0:f>
        <ns0:v/>
      </ns0:c>
    </ns0:row>
    <ns0:row r="1393" ht="21" customHeight="1">
      <ns0:c r="A1393" s="25" t="n"/>
      <ns0:c r="B1393" s="26" t="n"/>
      <ns0:c r="C1393" s="26" t="n"/>
      <ns0:c r="D1393" s="26" t="n"/>
      <ns0:c r="E1393" s="27" t="n"/>
      <ns0:c r="F1393" s="28" t="str">
        <ns0:f>IF(A1393="","",YEAR(A1393)&amp;"-"&amp;RIGHT("0"&amp;MONTH(A1393),2))</ns0:f>
        <ns0:v/>
      </ns0:c>
    </ns0:row>
    <ns0:row r="1394" ht="21" customHeight="1">
      <ns0:c r="A1394" s="25" t="n"/>
      <ns0:c r="B1394" s="26" t="n"/>
      <ns0:c r="C1394" s="26" t="n"/>
      <ns0:c r="D1394" s="26" t="n"/>
      <ns0:c r="E1394" s="27" t="n"/>
      <ns0:c r="F1394" s="28" t="str">
        <ns0:f>IF(A1394="","",YEAR(A1394)&amp;"-"&amp;RIGHT("0"&amp;MONTH(A1394),2))</ns0:f>
        <ns0:v/>
      </ns0:c>
    </ns0:row>
    <ns0:row r="1395" ht="21" customHeight="1">
      <ns0:c r="A1395" s="25" t="n"/>
      <ns0:c r="B1395" s="26" t="n"/>
      <ns0:c r="C1395" s="26" t="n"/>
      <ns0:c r="D1395" s="26" t="n"/>
      <ns0:c r="E1395" s="27" t="n"/>
      <ns0:c r="F1395" s="28" t="str">
        <ns0:f>IF(A1395="","",YEAR(A1395)&amp;"-"&amp;RIGHT("0"&amp;MONTH(A1395),2))</ns0:f>
        <ns0:v/>
      </ns0:c>
    </ns0:row>
    <ns0:row r="1396" ht="21" customHeight="1">
      <ns0:c r="A1396" s="25" t="n"/>
      <ns0:c r="B1396" s="26" t="n"/>
      <ns0:c r="C1396" s="26" t="n"/>
      <ns0:c r="D1396" s="26" t="n"/>
      <ns0:c r="E1396" s="27" t="n"/>
      <ns0:c r="F1396" s="28" t="str">
        <ns0:f>IF(A1396="","",YEAR(A1396)&amp;"-"&amp;RIGHT("0"&amp;MONTH(A1396),2))</ns0:f>
        <ns0:v/>
      </ns0:c>
    </ns0:row>
    <ns0:row r="1397" ht="21" customHeight="1">
      <ns0:c r="A1397" s="25" t="n"/>
      <ns0:c r="B1397" s="26" t="n"/>
      <ns0:c r="C1397" s="26" t="n"/>
      <ns0:c r="D1397" s="26" t="n"/>
      <ns0:c r="E1397" s="27" t="n"/>
      <ns0:c r="F1397" s="28" t="str">
        <ns0:f>IF(A1397="","",YEAR(A1397)&amp;"-"&amp;RIGHT("0"&amp;MONTH(A1397),2))</ns0:f>
        <ns0:v/>
      </ns0:c>
    </ns0:row>
    <ns0:row r="1398" ht="21" customHeight="1">
      <ns0:c r="A1398" s="25" t="n"/>
      <ns0:c r="B1398" s="26" t="n"/>
      <ns0:c r="C1398" s="26" t="n"/>
      <ns0:c r="D1398" s="26" t="n"/>
      <ns0:c r="E1398" s="27" t="n"/>
      <ns0:c r="F1398" s="28" t="str">
        <ns0:f>IF(A1398="","",YEAR(A1398)&amp;"-"&amp;RIGHT("0"&amp;MONTH(A1398),2))</ns0:f>
        <ns0:v/>
      </ns0:c>
    </ns0:row>
    <ns0:row r="1399" ht="21" customHeight="1">
      <ns0:c r="A1399" s="25" t="n"/>
      <ns0:c r="B1399" s="26" t="n"/>
      <ns0:c r="C1399" s="26" t="n"/>
      <ns0:c r="D1399" s="26" t="n"/>
      <ns0:c r="E1399" s="27" t="n"/>
      <ns0:c r="F1399" s="28" t="str">
        <ns0:f>IF(A1399="","",YEAR(A1399)&amp;"-"&amp;RIGHT("0"&amp;MONTH(A1399),2))</ns0:f>
        <ns0:v/>
      </ns0:c>
    </ns0:row>
    <ns0:row r="1400" ht="21" customHeight="1">
      <ns0:c r="A1400" s="25" t="n"/>
      <ns0:c r="B1400" s="26" t="n"/>
      <ns0:c r="C1400" s="26" t="n"/>
      <ns0:c r="D1400" s="26" t="n"/>
      <ns0:c r="E1400" s="27" t="n"/>
      <ns0:c r="F1400" s="28" t="str">
        <ns0:f>IF(A1400="","",YEAR(A1400)&amp;"-"&amp;RIGHT("0"&amp;MONTH(A1400),2))</ns0:f>
        <ns0:v/>
      </ns0:c>
    </ns0:row>
    <ns0:row r="1401" ht="21" customHeight="1">
      <ns0:c r="A1401" s="25" t="n"/>
      <ns0:c r="B1401" s="26" t="n"/>
      <ns0:c r="C1401" s="26" t="n"/>
      <ns0:c r="D1401" s="26" t="n"/>
      <ns0:c r="E1401" s="27" t="n"/>
      <ns0:c r="F1401" s="28" t="str">
        <ns0:f>IF(A1401="","",YEAR(A1401)&amp;"-"&amp;RIGHT("0"&amp;MONTH(A1401),2))</ns0:f>
        <ns0:v/>
      </ns0:c>
    </ns0:row>
    <ns0:row r="1402" ht="21" customHeight="1">
      <ns0:c r="A1402" s="25" t="n"/>
      <ns0:c r="B1402" s="26" t="n"/>
      <ns0:c r="C1402" s="26" t="n"/>
      <ns0:c r="D1402" s="26" t="n"/>
      <ns0:c r="E1402" s="27" t="n"/>
      <ns0:c r="F1402" s="28" t="str">
        <ns0:f>IF(A1402="","",YEAR(A1402)&amp;"-"&amp;RIGHT("0"&amp;MONTH(A1402),2))</ns0:f>
        <ns0:v/>
      </ns0:c>
    </ns0:row>
    <ns0:row r="1403" ht="21" customHeight="1">
      <ns0:c r="A1403" s="25" t="n"/>
      <ns0:c r="B1403" s="26" t="n"/>
      <ns0:c r="C1403" s="26" t="n"/>
      <ns0:c r="D1403" s="26" t="n"/>
      <ns0:c r="E1403" s="27" t="n"/>
      <ns0:c r="F1403" s="28" t="str">
        <ns0:f>IF(A1403="","",YEAR(A1403)&amp;"-"&amp;RIGHT("0"&amp;MONTH(A1403),2))</ns0:f>
        <ns0:v/>
      </ns0:c>
    </ns0:row>
    <ns0:row r="1404" ht="21" customHeight="1">
      <ns0:c r="A1404" s="25" t="n"/>
      <ns0:c r="B1404" s="26" t="n"/>
      <ns0:c r="C1404" s="26" t="n"/>
      <ns0:c r="D1404" s="26" t="n"/>
      <ns0:c r="E1404" s="27" t="n"/>
      <ns0:c r="F1404" s="28" t="str">
        <ns0:f>IF(A1404="","",YEAR(A1404)&amp;"-"&amp;RIGHT("0"&amp;MONTH(A1404),2))</ns0:f>
        <ns0:v/>
      </ns0:c>
    </ns0:row>
    <ns0:row r="1405" ht="21" customHeight="1">
      <ns0:c r="A1405" s="25" t="n"/>
      <ns0:c r="B1405" s="26" t="n"/>
      <ns0:c r="C1405" s="26" t="n"/>
      <ns0:c r="D1405" s="26" t="n"/>
      <ns0:c r="E1405" s="27" t="n"/>
      <ns0:c r="F1405" s="28" t="str">
        <ns0:f>IF(A1405="","",YEAR(A1405)&amp;"-"&amp;RIGHT("0"&amp;MONTH(A1405),2))</ns0:f>
        <ns0:v/>
      </ns0:c>
    </ns0:row>
    <ns0:row r="1406" ht="21" customHeight="1">
      <ns0:c r="A1406" s="25" t="n"/>
      <ns0:c r="B1406" s="26" t="n"/>
      <ns0:c r="C1406" s="26" t="n"/>
      <ns0:c r="D1406" s="26" t="n"/>
      <ns0:c r="E1406" s="27" t="n"/>
      <ns0:c r="F1406" s="28" t="str">
        <ns0:f>IF(A1406="","",YEAR(A1406)&amp;"-"&amp;RIGHT("0"&amp;MONTH(A1406),2))</ns0:f>
        <ns0:v/>
      </ns0:c>
    </ns0:row>
    <ns0:row r="1407" ht="21" customHeight="1">
      <ns0:c r="A1407" s="25" t="n"/>
      <ns0:c r="B1407" s="26" t="n"/>
      <ns0:c r="C1407" s="26" t="n"/>
      <ns0:c r="D1407" s="26" t="n"/>
      <ns0:c r="E1407" s="27" t="n"/>
      <ns0:c r="F1407" s="28" t="str">
        <ns0:f>IF(A1407="","",YEAR(A1407)&amp;"-"&amp;RIGHT("0"&amp;MONTH(A1407),2))</ns0:f>
        <ns0:v/>
      </ns0:c>
    </ns0:row>
    <ns0:row r="1408" ht="21" customHeight="1">
      <ns0:c r="A1408" s="25" t="n"/>
      <ns0:c r="B1408" s="26" t="n"/>
      <ns0:c r="C1408" s="26" t="n"/>
      <ns0:c r="D1408" s="26" t="n"/>
      <ns0:c r="E1408" s="27" t="n"/>
      <ns0:c r="F1408" s="28" t="str">
        <ns0:f>IF(A1408="","",YEAR(A1408)&amp;"-"&amp;RIGHT("0"&amp;MONTH(A1408),2))</ns0:f>
        <ns0:v/>
      </ns0:c>
    </ns0:row>
    <ns0:row r="1409" ht="21" customHeight="1">
      <ns0:c r="A1409" s="25" t="n"/>
      <ns0:c r="B1409" s="26" t="n"/>
      <ns0:c r="C1409" s="26" t="n"/>
      <ns0:c r="D1409" s="26" t="n"/>
      <ns0:c r="E1409" s="27" t="n"/>
      <ns0:c r="F1409" s="28" t="str">
        <ns0:f>IF(A1409="","",YEAR(A1409)&amp;"-"&amp;RIGHT("0"&amp;MONTH(A1409),2))</ns0:f>
        <ns0:v/>
      </ns0:c>
    </ns0:row>
    <ns0:row r="1410" ht="21" customHeight="1">
      <ns0:c r="A1410" s="25" t="n"/>
      <ns0:c r="B1410" s="26" t="n"/>
      <ns0:c r="C1410" s="26" t="n"/>
      <ns0:c r="D1410" s="26" t="n"/>
      <ns0:c r="E1410" s="27" t="n"/>
      <ns0:c r="F1410" s="28" t="str">
        <ns0:f>IF(A1410="","",YEAR(A1410)&amp;"-"&amp;RIGHT("0"&amp;MONTH(A1410),2))</ns0:f>
        <ns0:v/>
      </ns0:c>
    </ns0:row>
    <ns0:row r="1411" ht="21" customHeight="1">
      <ns0:c r="A1411" s="25" t="n"/>
      <ns0:c r="B1411" s="26" t="n"/>
      <ns0:c r="C1411" s="26" t="n"/>
      <ns0:c r="D1411" s="26" t="n"/>
      <ns0:c r="E1411" s="27" t="n"/>
      <ns0:c r="F1411" s="28" t="str">
        <ns0:f>IF(A1411="","",YEAR(A1411)&amp;"-"&amp;RIGHT("0"&amp;MONTH(A1411),2))</ns0:f>
        <ns0:v/>
      </ns0:c>
    </ns0:row>
    <ns0:row r="1412" ht="21" customHeight="1">
      <ns0:c r="A1412" s="25" t="n"/>
      <ns0:c r="B1412" s="26" t="n"/>
      <ns0:c r="C1412" s="26" t="n"/>
      <ns0:c r="D1412" s="26" t="n"/>
      <ns0:c r="E1412" s="27" t="n"/>
      <ns0:c r="F1412" s="28" t="str">
        <ns0:f>IF(A1412="","",YEAR(A1412)&amp;"-"&amp;RIGHT("0"&amp;MONTH(A1412),2))</ns0:f>
        <ns0:v/>
      </ns0:c>
    </ns0:row>
    <ns0:row r="1413" ht="21" customHeight="1">
      <ns0:c r="A1413" s="25" t="n"/>
      <ns0:c r="B1413" s="26" t="n"/>
      <ns0:c r="C1413" s="26" t="n"/>
      <ns0:c r="D1413" s="26" t="n"/>
      <ns0:c r="E1413" s="27" t="n"/>
      <ns0:c r="F1413" s="28" t="str">
        <ns0:f>IF(A1413="","",YEAR(A1413)&amp;"-"&amp;RIGHT("0"&amp;MONTH(A1413),2))</ns0:f>
        <ns0:v/>
      </ns0:c>
    </ns0:row>
    <ns0:row r="1414" ht="21" customHeight="1">
      <ns0:c r="A1414" s="25" t="n"/>
      <ns0:c r="B1414" s="26" t="n"/>
      <ns0:c r="C1414" s="26" t="n"/>
      <ns0:c r="D1414" s="26" t="n"/>
      <ns0:c r="E1414" s="27" t="n"/>
      <ns0:c r="F1414" s="28" t="str">
        <ns0:f>IF(A1414="","",YEAR(A1414)&amp;"-"&amp;RIGHT("0"&amp;MONTH(A1414),2))</ns0:f>
        <ns0:v/>
      </ns0:c>
    </ns0:row>
    <ns0:row r="1415" ht="21" customHeight="1">
      <ns0:c r="A1415" s="25" t="n"/>
      <ns0:c r="B1415" s="26" t="n"/>
      <ns0:c r="C1415" s="26" t="n"/>
      <ns0:c r="D1415" s="26" t="n"/>
      <ns0:c r="E1415" s="27" t="n"/>
      <ns0:c r="F1415" s="28" t="str">
        <ns0:f>IF(A1415="","",YEAR(A1415)&amp;"-"&amp;RIGHT("0"&amp;MONTH(A1415),2))</ns0:f>
        <ns0:v/>
      </ns0:c>
    </ns0:row>
    <ns0:row r="1416" ht="21" customHeight="1">
      <ns0:c r="A1416" s="25" t="n"/>
      <ns0:c r="B1416" s="26" t="n"/>
      <ns0:c r="C1416" s="26" t="n"/>
      <ns0:c r="D1416" s="26" t="n"/>
      <ns0:c r="E1416" s="27" t="n"/>
      <ns0:c r="F1416" s="28" t="str">
        <ns0:f>IF(A1416="","",YEAR(A1416)&amp;"-"&amp;RIGHT("0"&amp;MONTH(A1416),2))</ns0:f>
        <ns0:v/>
      </ns0:c>
    </ns0:row>
    <ns0:row r="1417" ht="21" customHeight="1">
      <ns0:c r="A1417" s="25" t="n"/>
      <ns0:c r="B1417" s="26" t="n"/>
      <ns0:c r="C1417" s="26" t="n"/>
      <ns0:c r="D1417" s="26" t="n"/>
      <ns0:c r="E1417" s="27" t="n"/>
      <ns0:c r="F1417" s="28" t="str">
        <ns0:f>IF(A1417="","",YEAR(A1417)&amp;"-"&amp;RIGHT("0"&amp;MONTH(A1417),2))</ns0:f>
        <ns0:v/>
      </ns0:c>
    </ns0:row>
    <ns0:row r="1418" ht="21" customHeight="1">
      <ns0:c r="A1418" s="25" t="n"/>
      <ns0:c r="B1418" s="26" t="n"/>
      <ns0:c r="C1418" s="26" t="n"/>
      <ns0:c r="D1418" s="26" t="n"/>
      <ns0:c r="E1418" s="27" t="n"/>
      <ns0:c r="F1418" s="28" t="str">
        <ns0:f>IF(A1418="","",YEAR(A1418)&amp;"-"&amp;RIGHT("0"&amp;MONTH(A1418),2))</ns0:f>
        <ns0:v/>
      </ns0:c>
    </ns0:row>
    <ns0:row r="1419" ht="21" customHeight="1">
      <ns0:c r="A1419" s="25" t="n"/>
      <ns0:c r="B1419" s="26" t="n"/>
      <ns0:c r="C1419" s="26" t="n"/>
      <ns0:c r="D1419" s="26" t="n"/>
      <ns0:c r="E1419" s="27" t="n"/>
      <ns0:c r="F1419" s="28" t="str">
        <ns0:f>IF(A1419="","",YEAR(A1419)&amp;"-"&amp;RIGHT("0"&amp;MONTH(A1419),2))</ns0:f>
        <ns0:v/>
      </ns0:c>
    </ns0:row>
    <ns0:row r="1420" ht="21" customHeight="1">
      <ns0:c r="A1420" s="25" t="n"/>
      <ns0:c r="B1420" s="26" t="n"/>
      <ns0:c r="C1420" s="26" t="n"/>
      <ns0:c r="D1420" s="26" t="n"/>
      <ns0:c r="E1420" s="27" t="n"/>
      <ns0:c r="F1420" s="28" t="str">
        <ns0:f>IF(A1420="","",YEAR(A1420)&amp;"-"&amp;RIGHT("0"&amp;MONTH(A1420),2))</ns0:f>
        <ns0:v/>
      </ns0:c>
    </ns0:row>
    <ns0:row r="1421" ht="21" customHeight="1">
      <ns0:c r="A1421" s="25" t="n"/>
      <ns0:c r="B1421" s="26" t="n"/>
      <ns0:c r="C1421" s="26" t="n"/>
      <ns0:c r="D1421" s="26" t="n"/>
      <ns0:c r="E1421" s="27" t="n"/>
      <ns0:c r="F1421" s="28" t="str">
        <ns0:f>IF(A1421="","",YEAR(A1421)&amp;"-"&amp;RIGHT("0"&amp;MONTH(A1421),2))</ns0:f>
        <ns0:v/>
      </ns0:c>
    </ns0:row>
    <ns0:row r="1422" ht="21" customHeight="1">
      <ns0:c r="A1422" s="25" t="n"/>
      <ns0:c r="B1422" s="26" t="n"/>
      <ns0:c r="C1422" s="26" t="n"/>
      <ns0:c r="D1422" s="26" t="n"/>
      <ns0:c r="E1422" s="27" t="n"/>
      <ns0:c r="F1422" s="28" t="str">
        <ns0:f>IF(A1422="","",YEAR(A1422)&amp;"-"&amp;RIGHT("0"&amp;MONTH(A1422),2))</ns0:f>
        <ns0:v/>
      </ns0:c>
    </ns0:row>
    <ns0:row r="1423" ht="21" customHeight="1">
      <ns0:c r="A1423" s="25" t="n"/>
      <ns0:c r="B1423" s="26" t="n"/>
      <ns0:c r="C1423" s="26" t="n"/>
      <ns0:c r="D1423" s="26" t="n"/>
      <ns0:c r="E1423" s="27" t="n"/>
      <ns0:c r="F1423" s="28" t="str">
        <ns0:f>IF(A1423="","",YEAR(A1423)&amp;"-"&amp;RIGHT("0"&amp;MONTH(A1423),2))</ns0:f>
        <ns0:v/>
      </ns0:c>
    </ns0:row>
    <ns0:row r="1424" ht="21" customHeight="1">
      <ns0:c r="A1424" s="25" t="n"/>
      <ns0:c r="B1424" s="26" t="n"/>
      <ns0:c r="C1424" s="26" t="n"/>
      <ns0:c r="D1424" s="26" t="n"/>
      <ns0:c r="E1424" s="27" t="n"/>
      <ns0:c r="F1424" s="28" t="str">
        <ns0:f>IF(A1424="","",YEAR(A1424)&amp;"-"&amp;RIGHT("0"&amp;MONTH(A1424),2))</ns0:f>
        <ns0:v/>
      </ns0:c>
    </ns0:row>
    <ns0:row r="1425" ht="21" customHeight="1">
      <ns0:c r="A1425" s="25" t="n"/>
      <ns0:c r="B1425" s="26" t="n"/>
      <ns0:c r="C1425" s="26" t="n"/>
      <ns0:c r="D1425" s="26" t="n"/>
      <ns0:c r="E1425" s="27" t="n"/>
      <ns0:c r="F1425" s="28" t="str">
        <ns0:f>IF(A1425="","",YEAR(A1425)&amp;"-"&amp;RIGHT("0"&amp;MONTH(A1425),2))</ns0:f>
        <ns0:v/>
      </ns0:c>
    </ns0:row>
    <ns0:row r="1426" ht="21" customHeight="1">
      <ns0:c r="A1426" s="25" t="n"/>
      <ns0:c r="B1426" s="26" t="n"/>
      <ns0:c r="C1426" s="26" t="n"/>
      <ns0:c r="D1426" s="26" t="n"/>
      <ns0:c r="E1426" s="27" t="n"/>
      <ns0:c r="F1426" s="28" t="str">
        <ns0:f>IF(A1426="","",YEAR(A1426)&amp;"-"&amp;RIGHT("0"&amp;MONTH(A1426),2))</ns0:f>
        <ns0:v/>
      </ns0:c>
    </ns0:row>
    <ns0:row r="1427" ht="21" customHeight="1">
      <ns0:c r="A1427" s="25" t="n"/>
      <ns0:c r="B1427" s="26" t="n"/>
      <ns0:c r="C1427" s="26" t="n"/>
      <ns0:c r="D1427" s="26" t="n"/>
      <ns0:c r="E1427" s="27" t="n"/>
      <ns0:c r="F1427" s="28" t="str">
        <ns0:f>IF(A1427="","",YEAR(A1427)&amp;"-"&amp;RIGHT("0"&amp;MONTH(A1427),2))</ns0:f>
        <ns0:v/>
      </ns0:c>
    </ns0:row>
    <ns0:row r="1428" ht="21" customHeight="1">
      <ns0:c r="A1428" s="25" t="n"/>
      <ns0:c r="B1428" s="26" t="n"/>
      <ns0:c r="C1428" s="26" t="n"/>
      <ns0:c r="D1428" s="26" t="n"/>
      <ns0:c r="E1428" s="27" t="n"/>
      <ns0:c r="F1428" s="28" t="str">
        <ns0:f>IF(A1428="","",YEAR(A1428)&amp;"-"&amp;RIGHT("0"&amp;MONTH(A1428),2))</ns0:f>
        <ns0:v/>
      </ns0:c>
    </ns0:row>
    <ns0:row r="1429" ht="21" customHeight="1">
      <ns0:c r="A1429" s="25" t="n"/>
      <ns0:c r="B1429" s="26" t="n"/>
      <ns0:c r="C1429" s="26" t="n"/>
      <ns0:c r="D1429" s="26" t="n"/>
      <ns0:c r="E1429" s="27" t="n"/>
      <ns0:c r="F1429" s="28" t="str">
        <ns0:f>IF(A1429="","",YEAR(A1429)&amp;"-"&amp;RIGHT("0"&amp;MONTH(A1429),2))</ns0:f>
        <ns0:v/>
      </ns0:c>
    </ns0:row>
    <ns0:row r="1430" ht="21" customHeight="1">
      <ns0:c r="A1430" s="25" t="n"/>
      <ns0:c r="B1430" s="26" t="n"/>
      <ns0:c r="C1430" s="26" t="n"/>
      <ns0:c r="D1430" s="26" t="n"/>
      <ns0:c r="E1430" s="27" t="n"/>
      <ns0:c r="F1430" s="28" t="str">
        <ns0:f>IF(A1430="","",YEAR(A1430)&amp;"-"&amp;RIGHT("0"&amp;MONTH(A1430),2))</ns0:f>
        <ns0:v/>
      </ns0:c>
    </ns0:row>
    <ns0:row r="1431" ht="21" customHeight="1">
      <ns0:c r="A1431" s="25" t="n"/>
      <ns0:c r="B1431" s="26" t="n"/>
      <ns0:c r="C1431" s="26" t="n"/>
      <ns0:c r="D1431" s="26" t="n"/>
      <ns0:c r="E1431" s="27" t="n"/>
      <ns0:c r="F1431" s="28" t="str">
        <ns0:f>IF(A1431="","",YEAR(A1431)&amp;"-"&amp;RIGHT("0"&amp;MONTH(A1431),2))</ns0:f>
        <ns0:v/>
      </ns0:c>
    </ns0:row>
    <ns0:row r="1432" ht="21" customHeight="1">
      <ns0:c r="A1432" s="25" t="n"/>
      <ns0:c r="B1432" s="26" t="n"/>
      <ns0:c r="C1432" s="26" t="n"/>
      <ns0:c r="D1432" s="26" t="n"/>
      <ns0:c r="E1432" s="27" t="n"/>
      <ns0:c r="F1432" s="28" t="str">
        <ns0:f>IF(A1432="","",YEAR(A1432)&amp;"-"&amp;RIGHT("0"&amp;MONTH(A1432),2))</ns0:f>
        <ns0:v/>
      </ns0:c>
    </ns0:row>
    <ns0:row r="1433" ht="21" customHeight="1">
      <ns0:c r="A1433" s="25" t="n"/>
      <ns0:c r="B1433" s="26" t="n"/>
      <ns0:c r="C1433" s="26" t="n"/>
      <ns0:c r="D1433" s="26" t="n"/>
      <ns0:c r="E1433" s="27" t="n"/>
      <ns0:c r="F1433" s="28" t="str">
        <ns0:f>IF(A1433="","",YEAR(A1433)&amp;"-"&amp;RIGHT("0"&amp;MONTH(A1433),2))</ns0:f>
        <ns0:v/>
      </ns0:c>
    </ns0:row>
    <ns0:row r="1434" ht="21" customHeight="1">
      <ns0:c r="A1434" s="25" t="n"/>
      <ns0:c r="B1434" s="26" t="n"/>
      <ns0:c r="C1434" s="26" t="n"/>
      <ns0:c r="D1434" s="26" t="n"/>
      <ns0:c r="E1434" s="27" t="n"/>
      <ns0:c r="F1434" s="28" t="str">
        <ns0:f>IF(A1434="","",YEAR(A1434)&amp;"-"&amp;RIGHT("0"&amp;MONTH(A1434),2))</ns0:f>
        <ns0:v/>
      </ns0:c>
    </ns0:row>
    <ns0:row r="1435" ht="21" customHeight="1">
      <ns0:c r="A1435" s="25" t="n"/>
      <ns0:c r="B1435" s="26" t="n"/>
      <ns0:c r="C1435" s="26" t="n"/>
      <ns0:c r="D1435" s="26" t="n"/>
      <ns0:c r="E1435" s="27" t="n"/>
      <ns0:c r="F1435" s="28" t="str">
        <ns0:f>IF(A1435="","",YEAR(A1435)&amp;"-"&amp;RIGHT("0"&amp;MONTH(A1435),2))</ns0:f>
        <ns0:v/>
      </ns0:c>
    </ns0:row>
    <ns0:row r="1436" ht="21" customHeight="1">
      <ns0:c r="A1436" s="25" t="n"/>
      <ns0:c r="B1436" s="26" t="n"/>
      <ns0:c r="C1436" s="26" t="n"/>
      <ns0:c r="D1436" s="26" t="n"/>
      <ns0:c r="E1436" s="27" t="n"/>
      <ns0:c r="F1436" s="28" t="str">
        <ns0:f>IF(A1436="","",YEAR(A1436)&amp;"-"&amp;RIGHT("0"&amp;MONTH(A1436),2))</ns0:f>
        <ns0:v/>
      </ns0:c>
    </ns0:row>
    <ns0:row r="1437" ht="21" customHeight="1">
      <ns0:c r="A1437" s="25" t="n"/>
      <ns0:c r="B1437" s="26" t="n"/>
      <ns0:c r="C1437" s="26" t="n"/>
      <ns0:c r="D1437" s="26" t="n"/>
      <ns0:c r="E1437" s="27" t="n"/>
      <ns0:c r="F1437" s="28" t="str">
        <ns0:f>IF(A1437="","",YEAR(A1437)&amp;"-"&amp;RIGHT("0"&amp;MONTH(A1437),2))</ns0:f>
        <ns0:v/>
      </ns0:c>
    </ns0:row>
    <ns0:row r="1438" ht="21" customHeight="1">
      <ns0:c r="A1438" s="25" t="n"/>
      <ns0:c r="B1438" s="26" t="n"/>
      <ns0:c r="C1438" s="26" t="n"/>
      <ns0:c r="D1438" s="26" t="n"/>
      <ns0:c r="E1438" s="27" t="n"/>
      <ns0:c r="F1438" s="28" t="str">
        <ns0:f>IF(A1438="","",YEAR(A1438)&amp;"-"&amp;RIGHT("0"&amp;MONTH(A1438),2))</ns0:f>
        <ns0:v/>
      </ns0:c>
    </ns0:row>
    <ns0:row r="1439" ht="21" customHeight="1">
      <ns0:c r="A1439" s="25" t="n"/>
      <ns0:c r="B1439" s="26" t="n"/>
      <ns0:c r="C1439" s="26" t="n"/>
      <ns0:c r="D1439" s="26" t="n"/>
      <ns0:c r="E1439" s="27" t="n"/>
      <ns0:c r="F1439" s="28" t="str">
        <ns0:f>IF(A1439="","",YEAR(A1439)&amp;"-"&amp;RIGHT("0"&amp;MONTH(A1439),2))</ns0:f>
        <ns0:v/>
      </ns0:c>
    </ns0:row>
    <ns0:row r="1440" ht="21" customHeight="1">
      <ns0:c r="A1440" s="25" t="n"/>
      <ns0:c r="B1440" s="26" t="n"/>
      <ns0:c r="C1440" s="26" t="n"/>
      <ns0:c r="D1440" s="26" t="n"/>
      <ns0:c r="E1440" s="27" t="n"/>
      <ns0:c r="F1440" s="28" t="str">
        <ns0:f>IF(A1440="","",YEAR(A1440)&amp;"-"&amp;RIGHT("0"&amp;MONTH(A1440),2))</ns0:f>
        <ns0:v/>
      </ns0:c>
    </ns0:row>
    <ns0:row r="1441" ht="21" customHeight="1">
      <ns0:c r="A1441" s="25" t="n"/>
      <ns0:c r="B1441" s="26" t="n"/>
      <ns0:c r="C1441" s="26" t="n"/>
      <ns0:c r="D1441" s="26" t="n"/>
      <ns0:c r="E1441" s="27" t="n"/>
      <ns0:c r="F1441" s="28" t="str">
        <ns0:f>IF(A1441="","",YEAR(A1441)&amp;"-"&amp;RIGHT("0"&amp;MONTH(A1441),2))</ns0:f>
        <ns0:v/>
      </ns0:c>
    </ns0:row>
    <ns0:row r="1442" ht="21" customHeight="1">
      <ns0:c r="A1442" s="25" t="n"/>
      <ns0:c r="B1442" s="26" t="n"/>
      <ns0:c r="C1442" s="26" t="n"/>
      <ns0:c r="D1442" s="26" t="n"/>
      <ns0:c r="E1442" s="27" t="n"/>
      <ns0:c r="F1442" s="28" t="str">
        <ns0:f>IF(A1442="","",YEAR(A1442)&amp;"-"&amp;RIGHT("0"&amp;MONTH(A1442),2))</ns0:f>
        <ns0:v/>
      </ns0:c>
    </ns0:row>
    <ns0:row r="1443" ht="21" customHeight="1">
      <ns0:c r="A1443" s="25" t="n"/>
      <ns0:c r="B1443" s="26" t="n"/>
      <ns0:c r="C1443" s="26" t="n"/>
      <ns0:c r="D1443" s="26" t="n"/>
      <ns0:c r="E1443" s="27" t="n"/>
      <ns0:c r="F1443" s="28" t="str">
        <ns0:f>IF(A1443="","",YEAR(A1443)&amp;"-"&amp;RIGHT("0"&amp;MONTH(A1443),2))</ns0:f>
        <ns0:v/>
      </ns0:c>
    </ns0:row>
    <ns0:row r="1444" ht="21" customHeight="1">
      <ns0:c r="A1444" s="25" t="n"/>
      <ns0:c r="B1444" s="26" t="n"/>
      <ns0:c r="C1444" s="26" t="n"/>
      <ns0:c r="D1444" s="26" t="n"/>
      <ns0:c r="E1444" s="27" t="n"/>
      <ns0:c r="F1444" s="28" t="str">
        <ns0:f>IF(A1444="","",YEAR(A1444)&amp;"-"&amp;RIGHT("0"&amp;MONTH(A1444),2))</ns0:f>
        <ns0:v/>
      </ns0:c>
    </ns0:row>
    <ns0:row r="1445" ht="21" customHeight="1">
      <ns0:c r="A1445" s="25" t="n"/>
      <ns0:c r="B1445" s="26" t="n"/>
      <ns0:c r="C1445" s="26" t="n"/>
      <ns0:c r="D1445" s="26" t="n"/>
      <ns0:c r="E1445" s="27" t="n"/>
      <ns0:c r="F1445" s="28" t="str">
        <ns0:f>IF(A1445="","",YEAR(A1445)&amp;"-"&amp;RIGHT("0"&amp;MONTH(A1445),2))</ns0:f>
        <ns0:v/>
      </ns0:c>
    </ns0:row>
    <ns0:row r="1446" ht="21" customHeight="1">
      <ns0:c r="A1446" s="25" t="n"/>
      <ns0:c r="B1446" s="26" t="n"/>
      <ns0:c r="C1446" s="26" t="n"/>
      <ns0:c r="D1446" s="26" t="n"/>
      <ns0:c r="E1446" s="27" t="n"/>
      <ns0:c r="F1446" s="28" t="str">
        <ns0:f>IF(A1446="","",YEAR(A1446)&amp;"-"&amp;RIGHT("0"&amp;MONTH(A1446),2))</ns0:f>
        <ns0:v/>
      </ns0:c>
    </ns0:row>
    <ns0:row r="1447" ht="21" customHeight="1">
      <ns0:c r="A1447" s="25" t="n"/>
      <ns0:c r="B1447" s="26" t="n"/>
      <ns0:c r="C1447" s="26" t="n"/>
      <ns0:c r="D1447" s="26" t="n"/>
      <ns0:c r="E1447" s="27" t="n"/>
      <ns0:c r="F1447" s="28" t="str">
        <ns0:f>IF(A1447="","",YEAR(A1447)&amp;"-"&amp;RIGHT("0"&amp;MONTH(A1447),2))</ns0:f>
        <ns0:v/>
      </ns0:c>
    </ns0:row>
    <ns0:row r="1448" ht="21" customHeight="1">
      <ns0:c r="A1448" s="25" t="n"/>
      <ns0:c r="B1448" s="26" t="n"/>
      <ns0:c r="C1448" s="26" t="n"/>
      <ns0:c r="D1448" s="26" t="n"/>
      <ns0:c r="E1448" s="27" t="n"/>
      <ns0:c r="F1448" s="28" t="str">
        <ns0:f>IF(A1448="","",YEAR(A1448)&amp;"-"&amp;RIGHT("0"&amp;MONTH(A1448),2))</ns0:f>
        <ns0:v/>
      </ns0:c>
    </ns0:row>
    <ns0:row r="1449" ht="21" customHeight="1">
      <ns0:c r="A1449" s="25" t="n"/>
      <ns0:c r="B1449" s="26" t="n"/>
      <ns0:c r="C1449" s="26" t="n"/>
      <ns0:c r="D1449" s="26" t="n"/>
      <ns0:c r="E1449" s="27" t="n"/>
      <ns0:c r="F1449" s="28" t="str">
        <ns0:f>IF(A1449="","",YEAR(A1449)&amp;"-"&amp;RIGHT("0"&amp;MONTH(A1449),2))</ns0:f>
        <ns0:v/>
      </ns0:c>
    </ns0:row>
    <ns0:row r="1450" ht="21" customHeight="1">
      <ns0:c r="A1450" s="25" t="n"/>
      <ns0:c r="B1450" s="26" t="n"/>
      <ns0:c r="C1450" s="26" t="n"/>
      <ns0:c r="D1450" s="26" t="n"/>
      <ns0:c r="E1450" s="27" t="n"/>
      <ns0:c r="F1450" s="28" t="str">
        <ns0:f>IF(A1450="","",YEAR(A1450)&amp;"-"&amp;RIGHT("0"&amp;MONTH(A1450),2))</ns0:f>
        <ns0:v/>
      </ns0:c>
    </ns0:row>
    <ns0:row r="1451" ht="21" customHeight="1">
      <ns0:c r="A1451" s="25" t="n"/>
      <ns0:c r="B1451" s="26" t="n"/>
      <ns0:c r="C1451" s="26" t="n"/>
      <ns0:c r="D1451" s="26" t="n"/>
      <ns0:c r="E1451" s="27" t="n"/>
      <ns0:c r="F1451" s="28" t="str">
        <ns0:f>IF(A1451="","",YEAR(A1451)&amp;"-"&amp;RIGHT("0"&amp;MONTH(A1451),2))</ns0:f>
        <ns0:v/>
      </ns0:c>
    </ns0:row>
    <ns0:row r="1452" ht="21" customHeight="1">
      <ns0:c r="A1452" s="25" t="n"/>
      <ns0:c r="B1452" s="26" t="n"/>
      <ns0:c r="C1452" s="26" t="n"/>
      <ns0:c r="D1452" s="26" t="n"/>
      <ns0:c r="E1452" s="27" t="n"/>
      <ns0:c r="F1452" s="28" t="str">
        <ns0:f>IF(A1452="","",YEAR(A1452)&amp;"-"&amp;RIGHT("0"&amp;MONTH(A1452),2))</ns0:f>
        <ns0:v/>
      </ns0:c>
    </ns0:row>
    <ns0:row r="1453" ht="21" customHeight="1">
      <ns0:c r="A1453" s="25" t="n"/>
      <ns0:c r="B1453" s="26" t="n"/>
      <ns0:c r="C1453" s="26" t="n"/>
      <ns0:c r="D1453" s="26" t="n"/>
      <ns0:c r="E1453" s="27" t="n"/>
      <ns0:c r="F1453" s="28" t="str">
        <ns0:f>IF(A1453="","",YEAR(A1453)&amp;"-"&amp;RIGHT("0"&amp;MONTH(A1453),2))</ns0:f>
        <ns0:v/>
      </ns0:c>
    </ns0:row>
    <ns0:row r="1454" ht="21" customHeight="1">
      <ns0:c r="A1454" s="25" t="n"/>
      <ns0:c r="B1454" s="26" t="n"/>
      <ns0:c r="C1454" s="26" t="n"/>
      <ns0:c r="D1454" s="26" t="n"/>
      <ns0:c r="E1454" s="27" t="n"/>
      <ns0:c r="F1454" s="28" t="str">
        <ns0:f>IF(A1454="","",YEAR(A1454)&amp;"-"&amp;RIGHT("0"&amp;MONTH(A1454),2))</ns0:f>
        <ns0:v/>
      </ns0:c>
    </ns0:row>
    <ns0:row r="1455" ht="21" customHeight="1">
      <ns0:c r="A1455" s="25" t="n"/>
      <ns0:c r="B1455" s="26" t="n"/>
      <ns0:c r="C1455" s="26" t="n"/>
      <ns0:c r="D1455" s="26" t="n"/>
      <ns0:c r="E1455" s="27" t="n"/>
      <ns0:c r="F1455" s="28" t="str">
        <ns0:f>IF(A1455="","",YEAR(A1455)&amp;"-"&amp;RIGHT("0"&amp;MONTH(A1455),2))</ns0:f>
        <ns0:v/>
      </ns0:c>
    </ns0:row>
    <ns0:row r="1456" ht="21" customHeight="1">
      <ns0:c r="A1456" s="25" t="n"/>
      <ns0:c r="B1456" s="26" t="n"/>
      <ns0:c r="C1456" s="26" t="n"/>
      <ns0:c r="D1456" s="26" t="n"/>
      <ns0:c r="E1456" s="27" t="n"/>
      <ns0:c r="F1456" s="28" t="str">
        <ns0:f>IF(A1456="","",YEAR(A1456)&amp;"-"&amp;RIGHT("0"&amp;MONTH(A1456),2))</ns0:f>
        <ns0:v/>
      </ns0:c>
    </ns0:row>
    <ns0:row r="1457" ht="21" customHeight="1">
      <ns0:c r="A1457" s="25" t="n"/>
      <ns0:c r="B1457" s="26" t="n"/>
      <ns0:c r="C1457" s="26" t="n"/>
      <ns0:c r="D1457" s="26" t="n"/>
      <ns0:c r="E1457" s="27" t="n"/>
      <ns0:c r="F1457" s="28" t="str">
        <ns0:f>IF(A1457="","",YEAR(A1457)&amp;"-"&amp;RIGHT("0"&amp;MONTH(A1457),2))</ns0:f>
        <ns0:v/>
      </ns0:c>
    </ns0:row>
    <ns0:row r="1458" ht="21" customHeight="1">
      <ns0:c r="A1458" s="25" t="n"/>
      <ns0:c r="B1458" s="26" t="n"/>
      <ns0:c r="C1458" s="26" t="n"/>
      <ns0:c r="D1458" s="26" t="n"/>
      <ns0:c r="E1458" s="27" t="n"/>
      <ns0:c r="F1458" s="28" t="str">
        <ns0:f>IF(A1458="","",YEAR(A1458)&amp;"-"&amp;RIGHT("0"&amp;MONTH(A1458),2))</ns0:f>
        <ns0:v/>
      </ns0:c>
    </ns0:row>
    <ns0:row r="1459" ht="21" customHeight="1">
      <ns0:c r="A1459" s="25" t="n"/>
      <ns0:c r="B1459" s="26" t="n"/>
      <ns0:c r="C1459" s="26" t="n"/>
      <ns0:c r="D1459" s="26" t="n"/>
      <ns0:c r="E1459" s="27" t="n"/>
      <ns0:c r="F1459" s="28" t="str">
        <ns0:f>IF(A1459="","",YEAR(A1459)&amp;"-"&amp;RIGHT("0"&amp;MONTH(A1459),2))</ns0:f>
        <ns0:v/>
      </ns0:c>
    </ns0:row>
    <ns0:row r="1460" ht="21" customHeight="1">
      <ns0:c r="A1460" s="25" t="n"/>
      <ns0:c r="B1460" s="26" t="n"/>
      <ns0:c r="C1460" s="26" t="n"/>
      <ns0:c r="D1460" s="26" t="n"/>
      <ns0:c r="E1460" s="27" t="n"/>
      <ns0:c r="F1460" s="28" t="str">
        <ns0:f>IF(A1460="","",YEAR(A1460)&amp;"-"&amp;RIGHT("0"&amp;MONTH(A1460),2))</ns0:f>
        <ns0:v/>
      </ns0:c>
    </ns0:row>
    <ns0:row r="1461" ht="21" customHeight="1">
      <ns0:c r="A1461" s="25" t="n"/>
      <ns0:c r="B1461" s="26" t="n"/>
      <ns0:c r="C1461" s="26" t="n"/>
      <ns0:c r="D1461" s="26" t="n"/>
      <ns0:c r="E1461" s="27" t="n"/>
      <ns0:c r="F1461" s="28" t="str">
        <ns0:f>IF(A1461="","",YEAR(A1461)&amp;"-"&amp;RIGHT("0"&amp;MONTH(A1461),2))</ns0:f>
        <ns0:v/>
      </ns0:c>
    </ns0:row>
    <ns0:row r="1462" ht="21" customHeight="1">
      <ns0:c r="A1462" s="25" t="n"/>
      <ns0:c r="B1462" s="26" t="n"/>
      <ns0:c r="C1462" s="26" t="n"/>
      <ns0:c r="D1462" s="26" t="n"/>
      <ns0:c r="E1462" s="27" t="n"/>
      <ns0:c r="F1462" s="28" t="str">
        <ns0:f>IF(A1462="","",YEAR(A1462)&amp;"-"&amp;RIGHT("0"&amp;MONTH(A1462),2))</ns0:f>
        <ns0:v/>
      </ns0:c>
    </ns0:row>
    <ns0:row r="1463" ht="21" customHeight="1">
      <ns0:c r="A1463" s="25" t="n"/>
      <ns0:c r="B1463" s="26" t="n"/>
      <ns0:c r="C1463" s="26" t="n"/>
      <ns0:c r="D1463" s="26" t="n"/>
      <ns0:c r="E1463" s="27" t="n"/>
      <ns0:c r="F1463" s="28" t="str">
        <ns0:f>IF(A1463="","",YEAR(A1463)&amp;"-"&amp;RIGHT("0"&amp;MONTH(A1463),2))</ns0:f>
        <ns0:v/>
      </ns0:c>
    </ns0:row>
    <ns0:row r="1464" ht="21" customHeight="1">
      <ns0:c r="A1464" s="25" t="n"/>
      <ns0:c r="B1464" s="26" t="n"/>
      <ns0:c r="C1464" s="26" t="n"/>
      <ns0:c r="D1464" s="26" t="n"/>
      <ns0:c r="E1464" s="27" t="n"/>
      <ns0:c r="F1464" s="28" t="str">
        <ns0:f>IF(A1464="","",YEAR(A1464)&amp;"-"&amp;RIGHT("0"&amp;MONTH(A1464),2))</ns0:f>
        <ns0:v/>
      </ns0:c>
    </ns0:row>
    <ns0:row r="1465" ht="21" customHeight="1">
      <ns0:c r="A1465" s="25" t="n"/>
      <ns0:c r="B1465" s="26" t="n"/>
      <ns0:c r="C1465" s="26" t="n"/>
      <ns0:c r="D1465" s="26" t="n"/>
      <ns0:c r="E1465" s="27" t="n"/>
      <ns0:c r="F1465" s="28" t="str">
        <ns0:f>IF(A1465="","",YEAR(A1465)&amp;"-"&amp;RIGHT("0"&amp;MONTH(A1465),2))</ns0:f>
        <ns0:v/>
      </ns0:c>
    </ns0:row>
    <ns0:row r="1466" ht="21" customHeight="1">
      <ns0:c r="A1466" s="25" t="n"/>
      <ns0:c r="B1466" s="26" t="n"/>
      <ns0:c r="C1466" s="26" t="n"/>
      <ns0:c r="D1466" s="26" t="n"/>
      <ns0:c r="E1466" s="27" t="n"/>
      <ns0:c r="F1466" s="28" t="str">
        <ns0:f>IF(A1466="","",YEAR(A1466)&amp;"-"&amp;RIGHT("0"&amp;MONTH(A1466),2))</ns0:f>
        <ns0:v/>
      </ns0:c>
    </ns0:row>
    <ns0:row r="1467" ht="21" customHeight="1">
      <ns0:c r="A1467" s="25" t="n"/>
      <ns0:c r="B1467" s="26" t="n"/>
      <ns0:c r="C1467" s="26" t="n"/>
      <ns0:c r="D1467" s="26" t="n"/>
      <ns0:c r="E1467" s="27" t="n"/>
      <ns0:c r="F1467" s="28" t="str">
        <ns0:f>IF(A1467="","",YEAR(A1467)&amp;"-"&amp;RIGHT("0"&amp;MONTH(A1467),2))</ns0:f>
        <ns0:v/>
      </ns0:c>
    </ns0:row>
    <ns0:row r="1468" ht="21" customHeight="1">
      <ns0:c r="A1468" s="25" t="n"/>
      <ns0:c r="B1468" s="26" t="n"/>
      <ns0:c r="C1468" s="26" t="n"/>
      <ns0:c r="D1468" s="26" t="n"/>
      <ns0:c r="E1468" s="27" t="n"/>
      <ns0:c r="F1468" s="28" t="str">
        <ns0:f>IF(A1468="","",YEAR(A1468)&amp;"-"&amp;RIGHT("0"&amp;MONTH(A1468),2))</ns0:f>
        <ns0:v/>
      </ns0:c>
    </ns0:row>
    <ns0:row r="1469" ht="21" customHeight="1">
      <ns0:c r="A1469" s="25" t="n"/>
      <ns0:c r="B1469" s="26" t="n"/>
      <ns0:c r="C1469" s="26" t="n"/>
      <ns0:c r="D1469" s="26" t="n"/>
      <ns0:c r="E1469" s="27" t="n"/>
      <ns0:c r="F1469" s="28" t="str">
        <ns0:f>IF(A1469="","",YEAR(A1469)&amp;"-"&amp;RIGHT("0"&amp;MONTH(A1469),2))</ns0:f>
        <ns0:v/>
      </ns0:c>
    </ns0:row>
    <ns0:row r="1470" ht="21" customHeight="1">
      <ns0:c r="A1470" s="25" t="n"/>
      <ns0:c r="B1470" s="26" t="n"/>
      <ns0:c r="C1470" s="26" t="n"/>
      <ns0:c r="D1470" s="26" t="n"/>
      <ns0:c r="E1470" s="27" t="n"/>
      <ns0:c r="F1470" s="28" t="str">
        <ns0:f>IF(A1470="","",YEAR(A1470)&amp;"-"&amp;RIGHT("0"&amp;MONTH(A1470),2))</ns0:f>
        <ns0:v/>
      </ns0:c>
    </ns0:row>
    <ns0:row r="1471" ht="21" customHeight="1">
      <ns0:c r="A1471" s="25" t="n"/>
      <ns0:c r="B1471" s="26" t="n"/>
      <ns0:c r="C1471" s="26" t="n"/>
      <ns0:c r="D1471" s="26" t="n"/>
      <ns0:c r="E1471" s="27" t="n"/>
      <ns0:c r="F1471" s="28" t="str">
        <ns0:f>IF(A1471="","",YEAR(A1471)&amp;"-"&amp;RIGHT("0"&amp;MONTH(A1471),2))</ns0:f>
        <ns0:v/>
      </ns0:c>
    </ns0:row>
    <ns0:row r="1472" ht="21" customHeight="1">
      <ns0:c r="A1472" s="25" t="n"/>
      <ns0:c r="B1472" s="26" t="n"/>
      <ns0:c r="C1472" s="26" t="n"/>
      <ns0:c r="D1472" s="26" t="n"/>
      <ns0:c r="E1472" s="27" t="n"/>
      <ns0:c r="F1472" s="28" t="str">
        <ns0:f>IF(A1472="","",YEAR(A1472)&amp;"-"&amp;RIGHT("0"&amp;MONTH(A1472),2))</ns0:f>
        <ns0:v/>
      </ns0:c>
    </ns0:row>
    <ns0:row r="1473" ht="21" customHeight="1">
      <ns0:c r="A1473" s="25" t="n"/>
      <ns0:c r="B1473" s="26" t="n"/>
      <ns0:c r="C1473" s="26" t="n"/>
      <ns0:c r="D1473" s="26" t="n"/>
      <ns0:c r="E1473" s="27" t="n"/>
      <ns0:c r="F1473" s="28" t="str">
        <ns0:f>IF(A1473="","",YEAR(A1473)&amp;"-"&amp;RIGHT("0"&amp;MONTH(A1473),2))</ns0:f>
        <ns0:v/>
      </ns0:c>
    </ns0:row>
    <ns0:row r="1474" ht="21" customHeight="1">
      <ns0:c r="A1474" s="25" t="n"/>
      <ns0:c r="B1474" s="26" t="n"/>
      <ns0:c r="C1474" s="26" t="n"/>
      <ns0:c r="D1474" s="26" t="n"/>
      <ns0:c r="E1474" s="27" t="n"/>
      <ns0:c r="F1474" s="28" t="str">
        <ns0:f>IF(A1474="","",YEAR(A1474)&amp;"-"&amp;RIGHT("0"&amp;MONTH(A1474),2))</ns0:f>
        <ns0:v/>
      </ns0:c>
    </ns0:row>
    <ns0:row r="1475" ht="21" customHeight="1">
      <ns0:c r="A1475" s="25" t="n"/>
      <ns0:c r="B1475" s="26" t="n"/>
      <ns0:c r="C1475" s="26" t="n"/>
      <ns0:c r="D1475" s="26" t="n"/>
      <ns0:c r="E1475" s="27" t="n"/>
      <ns0:c r="F1475" s="28" t="str">
        <ns0:f>IF(A1475="","",YEAR(A1475)&amp;"-"&amp;RIGHT("0"&amp;MONTH(A1475),2))</ns0:f>
        <ns0:v/>
      </ns0:c>
    </ns0:row>
    <ns0:row r="1476" ht="21" customHeight="1">
      <ns0:c r="A1476" s="25" t="n"/>
      <ns0:c r="B1476" s="26" t="n"/>
      <ns0:c r="C1476" s="26" t="n"/>
      <ns0:c r="D1476" s="26" t="n"/>
      <ns0:c r="E1476" s="27" t="n"/>
      <ns0:c r="F1476" s="28" t="str">
        <ns0:f>IF(A1476="","",YEAR(A1476)&amp;"-"&amp;RIGHT("0"&amp;MONTH(A1476),2))</ns0:f>
        <ns0:v/>
      </ns0:c>
    </ns0:row>
    <ns0:row r="1477" ht="21" customHeight="1">
      <ns0:c r="A1477" s="25" t="n"/>
      <ns0:c r="B1477" s="26" t="n"/>
      <ns0:c r="C1477" s="26" t="n"/>
      <ns0:c r="D1477" s="26" t="n"/>
      <ns0:c r="E1477" s="27" t="n"/>
      <ns0:c r="F1477" s="28" t="str">
        <ns0:f>IF(A1477="","",YEAR(A1477)&amp;"-"&amp;RIGHT("0"&amp;MONTH(A1477),2))</ns0:f>
        <ns0:v/>
      </ns0:c>
    </ns0:row>
    <ns0:row r="1478" ht="21" customHeight="1">
      <ns0:c r="A1478" s="25" t="n"/>
      <ns0:c r="B1478" s="26" t="n"/>
      <ns0:c r="C1478" s="26" t="n"/>
      <ns0:c r="D1478" s="26" t="n"/>
      <ns0:c r="E1478" s="27" t="n"/>
      <ns0:c r="F1478" s="28" t="str">
        <ns0:f>IF(A1478="","",YEAR(A1478)&amp;"-"&amp;RIGHT("0"&amp;MONTH(A1478),2))</ns0:f>
        <ns0:v/>
      </ns0:c>
    </ns0:row>
    <ns0:row r="1479" ht="21" customHeight="1">
      <ns0:c r="A1479" s="25" t="n"/>
      <ns0:c r="B1479" s="26" t="n"/>
      <ns0:c r="C1479" s="26" t="n"/>
      <ns0:c r="D1479" s="26" t="n"/>
      <ns0:c r="E1479" s="27" t="n"/>
      <ns0:c r="F1479" s="28" t="str">
        <ns0:f>IF(A1479="","",YEAR(A1479)&amp;"-"&amp;RIGHT("0"&amp;MONTH(A1479),2))</ns0:f>
        <ns0:v/>
      </ns0:c>
    </ns0:row>
    <ns0:row r="1480" ht="21" customHeight="1">
      <ns0:c r="A1480" s="25" t="n"/>
      <ns0:c r="B1480" s="26" t="n"/>
      <ns0:c r="C1480" s="26" t="n"/>
      <ns0:c r="D1480" s="26" t="n"/>
      <ns0:c r="E1480" s="27" t="n"/>
      <ns0:c r="F1480" s="28" t="str">
        <ns0:f>IF(A1480="","",YEAR(A1480)&amp;"-"&amp;RIGHT("0"&amp;MONTH(A1480),2))</ns0:f>
        <ns0:v/>
      </ns0:c>
    </ns0:row>
    <ns0:row r="1481" ht="21" customHeight="1">
      <ns0:c r="A1481" s="25" t="n"/>
      <ns0:c r="B1481" s="26" t="n"/>
      <ns0:c r="C1481" s="26" t="n"/>
      <ns0:c r="D1481" s="26" t="n"/>
      <ns0:c r="E1481" s="27" t="n"/>
      <ns0:c r="F1481" s="28" t="str">
        <ns0:f>IF(A1481="","",YEAR(A1481)&amp;"-"&amp;RIGHT("0"&amp;MONTH(A1481),2))</ns0:f>
        <ns0:v/>
      </ns0:c>
    </ns0:row>
    <ns0:row r="1482" ht="21" customHeight="1">
      <ns0:c r="A1482" s="25" t="n"/>
      <ns0:c r="B1482" s="26" t="n"/>
      <ns0:c r="C1482" s="26" t="n"/>
      <ns0:c r="D1482" s="26" t="n"/>
      <ns0:c r="E1482" s="27" t="n"/>
      <ns0:c r="F1482" s="28" t="str">
        <ns0:f>IF(A1482="","",YEAR(A1482)&amp;"-"&amp;RIGHT("0"&amp;MONTH(A1482),2))</ns0:f>
        <ns0:v/>
      </ns0:c>
    </ns0:row>
    <ns0:row r="1483" ht="21" customHeight="1">
      <ns0:c r="A1483" s="25" t="n"/>
      <ns0:c r="B1483" s="26" t="n"/>
      <ns0:c r="C1483" s="26" t="n"/>
      <ns0:c r="D1483" s="26" t="n"/>
      <ns0:c r="E1483" s="27" t="n"/>
      <ns0:c r="F1483" s="28" t="str">
        <ns0:f>IF(A1483="","",YEAR(A1483)&amp;"-"&amp;RIGHT("0"&amp;MONTH(A1483),2))</ns0:f>
        <ns0:v/>
      </ns0:c>
    </ns0:row>
    <ns0:row r="1484" ht="21" customHeight="1">
      <ns0:c r="A1484" s="25" t="n"/>
      <ns0:c r="B1484" s="26" t="n"/>
      <ns0:c r="C1484" s="26" t="n"/>
      <ns0:c r="D1484" s="26" t="n"/>
      <ns0:c r="E1484" s="27" t="n"/>
      <ns0:c r="F1484" s="28" t="str">
        <ns0:f>IF(A1484="","",YEAR(A1484)&amp;"-"&amp;RIGHT("0"&amp;MONTH(A1484),2))</ns0:f>
        <ns0:v/>
      </ns0:c>
    </ns0:row>
    <ns0:row r="1485" ht="21" customHeight="1">
      <ns0:c r="A1485" s="25" t="n"/>
      <ns0:c r="B1485" s="26" t="n"/>
      <ns0:c r="C1485" s="26" t="n"/>
      <ns0:c r="D1485" s="26" t="n"/>
      <ns0:c r="E1485" s="27" t="n"/>
      <ns0:c r="F1485" s="28" t="str">
        <ns0:f>IF(A1485="","",YEAR(A1485)&amp;"-"&amp;RIGHT("0"&amp;MONTH(A1485),2))</ns0:f>
        <ns0:v/>
      </ns0:c>
    </ns0:row>
    <ns0:row r="1486" ht="21" customHeight="1">
      <ns0:c r="A1486" s="25" t="n"/>
      <ns0:c r="B1486" s="26" t="n"/>
      <ns0:c r="C1486" s="26" t="n"/>
      <ns0:c r="D1486" s="26" t="n"/>
      <ns0:c r="E1486" s="27" t="n"/>
      <ns0:c r="F1486" s="28" t="str">
        <ns0:f>IF(A1486="","",YEAR(A1486)&amp;"-"&amp;RIGHT("0"&amp;MONTH(A1486),2))</ns0:f>
        <ns0:v/>
      </ns0:c>
    </ns0:row>
    <ns0:row r="1487" ht="21" customHeight="1">
      <ns0:c r="A1487" s="25" t="n"/>
      <ns0:c r="B1487" s="26" t="n"/>
      <ns0:c r="C1487" s="26" t="n"/>
      <ns0:c r="D1487" s="26" t="n"/>
      <ns0:c r="E1487" s="27" t="n"/>
      <ns0:c r="F1487" s="28" t="str">
        <ns0:f>IF(A1487="","",YEAR(A1487)&amp;"-"&amp;RIGHT("0"&amp;MONTH(A1487),2))</ns0:f>
        <ns0:v/>
      </ns0:c>
    </ns0:row>
    <ns0:row r="1488" ht="21" customHeight="1">
      <ns0:c r="A1488" s="25" t="n"/>
      <ns0:c r="B1488" s="26" t="n"/>
      <ns0:c r="C1488" s="26" t="n"/>
      <ns0:c r="D1488" s="26" t="n"/>
      <ns0:c r="E1488" s="27" t="n"/>
      <ns0:c r="F1488" s="28" t="str">
        <ns0:f>IF(A1488="","",YEAR(A1488)&amp;"-"&amp;RIGHT("0"&amp;MONTH(A1488),2))</ns0:f>
        <ns0:v/>
      </ns0:c>
    </ns0:row>
    <ns0:row r="1489" ht="21" customHeight="1">
      <ns0:c r="A1489" s="25" t="n"/>
      <ns0:c r="B1489" s="26" t="n"/>
      <ns0:c r="C1489" s="26" t="n"/>
      <ns0:c r="D1489" s="26" t="n"/>
      <ns0:c r="E1489" s="27" t="n"/>
      <ns0:c r="F1489" s="28" t="str">
        <ns0:f>IF(A1489="","",YEAR(A1489)&amp;"-"&amp;RIGHT("0"&amp;MONTH(A1489),2))</ns0:f>
        <ns0:v/>
      </ns0:c>
    </ns0:row>
    <ns0:row r="1490" ht="21" customHeight="1">
      <ns0:c r="A1490" s="25" t="n"/>
      <ns0:c r="B1490" s="26" t="n"/>
      <ns0:c r="C1490" s="26" t="n"/>
      <ns0:c r="D1490" s="26" t="n"/>
      <ns0:c r="E1490" s="27" t="n"/>
      <ns0:c r="F1490" s="28" t="str">
        <ns0:f>IF(A1490="","",YEAR(A1490)&amp;"-"&amp;RIGHT("0"&amp;MONTH(A1490),2))</ns0:f>
        <ns0:v/>
      </ns0:c>
    </ns0:row>
    <ns0:row r="1491" ht="21" customHeight="1">
      <ns0:c r="A1491" s="25" t="n"/>
      <ns0:c r="B1491" s="26" t="n"/>
      <ns0:c r="C1491" s="26" t="n"/>
      <ns0:c r="D1491" s="26" t="n"/>
      <ns0:c r="E1491" s="27" t="n"/>
      <ns0:c r="F1491" s="28" t="str">
        <ns0:f>IF(A1491="","",YEAR(A1491)&amp;"-"&amp;RIGHT("0"&amp;MONTH(A1491),2))</ns0:f>
        <ns0:v/>
      </ns0:c>
    </ns0:row>
    <ns0:row r="1492" ht="21" customHeight="1">
      <ns0:c r="A1492" s="25" t="n"/>
      <ns0:c r="B1492" s="26" t="n"/>
      <ns0:c r="C1492" s="26" t="n"/>
      <ns0:c r="D1492" s="26" t="n"/>
      <ns0:c r="E1492" s="27" t="n"/>
      <ns0:c r="F1492" s="28" t="str">
        <ns0:f>IF(A1492="","",YEAR(A1492)&amp;"-"&amp;RIGHT("0"&amp;MONTH(A1492),2))</ns0:f>
        <ns0:v/>
      </ns0:c>
    </ns0:row>
    <ns0:row r="1493" ht="21" customHeight="1">
      <ns0:c r="A1493" s="25" t="n"/>
      <ns0:c r="B1493" s="26" t="n"/>
      <ns0:c r="C1493" s="26" t="n"/>
      <ns0:c r="D1493" s="26" t="n"/>
      <ns0:c r="E1493" s="27" t="n"/>
      <ns0:c r="F1493" s="28" t="str">
        <ns0:f>IF(A1493="","",YEAR(A1493)&amp;"-"&amp;RIGHT("0"&amp;MONTH(A1493),2))</ns0:f>
        <ns0:v/>
      </ns0:c>
    </ns0:row>
    <ns0:row r="1494" ht="21" customHeight="1">
      <ns0:c r="A1494" s="25" t="n"/>
      <ns0:c r="B1494" s="26" t="n"/>
      <ns0:c r="C1494" s="26" t="n"/>
      <ns0:c r="D1494" s="26" t="n"/>
      <ns0:c r="E1494" s="27" t="n"/>
      <ns0:c r="F1494" s="28" t="str">
        <ns0:f>IF(A1494="","",YEAR(A1494)&amp;"-"&amp;RIGHT("0"&amp;MONTH(A1494),2))</ns0:f>
        <ns0:v/>
      </ns0:c>
    </ns0:row>
    <ns0:row r="1495" ht="21" customHeight="1">
      <ns0:c r="A1495" s="25" t="n"/>
      <ns0:c r="B1495" s="26" t="n"/>
      <ns0:c r="C1495" s="26" t="n"/>
      <ns0:c r="D1495" s="26" t="n"/>
      <ns0:c r="E1495" s="27" t="n"/>
      <ns0:c r="F1495" s="28" t="str">
        <ns0:f>IF(A1495="","",YEAR(A1495)&amp;"-"&amp;RIGHT("0"&amp;MONTH(A1495),2))</ns0:f>
        <ns0:v/>
      </ns0:c>
    </ns0:row>
    <ns0:row r="1496" ht="21" customHeight="1">
      <ns0:c r="A1496" s="25" t="n"/>
      <ns0:c r="B1496" s="26" t="n"/>
      <ns0:c r="C1496" s="26" t="n"/>
      <ns0:c r="D1496" s="26" t="n"/>
      <ns0:c r="E1496" s="27" t="n"/>
      <ns0:c r="F1496" s="28" t="str">
        <ns0:f>IF(A1496="","",YEAR(A1496)&amp;"-"&amp;RIGHT("0"&amp;MONTH(A1496),2))</ns0:f>
        <ns0:v/>
      </ns0:c>
    </ns0:row>
    <ns0:row r="1497" ht="21" customHeight="1">
      <ns0:c r="A1497" s="25" t="n"/>
      <ns0:c r="B1497" s="26" t="n"/>
      <ns0:c r="C1497" s="26" t="n"/>
      <ns0:c r="D1497" s="26" t="n"/>
      <ns0:c r="E1497" s="27" t="n"/>
      <ns0:c r="F1497" s="28" t="str">
        <ns0:f>IF(A1497="","",YEAR(A1497)&amp;"-"&amp;RIGHT("0"&amp;MONTH(A1497),2))</ns0:f>
        <ns0:v/>
      </ns0:c>
    </ns0:row>
    <ns0:row r="1498" ht="21" customHeight="1">
      <ns0:c r="A1498" s="25" t="n"/>
      <ns0:c r="B1498" s="26" t="n"/>
      <ns0:c r="C1498" s="26" t="n"/>
      <ns0:c r="D1498" s="26" t="n"/>
      <ns0:c r="E1498" s="27" t="n"/>
      <ns0:c r="F1498" s="28" t="str">
        <ns0:f>IF(A1498="","",YEAR(A1498)&amp;"-"&amp;RIGHT("0"&amp;MONTH(A1498),2))</ns0:f>
        <ns0:v/>
      </ns0:c>
    </ns0:row>
    <ns0:row r="1499" ht="21" customHeight="1">
      <ns0:c r="A1499" s="25" t="n"/>
      <ns0:c r="B1499" s="26" t="n"/>
      <ns0:c r="C1499" s="26" t="n"/>
      <ns0:c r="D1499" s="26" t="n"/>
      <ns0:c r="E1499" s="27" t="n"/>
      <ns0:c r="F1499" s="28" t="str">
        <ns0:f>IF(A1499="","",YEAR(A1499)&amp;"-"&amp;RIGHT("0"&amp;MONTH(A1499),2))</ns0:f>
        <ns0:v/>
      </ns0:c>
    </ns0:row>
    <ns0:row r="1500" ht="21" customHeight="1">
      <ns0:c r="A1500" s="25" t="n"/>
      <ns0:c r="B1500" s="26" t="n"/>
      <ns0:c r="C1500" s="26" t="n"/>
      <ns0:c r="D1500" s="26" t="n"/>
      <ns0:c r="E1500" s="27" t="n"/>
      <ns0:c r="F1500" s="28" t="str">
        <ns0:f>IF(A1500="","",YEAR(A1500)&amp;"-"&amp;RIGHT("0"&amp;MONTH(A1500),2))</ns0:f>
        <ns0:v/>
      </ns0:c>
    </ns0:row>
    <ns0:row r="1501" ht="21" customHeight="1">
      <ns0:c r="A1501" s="25" t="n"/>
      <ns0:c r="B1501" s="26" t="n"/>
      <ns0:c r="C1501" s="26" t="n"/>
      <ns0:c r="D1501" s="26" t="n"/>
      <ns0:c r="E1501" s="27" t="n"/>
      <ns0:c r="F1501" s="28" t="str">
        <ns0:f>IF(A1501="","",YEAR(A1501)&amp;"-"&amp;RIGHT("0"&amp;MONTH(A1501),2))</ns0:f>
        <ns0:v/>
      </ns0:c>
    </ns0:row>
    <ns0:row r="1502" ht="21" customHeight="1">
      <ns0:c r="A1502" s="25" t="n"/>
      <ns0:c r="B1502" s="26" t="n"/>
      <ns0:c r="C1502" s="26" t="n"/>
      <ns0:c r="D1502" s="26" t="n"/>
      <ns0:c r="E1502" s="27" t="n"/>
      <ns0:c r="F1502" s="28" t="str">
        <ns0:f>IF(A1502="","",YEAR(A1502)&amp;"-"&amp;RIGHT("0"&amp;MONTH(A1502),2))</ns0:f>
        <ns0:v/>
      </ns0:c>
    </ns0:row>
    <ns0:row r="1503" ht="21" customHeight="1">
      <ns0:c r="A1503" s="25" t="n"/>
      <ns0:c r="B1503" s="26" t="n"/>
      <ns0:c r="C1503" s="26" t="n"/>
      <ns0:c r="D1503" s="26" t="n"/>
      <ns0:c r="E1503" s="27" t="n"/>
      <ns0:c r="F1503" s="28" t="str">
        <ns0:f>IF(A1503="","",YEAR(A1503)&amp;"-"&amp;RIGHT("0"&amp;MONTH(A1503),2))</ns0:f>
        <ns0:v/>
      </ns0:c>
    </ns0:row>
    <ns0:row r="1504" ht="21" customHeight="1">
      <ns0:c r="A1504" s="25" t="n"/>
      <ns0:c r="B1504" s="26" t="n"/>
      <ns0:c r="C1504" s="26" t="n"/>
      <ns0:c r="D1504" s="26" t="n"/>
      <ns0:c r="E1504" s="27" t="n"/>
      <ns0:c r="F1504" s="28" t="str">
        <ns0:f>IF(A1504="","",YEAR(A1504)&amp;"-"&amp;RIGHT("0"&amp;MONTH(A1504),2))</ns0:f>
        <ns0:v/>
      </ns0:c>
    </ns0:row>
    <ns0:row r="1505" ht="21" customHeight="1">
      <ns0:c r="A1505" s="25" t="n"/>
      <ns0:c r="B1505" s="26" t="n"/>
      <ns0:c r="C1505" s="26" t="n"/>
      <ns0:c r="D1505" s="26" t="n"/>
      <ns0:c r="E1505" s="27" t="n"/>
      <ns0:c r="F1505" s="28" t="str">
        <ns0:f>IF(A1505="","",YEAR(A1505)&amp;"-"&amp;RIGHT("0"&amp;MONTH(A1505),2))</ns0:f>
        <ns0:v/>
      </ns0:c>
    </ns0:row>
    <ns0:row r="1506" ht="21" customHeight="1">
      <ns0:c r="A1506" s="25" t="n"/>
      <ns0:c r="B1506" s="26" t="n"/>
      <ns0:c r="C1506" s="26" t="n"/>
      <ns0:c r="D1506" s="26" t="n"/>
      <ns0:c r="E1506" s="27" t="n"/>
      <ns0:c r="F1506" s="28" t="str">
        <ns0:f>IF(A1506="","",YEAR(A1506)&amp;"-"&amp;RIGHT("0"&amp;MONTH(A1506),2))</ns0:f>
        <ns0:v/>
      </ns0:c>
    </ns0:row>
    <ns0:row r="1507" ht="21" customHeight="1">
      <ns0:c r="A1507" s="25" t="n"/>
      <ns0:c r="B1507" s="26" t="n"/>
      <ns0:c r="C1507" s="26" t="n"/>
      <ns0:c r="D1507" s="26" t="n"/>
      <ns0:c r="E1507" s="27" t="n"/>
      <ns0:c r="F1507" s="28" t="str">
        <ns0:f>IF(A1507="","",YEAR(A1507)&amp;"-"&amp;RIGHT("0"&amp;MONTH(A1507),2))</ns0:f>
        <ns0:v/>
      </ns0:c>
    </ns0:row>
    <ns0:row r="1508" ht="21" customHeight="1">
      <ns0:c r="A1508" s="25" t="n"/>
      <ns0:c r="B1508" s="26" t="n"/>
      <ns0:c r="C1508" s="26" t="n"/>
      <ns0:c r="D1508" s="26" t="n"/>
      <ns0:c r="E1508" s="27" t="n"/>
      <ns0:c r="F1508" s="28" t="str">
        <ns0:f>IF(A1508="","",YEAR(A1508)&amp;"-"&amp;RIGHT("0"&amp;MONTH(A1508),2))</ns0:f>
        <ns0:v/>
      </ns0:c>
    </ns0:row>
    <ns0:row r="1509" ht="21" customHeight="1">
      <ns0:c r="A1509" s="25" t="n"/>
      <ns0:c r="B1509" s="26" t="n"/>
      <ns0:c r="C1509" s="26" t="n"/>
      <ns0:c r="D1509" s="26" t="n"/>
      <ns0:c r="E1509" s="27" t="n"/>
      <ns0:c r="F1509" s="28" t="str">
        <ns0:f>IF(A1509="","",YEAR(A1509)&amp;"-"&amp;RIGHT("0"&amp;MONTH(A1509),2))</ns0:f>
        <ns0:v/>
      </ns0:c>
    </ns0:row>
    <ns0:row r="1510" ht="21" customHeight="1">
      <ns0:c r="A1510" s="25" t="n"/>
      <ns0:c r="B1510" s="26" t="n"/>
      <ns0:c r="C1510" s="26" t="n"/>
      <ns0:c r="D1510" s="26" t="n"/>
      <ns0:c r="E1510" s="27" t="n"/>
      <ns0:c r="F1510" s="28" t="str">
        <ns0:f>IF(A1510="","",YEAR(A1510)&amp;"-"&amp;RIGHT("0"&amp;MONTH(A1510),2))</ns0:f>
        <ns0:v/>
      </ns0:c>
    </ns0:row>
    <ns0:row r="1511" ht="21" customHeight="1">
      <ns0:c r="A1511" s="25" t="n"/>
      <ns0:c r="B1511" s="26" t="n"/>
      <ns0:c r="C1511" s="26" t="n"/>
      <ns0:c r="D1511" s="26" t="n"/>
      <ns0:c r="E1511" s="27" t="n"/>
      <ns0:c r="F1511" s="28" t="str">
        <ns0:f>IF(A1511="","",YEAR(A1511)&amp;"-"&amp;RIGHT("0"&amp;MONTH(A1511),2))</ns0:f>
        <ns0:v/>
      </ns0:c>
    </ns0:row>
    <ns0:row r="1512" ht="21" customHeight="1">
      <ns0:c r="A1512" s="25" t="n"/>
      <ns0:c r="B1512" s="26" t="n"/>
      <ns0:c r="C1512" s="26" t="n"/>
      <ns0:c r="D1512" s="26" t="n"/>
      <ns0:c r="E1512" s="27" t="n"/>
      <ns0:c r="F1512" s="28" t="str">
        <ns0:f>IF(A1512="","",YEAR(A1512)&amp;"-"&amp;RIGHT("0"&amp;MONTH(A1512),2))</ns0:f>
        <ns0:v/>
      </ns0:c>
    </ns0:row>
    <ns0:row r="1513" ht="21" customHeight="1">
      <ns0:c r="A1513" s="25" t="n"/>
      <ns0:c r="B1513" s="26" t="n"/>
      <ns0:c r="C1513" s="26" t="n"/>
      <ns0:c r="D1513" s="26" t="n"/>
      <ns0:c r="E1513" s="27" t="n"/>
      <ns0:c r="F1513" s="28" t="str">
        <ns0:f>IF(A1513="","",YEAR(A1513)&amp;"-"&amp;RIGHT("0"&amp;MONTH(A1513),2))</ns0:f>
        <ns0:v/>
      </ns0:c>
    </ns0:row>
    <ns0:row r="1514" ht="21" customHeight="1">
      <ns0:c r="A1514" s="25" t="n"/>
      <ns0:c r="B1514" s="26" t="n"/>
      <ns0:c r="C1514" s="26" t="n"/>
      <ns0:c r="D1514" s="26" t="n"/>
      <ns0:c r="E1514" s="27" t="n"/>
      <ns0:c r="F1514" s="28" t="str">
        <ns0:f>IF(A1514="","",YEAR(A1514)&amp;"-"&amp;RIGHT("0"&amp;MONTH(A1514),2))</ns0:f>
        <ns0:v/>
      </ns0:c>
    </ns0:row>
    <ns0:row r="1515" ht="21" customHeight="1">
      <ns0:c r="A1515" s="25" t="n"/>
      <ns0:c r="B1515" s="26" t="n"/>
      <ns0:c r="C1515" s="26" t="n"/>
      <ns0:c r="D1515" s="26" t="n"/>
      <ns0:c r="E1515" s="27" t="n"/>
      <ns0:c r="F1515" s="28" t="str">
        <ns0:f>IF(A1515="","",YEAR(A1515)&amp;"-"&amp;RIGHT("0"&amp;MONTH(A1515),2))</ns0:f>
        <ns0:v/>
      </ns0:c>
    </ns0:row>
    <ns0:row r="1516" ht="21" customHeight="1">
      <ns0:c r="A1516" s="25" t="n"/>
      <ns0:c r="B1516" s="26" t="n"/>
      <ns0:c r="C1516" s="26" t="n"/>
      <ns0:c r="D1516" s="26" t="n"/>
      <ns0:c r="E1516" s="27" t="n"/>
      <ns0:c r="F1516" s="28" t="str">
        <ns0:f>IF(A1516="","",YEAR(A1516)&amp;"-"&amp;RIGHT("0"&amp;MONTH(A1516),2))</ns0:f>
        <ns0:v/>
      </ns0:c>
    </ns0:row>
    <ns0:row r="1517" ht="21" customHeight="1">
      <ns0:c r="A1517" s="25" t="n"/>
      <ns0:c r="B1517" s="26" t="n"/>
      <ns0:c r="C1517" s="26" t="n"/>
      <ns0:c r="D1517" s="26" t="n"/>
      <ns0:c r="E1517" s="27" t="n"/>
      <ns0:c r="F1517" s="28" t="str">
        <ns0:f>IF(A1517="","",YEAR(A1517)&amp;"-"&amp;RIGHT("0"&amp;MONTH(A1517),2))</ns0:f>
        <ns0:v/>
      </ns0:c>
    </ns0:row>
    <ns0:row r="1518" ht="21" customHeight="1">
      <ns0:c r="A1518" s="25" t="n"/>
      <ns0:c r="B1518" s="26" t="n"/>
      <ns0:c r="C1518" s="26" t="n"/>
      <ns0:c r="D1518" s="26" t="n"/>
      <ns0:c r="E1518" s="27" t="n"/>
      <ns0:c r="F1518" s="28" t="str">
        <ns0:f>IF(A1518="","",YEAR(A1518)&amp;"-"&amp;RIGHT("0"&amp;MONTH(A1518),2))</ns0:f>
        <ns0:v/>
      </ns0:c>
    </ns0:row>
    <ns0:row r="1519" ht="21" customHeight="1">
      <ns0:c r="A1519" s="25" t="n"/>
      <ns0:c r="B1519" s="26" t="n"/>
      <ns0:c r="C1519" s="26" t="n"/>
      <ns0:c r="D1519" s="26" t="n"/>
      <ns0:c r="E1519" s="27" t="n"/>
      <ns0:c r="F1519" s="28" t="str">
        <ns0:f>IF(A1519="","",YEAR(A1519)&amp;"-"&amp;RIGHT("0"&amp;MONTH(A1519),2))</ns0:f>
        <ns0:v/>
      </ns0:c>
    </ns0:row>
    <ns0:row r="1520" ht="21" customHeight="1">
      <ns0:c r="A1520" s="25" t="n"/>
      <ns0:c r="B1520" s="26" t="n"/>
      <ns0:c r="C1520" s="26" t="n"/>
      <ns0:c r="D1520" s="26" t="n"/>
      <ns0:c r="E1520" s="27" t="n"/>
      <ns0:c r="F1520" s="28" t="str">
        <ns0:f>IF(A1520="","",YEAR(A1520)&amp;"-"&amp;RIGHT("0"&amp;MONTH(A1520),2))</ns0:f>
        <ns0:v/>
      </ns0:c>
    </ns0:row>
    <ns0:row r="1521" ht="21" customHeight="1">
      <ns0:c r="A1521" s="25" t="n"/>
      <ns0:c r="B1521" s="26" t="n"/>
      <ns0:c r="C1521" s="26" t="n"/>
      <ns0:c r="D1521" s="26" t="n"/>
      <ns0:c r="E1521" s="27" t="n"/>
      <ns0:c r="F1521" s="28" t="str">
        <ns0:f>IF(A1521="","",YEAR(A1521)&amp;"-"&amp;RIGHT("0"&amp;MONTH(A1521),2))</ns0:f>
        <ns0:v/>
      </ns0:c>
    </ns0:row>
    <ns0:row r="1522" ht="21" customHeight="1">
      <ns0:c r="A1522" s="25" t="n"/>
      <ns0:c r="B1522" s="26" t="n"/>
      <ns0:c r="C1522" s="26" t="n"/>
      <ns0:c r="D1522" s="26" t="n"/>
      <ns0:c r="E1522" s="27" t="n"/>
      <ns0:c r="F1522" s="28" t="str">
        <ns0:f>IF(A1522="","",YEAR(A1522)&amp;"-"&amp;RIGHT("0"&amp;MONTH(A1522),2))</ns0:f>
        <ns0:v/>
      </ns0:c>
    </ns0:row>
    <ns0:row r="1523" ht="21" customHeight="1">
      <ns0:c r="A1523" s="25" t="n"/>
      <ns0:c r="B1523" s="26" t="n"/>
      <ns0:c r="C1523" s="26" t="n"/>
      <ns0:c r="D1523" s="26" t="n"/>
      <ns0:c r="E1523" s="27" t="n"/>
      <ns0:c r="F1523" s="28" t="str">
        <ns0:f>IF(A1523="","",YEAR(A1523)&amp;"-"&amp;RIGHT("0"&amp;MONTH(A1523),2))</ns0:f>
        <ns0:v/>
      </ns0:c>
    </ns0:row>
    <ns0:row r="1524" ht="21" customHeight="1">
      <ns0:c r="A1524" s="25" t="n"/>
      <ns0:c r="B1524" s="26" t="n"/>
      <ns0:c r="C1524" s="26" t="n"/>
      <ns0:c r="D1524" s="26" t="n"/>
      <ns0:c r="E1524" s="27" t="n"/>
      <ns0:c r="F1524" s="28" t="str">
        <ns0:f>IF(A1524="","",YEAR(A1524)&amp;"-"&amp;RIGHT("0"&amp;MONTH(A1524),2))</ns0:f>
        <ns0:v/>
      </ns0:c>
    </ns0:row>
    <ns0:row r="1525" ht="21" customHeight="1">
      <ns0:c r="A1525" s="25" t="n"/>
      <ns0:c r="B1525" s="26" t="n"/>
      <ns0:c r="C1525" s="26" t="n"/>
      <ns0:c r="D1525" s="26" t="n"/>
      <ns0:c r="E1525" s="27" t="n"/>
      <ns0:c r="F1525" s="28" t="str">
        <ns0:f>IF(A1525="","",YEAR(A1525)&amp;"-"&amp;RIGHT("0"&amp;MONTH(A1525),2))</ns0:f>
        <ns0:v/>
      </ns0:c>
    </ns0:row>
    <ns0:row r="1526" ht="21" customHeight="1">
      <ns0:c r="A1526" s="25" t="n"/>
      <ns0:c r="B1526" s="26" t="n"/>
      <ns0:c r="C1526" s="26" t="n"/>
      <ns0:c r="D1526" s="26" t="n"/>
      <ns0:c r="E1526" s="27" t="n"/>
      <ns0:c r="F1526" s="28" t="str">
        <ns0:f>IF(A1526="","",YEAR(A1526)&amp;"-"&amp;RIGHT("0"&amp;MONTH(A1526),2))</ns0:f>
        <ns0:v/>
      </ns0:c>
    </ns0:row>
    <ns0:row r="1527" ht="21" customHeight="1">
      <ns0:c r="A1527" s="25" t="n"/>
      <ns0:c r="B1527" s="26" t="n"/>
      <ns0:c r="C1527" s="26" t="n"/>
      <ns0:c r="D1527" s="26" t="n"/>
      <ns0:c r="E1527" s="27" t="n"/>
      <ns0:c r="F1527" s="28" t="str">
        <ns0:f>IF(A1527="","",YEAR(A1527)&amp;"-"&amp;RIGHT("0"&amp;MONTH(A1527),2))</ns0:f>
        <ns0:v/>
      </ns0:c>
    </ns0:row>
    <ns0:row r="1528" ht="21" customHeight="1">
      <ns0:c r="A1528" s="25" t="n"/>
      <ns0:c r="B1528" s="26" t="n"/>
      <ns0:c r="C1528" s="26" t="n"/>
      <ns0:c r="D1528" s="26" t="n"/>
      <ns0:c r="E1528" s="27" t="n"/>
      <ns0:c r="F1528" s="28" t="str">
        <ns0:f>IF(A1528="","",YEAR(A1528)&amp;"-"&amp;RIGHT("0"&amp;MONTH(A1528),2))</ns0:f>
        <ns0:v/>
      </ns0:c>
    </ns0:row>
    <ns0:row r="1529" ht="21" customHeight="1">
      <ns0:c r="A1529" s="25" t="n"/>
      <ns0:c r="B1529" s="26" t="n"/>
      <ns0:c r="C1529" s="26" t="n"/>
      <ns0:c r="D1529" s="26" t="n"/>
      <ns0:c r="E1529" s="27" t="n"/>
      <ns0:c r="F1529" s="28" t="str">
        <ns0:f>IF(A1529="","",YEAR(A1529)&amp;"-"&amp;RIGHT("0"&amp;MONTH(A1529),2))</ns0:f>
        <ns0:v/>
      </ns0:c>
    </ns0:row>
    <ns0:row r="1530" ht="21" customHeight="1">
      <ns0:c r="A1530" s="25" t="n"/>
      <ns0:c r="B1530" s="26" t="n"/>
      <ns0:c r="C1530" s="26" t="n"/>
      <ns0:c r="D1530" s="26" t="n"/>
      <ns0:c r="E1530" s="27" t="n"/>
      <ns0:c r="F1530" s="28" t="str">
        <ns0:f>IF(A1530="","",YEAR(A1530)&amp;"-"&amp;RIGHT("0"&amp;MONTH(A1530),2))</ns0:f>
        <ns0:v/>
      </ns0:c>
    </ns0:row>
    <ns0:row r="1531" ht="21" customHeight="1">
      <ns0:c r="A1531" s="25" t="n"/>
      <ns0:c r="B1531" s="26" t="n"/>
      <ns0:c r="C1531" s="26" t="n"/>
      <ns0:c r="D1531" s="26" t="n"/>
      <ns0:c r="E1531" s="27" t="n"/>
      <ns0:c r="F1531" s="28" t="str">
        <ns0:f>IF(A1531="","",YEAR(A1531)&amp;"-"&amp;RIGHT("0"&amp;MONTH(A1531),2))</ns0:f>
        <ns0:v/>
      </ns0:c>
    </ns0:row>
    <ns0:row r="1532" ht="21" customHeight="1">
      <ns0:c r="A1532" s="25" t="n"/>
      <ns0:c r="B1532" s="26" t="n"/>
      <ns0:c r="C1532" s="26" t="n"/>
      <ns0:c r="D1532" s="26" t="n"/>
      <ns0:c r="E1532" s="27" t="n"/>
      <ns0:c r="F1532" s="28" t="str">
        <ns0:f>IF(A1532="","",YEAR(A1532)&amp;"-"&amp;RIGHT("0"&amp;MONTH(A1532),2))</ns0:f>
        <ns0:v/>
      </ns0:c>
    </ns0:row>
    <ns0:row r="1533" ht="21" customHeight="1">
      <ns0:c r="A1533" s="25" t="n"/>
      <ns0:c r="B1533" s="26" t="n"/>
      <ns0:c r="C1533" s="26" t="n"/>
      <ns0:c r="D1533" s="26" t="n"/>
      <ns0:c r="E1533" s="27" t="n"/>
      <ns0:c r="F1533" s="28" t="str">
        <ns0:f>IF(A1533="","",YEAR(A1533)&amp;"-"&amp;RIGHT("0"&amp;MONTH(A1533),2))</ns0:f>
        <ns0:v/>
      </ns0:c>
    </ns0:row>
    <ns0:row r="1534" ht="21" customHeight="1">
      <ns0:c r="A1534" s="25" t="n"/>
      <ns0:c r="B1534" s="26" t="n"/>
      <ns0:c r="C1534" s="26" t="n"/>
      <ns0:c r="D1534" s="26" t="n"/>
      <ns0:c r="E1534" s="27" t="n"/>
      <ns0:c r="F1534" s="28" t="str">
        <ns0:f>IF(A1534="","",YEAR(A1534)&amp;"-"&amp;RIGHT("0"&amp;MONTH(A1534),2))</ns0:f>
        <ns0:v/>
      </ns0:c>
    </ns0:row>
    <ns0:row r="1535" ht="21" customHeight="1">
      <ns0:c r="A1535" s="25" t="n"/>
      <ns0:c r="B1535" s="26" t="n"/>
      <ns0:c r="C1535" s="26" t="n"/>
      <ns0:c r="D1535" s="26" t="n"/>
      <ns0:c r="E1535" s="27" t="n"/>
      <ns0:c r="F1535" s="28" t="str">
        <ns0:f>IF(A1535="","",YEAR(A1535)&amp;"-"&amp;RIGHT("0"&amp;MONTH(A1535),2))</ns0:f>
        <ns0:v/>
      </ns0:c>
    </ns0:row>
    <ns0:row r="1536" ht="21" customHeight="1">
      <ns0:c r="A1536" s="25" t="n"/>
      <ns0:c r="B1536" s="26" t="n"/>
      <ns0:c r="C1536" s="26" t="n"/>
      <ns0:c r="D1536" s="26" t="n"/>
      <ns0:c r="E1536" s="27" t="n"/>
      <ns0:c r="F1536" s="28" t="str">
        <ns0:f>IF(A1536="","",YEAR(A1536)&amp;"-"&amp;RIGHT("0"&amp;MONTH(A1536),2))</ns0:f>
        <ns0:v/>
      </ns0:c>
    </ns0:row>
    <ns0:row r="1537" ht="21" customHeight="1">
      <ns0:c r="A1537" s="25" t="n"/>
      <ns0:c r="B1537" s="26" t="n"/>
      <ns0:c r="C1537" s="26" t="n"/>
      <ns0:c r="D1537" s="26" t="n"/>
      <ns0:c r="E1537" s="27" t="n"/>
      <ns0:c r="F1537" s="28" t="str">
        <ns0:f>IF(A1537="","",YEAR(A1537)&amp;"-"&amp;RIGHT("0"&amp;MONTH(A1537),2))</ns0:f>
        <ns0:v/>
      </ns0:c>
    </ns0:row>
    <ns0:row r="1538" ht="21" customHeight="1">
      <ns0:c r="A1538" s="25" t="n"/>
      <ns0:c r="B1538" s="26" t="n"/>
      <ns0:c r="C1538" s="26" t="n"/>
      <ns0:c r="D1538" s="26" t="n"/>
      <ns0:c r="E1538" s="27" t="n"/>
      <ns0:c r="F1538" s="28" t="str">
        <ns0:f>IF(A1538="","",YEAR(A1538)&amp;"-"&amp;RIGHT("0"&amp;MONTH(A1538),2))</ns0:f>
        <ns0:v/>
      </ns0:c>
    </ns0:row>
    <ns0:row r="1539" ht="21" customHeight="1">
      <ns0:c r="A1539" s="25" t="n"/>
      <ns0:c r="B1539" s="26" t="n"/>
      <ns0:c r="C1539" s="26" t="n"/>
      <ns0:c r="D1539" s="26" t="n"/>
      <ns0:c r="E1539" s="27" t="n"/>
      <ns0:c r="F1539" s="28" t="str">
        <ns0:f>IF(A1539="","",YEAR(A1539)&amp;"-"&amp;RIGHT("0"&amp;MONTH(A1539),2))</ns0:f>
        <ns0:v/>
      </ns0:c>
    </ns0:row>
    <ns0:row r="1540" ht="21" customHeight="1">
      <ns0:c r="A1540" s="25" t="n"/>
      <ns0:c r="B1540" s="26" t="n"/>
      <ns0:c r="C1540" s="26" t="n"/>
      <ns0:c r="D1540" s="26" t="n"/>
      <ns0:c r="E1540" s="27" t="n"/>
      <ns0:c r="F1540" s="28" t="str">
        <ns0:f>IF(A1540="","",YEAR(A1540)&amp;"-"&amp;RIGHT("0"&amp;MONTH(A1540),2))</ns0:f>
        <ns0:v/>
      </ns0:c>
    </ns0:row>
    <ns0:row r="1541" ht="21" customHeight="1">
      <ns0:c r="A1541" s="25" t="n"/>
      <ns0:c r="B1541" s="26" t="n"/>
      <ns0:c r="C1541" s="26" t="n"/>
      <ns0:c r="D1541" s="26" t="n"/>
      <ns0:c r="E1541" s="27" t="n"/>
      <ns0:c r="F1541" s="28" t="str">
        <ns0:f>IF(A1541="","",YEAR(A1541)&amp;"-"&amp;RIGHT("0"&amp;MONTH(A1541),2))</ns0:f>
        <ns0:v/>
      </ns0:c>
    </ns0:row>
    <ns0:row r="1542" ht="21" customHeight="1">
      <ns0:c r="A1542" s="25" t="n"/>
      <ns0:c r="B1542" s="26" t="n"/>
      <ns0:c r="C1542" s="26" t="n"/>
      <ns0:c r="D1542" s="26" t="n"/>
      <ns0:c r="E1542" s="27" t="n"/>
      <ns0:c r="F1542" s="28" t="str">
        <ns0:f>IF(A1542="","",YEAR(A1542)&amp;"-"&amp;RIGHT("0"&amp;MONTH(A1542),2))</ns0:f>
        <ns0:v/>
      </ns0:c>
    </ns0:row>
    <ns0:row r="1543" ht="21" customHeight="1">
      <ns0:c r="A1543" s="25" t="n"/>
      <ns0:c r="B1543" s="26" t="n"/>
      <ns0:c r="C1543" s="26" t="n"/>
      <ns0:c r="D1543" s="26" t="n"/>
      <ns0:c r="E1543" s="27" t="n"/>
      <ns0:c r="F1543" s="28" t="str">
        <ns0:f>IF(A1543="","",YEAR(A1543)&amp;"-"&amp;RIGHT("0"&amp;MONTH(A1543),2))</ns0:f>
        <ns0:v/>
      </ns0:c>
    </ns0:row>
    <ns0:row r="1544" ht="21" customHeight="1">
      <ns0:c r="A1544" s="25" t="n"/>
      <ns0:c r="B1544" s="26" t="n"/>
      <ns0:c r="C1544" s="26" t="n"/>
      <ns0:c r="D1544" s="26" t="n"/>
      <ns0:c r="E1544" s="27" t="n"/>
      <ns0:c r="F1544" s="28" t="str">
        <ns0:f>IF(A1544="","",YEAR(A1544)&amp;"-"&amp;RIGHT("0"&amp;MONTH(A1544),2))</ns0:f>
        <ns0:v/>
      </ns0:c>
    </ns0:row>
    <ns0:row r="1545" ht="21" customHeight="1">
      <ns0:c r="A1545" s="25" t="n"/>
      <ns0:c r="B1545" s="26" t="n"/>
      <ns0:c r="C1545" s="26" t="n"/>
      <ns0:c r="D1545" s="26" t="n"/>
      <ns0:c r="E1545" s="27" t="n"/>
      <ns0:c r="F1545" s="28" t="str">
        <ns0:f>IF(A1545="","",YEAR(A1545)&amp;"-"&amp;RIGHT("0"&amp;MONTH(A1545),2))</ns0:f>
        <ns0:v/>
      </ns0:c>
    </ns0:row>
    <ns0:row r="1546" ht="21" customHeight="1">
      <ns0:c r="A1546" s="25" t="n"/>
      <ns0:c r="B1546" s="26" t="n"/>
      <ns0:c r="C1546" s="26" t="n"/>
      <ns0:c r="D1546" s="26" t="n"/>
      <ns0:c r="E1546" s="27" t="n"/>
      <ns0:c r="F1546" s="28" t="str">
        <ns0:f>IF(A1546="","",YEAR(A1546)&amp;"-"&amp;RIGHT("0"&amp;MONTH(A1546),2))</ns0:f>
        <ns0:v/>
      </ns0:c>
    </ns0:row>
    <ns0:row r="1547" ht="21" customHeight="1">
      <ns0:c r="A1547" s="25" t="n"/>
      <ns0:c r="B1547" s="26" t="n"/>
      <ns0:c r="C1547" s="26" t="n"/>
      <ns0:c r="D1547" s="26" t="n"/>
      <ns0:c r="E1547" s="27" t="n"/>
      <ns0:c r="F1547" s="28" t="str">
        <ns0:f>IF(A1547="","",YEAR(A1547)&amp;"-"&amp;RIGHT("0"&amp;MONTH(A1547),2))</ns0:f>
        <ns0:v/>
      </ns0:c>
    </ns0:row>
    <ns0:row r="1548" ht="21" customHeight="1">
      <ns0:c r="A1548" s="25" t="n"/>
      <ns0:c r="B1548" s="26" t="n"/>
      <ns0:c r="C1548" s="26" t="n"/>
      <ns0:c r="D1548" s="26" t="n"/>
      <ns0:c r="E1548" s="27" t="n"/>
      <ns0:c r="F1548" s="28" t="str">
        <ns0:f>IF(A1548="","",YEAR(A1548)&amp;"-"&amp;RIGHT("0"&amp;MONTH(A1548),2))</ns0:f>
        <ns0:v/>
      </ns0:c>
    </ns0:row>
    <ns0:row r="1549" ht="21" customHeight="1">
      <ns0:c r="A1549" s="25" t="n"/>
      <ns0:c r="B1549" s="26" t="n"/>
      <ns0:c r="C1549" s="26" t="n"/>
      <ns0:c r="D1549" s="26" t="n"/>
      <ns0:c r="E1549" s="27" t="n"/>
      <ns0:c r="F1549" s="28" t="str">
        <ns0:f>IF(A1549="","",YEAR(A1549)&amp;"-"&amp;RIGHT("0"&amp;MONTH(A1549),2))</ns0:f>
        <ns0:v/>
      </ns0:c>
    </ns0:row>
    <ns0:row r="1550" ht="21" customHeight="1">
      <ns0:c r="A1550" s="25" t="n"/>
      <ns0:c r="B1550" s="26" t="n"/>
      <ns0:c r="C1550" s="26" t="n"/>
      <ns0:c r="D1550" s="26" t="n"/>
      <ns0:c r="E1550" s="27" t="n"/>
      <ns0:c r="F1550" s="28" t="str">
        <ns0:f>IF(A1550="","",YEAR(A1550)&amp;"-"&amp;RIGHT("0"&amp;MONTH(A1550),2))</ns0:f>
        <ns0:v/>
      </ns0:c>
    </ns0:row>
    <ns0:row r="1551" ht="21" customHeight="1">
      <ns0:c r="A1551" s="25" t="n"/>
      <ns0:c r="B1551" s="26" t="n"/>
      <ns0:c r="C1551" s="26" t="n"/>
      <ns0:c r="D1551" s="26" t="n"/>
      <ns0:c r="E1551" s="27" t="n"/>
      <ns0:c r="F1551" s="28" t="str">
        <ns0:f>IF(A1551="","",YEAR(A1551)&amp;"-"&amp;RIGHT("0"&amp;MONTH(A1551),2))</ns0:f>
        <ns0:v/>
      </ns0:c>
    </ns0:row>
    <ns0:row r="1552" ht="21" customHeight="1">
      <ns0:c r="A1552" s="25" t="n"/>
      <ns0:c r="B1552" s="26" t="n"/>
      <ns0:c r="C1552" s="26" t="n"/>
      <ns0:c r="D1552" s="26" t="n"/>
      <ns0:c r="E1552" s="27" t="n"/>
      <ns0:c r="F1552" s="28" t="str">
        <ns0:f>IF(A1552="","",YEAR(A1552)&amp;"-"&amp;RIGHT("0"&amp;MONTH(A1552),2))</ns0:f>
        <ns0:v/>
      </ns0:c>
    </ns0:row>
    <ns0:row r="1553" ht="21" customHeight="1">
      <ns0:c r="A1553" s="25" t="n"/>
      <ns0:c r="B1553" s="26" t="n"/>
      <ns0:c r="C1553" s="26" t="n"/>
      <ns0:c r="D1553" s="26" t="n"/>
      <ns0:c r="E1553" s="27" t="n"/>
      <ns0:c r="F1553" s="28" t="str">
        <ns0:f>IF(A1553="","",YEAR(A1553)&amp;"-"&amp;RIGHT("0"&amp;MONTH(A1553),2))</ns0:f>
        <ns0:v/>
      </ns0:c>
    </ns0:row>
    <ns0:row r="1554" ht="21" customHeight="1">
      <ns0:c r="A1554" s="25" t="n"/>
      <ns0:c r="B1554" s="26" t="n"/>
      <ns0:c r="C1554" s="26" t="n"/>
      <ns0:c r="D1554" s="26" t="n"/>
      <ns0:c r="E1554" s="27" t="n"/>
      <ns0:c r="F1554" s="28" t="str">
        <ns0:f>IF(A1554="","",YEAR(A1554)&amp;"-"&amp;RIGHT("0"&amp;MONTH(A1554),2))</ns0:f>
        <ns0:v/>
      </ns0:c>
    </ns0:row>
    <ns0:row r="1555" ht="21" customHeight="1">
      <ns0:c r="A1555" s="25" t="n"/>
      <ns0:c r="B1555" s="26" t="n"/>
      <ns0:c r="C1555" s="26" t="n"/>
      <ns0:c r="D1555" s="26" t="n"/>
      <ns0:c r="E1555" s="27" t="n"/>
      <ns0:c r="F1555" s="28" t="str">
        <ns0:f>IF(A1555="","",YEAR(A1555)&amp;"-"&amp;RIGHT("0"&amp;MONTH(A1555),2))</ns0:f>
        <ns0:v/>
      </ns0:c>
    </ns0:row>
    <ns0:row r="1556" ht="21" customHeight="1">
      <ns0:c r="A1556" s="25" t="n"/>
      <ns0:c r="B1556" s="26" t="n"/>
      <ns0:c r="C1556" s="26" t="n"/>
      <ns0:c r="D1556" s="26" t="n"/>
      <ns0:c r="E1556" s="27" t="n"/>
      <ns0:c r="F1556" s="28" t="str">
        <ns0:f>IF(A1556="","",YEAR(A1556)&amp;"-"&amp;RIGHT("0"&amp;MONTH(A1556),2))</ns0:f>
        <ns0:v/>
      </ns0:c>
    </ns0:row>
    <ns0:row r="1557" ht="21" customHeight="1">
      <ns0:c r="A1557" s="25" t="n"/>
      <ns0:c r="B1557" s="26" t="n"/>
      <ns0:c r="C1557" s="26" t="n"/>
      <ns0:c r="D1557" s="26" t="n"/>
      <ns0:c r="E1557" s="27" t="n"/>
      <ns0:c r="F1557" s="28" t="str">
        <ns0:f>IF(A1557="","",YEAR(A1557)&amp;"-"&amp;RIGHT("0"&amp;MONTH(A1557),2))</ns0:f>
        <ns0:v/>
      </ns0:c>
    </ns0:row>
    <ns0:row r="1558" ht="21" customHeight="1">
      <ns0:c r="A1558" s="25" t="n"/>
      <ns0:c r="B1558" s="26" t="n"/>
      <ns0:c r="C1558" s="26" t="n"/>
      <ns0:c r="D1558" s="26" t="n"/>
      <ns0:c r="E1558" s="27" t="n"/>
      <ns0:c r="F1558" s="28" t="str">
        <ns0:f>IF(A1558="","",YEAR(A1558)&amp;"-"&amp;RIGHT("0"&amp;MONTH(A1558),2))</ns0:f>
        <ns0:v/>
      </ns0:c>
    </ns0:row>
    <ns0:row r="1559" ht="21" customHeight="1">
      <ns0:c r="A1559" s="25" t="n"/>
      <ns0:c r="B1559" s="26" t="n"/>
      <ns0:c r="C1559" s="26" t="n"/>
      <ns0:c r="D1559" s="26" t="n"/>
      <ns0:c r="E1559" s="27" t="n"/>
      <ns0:c r="F1559" s="28" t="str">
        <ns0:f>IF(A1559="","",YEAR(A1559)&amp;"-"&amp;RIGHT("0"&amp;MONTH(A1559),2))</ns0:f>
        <ns0:v/>
      </ns0:c>
    </ns0:row>
    <ns0:row r="1560" ht="21" customHeight="1">
      <ns0:c r="A1560" s="25" t="n"/>
      <ns0:c r="B1560" s="26" t="n"/>
      <ns0:c r="C1560" s="26" t="n"/>
      <ns0:c r="D1560" s="26" t="n"/>
      <ns0:c r="E1560" s="27" t="n"/>
      <ns0:c r="F1560" s="28" t="str">
        <ns0:f>IF(A1560="","",YEAR(A1560)&amp;"-"&amp;RIGHT("0"&amp;MONTH(A1560),2))</ns0:f>
        <ns0:v/>
      </ns0:c>
    </ns0:row>
    <ns0:row r="1561" ht="21" customHeight="1">
      <ns0:c r="A1561" s="25" t="n"/>
      <ns0:c r="B1561" s="26" t="n"/>
      <ns0:c r="C1561" s="26" t="n"/>
      <ns0:c r="D1561" s="26" t="n"/>
      <ns0:c r="E1561" s="27" t="n"/>
      <ns0:c r="F1561" s="28" t="str">
        <ns0:f>IF(A1561="","",YEAR(A1561)&amp;"-"&amp;RIGHT("0"&amp;MONTH(A1561),2))</ns0:f>
        <ns0:v/>
      </ns0:c>
    </ns0:row>
    <ns0:row r="1562" ht="21" customHeight="1">
      <ns0:c r="A1562" s="25" t="n"/>
      <ns0:c r="B1562" s="26" t="n"/>
      <ns0:c r="C1562" s="26" t="n"/>
      <ns0:c r="D1562" s="26" t="n"/>
      <ns0:c r="E1562" s="27" t="n"/>
      <ns0:c r="F1562" s="28" t="str">
        <ns0:f>IF(A1562="","",YEAR(A1562)&amp;"-"&amp;RIGHT("0"&amp;MONTH(A1562),2))</ns0:f>
        <ns0:v/>
      </ns0:c>
    </ns0:row>
    <ns0:row r="1563" ht="21" customHeight="1">
      <ns0:c r="A1563" s="25" t="n"/>
      <ns0:c r="B1563" s="26" t="n"/>
      <ns0:c r="C1563" s="26" t="n"/>
      <ns0:c r="D1563" s="26" t="n"/>
      <ns0:c r="E1563" s="27" t="n"/>
      <ns0:c r="F1563" s="28" t="str">
        <ns0:f>IF(A1563="","",YEAR(A1563)&amp;"-"&amp;RIGHT("0"&amp;MONTH(A1563),2))</ns0:f>
        <ns0:v/>
      </ns0:c>
    </ns0:row>
    <ns0:row r="1564" ht="21" customHeight="1">
      <ns0:c r="A1564" s="25" t="n"/>
      <ns0:c r="B1564" s="26" t="n"/>
      <ns0:c r="C1564" s="26" t="n"/>
      <ns0:c r="D1564" s="26" t="n"/>
      <ns0:c r="E1564" s="27" t="n"/>
      <ns0:c r="F1564" s="28" t="str">
        <ns0:f>IF(A1564="","",YEAR(A1564)&amp;"-"&amp;RIGHT("0"&amp;MONTH(A1564),2))</ns0:f>
        <ns0:v/>
      </ns0:c>
    </ns0:row>
    <ns0:row r="1565" ht="21" customHeight="1">
      <ns0:c r="A1565" s="25" t="n"/>
      <ns0:c r="B1565" s="26" t="n"/>
      <ns0:c r="C1565" s="26" t="n"/>
      <ns0:c r="D1565" s="26" t="n"/>
      <ns0:c r="E1565" s="27" t="n"/>
      <ns0:c r="F1565" s="28" t="str">
        <ns0:f>IF(A1565="","",YEAR(A1565)&amp;"-"&amp;RIGHT("0"&amp;MONTH(A1565),2))</ns0:f>
        <ns0:v/>
      </ns0:c>
    </ns0:row>
    <ns0:row r="1566" ht="21" customHeight="1">
      <ns0:c r="A1566" s="25" t="n"/>
      <ns0:c r="B1566" s="26" t="n"/>
      <ns0:c r="C1566" s="26" t="n"/>
      <ns0:c r="D1566" s="26" t="n"/>
      <ns0:c r="E1566" s="27" t="n"/>
      <ns0:c r="F1566" s="28" t="str">
        <ns0:f>IF(A1566="","",YEAR(A1566)&amp;"-"&amp;RIGHT("0"&amp;MONTH(A1566),2))</ns0:f>
        <ns0:v/>
      </ns0:c>
    </ns0:row>
    <ns0:row r="1567" ht="21" customHeight="1">
      <ns0:c r="A1567" s="25" t="n"/>
      <ns0:c r="B1567" s="26" t="n"/>
      <ns0:c r="C1567" s="26" t="n"/>
      <ns0:c r="D1567" s="26" t="n"/>
      <ns0:c r="E1567" s="27" t="n"/>
      <ns0:c r="F1567" s="28" t="str">
        <ns0:f>IF(A1567="","",YEAR(A1567)&amp;"-"&amp;RIGHT("0"&amp;MONTH(A1567),2))</ns0:f>
        <ns0:v/>
      </ns0:c>
    </ns0:row>
    <ns0:row r="1568" ht="21" customHeight="1">
      <ns0:c r="A1568" s="25" t="n"/>
      <ns0:c r="B1568" s="26" t="n"/>
      <ns0:c r="C1568" s="26" t="n"/>
      <ns0:c r="D1568" s="26" t="n"/>
      <ns0:c r="E1568" s="27" t="n"/>
      <ns0:c r="F1568" s="28" t="str">
        <ns0:f>IF(A1568="","",YEAR(A1568)&amp;"-"&amp;RIGHT("0"&amp;MONTH(A1568),2))</ns0:f>
        <ns0:v/>
      </ns0:c>
    </ns0:row>
    <ns0:row r="1569" ht="21" customHeight="1">
      <ns0:c r="A1569" s="25" t="n"/>
      <ns0:c r="B1569" s="26" t="n"/>
      <ns0:c r="C1569" s="26" t="n"/>
      <ns0:c r="D1569" s="26" t="n"/>
      <ns0:c r="E1569" s="27" t="n"/>
      <ns0:c r="F1569" s="28" t="str">
        <ns0:f>IF(A1569="","",YEAR(A1569)&amp;"-"&amp;RIGHT("0"&amp;MONTH(A1569),2))</ns0:f>
        <ns0:v/>
      </ns0:c>
    </ns0:row>
    <ns0:row r="1570" ht="21" customHeight="1">
      <ns0:c r="A1570" s="25" t="n"/>
      <ns0:c r="B1570" s="26" t="n"/>
      <ns0:c r="C1570" s="26" t="n"/>
      <ns0:c r="D1570" s="26" t="n"/>
      <ns0:c r="E1570" s="27" t="n"/>
      <ns0:c r="F1570" s="28" t="str">
        <ns0:f>IF(A1570="","",YEAR(A1570)&amp;"-"&amp;RIGHT("0"&amp;MONTH(A1570),2))</ns0:f>
        <ns0:v/>
      </ns0:c>
    </ns0:row>
    <ns0:row r="1571" ht="21" customHeight="1">
      <ns0:c r="A1571" s="25" t="n"/>
      <ns0:c r="B1571" s="26" t="n"/>
      <ns0:c r="C1571" s="26" t="n"/>
      <ns0:c r="D1571" s="26" t="n"/>
      <ns0:c r="E1571" s="27" t="n"/>
      <ns0:c r="F1571" s="28" t="str">
        <ns0:f>IF(A1571="","",YEAR(A1571)&amp;"-"&amp;RIGHT("0"&amp;MONTH(A1571),2))</ns0:f>
        <ns0:v/>
      </ns0:c>
    </ns0:row>
    <ns0:row r="1572" ht="21" customHeight="1">
      <ns0:c r="A1572" s="25" t="n"/>
      <ns0:c r="B1572" s="26" t="n"/>
      <ns0:c r="C1572" s="26" t="n"/>
      <ns0:c r="D1572" s="26" t="n"/>
      <ns0:c r="E1572" s="27" t="n"/>
      <ns0:c r="F1572" s="28" t="str">
        <ns0:f>IF(A1572="","",YEAR(A1572)&amp;"-"&amp;RIGHT("0"&amp;MONTH(A1572),2))</ns0:f>
        <ns0:v/>
      </ns0:c>
    </ns0:row>
    <ns0:row r="1573" ht="21" customHeight="1">
      <ns0:c r="A1573" s="25" t="n"/>
      <ns0:c r="B1573" s="26" t="n"/>
      <ns0:c r="C1573" s="26" t="n"/>
      <ns0:c r="D1573" s="26" t="n"/>
      <ns0:c r="E1573" s="27" t="n"/>
      <ns0:c r="F1573" s="28" t="str">
        <ns0:f>IF(A1573="","",YEAR(A1573)&amp;"-"&amp;RIGHT("0"&amp;MONTH(A1573),2))</ns0:f>
        <ns0:v/>
      </ns0:c>
    </ns0:row>
    <ns0:row r="1574" ht="21" customHeight="1">
      <ns0:c r="A1574" s="25" t="n"/>
      <ns0:c r="B1574" s="26" t="n"/>
      <ns0:c r="C1574" s="26" t="n"/>
      <ns0:c r="D1574" s="26" t="n"/>
      <ns0:c r="E1574" s="27" t="n"/>
      <ns0:c r="F1574" s="28" t="str">
        <ns0:f>IF(A1574="","",YEAR(A1574)&amp;"-"&amp;RIGHT("0"&amp;MONTH(A1574),2))</ns0:f>
        <ns0:v/>
      </ns0:c>
    </ns0:row>
    <ns0:row r="1575" ht="21" customHeight="1">
      <ns0:c r="A1575" s="25" t="n"/>
      <ns0:c r="B1575" s="26" t="n"/>
      <ns0:c r="C1575" s="26" t="n"/>
      <ns0:c r="D1575" s="26" t="n"/>
      <ns0:c r="E1575" s="27" t="n"/>
      <ns0:c r="F1575" s="28" t="str">
        <ns0:f>IF(A1575="","",YEAR(A1575)&amp;"-"&amp;RIGHT("0"&amp;MONTH(A1575),2))</ns0:f>
        <ns0:v/>
      </ns0:c>
    </ns0:row>
    <ns0:row r="1576" ht="21" customHeight="1">
      <ns0:c r="A1576" s="25" t="n"/>
      <ns0:c r="B1576" s="26" t="n"/>
      <ns0:c r="C1576" s="26" t="n"/>
      <ns0:c r="D1576" s="26" t="n"/>
      <ns0:c r="E1576" s="27" t="n"/>
      <ns0:c r="F1576" s="28" t="str">
        <ns0:f>IF(A1576="","",YEAR(A1576)&amp;"-"&amp;RIGHT("0"&amp;MONTH(A1576),2))</ns0:f>
        <ns0:v/>
      </ns0:c>
    </ns0:row>
    <ns0:row r="1577" ht="21" customHeight="1">
      <ns0:c r="A1577" s="25" t="n"/>
      <ns0:c r="B1577" s="26" t="n"/>
      <ns0:c r="C1577" s="26" t="n"/>
      <ns0:c r="D1577" s="26" t="n"/>
      <ns0:c r="E1577" s="27" t="n"/>
      <ns0:c r="F1577" s="28" t="str">
        <ns0:f>IF(A1577="","",YEAR(A1577)&amp;"-"&amp;RIGHT("0"&amp;MONTH(A1577),2))</ns0:f>
        <ns0:v/>
      </ns0:c>
    </ns0:row>
    <ns0:row r="1578" ht="21" customHeight="1">
      <ns0:c r="A1578" s="25" t="n"/>
      <ns0:c r="B1578" s="26" t="n"/>
      <ns0:c r="C1578" s="26" t="n"/>
      <ns0:c r="D1578" s="26" t="n"/>
      <ns0:c r="E1578" s="27" t="n"/>
      <ns0:c r="F1578" s="28" t="str">
        <ns0:f>IF(A1578="","",YEAR(A1578)&amp;"-"&amp;RIGHT("0"&amp;MONTH(A1578),2))</ns0:f>
        <ns0:v/>
      </ns0:c>
    </ns0:row>
    <ns0:row r="1579" ht="21" customHeight="1">
      <ns0:c r="A1579" s="25" t="n"/>
      <ns0:c r="B1579" s="26" t="n"/>
      <ns0:c r="C1579" s="26" t="n"/>
      <ns0:c r="D1579" s="26" t="n"/>
      <ns0:c r="E1579" s="27" t="n"/>
      <ns0:c r="F1579" s="28" t="str">
        <ns0:f>IF(A1579="","",YEAR(A1579)&amp;"-"&amp;RIGHT("0"&amp;MONTH(A1579),2))</ns0:f>
        <ns0:v/>
      </ns0:c>
    </ns0:row>
    <ns0:row r="1580" ht="21" customHeight="1">
      <ns0:c r="A1580" s="25" t="n"/>
      <ns0:c r="B1580" s="26" t="n"/>
      <ns0:c r="C1580" s="26" t="n"/>
      <ns0:c r="D1580" s="26" t="n"/>
      <ns0:c r="E1580" s="27" t="n"/>
      <ns0:c r="F1580" s="28" t="str">
        <ns0:f>IF(A1580="","",YEAR(A1580)&amp;"-"&amp;RIGHT("0"&amp;MONTH(A1580),2))</ns0:f>
        <ns0:v/>
      </ns0:c>
    </ns0:row>
    <ns0:row r="1581" ht="21" customHeight="1">
      <ns0:c r="A1581" s="25" t="n"/>
      <ns0:c r="B1581" s="26" t="n"/>
      <ns0:c r="C1581" s="26" t="n"/>
      <ns0:c r="D1581" s="26" t="n"/>
      <ns0:c r="E1581" s="27" t="n"/>
      <ns0:c r="F1581" s="28" t="str">
        <ns0:f>IF(A1581="","",YEAR(A1581)&amp;"-"&amp;RIGHT("0"&amp;MONTH(A1581),2))</ns0:f>
        <ns0:v/>
      </ns0:c>
    </ns0:row>
    <ns0:row r="1582" ht="21" customHeight="1">
      <ns0:c r="A1582" s="25" t="n"/>
      <ns0:c r="B1582" s="26" t="n"/>
      <ns0:c r="C1582" s="26" t="n"/>
      <ns0:c r="D1582" s="26" t="n"/>
      <ns0:c r="E1582" s="27" t="n"/>
      <ns0:c r="F1582" s="28" t="str">
        <ns0:f>IF(A1582="","",YEAR(A1582)&amp;"-"&amp;RIGHT("0"&amp;MONTH(A1582),2))</ns0:f>
        <ns0:v/>
      </ns0:c>
    </ns0:row>
    <ns0:row r="1583" ht="21" customHeight="1">
      <ns0:c r="A1583" s="25" t="n"/>
      <ns0:c r="B1583" s="26" t="n"/>
      <ns0:c r="C1583" s="26" t="n"/>
      <ns0:c r="D1583" s="26" t="n"/>
      <ns0:c r="E1583" s="27" t="n"/>
      <ns0:c r="F1583" s="28" t="str">
        <ns0:f>IF(A1583="","",YEAR(A1583)&amp;"-"&amp;RIGHT("0"&amp;MONTH(A1583),2))</ns0:f>
        <ns0:v/>
      </ns0:c>
    </ns0:row>
    <ns0:row r="1584" ht="21" customHeight="1">
      <ns0:c r="A1584" s="25" t="n"/>
      <ns0:c r="B1584" s="26" t="n"/>
      <ns0:c r="C1584" s="26" t="n"/>
      <ns0:c r="D1584" s="26" t="n"/>
      <ns0:c r="E1584" s="27" t="n"/>
      <ns0:c r="F1584" s="28" t="str">
        <ns0:f>IF(A1584="","",YEAR(A1584)&amp;"-"&amp;RIGHT("0"&amp;MONTH(A1584),2))</ns0:f>
        <ns0:v/>
      </ns0:c>
    </ns0:row>
    <ns0:row r="1585" ht="21" customHeight="1">
      <ns0:c r="A1585" s="25" t="n"/>
      <ns0:c r="B1585" s="26" t="n"/>
      <ns0:c r="C1585" s="26" t="n"/>
      <ns0:c r="D1585" s="26" t="n"/>
      <ns0:c r="E1585" s="27" t="n"/>
      <ns0:c r="F1585" s="28" t="str">
        <ns0:f>IF(A1585="","",YEAR(A1585)&amp;"-"&amp;RIGHT("0"&amp;MONTH(A1585),2))</ns0:f>
        <ns0:v/>
      </ns0:c>
    </ns0:row>
    <ns0:row r="1586" ht="21" customHeight="1">
      <ns0:c r="A1586" s="25" t="n"/>
      <ns0:c r="B1586" s="26" t="n"/>
      <ns0:c r="C1586" s="26" t="n"/>
      <ns0:c r="D1586" s="26" t="n"/>
      <ns0:c r="E1586" s="27" t="n"/>
      <ns0:c r="F1586" s="28" t="str">
        <ns0:f>IF(A1586="","",YEAR(A1586)&amp;"-"&amp;RIGHT("0"&amp;MONTH(A1586),2))</ns0:f>
        <ns0:v/>
      </ns0:c>
    </ns0:row>
    <ns0:row r="1587" ht="21" customHeight="1">
      <ns0:c r="A1587" s="25" t="n"/>
      <ns0:c r="B1587" s="26" t="n"/>
      <ns0:c r="C1587" s="26" t="n"/>
      <ns0:c r="D1587" s="26" t="n"/>
      <ns0:c r="E1587" s="27" t="n"/>
      <ns0:c r="F1587" s="28" t="str">
        <ns0:f>IF(A1587="","",YEAR(A1587)&amp;"-"&amp;RIGHT("0"&amp;MONTH(A1587),2))</ns0:f>
        <ns0:v/>
      </ns0:c>
    </ns0:row>
    <ns0:row r="1588" ht="21" customHeight="1">
      <ns0:c r="A1588" s="25" t="n"/>
      <ns0:c r="B1588" s="26" t="n"/>
      <ns0:c r="C1588" s="26" t="n"/>
      <ns0:c r="D1588" s="26" t="n"/>
      <ns0:c r="E1588" s="27" t="n"/>
      <ns0:c r="F1588" s="28" t="str">
        <ns0:f>IF(A1588="","",YEAR(A1588)&amp;"-"&amp;RIGHT("0"&amp;MONTH(A1588),2))</ns0:f>
        <ns0:v/>
      </ns0:c>
    </ns0:row>
    <ns0:row r="1589" ht="21" customHeight="1">
      <ns0:c r="A1589" s="25" t="n"/>
      <ns0:c r="B1589" s="26" t="n"/>
      <ns0:c r="C1589" s="26" t="n"/>
      <ns0:c r="D1589" s="26" t="n"/>
      <ns0:c r="E1589" s="27" t="n"/>
      <ns0:c r="F1589" s="28" t="str">
        <ns0:f>IF(A1589="","",YEAR(A1589)&amp;"-"&amp;RIGHT("0"&amp;MONTH(A1589),2))</ns0:f>
        <ns0:v/>
      </ns0:c>
    </ns0:row>
    <ns0:row r="1590" ht="21" customHeight="1">
      <ns0:c r="A1590" s="25" t="n"/>
      <ns0:c r="B1590" s="26" t="n"/>
      <ns0:c r="C1590" s="26" t="n"/>
      <ns0:c r="D1590" s="26" t="n"/>
      <ns0:c r="E1590" s="27" t="n"/>
      <ns0:c r="F1590" s="28" t="str">
        <ns0:f>IF(A1590="","",YEAR(A1590)&amp;"-"&amp;RIGHT("0"&amp;MONTH(A1590),2))</ns0:f>
        <ns0:v/>
      </ns0:c>
    </ns0:row>
    <ns0:row r="1591" ht="21" customHeight="1">
      <ns0:c r="A1591" s="25" t="n"/>
      <ns0:c r="B1591" s="26" t="n"/>
      <ns0:c r="C1591" s="26" t="n"/>
      <ns0:c r="D1591" s="26" t="n"/>
      <ns0:c r="E1591" s="27" t="n"/>
      <ns0:c r="F1591" s="28" t="str">
        <ns0:f>IF(A1591="","",YEAR(A1591)&amp;"-"&amp;RIGHT("0"&amp;MONTH(A1591),2))</ns0:f>
        <ns0:v/>
      </ns0:c>
    </ns0:row>
    <ns0:row r="1592" ht="21" customHeight="1">
      <ns0:c r="A1592" s="25" t="n"/>
      <ns0:c r="B1592" s="26" t="n"/>
      <ns0:c r="C1592" s="26" t="n"/>
      <ns0:c r="D1592" s="26" t="n"/>
      <ns0:c r="E1592" s="27" t="n"/>
      <ns0:c r="F1592" s="28" t="str">
        <ns0:f>IF(A1592="","",YEAR(A1592)&amp;"-"&amp;RIGHT("0"&amp;MONTH(A1592),2))</ns0:f>
        <ns0:v/>
      </ns0:c>
    </ns0:row>
    <ns0:row r="1593" ht="21" customHeight="1">
      <ns0:c r="A1593" s="25" t="n"/>
      <ns0:c r="B1593" s="26" t="n"/>
      <ns0:c r="C1593" s="26" t="n"/>
      <ns0:c r="D1593" s="26" t="n"/>
      <ns0:c r="E1593" s="27" t="n"/>
      <ns0:c r="F1593" s="28" t="str">
        <ns0:f>IF(A1593="","",YEAR(A1593)&amp;"-"&amp;RIGHT("0"&amp;MONTH(A1593),2))</ns0:f>
        <ns0:v/>
      </ns0:c>
    </ns0:row>
    <ns0:row r="1594" ht="21" customHeight="1">
      <ns0:c r="A1594" s="25" t="n"/>
      <ns0:c r="B1594" s="26" t="n"/>
      <ns0:c r="C1594" s="26" t="n"/>
      <ns0:c r="D1594" s="26" t="n"/>
      <ns0:c r="E1594" s="27" t="n"/>
      <ns0:c r="F1594" s="28" t="str">
        <ns0:f>IF(A1594="","",YEAR(A1594)&amp;"-"&amp;RIGHT("0"&amp;MONTH(A1594),2))</ns0:f>
        <ns0:v/>
      </ns0:c>
    </ns0:row>
    <ns0:row r="1595" ht="21" customHeight="1">
      <ns0:c r="A1595" s="25" t="n"/>
      <ns0:c r="B1595" s="26" t="n"/>
      <ns0:c r="C1595" s="26" t="n"/>
      <ns0:c r="D1595" s="26" t="n"/>
      <ns0:c r="E1595" s="27" t="n"/>
      <ns0:c r="F1595" s="28" t="str">
        <ns0:f>IF(A1595="","",YEAR(A1595)&amp;"-"&amp;RIGHT("0"&amp;MONTH(A1595),2))</ns0:f>
        <ns0:v/>
      </ns0:c>
    </ns0:row>
    <ns0:row r="1596" ht="21" customHeight="1">
      <ns0:c r="A1596" s="25" t="n"/>
      <ns0:c r="B1596" s="26" t="n"/>
      <ns0:c r="C1596" s="26" t="n"/>
      <ns0:c r="D1596" s="26" t="n"/>
      <ns0:c r="E1596" s="27" t="n"/>
      <ns0:c r="F1596" s="28" t="str">
        <ns0:f>IF(A1596="","",YEAR(A1596)&amp;"-"&amp;RIGHT("0"&amp;MONTH(A1596),2))</ns0:f>
        <ns0:v/>
      </ns0:c>
    </ns0:row>
    <ns0:row r="1597" ht="21" customHeight="1">
      <ns0:c r="A1597" s="25" t="n"/>
      <ns0:c r="B1597" s="26" t="n"/>
      <ns0:c r="C1597" s="26" t="n"/>
      <ns0:c r="D1597" s="26" t="n"/>
      <ns0:c r="E1597" s="27" t="n"/>
      <ns0:c r="F1597" s="28" t="str">
        <ns0:f>IF(A1597="","",YEAR(A1597)&amp;"-"&amp;RIGHT("0"&amp;MONTH(A1597),2))</ns0:f>
        <ns0:v/>
      </ns0:c>
    </ns0:row>
    <ns0:row r="1598" ht="21" customHeight="1">
      <ns0:c r="A1598" s="25" t="n"/>
      <ns0:c r="B1598" s="26" t="n"/>
      <ns0:c r="C1598" s="26" t="n"/>
      <ns0:c r="D1598" s="26" t="n"/>
      <ns0:c r="E1598" s="27" t="n"/>
      <ns0:c r="F1598" s="28" t="str">
        <ns0:f>IF(A1598="","",YEAR(A1598)&amp;"-"&amp;RIGHT("0"&amp;MONTH(A1598),2))</ns0:f>
        <ns0:v/>
      </ns0:c>
    </ns0:row>
    <ns0:row r="1599" ht="21" customHeight="1">
      <ns0:c r="A1599" s="25" t="n"/>
      <ns0:c r="B1599" s="26" t="n"/>
      <ns0:c r="C1599" s="26" t="n"/>
      <ns0:c r="D1599" s="26" t="n"/>
      <ns0:c r="E1599" s="27" t="n"/>
      <ns0:c r="F1599" s="28" t="str">
        <ns0:f>IF(A1599="","",YEAR(A1599)&amp;"-"&amp;RIGHT("0"&amp;MONTH(A1599),2))</ns0:f>
        <ns0:v/>
      </ns0:c>
    </ns0:row>
    <ns0:row r="1600" ht="21" customHeight="1">
      <ns0:c r="A1600" s="25" t="n"/>
      <ns0:c r="B1600" s="26" t="n"/>
      <ns0:c r="C1600" s="26" t="n"/>
      <ns0:c r="D1600" s="26" t="n"/>
      <ns0:c r="E1600" s="27" t="n"/>
      <ns0:c r="F1600" s="28" t="str">
        <ns0:f>IF(A1600="","",YEAR(A1600)&amp;"-"&amp;RIGHT("0"&amp;MONTH(A1600),2))</ns0:f>
        <ns0:v/>
      </ns0:c>
    </ns0:row>
    <ns0:row r="1601" ht="21" customHeight="1">
      <ns0:c r="A1601" s="25" t="n"/>
      <ns0:c r="B1601" s="26" t="n"/>
      <ns0:c r="C1601" s="26" t="n"/>
      <ns0:c r="D1601" s="26" t="n"/>
      <ns0:c r="E1601" s="27" t="n"/>
      <ns0:c r="F1601" s="28" t="str">
        <ns0:f>IF(A1601="","",YEAR(A1601)&amp;"-"&amp;RIGHT("0"&amp;MONTH(A1601),2))</ns0:f>
        <ns0:v/>
      </ns0:c>
    </ns0:row>
    <ns0:row r="1602" ht="21" customHeight="1">
      <ns0:c r="A1602" s="25" t="n"/>
      <ns0:c r="B1602" s="26" t="n"/>
      <ns0:c r="C1602" s="26" t="n"/>
      <ns0:c r="D1602" s="26" t="n"/>
      <ns0:c r="E1602" s="27" t="n"/>
      <ns0:c r="F1602" s="28" t="str">
        <ns0:f>IF(A1602="","",YEAR(A1602)&amp;"-"&amp;RIGHT("0"&amp;MONTH(A1602),2))</ns0:f>
        <ns0:v/>
      </ns0:c>
    </ns0:row>
    <ns0:row r="1603" ht="21" customHeight="1">
      <ns0:c r="A1603" s="25" t="n"/>
      <ns0:c r="B1603" s="26" t="n"/>
      <ns0:c r="C1603" s="26" t="n"/>
      <ns0:c r="D1603" s="26" t="n"/>
      <ns0:c r="E1603" s="27" t="n"/>
      <ns0:c r="F1603" s="28" t="str">
        <ns0:f>IF(A1603="","",YEAR(A1603)&amp;"-"&amp;RIGHT("0"&amp;MONTH(A1603),2))</ns0:f>
        <ns0:v/>
      </ns0:c>
    </ns0:row>
    <ns0:row r="1604" ht="21" customHeight="1">
      <ns0:c r="A1604" s="25" t="n"/>
      <ns0:c r="B1604" s="26" t="n"/>
      <ns0:c r="C1604" s="26" t="n"/>
      <ns0:c r="D1604" s="26" t="n"/>
      <ns0:c r="E1604" s="27" t="n"/>
      <ns0:c r="F1604" s="28" t="str">
        <ns0:f>IF(A1604="","",YEAR(A1604)&amp;"-"&amp;RIGHT("0"&amp;MONTH(A1604),2))</ns0:f>
        <ns0:v/>
      </ns0:c>
    </ns0:row>
    <ns0:row r="1605" ht="21" customHeight="1">
      <ns0:c r="A1605" s="25" t="n"/>
      <ns0:c r="B1605" s="26" t="n"/>
      <ns0:c r="C1605" s="26" t="n"/>
      <ns0:c r="D1605" s="26" t="n"/>
      <ns0:c r="E1605" s="27" t="n"/>
      <ns0:c r="F1605" s="28" t="str">
        <ns0:f>IF(A1605="","",YEAR(A1605)&amp;"-"&amp;RIGHT("0"&amp;MONTH(A1605),2))</ns0:f>
        <ns0:v/>
      </ns0:c>
    </ns0:row>
    <ns0:row r="1606" ht="21" customHeight="1">
      <ns0:c r="A1606" s="25" t="n"/>
      <ns0:c r="B1606" s="26" t="n"/>
      <ns0:c r="C1606" s="26" t="n"/>
      <ns0:c r="D1606" s="26" t="n"/>
      <ns0:c r="E1606" s="27" t="n"/>
      <ns0:c r="F1606" s="28" t="str">
        <ns0:f>IF(A1606="","",YEAR(A1606)&amp;"-"&amp;RIGHT("0"&amp;MONTH(A1606),2))</ns0:f>
        <ns0:v/>
      </ns0:c>
    </ns0:row>
    <ns0:row r="1607" ht="21" customHeight="1">
      <ns0:c r="A1607" s="25" t="n"/>
      <ns0:c r="B1607" s="26" t="n"/>
      <ns0:c r="C1607" s="26" t="n"/>
      <ns0:c r="D1607" s="26" t="n"/>
      <ns0:c r="E1607" s="27" t="n"/>
      <ns0:c r="F1607" s="28" t="str">
        <ns0:f>IF(A1607="","",YEAR(A1607)&amp;"-"&amp;RIGHT("0"&amp;MONTH(A1607),2))</ns0:f>
        <ns0:v/>
      </ns0:c>
    </ns0:row>
    <ns0:row r="1608" ht="21" customHeight="1">
      <ns0:c r="A1608" s="25" t="n"/>
      <ns0:c r="B1608" s="26" t="n"/>
      <ns0:c r="C1608" s="26" t="n"/>
      <ns0:c r="D1608" s="26" t="n"/>
      <ns0:c r="E1608" s="27" t="n"/>
      <ns0:c r="F1608" s="28" t="str">
        <ns0:f>IF(A1608="","",YEAR(A1608)&amp;"-"&amp;RIGHT("0"&amp;MONTH(A1608),2))</ns0:f>
        <ns0:v/>
      </ns0:c>
    </ns0:row>
    <ns0:row r="1609" ht="21" customHeight="1">
      <ns0:c r="A1609" s="25" t="n"/>
      <ns0:c r="B1609" s="26" t="n"/>
      <ns0:c r="C1609" s="26" t="n"/>
      <ns0:c r="D1609" s="26" t="n"/>
      <ns0:c r="E1609" s="27" t="n"/>
      <ns0:c r="F1609" s="28" t="str">
        <ns0:f>IF(A1609="","",YEAR(A1609)&amp;"-"&amp;RIGHT("0"&amp;MONTH(A1609),2))</ns0:f>
        <ns0:v/>
      </ns0:c>
    </ns0:row>
    <ns0:row r="1610" ht="21" customHeight="1">
      <ns0:c r="A1610" s="25" t="n"/>
      <ns0:c r="B1610" s="26" t="n"/>
      <ns0:c r="C1610" s="26" t="n"/>
      <ns0:c r="D1610" s="26" t="n"/>
      <ns0:c r="E1610" s="27" t="n"/>
      <ns0:c r="F1610" s="28" t="str">
        <ns0:f>IF(A1610="","",YEAR(A1610)&amp;"-"&amp;RIGHT("0"&amp;MONTH(A1610),2))</ns0:f>
        <ns0:v/>
      </ns0:c>
    </ns0:row>
    <ns0:row r="1611" ht="21" customHeight="1">
      <ns0:c r="A1611" s="25" t="n"/>
      <ns0:c r="B1611" s="26" t="n"/>
      <ns0:c r="C1611" s="26" t="n"/>
      <ns0:c r="D1611" s="26" t="n"/>
      <ns0:c r="E1611" s="27" t="n"/>
      <ns0:c r="F1611" s="28" t="str">
        <ns0:f>IF(A1611="","",YEAR(A1611)&amp;"-"&amp;RIGHT("0"&amp;MONTH(A1611),2))</ns0:f>
        <ns0:v/>
      </ns0:c>
    </ns0:row>
    <ns0:row r="1612" ht="21" customHeight="1">
      <ns0:c r="A1612" s="25" t="n"/>
      <ns0:c r="B1612" s="26" t="n"/>
      <ns0:c r="C1612" s="26" t="n"/>
      <ns0:c r="D1612" s="26" t="n"/>
      <ns0:c r="E1612" s="27" t="n"/>
      <ns0:c r="F1612" s="28" t="str">
        <ns0:f>IF(A1612="","",YEAR(A1612)&amp;"-"&amp;RIGHT("0"&amp;MONTH(A1612),2))</ns0:f>
        <ns0:v/>
      </ns0:c>
    </ns0:row>
    <ns0:row r="1613" ht="21" customHeight="1">
      <ns0:c r="A1613" s="25" t="n"/>
      <ns0:c r="B1613" s="26" t="n"/>
      <ns0:c r="C1613" s="26" t="n"/>
      <ns0:c r="D1613" s="26" t="n"/>
      <ns0:c r="E1613" s="27" t="n"/>
      <ns0:c r="F1613" s="28" t="str">
        <ns0:f>IF(A1613="","",YEAR(A1613)&amp;"-"&amp;RIGHT("0"&amp;MONTH(A1613),2))</ns0:f>
        <ns0:v/>
      </ns0:c>
    </ns0:row>
    <ns0:row r="1614" ht="21" customHeight="1">
      <ns0:c r="A1614" s="25" t="n"/>
      <ns0:c r="B1614" s="26" t="n"/>
      <ns0:c r="C1614" s="26" t="n"/>
      <ns0:c r="D1614" s="26" t="n"/>
      <ns0:c r="E1614" s="27" t="n"/>
      <ns0:c r="F1614" s="28" t="str">
        <ns0:f>IF(A1614="","",YEAR(A1614)&amp;"-"&amp;RIGHT("0"&amp;MONTH(A1614),2))</ns0:f>
        <ns0:v/>
      </ns0:c>
    </ns0:row>
    <ns0:row r="1615" ht="21" customHeight="1">
      <ns0:c r="A1615" s="25" t="n"/>
      <ns0:c r="B1615" s="26" t="n"/>
      <ns0:c r="C1615" s="26" t="n"/>
      <ns0:c r="D1615" s="26" t="n"/>
      <ns0:c r="E1615" s="27" t="n"/>
      <ns0:c r="F1615" s="28" t="str">
        <ns0:f>IF(A1615="","",YEAR(A1615)&amp;"-"&amp;RIGHT("0"&amp;MONTH(A1615),2))</ns0:f>
        <ns0:v/>
      </ns0:c>
    </ns0:row>
    <ns0:row r="1616" ht="21" customHeight="1">
      <ns0:c r="A1616" s="25" t="n"/>
      <ns0:c r="B1616" s="26" t="n"/>
      <ns0:c r="C1616" s="26" t="n"/>
      <ns0:c r="D1616" s="26" t="n"/>
      <ns0:c r="E1616" s="27" t="n"/>
      <ns0:c r="F1616" s="28" t="str">
        <ns0:f>IF(A1616="","",YEAR(A1616)&amp;"-"&amp;RIGHT("0"&amp;MONTH(A1616),2))</ns0:f>
        <ns0:v/>
      </ns0:c>
    </ns0:row>
    <ns0:row r="1617" ht="21" customHeight="1">
      <ns0:c r="A1617" s="25" t="n"/>
      <ns0:c r="B1617" s="26" t="n"/>
      <ns0:c r="C1617" s="26" t="n"/>
      <ns0:c r="D1617" s="26" t="n"/>
      <ns0:c r="E1617" s="27" t="n"/>
      <ns0:c r="F1617" s="28" t="str">
        <ns0:f>IF(A1617="","",YEAR(A1617)&amp;"-"&amp;RIGHT("0"&amp;MONTH(A1617),2))</ns0:f>
        <ns0:v/>
      </ns0:c>
    </ns0:row>
    <ns0:row r="1618" ht="21" customHeight="1">
      <ns0:c r="A1618" s="25" t="n"/>
      <ns0:c r="B1618" s="26" t="n"/>
      <ns0:c r="C1618" s="26" t="n"/>
      <ns0:c r="D1618" s="26" t="n"/>
      <ns0:c r="E1618" s="27" t="n"/>
      <ns0:c r="F1618" s="28" t="str">
        <ns0:f>IF(A1618="","",YEAR(A1618)&amp;"-"&amp;RIGHT("0"&amp;MONTH(A1618),2))</ns0:f>
        <ns0:v/>
      </ns0:c>
    </ns0:row>
    <ns0:row r="1619" ht="21" customHeight="1">
      <ns0:c r="A1619" s="25" t="n"/>
      <ns0:c r="B1619" s="26" t="n"/>
      <ns0:c r="C1619" s="26" t="n"/>
      <ns0:c r="D1619" s="26" t="n"/>
      <ns0:c r="E1619" s="27" t="n"/>
      <ns0:c r="F1619" s="28" t="str">
        <ns0:f>IF(A1619="","",YEAR(A1619)&amp;"-"&amp;RIGHT("0"&amp;MONTH(A1619),2))</ns0:f>
        <ns0:v/>
      </ns0:c>
    </ns0:row>
    <ns0:row r="1620" ht="21" customHeight="1">
      <ns0:c r="A1620" s="25" t="n"/>
      <ns0:c r="B1620" s="26" t="n"/>
      <ns0:c r="C1620" s="26" t="n"/>
      <ns0:c r="D1620" s="26" t="n"/>
      <ns0:c r="E1620" s="27" t="n"/>
      <ns0:c r="F1620" s="28" t="str">
        <ns0:f>IF(A1620="","",YEAR(A1620)&amp;"-"&amp;RIGHT("0"&amp;MONTH(A1620),2))</ns0:f>
        <ns0:v/>
      </ns0:c>
    </ns0:row>
    <ns0:row r="1621" ht="21" customHeight="1">
      <ns0:c r="A1621" s="25" t="n"/>
      <ns0:c r="B1621" s="26" t="n"/>
      <ns0:c r="C1621" s="26" t="n"/>
      <ns0:c r="D1621" s="26" t="n"/>
      <ns0:c r="E1621" s="27" t="n"/>
      <ns0:c r="F1621" s="28" t="str">
        <ns0:f>IF(A1621="","",YEAR(A1621)&amp;"-"&amp;RIGHT("0"&amp;MONTH(A1621),2))</ns0:f>
        <ns0:v/>
      </ns0:c>
    </ns0:row>
    <ns0:row r="1622" ht="21" customHeight="1">
      <ns0:c r="A1622" s="25" t="n"/>
      <ns0:c r="B1622" s="26" t="n"/>
      <ns0:c r="C1622" s="26" t="n"/>
      <ns0:c r="D1622" s="26" t="n"/>
      <ns0:c r="E1622" s="27" t="n"/>
      <ns0:c r="F1622" s="28" t="str">
        <ns0:f>IF(A1622="","",YEAR(A1622)&amp;"-"&amp;RIGHT("0"&amp;MONTH(A1622),2))</ns0:f>
        <ns0:v/>
      </ns0:c>
    </ns0:row>
    <ns0:row r="1623" ht="21" customHeight="1">
      <ns0:c r="A1623" s="25" t="n"/>
      <ns0:c r="B1623" s="26" t="n"/>
      <ns0:c r="C1623" s="26" t="n"/>
      <ns0:c r="D1623" s="26" t="n"/>
      <ns0:c r="E1623" s="27" t="n"/>
      <ns0:c r="F1623" s="28" t="str">
        <ns0:f>IF(A1623="","",YEAR(A1623)&amp;"-"&amp;RIGHT("0"&amp;MONTH(A1623),2))</ns0:f>
        <ns0:v/>
      </ns0:c>
    </ns0:row>
    <ns0:row r="1624" ht="21" customHeight="1">
      <ns0:c r="A1624" s="25" t="n"/>
      <ns0:c r="B1624" s="26" t="n"/>
      <ns0:c r="C1624" s="26" t="n"/>
      <ns0:c r="D1624" s="26" t="n"/>
      <ns0:c r="E1624" s="27" t="n"/>
      <ns0:c r="F1624" s="28" t="str">
        <ns0:f>IF(A1624="","",YEAR(A1624)&amp;"-"&amp;RIGHT("0"&amp;MONTH(A1624),2))</ns0:f>
        <ns0:v/>
      </ns0:c>
    </ns0:row>
    <ns0:row r="1625" ht="21" customHeight="1">
      <ns0:c r="A1625" s="25" t="n"/>
      <ns0:c r="B1625" s="26" t="n"/>
      <ns0:c r="C1625" s="26" t="n"/>
      <ns0:c r="D1625" s="26" t="n"/>
      <ns0:c r="E1625" s="27" t="n"/>
      <ns0:c r="F1625" s="28" t="str">
        <ns0:f>IF(A1625="","",YEAR(A1625)&amp;"-"&amp;RIGHT("0"&amp;MONTH(A1625),2))</ns0:f>
        <ns0:v/>
      </ns0:c>
    </ns0:row>
    <ns0:row r="1626" ht="21" customHeight="1">
      <ns0:c r="A1626" s="25" t="n"/>
      <ns0:c r="B1626" s="26" t="n"/>
      <ns0:c r="C1626" s="26" t="n"/>
      <ns0:c r="D1626" s="26" t="n"/>
      <ns0:c r="E1626" s="27" t="n"/>
      <ns0:c r="F1626" s="28" t="str">
        <ns0:f>IF(A1626="","",YEAR(A1626)&amp;"-"&amp;RIGHT("0"&amp;MONTH(A1626),2))</ns0:f>
        <ns0:v/>
      </ns0:c>
    </ns0:row>
    <ns0:row r="1627" ht="21" customHeight="1">
      <ns0:c r="A1627" s="25" t="n"/>
      <ns0:c r="B1627" s="26" t="n"/>
      <ns0:c r="C1627" s="26" t="n"/>
      <ns0:c r="D1627" s="26" t="n"/>
      <ns0:c r="E1627" s="27" t="n"/>
      <ns0:c r="F1627" s="28" t="str">
        <ns0:f>IF(A1627="","",YEAR(A1627)&amp;"-"&amp;RIGHT("0"&amp;MONTH(A1627),2))</ns0:f>
        <ns0:v/>
      </ns0:c>
    </ns0:row>
    <ns0:row r="1628" ht="21" customHeight="1">
      <ns0:c r="A1628" s="25" t="n"/>
      <ns0:c r="B1628" s="26" t="n"/>
      <ns0:c r="C1628" s="26" t="n"/>
      <ns0:c r="D1628" s="26" t="n"/>
      <ns0:c r="E1628" s="27" t="n"/>
      <ns0:c r="F1628" s="28" t="str">
        <ns0:f>IF(A1628="","",YEAR(A1628)&amp;"-"&amp;RIGHT("0"&amp;MONTH(A1628),2))</ns0:f>
        <ns0:v/>
      </ns0:c>
    </ns0:row>
    <ns0:row r="1629" ht="21" customHeight="1">
      <ns0:c r="A1629" s="25" t="n"/>
      <ns0:c r="B1629" s="26" t="n"/>
      <ns0:c r="C1629" s="26" t="n"/>
      <ns0:c r="D1629" s="26" t="n"/>
      <ns0:c r="E1629" s="27" t="n"/>
      <ns0:c r="F1629" s="28" t="str">
        <ns0:f>IF(A1629="","",YEAR(A1629)&amp;"-"&amp;RIGHT("0"&amp;MONTH(A1629),2))</ns0:f>
        <ns0:v/>
      </ns0:c>
    </ns0:row>
    <ns0:row r="1630" ht="21" customHeight="1">
      <ns0:c r="A1630" s="25" t="n"/>
      <ns0:c r="B1630" s="26" t="n"/>
      <ns0:c r="C1630" s="26" t="n"/>
      <ns0:c r="D1630" s="26" t="n"/>
      <ns0:c r="E1630" s="27" t="n"/>
      <ns0:c r="F1630" s="28" t="str">
        <ns0:f>IF(A1630="","",YEAR(A1630)&amp;"-"&amp;RIGHT("0"&amp;MONTH(A1630),2))</ns0:f>
        <ns0:v/>
      </ns0:c>
    </ns0:row>
    <ns0:row r="1631" ht="21" customHeight="1">
      <ns0:c r="A1631" s="25" t="n"/>
      <ns0:c r="B1631" s="26" t="n"/>
      <ns0:c r="C1631" s="26" t="n"/>
      <ns0:c r="D1631" s="26" t="n"/>
      <ns0:c r="E1631" s="27" t="n"/>
      <ns0:c r="F1631" s="28" t="str">
        <ns0:f>IF(A1631="","",YEAR(A1631)&amp;"-"&amp;RIGHT("0"&amp;MONTH(A1631),2))</ns0:f>
        <ns0:v/>
      </ns0:c>
    </ns0:row>
    <ns0:row r="1632" ht="21" customHeight="1">
      <ns0:c r="A1632" s="25" t="n"/>
      <ns0:c r="B1632" s="26" t="n"/>
      <ns0:c r="C1632" s="26" t="n"/>
      <ns0:c r="D1632" s="26" t="n"/>
      <ns0:c r="E1632" s="27" t="n"/>
      <ns0:c r="F1632" s="28" t="str">
        <ns0:f>IF(A1632="","",YEAR(A1632)&amp;"-"&amp;RIGHT("0"&amp;MONTH(A1632),2))</ns0:f>
        <ns0:v/>
      </ns0:c>
    </ns0:row>
    <ns0:row r="1633" ht="21" customHeight="1">
      <ns0:c r="A1633" s="25" t="n"/>
      <ns0:c r="B1633" s="26" t="n"/>
      <ns0:c r="C1633" s="26" t="n"/>
      <ns0:c r="D1633" s="26" t="n"/>
      <ns0:c r="E1633" s="27" t="n"/>
      <ns0:c r="F1633" s="28" t="str">
        <ns0:f>IF(A1633="","",YEAR(A1633)&amp;"-"&amp;RIGHT("0"&amp;MONTH(A1633),2))</ns0:f>
        <ns0:v/>
      </ns0:c>
    </ns0:row>
    <ns0:row r="1634" ht="21" customHeight="1">
      <ns0:c r="A1634" s="25" t="n"/>
      <ns0:c r="B1634" s="26" t="n"/>
      <ns0:c r="C1634" s="26" t="n"/>
      <ns0:c r="D1634" s="26" t="n"/>
      <ns0:c r="E1634" s="27" t="n"/>
      <ns0:c r="F1634" s="28" t="str">
        <ns0:f>IF(A1634="","",YEAR(A1634)&amp;"-"&amp;RIGHT("0"&amp;MONTH(A1634),2))</ns0:f>
        <ns0:v/>
      </ns0:c>
    </ns0:row>
    <ns0:row r="1635" ht="21" customHeight="1">
      <ns0:c r="A1635" s="25" t="n"/>
      <ns0:c r="B1635" s="26" t="n"/>
      <ns0:c r="C1635" s="26" t="n"/>
      <ns0:c r="D1635" s="26" t="n"/>
      <ns0:c r="E1635" s="27" t="n"/>
      <ns0:c r="F1635" s="28" t="str">
        <ns0:f>IF(A1635="","",YEAR(A1635)&amp;"-"&amp;RIGHT("0"&amp;MONTH(A1635),2))</ns0:f>
        <ns0:v/>
      </ns0:c>
    </ns0:row>
    <ns0:row r="1636" ht="21" customHeight="1">
      <ns0:c r="A1636" s="25" t="n"/>
      <ns0:c r="B1636" s="26" t="n"/>
      <ns0:c r="C1636" s="26" t="n"/>
      <ns0:c r="D1636" s="26" t="n"/>
      <ns0:c r="E1636" s="27" t="n"/>
      <ns0:c r="F1636" s="28" t="str">
        <ns0:f>IF(A1636="","",YEAR(A1636)&amp;"-"&amp;RIGHT("0"&amp;MONTH(A1636),2))</ns0:f>
        <ns0:v/>
      </ns0:c>
    </ns0:row>
    <ns0:row r="1637" ht="21" customHeight="1">
      <ns0:c r="A1637" s="25" t="n"/>
      <ns0:c r="B1637" s="26" t="n"/>
      <ns0:c r="C1637" s="26" t="n"/>
      <ns0:c r="D1637" s="26" t="n"/>
      <ns0:c r="E1637" s="27" t="n"/>
      <ns0:c r="F1637" s="28" t="str">
        <ns0:f>IF(A1637="","",YEAR(A1637)&amp;"-"&amp;RIGHT("0"&amp;MONTH(A1637),2))</ns0:f>
        <ns0:v/>
      </ns0:c>
    </ns0:row>
    <ns0:row r="1638" ht="21" customHeight="1">
      <ns0:c r="A1638" s="25" t="n"/>
      <ns0:c r="B1638" s="26" t="n"/>
      <ns0:c r="C1638" s="26" t="n"/>
      <ns0:c r="D1638" s="26" t="n"/>
      <ns0:c r="E1638" s="27" t="n"/>
      <ns0:c r="F1638" s="28" t="str">
        <ns0:f>IF(A1638="","",YEAR(A1638)&amp;"-"&amp;RIGHT("0"&amp;MONTH(A1638),2))</ns0:f>
        <ns0:v/>
      </ns0:c>
    </ns0:row>
    <ns0:row r="1639" ht="21" customHeight="1">
      <ns0:c r="A1639" s="25" t="n"/>
      <ns0:c r="B1639" s="26" t="n"/>
      <ns0:c r="C1639" s="26" t="n"/>
      <ns0:c r="D1639" s="26" t="n"/>
      <ns0:c r="E1639" s="27" t="n"/>
      <ns0:c r="F1639" s="28" t="str">
        <ns0:f>IF(A1639="","",YEAR(A1639)&amp;"-"&amp;RIGHT("0"&amp;MONTH(A1639),2))</ns0:f>
        <ns0:v/>
      </ns0:c>
    </ns0:row>
    <ns0:row r="1640" ht="21" customHeight="1">
      <ns0:c r="A1640" s="25" t="n"/>
      <ns0:c r="B1640" s="26" t="n"/>
      <ns0:c r="C1640" s="26" t="n"/>
      <ns0:c r="D1640" s="26" t="n"/>
      <ns0:c r="E1640" s="27" t="n"/>
      <ns0:c r="F1640" s="28" t="str">
        <ns0:f>IF(A1640="","",YEAR(A1640)&amp;"-"&amp;RIGHT("0"&amp;MONTH(A1640),2))</ns0:f>
        <ns0:v/>
      </ns0:c>
    </ns0:row>
    <ns0:row r="1641" ht="21" customHeight="1">
      <ns0:c r="A1641" s="25" t="n"/>
      <ns0:c r="B1641" s="26" t="n"/>
      <ns0:c r="C1641" s="26" t="n"/>
      <ns0:c r="D1641" s="26" t="n"/>
      <ns0:c r="E1641" s="27" t="n"/>
      <ns0:c r="F1641" s="28" t="str">
        <ns0:f>IF(A1641="","",YEAR(A1641)&amp;"-"&amp;RIGHT("0"&amp;MONTH(A1641),2))</ns0:f>
        <ns0:v/>
      </ns0:c>
    </ns0:row>
    <ns0:row r="1642" ht="21" customHeight="1">
      <ns0:c r="A1642" s="25" t="n"/>
      <ns0:c r="B1642" s="26" t="n"/>
      <ns0:c r="C1642" s="26" t="n"/>
      <ns0:c r="D1642" s="26" t="n"/>
      <ns0:c r="E1642" s="27" t="n"/>
      <ns0:c r="F1642" s="28" t="str">
        <ns0:f>IF(A1642="","",YEAR(A1642)&amp;"-"&amp;RIGHT("0"&amp;MONTH(A1642),2))</ns0:f>
        <ns0:v/>
      </ns0:c>
    </ns0:row>
    <ns0:row r="1643" ht="21" customHeight="1">
      <ns0:c r="A1643" s="25" t="n"/>
      <ns0:c r="B1643" s="26" t="n"/>
      <ns0:c r="C1643" s="26" t="n"/>
      <ns0:c r="D1643" s="26" t="n"/>
      <ns0:c r="E1643" s="27" t="n"/>
      <ns0:c r="F1643" s="28" t="str">
        <ns0:f>IF(A1643="","",YEAR(A1643)&amp;"-"&amp;RIGHT("0"&amp;MONTH(A1643),2))</ns0:f>
        <ns0:v/>
      </ns0:c>
    </ns0:row>
    <ns0:row r="1644" ht="21" customHeight="1">
      <ns0:c r="A1644" s="25" t="n"/>
      <ns0:c r="B1644" s="26" t="n"/>
      <ns0:c r="C1644" s="26" t="n"/>
      <ns0:c r="D1644" s="26" t="n"/>
      <ns0:c r="E1644" s="27" t="n"/>
      <ns0:c r="F1644" s="28" t="str">
        <ns0:f>IF(A1644="","",YEAR(A1644)&amp;"-"&amp;RIGHT("0"&amp;MONTH(A1644),2))</ns0:f>
        <ns0:v/>
      </ns0:c>
    </ns0:row>
    <ns0:row r="1645" ht="21" customHeight="1">
      <ns0:c r="A1645" s="25" t="n"/>
      <ns0:c r="B1645" s="26" t="n"/>
      <ns0:c r="C1645" s="26" t="n"/>
      <ns0:c r="D1645" s="26" t="n"/>
      <ns0:c r="E1645" s="27" t="n"/>
      <ns0:c r="F1645" s="28" t="str">
        <ns0:f>IF(A1645="","",YEAR(A1645)&amp;"-"&amp;RIGHT("0"&amp;MONTH(A1645),2))</ns0:f>
        <ns0:v/>
      </ns0:c>
    </ns0:row>
    <ns0:row r="1646" ht="21" customHeight="1">
      <ns0:c r="A1646" s="25" t="n"/>
      <ns0:c r="B1646" s="26" t="n"/>
      <ns0:c r="C1646" s="26" t="n"/>
      <ns0:c r="D1646" s="26" t="n"/>
      <ns0:c r="E1646" s="27" t="n"/>
      <ns0:c r="F1646" s="28" t="str">
        <ns0:f>IF(A1646="","",YEAR(A1646)&amp;"-"&amp;RIGHT("0"&amp;MONTH(A1646),2))</ns0:f>
        <ns0:v/>
      </ns0:c>
    </ns0:row>
    <ns0:row r="1647" ht="21" customHeight="1">
      <ns0:c r="A1647" s="25" t="n"/>
      <ns0:c r="B1647" s="26" t="n"/>
      <ns0:c r="C1647" s="26" t="n"/>
      <ns0:c r="D1647" s="26" t="n"/>
      <ns0:c r="E1647" s="27" t="n"/>
      <ns0:c r="F1647" s="28" t="str">
        <ns0:f>IF(A1647="","",YEAR(A1647)&amp;"-"&amp;RIGHT("0"&amp;MONTH(A1647),2))</ns0:f>
        <ns0:v/>
      </ns0:c>
    </ns0:row>
    <ns0:row r="1648" ht="21" customHeight="1">
      <ns0:c r="A1648" s="25" t="n"/>
      <ns0:c r="B1648" s="26" t="n"/>
      <ns0:c r="C1648" s="26" t="n"/>
      <ns0:c r="D1648" s="26" t="n"/>
      <ns0:c r="E1648" s="27" t="n"/>
      <ns0:c r="F1648" s="28" t="str">
        <ns0:f>IF(A1648="","",YEAR(A1648)&amp;"-"&amp;RIGHT("0"&amp;MONTH(A1648),2))</ns0:f>
        <ns0:v/>
      </ns0:c>
    </ns0:row>
    <ns0:row r="1649" ht="21" customHeight="1">
      <ns0:c r="A1649" s="25" t="n"/>
      <ns0:c r="B1649" s="26" t="n"/>
      <ns0:c r="C1649" s="26" t="n"/>
      <ns0:c r="D1649" s="26" t="n"/>
      <ns0:c r="E1649" s="27" t="n"/>
      <ns0:c r="F1649" s="28" t="str">
        <ns0:f>IF(A1649="","",YEAR(A1649)&amp;"-"&amp;RIGHT("0"&amp;MONTH(A1649),2))</ns0:f>
        <ns0:v/>
      </ns0:c>
    </ns0:row>
    <ns0:row r="1650" ht="21" customHeight="1">
      <ns0:c r="A1650" s="25" t="n"/>
      <ns0:c r="B1650" s="26" t="n"/>
      <ns0:c r="C1650" s="26" t="n"/>
      <ns0:c r="D1650" s="26" t="n"/>
      <ns0:c r="E1650" s="27" t="n"/>
      <ns0:c r="F1650" s="28" t="str">
        <ns0:f>IF(A1650="","",YEAR(A1650)&amp;"-"&amp;RIGHT("0"&amp;MONTH(A1650),2))</ns0:f>
        <ns0:v/>
      </ns0:c>
    </ns0:row>
    <ns0:row r="1651" ht="21" customHeight="1">
      <ns0:c r="A1651" s="25" t="n"/>
      <ns0:c r="B1651" s="26" t="n"/>
      <ns0:c r="C1651" s="26" t="n"/>
      <ns0:c r="D1651" s="26" t="n"/>
      <ns0:c r="E1651" s="27" t="n"/>
      <ns0:c r="F1651" s="28" t="str">
        <ns0:f>IF(A1651="","",YEAR(A1651)&amp;"-"&amp;RIGHT("0"&amp;MONTH(A1651),2))</ns0:f>
        <ns0:v/>
      </ns0:c>
    </ns0:row>
    <ns0:row r="1652" ht="21" customHeight="1">
      <ns0:c r="A1652" s="25" t="n"/>
      <ns0:c r="B1652" s="26" t="n"/>
      <ns0:c r="C1652" s="26" t="n"/>
      <ns0:c r="D1652" s="26" t="n"/>
      <ns0:c r="E1652" s="27" t="n"/>
      <ns0:c r="F1652" s="28" t="str">
        <ns0:f>IF(A1652="","",YEAR(A1652)&amp;"-"&amp;RIGHT("0"&amp;MONTH(A1652),2))</ns0:f>
        <ns0:v/>
      </ns0:c>
    </ns0:row>
    <ns0:row r="1653" ht="21" customHeight="1">
      <ns0:c r="A1653" s="25" t="n"/>
      <ns0:c r="B1653" s="26" t="n"/>
      <ns0:c r="C1653" s="26" t="n"/>
      <ns0:c r="D1653" s="26" t="n"/>
      <ns0:c r="E1653" s="27" t="n"/>
      <ns0:c r="F1653" s="28" t="str">
        <ns0:f>IF(A1653="","",YEAR(A1653)&amp;"-"&amp;RIGHT("0"&amp;MONTH(A1653),2))</ns0:f>
        <ns0:v/>
      </ns0:c>
    </ns0:row>
    <ns0:row r="1654" ht="21" customHeight="1">
      <ns0:c r="A1654" s="25" t="n"/>
      <ns0:c r="B1654" s="26" t="n"/>
      <ns0:c r="C1654" s="26" t="n"/>
      <ns0:c r="D1654" s="26" t="n"/>
      <ns0:c r="E1654" s="27" t="n"/>
      <ns0:c r="F1654" s="28" t="str">
        <ns0:f>IF(A1654="","",YEAR(A1654)&amp;"-"&amp;RIGHT("0"&amp;MONTH(A1654),2))</ns0:f>
        <ns0:v/>
      </ns0:c>
    </ns0:row>
    <ns0:row r="1655" ht="21" customHeight="1">
      <ns0:c r="A1655" s="25" t="n"/>
      <ns0:c r="B1655" s="26" t="n"/>
      <ns0:c r="C1655" s="26" t="n"/>
      <ns0:c r="D1655" s="26" t="n"/>
      <ns0:c r="E1655" s="27" t="n"/>
      <ns0:c r="F1655" s="28" t="str">
        <ns0:f>IF(A1655="","",YEAR(A1655)&amp;"-"&amp;RIGHT("0"&amp;MONTH(A1655),2))</ns0:f>
        <ns0:v/>
      </ns0:c>
    </ns0:row>
    <ns0:row r="1656" ht="21" customHeight="1">
      <ns0:c r="A1656" s="25" t="n"/>
      <ns0:c r="B1656" s="26" t="n"/>
      <ns0:c r="C1656" s="26" t="n"/>
      <ns0:c r="D1656" s="26" t="n"/>
      <ns0:c r="E1656" s="27" t="n"/>
      <ns0:c r="F1656" s="28" t="str">
        <ns0:f>IF(A1656="","",YEAR(A1656)&amp;"-"&amp;RIGHT("0"&amp;MONTH(A1656),2))</ns0:f>
        <ns0:v/>
      </ns0:c>
    </ns0:row>
    <ns0:row r="1657" ht="21" customHeight="1">
      <ns0:c r="A1657" s="25" t="n"/>
      <ns0:c r="B1657" s="26" t="n"/>
      <ns0:c r="C1657" s="26" t="n"/>
      <ns0:c r="D1657" s="26" t="n"/>
      <ns0:c r="E1657" s="27" t="n"/>
      <ns0:c r="F1657" s="28" t="str">
        <ns0:f>IF(A1657="","",YEAR(A1657)&amp;"-"&amp;RIGHT("0"&amp;MONTH(A1657),2))</ns0:f>
        <ns0:v/>
      </ns0:c>
    </ns0:row>
    <ns0:row r="1658" ht="21" customHeight="1">
      <ns0:c r="A1658" s="25" t="n"/>
      <ns0:c r="B1658" s="26" t="n"/>
      <ns0:c r="C1658" s="26" t="n"/>
      <ns0:c r="D1658" s="26" t="n"/>
      <ns0:c r="E1658" s="27" t="n"/>
      <ns0:c r="F1658" s="28" t="str">
        <ns0:f>IF(A1658="","",YEAR(A1658)&amp;"-"&amp;RIGHT("0"&amp;MONTH(A1658),2))</ns0:f>
        <ns0:v/>
      </ns0:c>
    </ns0:row>
    <ns0:row r="1659" ht="21" customHeight="1">
      <ns0:c r="A1659" s="25" t="n"/>
      <ns0:c r="B1659" s="26" t="n"/>
      <ns0:c r="C1659" s="26" t="n"/>
      <ns0:c r="D1659" s="26" t="n"/>
      <ns0:c r="E1659" s="27" t="n"/>
      <ns0:c r="F1659" s="28" t="str">
        <ns0:f>IF(A1659="","",YEAR(A1659)&amp;"-"&amp;RIGHT("0"&amp;MONTH(A1659),2))</ns0:f>
        <ns0:v/>
      </ns0:c>
    </ns0:row>
    <ns0:row r="1660" ht="21" customHeight="1">
      <ns0:c r="A1660" s="25" t="n"/>
      <ns0:c r="B1660" s="26" t="n"/>
      <ns0:c r="C1660" s="26" t="n"/>
      <ns0:c r="D1660" s="26" t="n"/>
      <ns0:c r="E1660" s="27" t="n"/>
      <ns0:c r="F1660" s="28" t="str">
        <ns0:f>IF(A1660="","",YEAR(A1660)&amp;"-"&amp;RIGHT("0"&amp;MONTH(A1660),2))</ns0:f>
        <ns0:v/>
      </ns0:c>
    </ns0:row>
    <ns0:row r="1661" ht="21" customHeight="1">
      <ns0:c r="A1661" s="25" t="n"/>
      <ns0:c r="B1661" s="26" t="n"/>
      <ns0:c r="C1661" s="26" t="n"/>
      <ns0:c r="D1661" s="26" t="n"/>
      <ns0:c r="E1661" s="27" t="n"/>
      <ns0:c r="F1661" s="28" t="str">
        <ns0:f>IF(A1661="","",YEAR(A1661)&amp;"-"&amp;RIGHT("0"&amp;MONTH(A1661),2))</ns0:f>
        <ns0:v/>
      </ns0:c>
    </ns0:row>
    <ns0:row r="1662" ht="21" customHeight="1">
      <ns0:c r="A1662" s="25" t="n"/>
      <ns0:c r="B1662" s="26" t="n"/>
      <ns0:c r="C1662" s="26" t="n"/>
      <ns0:c r="D1662" s="26" t="n"/>
      <ns0:c r="E1662" s="27" t="n"/>
      <ns0:c r="F1662" s="28" t="str">
        <ns0:f>IF(A1662="","",YEAR(A1662)&amp;"-"&amp;RIGHT("0"&amp;MONTH(A1662),2))</ns0:f>
        <ns0:v/>
      </ns0:c>
    </ns0:row>
    <ns0:row r="1663" ht="21" customHeight="1">
      <ns0:c r="A1663" s="25" t="n"/>
      <ns0:c r="B1663" s="26" t="n"/>
      <ns0:c r="C1663" s="26" t="n"/>
      <ns0:c r="D1663" s="26" t="n"/>
      <ns0:c r="E1663" s="27" t="n"/>
      <ns0:c r="F1663" s="28" t="str">
        <ns0:f>IF(A1663="","",YEAR(A1663)&amp;"-"&amp;RIGHT("0"&amp;MONTH(A1663),2))</ns0:f>
        <ns0:v/>
      </ns0:c>
    </ns0:row>
    <ns0:row r="1664" ht="21" customHeight="1">
      <ns0:c r="A1664" s="25" t="n"/>
      <ns0:c r="B1664" s="26" t="n"/>
      <ns0:c r="C1664" s="26" t="n"/>
      <ns0:c r="D1664" s="26" t="n"/>
      <ns0:c r="E1664" s="27" t="n"/>
      <ns0:c r="F1664" s="28" t="str">
        <ns0:f>IF(A1664="","",YEAR(A1664)&amp;"-"&amp;RIGHT("0"&amp;MONTH(A1664),2))</ns0:f>
        <ns0:v/>
      </ns0:c>
    </ns0:row>
    <ns0:row r="1665" ht="21" customHeight="1">
      <ns0:c r="A1665" s="25" t="n"/>
      <ns0:c r="B1665" s="26" t="n"/>
      <ns0:c r="C1665" s="26" t="n"/>
      <ns0:c r="D1665" s="26" t="n"/>
      <ns0:c r="E1665" s="27" t="n"/>
      <ns0:c r="F1665" s="28" t="str">
        <ns0:f>IF(A1665="","",YEAR(A1665)&amp;"-"&amp;RIGHT("0"&amp;MONTH(A1665),2))</ns0:f>
        <ns0:v/>
      </ns0:c>
    </ns0:row>
    <ns0:row r="1666" ht="21" customHeight="1">
      <ns0:c r="A1666" s="25" t="n"/>
      <ns0:c r="B1666" s="26" t="n"/>
      <ns0:c r="C1666" s="26" t="n"/>
      <ns0:c r="D1666" s="26" t="n"/>
      <ns0:c r="E1666" s="27" t="n"/>
      <ns0:c r="F1666" s="28" t="str">
        <ns0:f>IF(A1666="","",YEAR(A1666)&amp;"-"&amp;RIGHT("0"&amp;MONTH(A1666),2))</ns0:f>
        <ns0:v/>
      </ns0:c>
    </ns0:row>
    <ns0:row r="1667" ht="21" customHeight="1">
      <ns0:c r="A1667" s="25" t="n"/>
      <ns0:c r="B1667" s="26" t="n"/>
      <ns0:c r="C1667" s="26" t="n"/>
      <ns0:c r="D1667" s="26" t="n"/>
      <ns0:c r="E1667" s="27" t="n"/>
      <ns0:c r="F1667" s="28" t="str">
        <ns0:f>IF(A1667="","",YEAR(A1667)&amp;"-"&amp;RIGHT("0"&amp;MONTH(A1667),2))</ns0:f>
        <ns0:v/>
      </ns0:c>
    </ns0:row>
    <ns0:row r="1668" ht="21" customHeight="1">
      <ns0:c r="A1668" s="25" t="n"/>
      <ns0:c r="B1668" s="26" t="n"/>
      <ns0:c r="C1668" s="26" t="n"/>
      <ns0:c r="D1668" s="26" t="n"/>
      <ns0:c r="E1668" s="27" t="n"/>
      <ns0:c r="F1668" s="28" t="str">
        <ns0:f>IF(A1668="","",YEAR(A1668)&amp;"-"&amp;RIGHT("0"&amp;MONTH(A1668),2))</ns0:f>
        <ns0:v/>
      </ns0:c>
    </ns0:row>
    <ns0:row r="1669" ht="21" customHeight="1">
      <ns0:c r="A1669" s="25" t="n"/>
      <ns0:c r="B1669" s="26" t="n"/>
      <ns0:c r="C1669" s="26" t="n"/>
      <ns0:c r="D1669" s="26" t="n"/>
      <ns0:c r="E1669" s="27" t="n"/>
      <ns0:c r="F1669" s="28" t="str">
        <ns0:f>IF(A1669="","",YEAR(A1669)&amp;"-"&amp;RIGHT("0"&amp;MONTH(A1669),2))</ns0:f>
        <ns0:v/>
      </ns0:c>
    </ns0:row>
    <ns0:row r="1670" ht="21" customHeight="1">
      <ns0:c r="A1670" s="25" t="n"/>
      <ns0:c r="B1670" s="26" t="n"/>
      <ns0:c r="C1670" s="26" t="n"/>
      <ns0:c r="D1670" s="26" t="n"/>
      <ns0:c r="E1670" s="27" t="n"/>
      <ns0:c r="F1670" s="28" t="str">
        <ns0:f>IF(A1670="","",YEAR(A1670)&amp;"-"&amp;RIGHT("0"&amp;MONTH(A1670),2))</ns0:f>
        <ns0:v/>
      </ns0:c>
    </ns0:row>
    <ns0:row r="1671" ht="21" customHeight="1">
      <ns0:c r="A1671" s="25" t="n"/>
      <ns0:c r="B1671" s="26" t="n"/>
      <ns0:c r="C1671" s="26" t="n"/>
      <ns0:c r="D1671" s="26" t="n"/>
      <ns0:c r="E1671" s="27" t="n"/>
      <ns0:c r="F1671" s="28" t="str">
        <ns0:f>IF(A1671="","",YEAR(A1671)&amp;"-"&amp;RIGHT("0"&amp;MONTH(A1671),2))</ns0:f>
        <ns0:v/>
      </ns0:c>
    </ns0:row>
    <ns0:row r="1672" ht="21" customHeight="1">
      <ns0:c r="A1672" s="25" t="n"/>
      <ns0:c r="B1672" s="26" t="n"/>
      <ns0:c r="C1672" s="26" t="n"/>
      <ns0:c r="D1672" s="26" t="n"/>
      <ns0:c r="E1672" s="27" t="n"/>
      <ns0:c r="F1672" s="28" t="str">
        <ns0:f>IF(A1672="","",YEAR(A1672)&amp;"-"&amp;RIGHT("0"&amp;MONTH(A1672),2))</ns0:f>
        <ns0:v/>
      </ns0:c>
    </ns0:row>
    <ns0:row r="1673" ht="21" customHeight="1">
      <ns0:c r="A1673" s="25" t="n"/>
      <ns0:c r="B1673" s="26" t="n"/>
      <ns0:c r="C1673" s="26" t="n"/>
      <ns0:c r="D1673" s="26" t="n"/>
      <ns0:c r="E1673" s="27" t="n"/>
      <ns0:c r="F1673" s="28" t="str">
        <ns0:f>IF(A1673="","",YEAR(A1673)&amp;"-"&amp;RIGHT("0"&amp;MONTH(A1673),2))</ns0:f>
        <ns0:v/>
      </ns0:c>
    </ns0:row>
    <ns0:row r="1674" ht="21" customHeight="1">
      <ns0:c r="A1674" s="25" t="n"/>
      <ns0:c r="B1674" s="26" t="n"/>
      <ns0:c r="C1674" s="26" t="n"/>
      <ns0:c r="D1674" s="26" t="n"/>
      <ns0:c r="E1674" s="27" t="n"/>
      <ns0:c r="F1674" s="28" t="str">
        <ns0:f>IF(A1674="","",YEAR(A1674)&amp;"-"&amp;RIGHT("0"&amp;MONTH(A1674),2))</ns0:f>
        <ns0:v/>
      </ns0:c>
    </ns0:row>
    <ns0:row r="1675" ht="21" customHeight="1">
      <ns0:c r="A1675" s="25" t="n"/>
      <ns0:c r="B1675" s="26" t="n"/>
      <ns0:c r="C1675" s="26" t="n"/>
      <ns0:c r="D1675" s="26" t="n"/>
      <ns0:c r="E1675" s="27" t="n"/>
      <ns0:c r="F1675" s="28" t="str">
        <ns0:f>IF(A1675="","",YEAR(A1675)&amp;"-"&amp;RIGHT("0"&amp;MONTH(A1675),2))</ns0:f>
        <ns0:v/>
      </ns0:c>
    </ns0:row>
    <ns0:row r="1676" ht="21" customHeight="1">
      <ns0:c r="A1676" s="25" t="n"/>
      <ns0:c r="B1676" s="26" t="n"/>
      <ns0:c r="C1676" s="26" t="n"/>
      <ns0:c r="D1676" s="26" t="n"/>
      <ns0:c r="E1676" s="27" t="n"/>
      <ns0:c r="F1676" s="28" t="str">
        <ns0:f>IF(A1676="","",YEAR(A1676)&amp;"-"&amp;RIGHT("0"&amp;MONTH(A1676),2))</ns0:f>
        <ns0:v/>
      </ns0:c>
    </ns0:row>
    <ns0:row r="1677" ht="21" customHeight="1">
      <ns0:c r="A1677" s="25" t="n"/>
      <ns0:c r="B1677" s="26" t="n"/>
      <ns0:c r="C1677" s="26" t="n"/>
      <ns0:c r="D1677" s="26" t="n"/>
      <ns0:c r="E1677" s="27" t="n"/>
      <ns0:c r="F1677" s="28" t="str">
        <ns0:f>IF(A1677="","",YEAR(A1677)&amp;"-"&amp;RIGHT("0"&amp;MONTH(A1677),2))</ns0:f>
        <ns0:v/>
      </ns0:c>
    </ns0:row>
    <ns0:row r="1678" ht="21" customHeight="1">
      <ns0:c r="A1678" s="25" t="n"/>
      <ns0:c r="B1678" s="26" t="n"/>
      <ns0:c r="C1678" s="26" t="n"/>
      <ns0:c r="D1678" s="26" t="n"/>
      <ns0:c r="E1678" s="27" t="n"/>
      <ns0:c r="F1678" s="28" t="str">
        <ns0:f>IF(A1678="","",YEAR(A1678)&amp;"-"&amp;RIGHT("0"&amp;MONTH(A1678),2))</ns0:f>
        <ns0:v/>
      </ns0:c>
    </ns0:row>
    <ns0:row r="1679" ht="21" customHeight="1">
      <ns0:c r="A1679" s="25" t="n"/>
      <ns0:c r="B1679" s="26" t="n"/>
      <ns0:c r="C1679" s="26" t="n"/>
      <ns0:c r="D1679" s="26" t="n"/>
      <ns0:c r="E1679" s="27" t="n"/>
      <ns0:c r="F1679" s="28" t="str">
        <ns0:f>IF(A1679="","",YEAR(A1679)&amp;"-"&amp;RIGHT("0"&amp;MONTH(A1679),2))</ns0:f>
        <ns0:v/>
      </ns0:c>
    </ns0:row>
    <ns0:row r="1680" ht="21" customHeight="1">
      <ns0:c r="A1680" s="25" t="n"/>
      <ns0:c r="B1680" s="26" t="n"/>
      <ns0:c r="C1680" s="26" t="n"/>
      <ns0:c r="D1680" s="26" t="n"/>
      <ns0:c r="E1680" s="27" t="n"/>
      <ns0:c r="F1680" s="28" t="str">
        <ns0:f>IF(A1680="","",YEAR(A1680)&amp;"-"&amp;RIGHT("0"&amp;MONTH(A1680),2))</ns0:f>
        <ns0:v/>
      </ns0:c>
    </ns0:row>
    <ns0:row r="1681" ht="21" customHeight="1">
      <ns0:c r="A1681" s="25" t="n"/>
      <ns0:c r="B1681" s="26" t="n"/>
      <ns0:c r="C1681" s="26" t="n"/>
      <ns0:c r="D1681" s="26" t="n"/>
      <ns0:c r="E1681" s="27" t="n"/>
      <ns0:c r="F1681" s="28" t="str">
        <ns0:f>IF(A1681="","",YEAR(A1681)&amp;"-"&amp;RIGHT("0"&amp;MONTH(A1681),2))</ns0:f>
        <ns0:v/>
      </ns0:c>
    </ns0:row>
    <ns0:row r="1682" ht="21" customHeight="1">
      <ns0:c r="A1682" s="25" t="n"/>
      <ns0:c r="B1682" s="26" t="n"/>
      <ns0:c r="C1682" s="26" t="n"/>
      <ns0:c r="D1682" s="26" t="n"/>
      <ns0:c r="E1682" s="27" t="n"/>
      <ns0:c r="F1682" s="28" t="str">
        <ns0:f>IF(A1682="","",YEAR(A1682)&amp;"-"&amp;RIGHT("0"&amp;MONTH(A1682),2))</ns0:f>
        <ns0:v/>
      </ns0:c>
    </ns0:row>
    <ns0:row r="1683" ht="21" customHeight="1">
      <ns0:c r="A1683" s="25" t="n"/>
      <ns0:c r="B1683" s="26" t="n"/>
      <ns0:c r="C1683" s="26" t="n"/>
      <ns0:c r="D1683" s="26" t="n"/>
      <ns0:c r="E1683" s="27" t="n"/>
      <ns0:c r="F1683" s="28" t="str">
        <ns0:f>IF(A1683="","",YEAR(A1683)&amp;"-"&amp;RIGHT("0"&amp;MONTH(A1683),2))</ns0:f>
        <ns0:v/>
      </ns0:c>
    </ns0:row>
    <ns0:row r="1684" ht="21" customHeight="1">
      <ns0:c r="A1684" s="25" t="n"/>
      <ns0:c r="B1684" s="26" t="n"/>
      <ns0:c r="C1684" s="26" t="n"/>
      <ns0:c r="D1684" s="26" t="n"/>
      <ns0:c r="E1684" s="27" t="n"/>
      <ns0:c r="F1684" s="28" t="str">
        <ns0:f>IF(A1684="","",YEAR(A1684)&amp;"-"&amp;RIGHT("0"&amp;MONTH(A1684),2))</ns0:f>
        <ns0:v/>
      </ns0:c>
    </ns0:row>
    <ns0:row r="1685" ht="21" customHeight="1">
      <ns0:c r="A1685" s="25" t="n"/>
      <ns0:c r="B1685" s="26" t="n"/>
      <ns0:c r="C1685" s="26" t="n"/>
      <ns0:c r="D1685" s="26" t="n"/>
      <ns0:c r="E1685" s="27" t="n"/>
      <ns0:c r="F1685" s="28" t="str">
        <ns0:f>IF(A1685="","",YEAR(A1685)&amp;"-"&amp;RIGHT("0"&amp;MONTH(A1685),2))</ns0:f>
        <ns0:v/>
      </ns0:c>
    </ns0:row>
    <ns0:row r="1686" ht="21" customHeight="1">
      <ns0:c r="A1686" s="25" t="n"/>
      <ns0:c r="B1686" s="26" t="n"/>
      <ns0:c r="C1686" s="26" t="n"/>
      <ns0:c r="D1686" s="26" t="n"/>
      <ns0:c r="E1686" s="27" t="n"/>
      <ns0:c r="F1686" s="28" t="str">
        <ns0:f>IF(A1686="","",YEAR(A1686)&amp;"-"&amp;RIGHT("0"&amp;MONTH(A1686),2))</ns0:f>
        <ns0:v/>
      </ns0:c>
    </ns0:row>
    <ns0:row r="1687" ht="21" customHeight="1">
      <ns0:c r="A1687" s="25" t="n"/>
      <ns0:c r="B1687" s="26" t="n"/>
      <ns0:c r="C1687" s="26" t="n"/>
      <ns0:c r="D1687" s="26" t="n"/>
      <ns0:c r="E1687" s="27" t="n"/>
      <ns0:c r="F1687" s="28" t="str">
        <ns0:f>IF(A1687="","",YEAR(A1687)&amp;"-"&amp;RIGHT("0"&amp;MONTH(A1687),2))</ns0:f>
        <ns0:v/>
      </ns0:c>
    </ns0:row>
    <ns0:row r="1688" ht="21" customHeight="1">
      <ns0:c r="A1688" s="25" t="n"/>
      <ns0:c r="B1688" s="26" t="n"/>
      <ns0:c r="C1688" s="26" t="n"/>
      <ns0:c r="D1688" s="26" t="n"/>
      <ns0:c r="E1688" s="27" t="n"/>
      <ns0:c r="F1688" s="28" t="str">
        <ns0:f>IF(A1688="","",YEAR(A1688)&amp;"-"&amp;RIGHT("0"&amp;MONTH(A1688),2))</ns0:f>
        <ns0:v/>
      </ns0:c>
    </ns0:row>
    <ns0:row r="1689" ht="21" customHeight="1">
      <ns0:c r="A1689" s="25" t="n"/>
      <ns0:c r="B1689" s="26" t="n"/>
      <ns0:c r="C1689" s="26" t="n"/>
      <ns0:c r="D1689" s="26" t="n"/>
      <ns0:c r="E1689" s="27" t="n"/>
      <ns0:c r="F1689" s="28" t="str">
        <ns0:f>IF(A1689="","",YEAR(A1689)&amp;"-"&amp;RIGHT("0"&amp;MONTH(A1689),2))</ns0:f>
        <ns0:v/>
      </ns0:c>
    </ns0:row>
    <ns0:row r="1690" ht="21" customHeight="1">
      <ns0:c r="A1690" s="25" t="n"/>
      <ns0:c r="B1690" s="26" t="n"/>
      <ns0:c r="C1690" s="26" t="n"/>
      <ns0:c r="D1690" s="26" t="n"/>
      <ns0:c r="E1690" s="27" t="n"/>
      <ns0:c r="F1690" s="28" t="str">
        <ns0:f>IF(A1690="","",YEAR(A1690)&amp;"-"&amp;RIGHT("0"&amp;MONTH(A1690),2))</ns0:f>
        <ns0:v/>
      </ns0:c>
    </ns0:row>
    <ns0:row r="1691" ht="21" customHeight="1">
      <ns0:c r="A1691" s="25" t="n"/>
      <ns0:c r="B1691" s="26" t="n"/>
      <ns0:c r="C1691" s="26" t="n"/>
      <ns0:c r="D1691" s="26" t="n"/>
      <ns0:c r="E1691" s="27" t="n"/>
      <ns0:c r="F1691" s="28" t="str">
        <ns0:f>IF(A1691="","",YEAR(A1691)&amp;"-"&amp;RIGHT("0"&amp;MONTH(A1691),2))</ns0:f>
        <ns0:v/>
      </ns0:c>
    </ns0:row>
    <ns0:row r="1692" ht="21" customHeight="1">
      <ns0:c r="A1692" s="25" t="n"/>
      <ns0:c r="B1692" s="26" t="n"/>
      <ns0:c r="C1692" s="26" t="n"/>
      <ns0:c r="D1692" s="26" t="n"/>
      <ns0:c r="E1692" s="27" t="n"/>
      <ns0:c r="F1692" s="28" t="str">
        <ns0:f>IF(A1692="","",YEAR(A1692)&amp;"-"&amp;RIGHT("0"&amp;MONTH(A1692),2))</ns0:f>
        <ns0:v/>
      </ns0:c>
    </ns0:row>
    <ns0:row r="1693" ht="21" customHeight="1">
      <ns0:c r="A1693" s="25" t="n"/>
      <ns0:c r="B1693" s="26" t="n"/>
      <ns0:c r="C1693" s="26" t="n"/>
      <ns0:c r="D1693" s="26" t="n"/>
      <ns0:c r="E1693" s="27" t="n"/>
      <ns0:c r="F1693" s="28" t="str">
        <ns0:f>IF(A1693="","",YEAR(A1693)&amp;"-"&amp;RIGHT("0"&amp;MONTH(A1693),2))</ns0:f>
        <ns0:v/>
      </ns0:c>
    </ns0:row>
    <ns0:row r="1694" ht="21" customHeight="1">
      <ns0:c r="A1694" s="25" t="n"/>
      <ns0:c r="B1694" s="26" t="n"/>
      <ns0:c r="C1694" s="26" t="n"/>
      <ns0:c r="D1694" s="26" t="n"/>
      <ns0:c r="E1694" s="27" t="n"/>
      <ns0:c r="F1694" s="28" t="str">
        <ns0:f>IF(A1694="","",YEAR(A1694)&amp;"-"&amp;RIGHT("0"&amp;MONTH(A1694),2))</ns0:f>
        <ns0:v/>
      </ns0:c>
    </ns0:row>
    <ns0:row r="1695" ht="21" customHeight="1">
      <ns0:c r="A1695" s="25" t="n"/>
      <ns0:c r="B1695" s="26" t="n"/>
      <ns0:c r="C1695" s="26" t="n"/>
      <ns0:c r="D1695" s="26" t="n"/>
      <ns0:c r="E1695" s="27" t="n"/>
      <ns0:c r="F1695" s="28" t="str">
        <ns0:f>IF(A1695="","",YEAR(A1695)&amp;"-"&amp;RIGHT("0"&amp;MONTH(A1695),2))</ns0:f>
        <ns0:v/>
      </ns0:c>
    </ns0:row>
    <ns0:row r="1696" ht="21" customHeight="1">
      <ns0:c r="A1696" s="25" t="n"/>
      <ns0:c r="B1696" s="26" t="n"/>
      <ns0:c r="C1696" s="26" t="n"/>
      <ns0:c r="D1696" s="26" t="n"/>
      <ns0:c r="E1696" s="27" t="n"/>
      <ns0:c r="F1696" s="28" t="str">
        <ns0:f>IF(A1696="","",YEAR(A1696)&amp;"-"&amp;RIGHT("0"&amp;MONTH(A1696),2))</ns0:f>
        <ns0:v/>
      </ns0:c>
    </ns0:row>
    <ns0:row r="1697" ht="21" customHeight="1">
      <ns0:c r="A1697" s="25" t="n"/>
      <ns0:c r="B1697" s="26" t="n"/>
      <ns0:c r="C1697" s="26" t="n"/>
      <ns0:c r="D1697" s="26" t="n"/>
      <ns0:c r="E1697" s="27" t="n"/>
      <ns0:c r="F1697" s="28" t="str">
        <ns0:f>IF(A1697="","",YEAR(A1697)&amp;"-"&amp;RIGHT("0"&amp;MONTH(A1697),2))</ns0:f>
        <ns0:v/>
      </ns0:c>
    </ns0:row>
    <ns0:row r="1698" ht="21" customHeight="1">
      <ns0:c r="A1698" s="25" t="n"/>
      <ns0:c r="B1698" s="26" t="n"/>
      <ns0:c r="C1698" s="26" t="n"/>
      <ns0:c r="D1698" s="26" t="n"/>
      <ns0:c r="E1698" s="27" t="n"/>
      <ns0:c r="F1698" s="28" t="str">
        <ns0:f>IF(A1698="","",YEAR(A1698)&amp;"-"&amp;RIGHT("0"&amp;MONTH(A1698),2))</ns0:f>
        <ns0:v/>
      </ns0:c>
    </ns0:row>
    <ns0:row r="1699" ht="21" customHeight="1">
      <ns0:c r="A1699" s="25" t="n"/>
      <ns0:c r="B1699" s="26" t="n"/>
      <ns0:c r="C1699" s="26" t="n"/>
      <ns0:c r="D1699" s="26" t="n"/>
      <ns0:c r="E1699" s="27" t="n"/>
      <ns0:c r="F1699" s="28" t="str">
        <ns0:f>IF(A1699="","",YEAR(A1699)&amp;"-"&amp;RIGHT("0"&amp;MONTH(A1699),2))</ns0:f>
        <ns0:v/>
      </ns0:c>
    </ns0:row>
    <ns0:row r="1700" ht="21" customHeight="1">
      <ns0:c r="A1700" s="25" t="n"/>
      <ns0:c r="B1700" s="26" t="n"/>
      <ns0:c r="C1700" s="26" t="n"/>
      <ns0:c r="D1700" s="26" t="n"/>
      <ns0:c r="E1700" s="27" t="n"/>
      <ns0:c r="F1700" s="28" t="str">
        <ns0:f>IF(A1700="","",YEAR(A1700)&amp;"-"&amp;RIGHT("0"&amp;MONTH(A1700),2))</ns0:f>
        <ns0:v/>
      </ns0:c>
    </ns0:row>
    <ns0:row r="1701" ht="21" customHeight="1">
      <ns0:c r="A1701" s="25" t="n"/>
      <ns0:c r="B1701" s="26" t="n"/>
      <ns0:c r="C1701" s="26" t="n"/>
      <ns0:c r="D1701" s="26" t="n"/>
      <ns0:c r="E1701" s="27" t="n"/>
      <ns0:c r="F1701" s="28" t="str">
        <ns0:f>IF(A1701="","",YEAR(A1701)&amp;"-"&amp;RIGHT("0"&amp;MONTH(A1701),2))</ns0:f>
        <ns0:v/>
      </ns0:c>
    </ns0:row>
    <ns0:row r="1702" ht="21" customHeight="1">
      <ns0:c r="A1702" s="25" t="n"/>
      <ns0:c r="B1702" s="26" t="n"/>
      <ns0:c r="C1702" s="26" t="n"/>
      <ns0:c r="D1702" s="26" t="n"/>
      <ns0:c r="E1702" s="27" t="n"/>
      <ns0:c r="F1702" s="28" t="str">
        <ns0:f>IF(A1702="","",YEAR(A1702)&amp;"-"&amp;RIGHT("0"&amp;MONTH(A1702),2))</ns0:f>
        <ns0:v/>
      </ns0:c>
    </ns0:row>
    <ns0:row r="1703" ht="21" customHeight="1">
      <ns0:c r="A1703" s="25" t="n"/>
      <ns0:c r="B1703" s="26" t="n"/>
      <ns0:c r="C1703" s="26" t="n"/>
      <ns0:c r="D1703" s="26" t="n"/>
      <ns0:c r="E1703" s="27" t="n"/>
      <ns0:c r="F1703" s="28" t="str">
        <ns0:f>IF(A1703="","",YEAR(A1703)&amp;"-"&amp;RIGHT("0"&amp;MONTH(A1703),2))</ns0:f>
        <ns0:v/>
      </ns0:c>
    </ns0:row>
    <ns0:row r="1704" ht="21" customHeight="1">
      <ns0:c r="A1704" s="25" t="n"/>
      <ns0:c r="B1704" s="26" t="n"/>
      <ns0:c r="C1704" s="26" t="n"/>
      <ns0:c r="D1704" s="26" t="n"/>
      <ns0:c r="E1704" s="27" t="n"/>
      <ns0:c r="F1704" s="28" t="str">
        <ns0:f>IF(A1704="","",YEAR(A1704)&amp;"-"&amp;RIGHT("0"&amp;MONTH(A1704),2))</ns0:f>
        <ns0:v/>
      </ns0:c>
    </ns0:row>
    <ns0:row r="1705" ht="21" customHeight="1">
      <ns0:c r="A1705" s="25" t="n"/>
      <ns0:c r="B1705" s="26" t="n"/>
      <ns0:c r="C1705" s="26" t="n"/>
      <ns0:c r="D1705" s="26" t="n"/>
      <ns0:c r="E1705" s="27" t="n"/>
      <ns0:c r="F1705" s="28" t="str">
        <ns0:f>IF(A1705="","",YEAR(A1705)&amp;"-"&amp;RIGHT("0"&amp;MONTH(A1705),2))</ns0:f>
        <ns0:v/>
      </ns0:c>
    </ns0:row>
    <ns0:row r="1706" ht="21" customHeight="1">
      <ns0:c r="A1706" s="25" t="n"/>
      <ns0:c r="B1706" s="26" t="n"/>
      <ns0:c r="C1706" s="26" t="n"/>
      <ns0:c r="D1706" s="26" t="n"/>
      <ns0:c r="E1706" s="27" t="n"/>
      <ns0:c r="F1706" s="28" t="str">
        <ns0:f>IF(A1706="","",YEAR(A1706)&amp;"-"&amp;RIGHT("0"&amp;MONTH(A1706),2))</ns0:f>
        <ns0:v/>
      </ns0:c>
    </ns0:row>
    <ns0:row r="1707" ht="21" customHeight="1">
      <ns0:c r="A1707" s="25" t="n"/>
      <ns0:c r="B1707" s="26" t="n"/>
      <ns0:c r="C1707" s="26" t="n"/>
      <ns0:c r="D1707" s="26" t="n"/>
      <ns0:c r="E1707" s="27" t="n"/>
      <ns0:c r="F1707" s="28" t="str">
        <ns0:f>IF(A1707="","",YEAR(A1707)&amp;"-"&amp;RIGHT("0"&amp;MONTH(A1707),2))</ns0:f>
        <ns0:v/>
      </ns0:c>
    </ns0:row>
    <ns0:row r="1708" ht="21" customHeight="1">
      <ns0:c r="A1708" s="25" t="n"/>
      <ns0:c r="B1708" s="26" t="n"/>
      <ns0:c r="C1708" s="26" t="n"/>
      <ns0:c r="D1708" s="26" t="n"/>
      <ns0:c r="E1708" s="27" t="n"/>
      <ns0:c r="F1708" s="28" t="str">
        <ns0:f>IF(A1708="","",YEAR(A1708)&amp;"-"&amp;RIGHT("0"&amp;MONTH(A1708),2))</ns0:f>
        <ns0:v/>
      </ns0:c>
    </ns0:row>
    <ns0:row r="1709" ht="21" customHeight="1">
      <ns0:c r="A1709" s="25" t="n"/>
      <ns0:c r="B1709" s="26" t="n"/>
      <ns0:c r="C1709" s="26" t="n"/>
      <ns0:c r="D1709" s="26" t="n"/>
      <ns0:c r="E1709" s="27" t="n"/>
      <ns0:c r="F1709" s="28" t="str">
        <ns0:f>IF(A1709="","",YEAR(A1709)&amp;"-"&amp;RIGHT("0"&amp;MONTH(A1709),2))</ns0:f>
        <ns0:v/>
      </ns0:c>
    </ns0:row>
    <ns0:row r="1710" ht="21" customHeight="1">
      <ns0:c r="A1710" s="25" t="n"/>
      <ns0:c r="B1710" s="26" t="n"/>
      <ns0:c r="C1710" s="26" t="n"/>
      <ns0:c r="D1710" s="26" t="n"/>
      <ns0:c r="E1710" s="27" t="n"/>
      <ns0:c r="F1710" s="28" t="str">
        <ns0:f>IF(A1710="","",YEAR(A1710)&amp;"-"&amp;RIGHT("0"&amp;MONTH(A1710),2))</ns0:f>
        <ns0:v/>
      </ns0:c>
    </ns0:row>
    <ns0:row r="1711" ht="21" customHeight="1">
      <ns0:c r="A1711" s="25" t="n"/>
      <ns0:c r="B1711" s="26" t="n"/>
      <ns0:c r="C1711" s="26" t="n"/>
      <ns0:c r="D1711" s="26" t="n"/>
      <ns0:c r="E1711" s="27" t="n"/>
      <ns0:c r="F1711" s="28" t="str">
        <ns0:f>IF(A1711="","",YEAR(A1711)&amp;"-"&amp;RIGHT("0"&amp;MONTH(A1711),2))</ns0:f>
        <ns0:v/>
      </ns0:c>
    </ns0:row>
    <ns0:row r="1712" ht="21" customHeight="1">
      <ns0:c r="A1712" s="25" t="n"/>
      <ns0:c r="B1712" s="26" t="n"/>
      <ns0:c r="C1712" s="26" t="n"/>
      <ns0:c r="D1712" s="26" t="n"/>
      <ns0:c r="E1712" s="27" t="n"/>
      <ns0:c r="F1712" s="28" t="str">
        <ns0:f>IF(A1712="","",YEAR(A1712)&amp;"-"&amp;RIGHT("0"&amp;MONTH(A1712),2))</ns0:f>
        <ns0:v/>
      </ns0:c>
    </ns0:row>
    <ns0:row r="1713" ht="21" customHeight="1">
      <ns0:c r="A1713" s="25" t="n"/>
      <ns0:c r="B1713" s="26" t="n"/>
      <ns0:c r="C1713" s="26" t="n"/>
      <ns0:c r="D1713" s="26" t="n"/>
      <ns0:c r="E1713" s="27" t="n"/>
      <ns0:c r="F1713" s="28" t="str">
        <ns0:f>IF(A1713="","",YEAR(A1713)&amp;"-"&amp;RIGHT("0"&amp;MONTH(A1713),2))</ns0:f>
        <ns0:v/>
      </ns0:c>
    </ns0:row>
    <ns0:row r="1714" ht="21" customHeight="1">
      <ns0:c r="A1714" s="25" t="n"/>
      <ns0:c r="B1714" s="26" t="n"/>
      <ns0:c r="C1714" s="26" t="n"/>
      <ns0:c r="D1714" s="26" t="n"/>
      <ns0:c r="E1714" s="27" t="n"/>
      <ns0:c r="F1714" s="28" t="str">
        <ns0:f>IF(A1714="","",YEAR(A1714)&amp;"-"&amp;RIGHT("0"&amp;MONTH(A1714),2))</ns0:f>
        <ns0:v/>
      </ns0:c>
    </ns0:row>
    <ns0:row r="1715" ht="21" customHeight="1">
      <ns0:c r="A1715" s="25" t="n"/>
      <ns0:c r="B1715" s="26" t="n"/>
      <ns0:c r="C1715" s="26" t="n"/>
      <ns0:c r="D1715" s="26" t="n"/>
      <ns0:c r="E1715" s="27" t="n"/>
      <ns0:c r="F1715" s="28" t="str">
        <ns0:f>IF(A1715="","",YEAR(A1715)&amp;"-"&amp;RIGHT("0"&amp;MONTH(A1715),2))</ns0:f>
        <ns0:v/>
      </ns0:c>
    </ns0:row>
    <ns0:row r="1716" ht="21" customHeight="1">
      <ns0:c r="A1716" s="25" t="n"/>
      <ns0:c r="B1716" s="26" t="n"/>
      <ns0:c r="C1716" s="26" t="n"/>
      <ns0:c r="D1716" s="26" t="n"/>
      <ns0:c r="E1716" s="27" t="n"/>
      <ns0:c r="F1716" s="28" t="str">
        <ns0:f>IF(A1716="","",YEAR(A1716)&amp;"-"&amp;RIGHT("0"&amp;MONTH(A1716),2))</ns0:f>
        <ns0:v/>
      </ns0:c>
    </ns0:row>
    <ns0:row r="1717" ht="21" customHeight="1">
      <ns0:c r="A1717" s="25" t="n"/>
      <ns0:c r="B1717" s="26" t="n"/>
      <ns0:c r="C1717" s="26" t="n"/>
      <ns0:c r="D1717" s="26" t="n"/>
      <ns0:c r="E1717" s="27" t="n"/>
      <ns0:c r="F1717" s="28" t="str">
        <ns0:f>IF(A1717="","",YEAR(A1717)&amp;"-"&amp;RIGHT("0"&amp;MONTH(A1717),2))</ns0:f>
        <ns0:v/>
      </ns0:c>
    </ns0:row>
    <ns0:row r="1718" ht="21" customHeight="1">
      <ns0:c r="A1718" s="25" t="n"/>
      <ns0:c r="B1718" s="26" t="n"/>
      <ns0:c r="C1718" s="26" t="n"/>
      <ns0:c r="D1718" s="26" t="n"/>
      <ns0:c r="E1718" s="27" t="n"/>
      <ns0:c r="F1718" s="28" t="str">
        <ns0:f>IF(A1718="","",YEAR(A1718)&amp;"-"&amp;RIGHT("0"&amp;MONTH(A1718),2))</ns0:f>
        <ns0:v/>
      </ns0:c>
    </ns0:row>
    <ns0:row r="1719" ht="21" customHeight="1">
      <ns0:c r="A1719" s="25" t="n"/>
      <ns0:c r="B1719" s="26" t="n"/>
      <ns0:c r="C1719" s="26" t="n"/>
      <ns0:c r="D1719" s="26" t="n"/>
      <ns0:c r="E1719" s="27" t="n"/>
      <ns0:c r="F1719" s="28" t="str">
        <ns0:f>IF(A1719="","",YEAR(A1719)&amp;"-"&amp;RIGHT("0"&amp;MONTH(A1719),2))</ns0:f>
        <ns0:v/>
      </ns0:c>
    </ns0:row>
    <ns0:row r="1720" ht="21" customHeight="1">
      <ns0:c r="A1720" s="25" t="n"/>
      <ns0:c r="B1720" s="26" t="n"/>
      <ns0:c r="C1720" s="26" t="n"/>
      <ns0:c r="D1720" s="26" t="n"/>
      <ns0:c r="E1720" s="27" t="n"/>
      <ns0:c r="F1720" s="28" t="str">
        <ns0:f>IF(A1720="","",YEAR(A1720)&amp;"-"&amp;RIGHT("0"&amp;MONTH(A1720),2))</ns0:f>
        <ns0:v/>
      </ns0:c>
    </ns0:row>
    <ns0:row r="1721" ht="21" customHeight="1">
      <ns0:c r="A1721" s="25" t="n"/>
      <ns0:c r="B1721" s="26" t="n"/>
      <ns0:c r="C1721" s="26" t="n"/>
      <ns0:c r="D1721" s="26" t="n"/>
      <ns0:c r="E1721" s="27" t="n"/>
      <ns0:c r="F1721" s="28" t="str">
        <ns0:f>IF(A1721="","",YEAR(A1721)&amp;"-"&amp;RIGHT("0"&amp;MONTH(A1721),2))</ns0:f>
        <ns0:v/>
      </ns0:c>
    </ns0:row>
    <ns0:row r="1722" ht="21" customHeight="1">
      <ns0:c r="A1722" s="25" t="n"/>
      <ns0:c r="B1722" s="26" t="n"/>
      <ns0:c r="C1722" s="26" t="n"/>
      <ns0:c r="D1722" s="26" t="n"/>
      <ns0:c r="E1722" s="27" t="n"/>
      <ns0:c r="F1722" s="28" t="str">
        <ns0:f>IF(A1722="","",YEAR(A1722)&amp;"-"&amp;RIGHT("0"&amp;MONTH(A1722),2))</ns0:f>
        <ns0:v/>
      </ns0:c>
    </ns0:row>
    <ns0:row r="1723" ht="21" customHeight="1">
      <ns0:c r="A1723" s="25" t="n"/>
      <ns0:c r="B1723" s="26" t="n"/>
      <ns0:c r="C1723" s="26" t="n"/>
      <ns0:c r="D1723" s="26" t="n"/>
      <ns0:c r="E1723" s="27" t="n"/>
      <ns0:c r="F1723" s="28" t="str">
        <ns0:f>IF(A1723="","",YEAR(A1723)&amp;"-"&amp;RIGHT("0"&amp;MONTH(A1723),2))</ns0:f>
        <ns0:v/>
      </ns0:c>
    </ns0:row>
    <ns0:row r="1724" ht="21" customHeight="1">
      <ns0:c r="A1724" s="25" t="n"/>
      <ns0:c r="B1724" s="26" t="n"/>
      <ns0:c r="C1724" s="26" t="n"/>
      <ns0:c r="D1724" s="26" t="n"/>
      <ns0:c r="E1724" s="27" t="n"/>
      <ns0:c r="F1724" s="28" t="str">
        <ns0:f>IF(A1724="","",YEAR(A1724)&amp;"-"&amp;RIGHT("0"&amp;MONTH(A1724),2))</ns0:f>
        <ns0:v/>
      </ns0:c>
    </ns0:row>
    <ns0:row r="1725" ht="21" customHeight="1">
      <ns0:c r="A1725" s="25" t="n"/>
      <ns0:c r="B1725" s="26" t="n"/>
      <ns0:c r="C1725" s="26" t="n"/>
      <ns0:c r="D1725" s="26" t="n"/>
      <ns0:c r="E1725" s="27" t="n"/>
      <ns0:c r="F1725" s="28" t="str">
        <ns0:f>IF(A1725="","",YEAR(A1725)&amp;"-"&amp;RIGHT("0"&amp;MONTH(A1725),2))</ns0:f>
        <ns0:v/>
      </ns0:c>
    </ns0:row>
    <ns0:row r="1726" ht="21" customHeight="1">
      <ns0:c r="A1726" s="25" t="n"/>
      <ns0:c r="B1726" s="26" t="n"/>
      <ns0:c r="C1726" s="26" t="n"/>
      <ns0:c r="D1726" s="26" t="n"/>
      <ns0:c r="E1726" s="27" t="n"/>
      <ns0:c r="F1726" s="28" t="str">
        <ns0:f>IF(A1726="","",YEAR(A1726)&amp;"-"&amp;RIGHT("0"&amp;MONTH(A1726),2))</ns0:f>
        <ns0:v/>
      </ns0:c>
    </ns0:row>
    <ns0:row r="1727" ht="21" customHeight="1">
      <ns0:c r="A1727" s="25" t="n"/>
      <ns0:c r="B1727" s="26" t="n"/>
      <ns0:c r="C1727" s="26" t="n"/>
      <ns0:c r="D1727" s="26" t="n"/>
      <ns0:c r="E1727" s="27" t="n"/>
      <ns0:c r="F1727" s="28" t="str">
        <ns0:f>IF(A1727="","",YEAR(A1727)&amp;"-"&amp;RIGHT("0"&amp;MONTH(A1727),2))</ns0:f>
        <ns0:v/>
      </ns0:c>
    </ns0:row>
    <ns0:row r="1728" ht="21" customHeight="1">
      <ns0:c r="A1728" s="25" t="n"/>
      <ns0:c r="B1728" s="26" t="n"/>
      <ns0:c r="C1728" s="26" t="n"/>
      <ns0:c r="D1728" s="26" t="n"/>
      <ns0:c r="E1728" s="27" t="n"/>
      <ns0:c r="F1728" s="28" t="str">
        <ns0:f>IF(A1728="","",YEAR(A1728)&amp;"-"&amp;RIGHT("0"&amp;MONTH(A1728),2))</ns0:f>
        <ns0:v/>
      </ns0:c>
    </ns0:row>
    <ns0:row r="1729" ht="21" customHeight="1">
      <ns0:c r="A1729" s="25" t="n"/>
      <ns0:c r="B1729" s="26" t="n"/>
      <ns0:c r="C1729" s="26" t="n"/>
      <ns0:c r="D1729" s="26" t="n"/>
      <ns0:c r="E1729" s="27" t="n"/>
      <ns0:c r="F1729" s="28" t="str">
        <ns0:f>IF(A1729="","",YEAR(A1729)&amp;"-"&amp;RIGHT("0"&amp;MONTH(A1729),2))</ns0:f>
        <ns0:v/>
      </ns0:c>
    </ns0:row>
    <ns0:row r="1730" ht="21" customHeight="1">
      <ns0:c r="A1730" s="25" t="n"/>
      <ns0:c r="B1730" s="26" t="n"/>
      <ns0:c r="C1730" s="26" t="n"/>
      <ns0:c r="D1730" s="26" t="n"/>
      <ns0:c r="E1730" s="27" t="n"/>
      <ns0:c r="F1730" s="28" t="str">
        <ns0:f>IF(A1730="","",YEAR(A1730)&amp;"-"&amp;RIGHT("0"&amp;MONTH(A1730),2))</ns0:f>
        <ns0:v/>
      </ns0:c>
    </ns0:row>
    <ns0:row r="1731" ht="21" customHeight="1">
      <ns0:c r="A1731" s="25" t="n"/>
      <ns0:c r="B1731" s="26" t="n"/>
      <ns0:c r="C1731" s="26" t="n"/>
      <ns0:c r="D1731" s="26" t="n"/>
      <ns0:c r="E1731" s="27" t="n"/>
      <ns0:c r="F1731" s="28" t="str">
        <ns0:f>IF(A1731="","",YEAR(A1731)&amp;"-"&amp;RIGHT("0"&amp;MONTH(A1731),2))</ns0:f>
        <ns0:v/>
      </ns0:c>
    </ns0:row>
    <ns0:row r="1732" ht="21" customHeight="1">
      <ns0:c r="A1732" s="25" t="n"/>
      <ns0:c r="B1732" s="26" t="n"/>
      <ns0:c r="C1732" s="26" t="n"/>
      <ns0:c r="D1732" s="26" t="n"/>
      <ns0:c r="E1732" s="27" t="n"/>
      <ns0:c r="F1732" s="28" t="str">
        <ns0:f>IF(A1732="","",YEAR(A1732)&amp;"-"&amp;RIGHT("0"&amp;MONTH(A1732),2))</ns0:f>
        <ns0:v/>
      </ns0:c>
    </ns0:row>
    <ns0:row r="1733" ht="21" customHeight="1">
      <ns0:c r="A1733" s="25" t="n"/>
      <ns0:c r="B1733" s="26" t="n"/>
      <ns0:c r="C1733" s="26" t="n"/>
      <ns0:c r="D1733" s="26" t="n"/>
      <ns0:c r="E1733" s="27" t="n"/>
      <ns0:c r="F1733" s="28" t="str">
        <ns0:f>IF(A1733="","",YEAR(A1733)&amp;"-"&amp;RIGHT("0"&amp;MONTH(A1733),2))</ns0:f>
        <ns0:v/>
      </ns0:c>
    </ns0:row>
    <ns0:row r="1734" ht="21" customHeight="1">
      <ns0:c r="A1734" s="25" t="n"/>
      <ns0:c r="B1734" s="26" t="n"/>
      <ns0:c r="C1734" s="26" t="n"/>
      <ns0:c r="D1734" s="26" t="n"/>
      <ns0:c r="E1734" s="27" t="n"/>
      <ns0:c r="F1734" s="28" t="str">
        <ns0:f>IF(A1734="","",YEAR(A1734)&amp;"-"&amp;RIGHT("0"&amp;MONTH(A1734),2))</ns0:f>
        <ns0:v/>
      </ns0:c>
    </ns0:row>
    <ns0:row r="1735" ht="21" customHeight="1">
      <ns0:c r="A1735" s="25" t="n"/>
      <ns0:c r="B1735" s="26" t="n"/>
      <ns0:c r="C1735" s="26" t="n"/>
      <ns0:c r="D1735" s="26" t="n"/>
      <ns0:c r="E1735" s="27" t="n"/>
      <ns0:c r="F1735" s="28" t="str">
        <ns0:f>IF(A1735="","",YEAR(A1735)&amp;"-"&amp;RIGHT("0"&amp;MONTH(A1735),2))</ns0:f>
        <ns0:v/>
      </ns0:c>
    </ns0:row>
    <ns0:row r="1736" ht="21" customHeight="1">
      <ns0:c r="A1736" s="25" t="n"/>
      <ns0:c r="B1736" s="26" t="n"/>
      <ns0:c r="C1736" s="26" t="n"/>
      <ns0:c r="D1736" s="26" t="n"/>
      <ns0:c r="E1736" s="27" t="n"/>
      <ns0:c r="F1736" s="28" t="str">
        <ns0:f>IF(A1736="","",YEAR(A1736)&amp;"-"&amp;RIGHT("0"&amp;MONTH(A1736),2))</ns0:f>
        <ns0:v/>
      </ns0:c>
    </ns0:row>
    <ns0:row r="1737" ht="21" customHeight="1">
      <ns0:c r="A1737" s="25" t="n"/>
      <ns0:c r="B1737" s="26" t="n"/>
      <ns0:c r="C1737" s="26" t="n"/>
      <ns0:c r="D1737" s="26" t="n"/>
      <ns0:c r="E1737" s="27" t="n"/>
      <ns0:c r="F1737" s="28" t="str">
        <ns0:f>IF(A1737="","",YEAR(A1737)&amp;"-"&amp;RIGHT("0"&amp;MONTH(A1737),2))</ns0:f>
        <ns0:v/>
      </ns0:c>
    </ns0:row>
    <ns0:row r="1738" ht="21" customHeight="1">
      <ns0:c r="A1738" s="25" t="n"/>
      <ns0:c r="B1738" s="26" t="n"/>
      <ns0:c r="C1738" s="26" t="n"/>
      <ns0:c r="D1738" s="26" t="n"/>
      <ns0:c r="E1738" s="27" t="n"/>
      <ns0:c r="F1738" s="28" t="str">
        <ns0:f>IF(A1738="","",YEAR(A1738)&amp;"-"&amp;RIGHT("0"&amp;MONTH(A1738),2))</ns0:f>
        <ns0:v/>
      </ns0:c>
    </ns0:row>
    <ns0:row r="1739" ht="21" customHeight="1">
      <ns0:c r="A1739" s="25" t="n"/>
      <ns0:c r="B1739" s="26" t="n"/>
      <ns0:c r="C1739" s="26" t="n"/>
      <ns0:c r="D1739" s="26" t="n"/>
      <ns0:c r="E1739" s="27" t="n"/>
      <ns0:c r="F1739" s="28" t="str">
        <ns0:f>IF(A1739="","",YEAR(A1739)&amp;"-"&amp;RIGHT("0"&amp;MONTH(A1739),2))</ns0:f>
        <ns0:v/>
      </ns0:c>
    </ns0:row>
    <ns0:row r="1740" ht="21" customHeight="1">
      <ns0:c r="A1740" s="25" t="n"/>
      <ns0:c r="B1740" s="26" t="n"/>
      <ns0:c r="C1740" s="26" t="n"/>
      <ns0:c r="D1740" s="26" t="n"/>
      <ns0:c r="E1740" s="27" t="n"/>
      <ns0:c r="F1740" s="28" t="str">
        <ns0:f>IF(A1740="","",YEAR(A1740)&amp;"-"&amp;RIGHT("0"&amp;MONTH(A1740),2))</ns0:f>
        <ns0:v/>
      </ns0:c>
    </ns0:row>
    <ns0:row r="1741" ht="21" customHeight="1">
      <ns0:c r="A1741" s="25" t="n"/>
      <ns0:c r="B1741" s="26" t="n"/>
      <ns0:c r="C1741" s="26" t="n"/>
      <ns0:c r="D1741" s="26" t="n"/>
      <ns0:c r="E1741" s="27" t="n"/>
      <ns0:c r="F1741" s="28" t="str">
        <ns0:f>IF(A1741="","",YEAR(A1741)&amp;"-"&amp;RIGHT("0"&amp;MONTH(A1741),2))</ns0:f>
        <ns0:v/>
      </ns0:c>
    </ns0:row>
    <ns0:row r="1742" ht="21" customHeight="1">
      <ns0:c r="A1742" s="25" t="n"/>
      <ns0:c r="B1742" s="26" t="n"/>
      <ns0:c r="C1742" s="26" t="n"/>
      <ns0:c r="D1742" s="26" t="n"/>
      <ns0:c r="E1742" s="27" t="n"/>
      <ns0:c r="F1742" s="28" t="str">
        <ns0:f>IF(A1742="","",YEAR(A1742)&amp;"-"&amp;RIGHT("0"&amp;MONTH(A1742),2))</ns0:f>
        <ns0:v/>
      </ns0:c>
    </ns0:row>
    <ns0:row r="1743" ht="21" customHeight="1">
      <ns0:c r="A1743" s="25" t="n"/>
      <ns0:c r="B1743" s="26" t="n"/>
      <ns0:c r="C1743" s="26" t="n"/>
      <ns0:c r="D1743" s="26" t="n"/>
      <ns0:c r="E1743" s="27" t="n"/>
      <ns0:c r="F1743" s="28" t="str">
        <ns0:f>IF(A1743="","",YEAR(A1743)&amp;"-"&amp;RIGHT("0"&amp;MONTH(A1743),2))</ns0:f>
        <ns0:v/>
      </ns0:c>
    </ns0:row>
    <ns0:row r="1744" ht="21" customHeight="1">
      <ns0:c r="A1744" s="25" t="n"/>
      <ns0:c r="B1744" s="26" t="n"/>
      <ns0:c r="C1744" s="26" t="n"/>
      <ns0:c r="D1744" s="26" t="n"/>
      <ns0:c r="E1744" s="27" t="n"/>
      <ns0:c r="F1744" s="28" t="str">
        <ns0:f>IF(A1744="","",YEAR(A1744)&amp;"-"&amp;RIGHT("0"&amp;MONTH(A1744),2))</ns0:f>
        <ns0:v/>
      </ns0:c>
    </ns0:row>
    <ns0:row r="1745" ht="21" customHeight="1">
      <ns0:c r="A1745" s="25" t="n"/>
      <ns0:c r="B1745" s="26" t="n"/>
      <ns0:c r="C1745" s="26" t="n"/>
      <ns0:c r="D1745" s="26" t="n"/>
      <ns0:c r="E1745" s="27" t="n"/>
      <ns0:c r="F1745" s="28" t="str">
        <ns0:f>IF(A1745="","",YEAR(A1745)&amp;"-"&amp;RIGHT("0"&amp;MONTH(A1745),2))</ns0:f>
        <ns0:v/>
      </ns0:c>
    </ns0:row>
    <ns0:row r="1746" ht="21" customHeight="1">
      <ns0:c r="A1746" s="25" t="n"/>
      <ns0:c r="B1746" s="26" t="n"/>
      <ns0:c r="C1746" s="26" t="n"/>
      <ns0:c r="D1746" s="26" t="n"/>
      <ns0:c r="E1746" s="27" t="n"/>
      <ns0:c r="F1746" s="28" t="str">
        <ns0:f>IF(A1746="","",YEAR(A1746)&amp;"-"&amp;RIGHT("0"&amp;MONTH(A1746),2))</ns0:f>
        <ns0:v/>
      </ns0:c>
    </ns0:row>
    <ns0:row r="1747" ht="21" customHeight="1">
      <ns0:c r="A1747" s="25" t="n"/>
      <ns0:c r="B1747" s="26" t="n"/>
      <ns0:c r="C1747" s="26" t="n"/>
      <ns0:c r="D1747" s="26" t="n"/>
      <ns0:c r="E1747" s="27" t="n"/>
      <ns0:c r="F1747" s="28" t="str">
        <ns0:f>IF(A1747="","",YEAR(A1747)&amp;"-"&amp;RIGHT("0"&amp;MONTH(A1747),2))</ns0:f>
        <ns0:v/>
      </ns0:c>
    </ns0:row>
    <ns0:row r="1748" ht="21" customHeight="1">
      <ns0:c r="A1748" s="25" t="n"/>
      <ns0:c r="B1748" s="26" t="n"/>
      <ns0:c r="C1748" s="26" t="n"/>
      <ns0:c r="D1748" s="26" t="n"/>
      <ns0:c r="E1748" s="27" t="n"/>
      <ns0:c r="F1748" s="28" t="str">
        <ns0:f>IF(A1748="","",YEAR(A1748)&amp;"-"&amp;RIGHT("0"&amp;MONTH(A1748),2))</ns0:f>
        <ns0:v/>
      </ns0:c>
    </ns0:row>
    <ns0:row r="1749" ht="21" customHeight="1">
      <ns0:c r="A1749" s="25" t="n"/>
      <ns0:c r="B1749" s="26" t="n"/>
      <ns0:c r="C1749" s="26" t="n"/>
      <ns0:c r="D1749" s="26" t="n"/>
      <ns0:c r="E1749" s="27" t="n"/>
      <ns0:c r="F1749" s="28" t="str">
        <ns0:f>IF(A1749="","",YEAR(A1749)&amp;"-"&amp;RIGHT("0"&amp;MONTH(A1749),2))</ns0:f>
        <ns0:v/>
      </ns0:c>
    </ns0:row>
    <ns0:row r="1750" ht="21" customHeight="1">
      <ns0:c r="A1750" s="25" t="n"/>
      <ns0:c r="B1750" s="26" t="n"/>
      <ns0:c r="C1750" s="26" t="n"/>
      <ns0:c r="D1750" s="26" t="n"/>
      <ns0:c r="E1750" s="27" t="n"/>
      <ns0:c r="F1750" s="28" t="str">
        <ns0:f>IF(A1750="","",YEAR(A1750)&amp;"-"&amp;RIGHT("0"&amp;MONTH(A1750),2))</ns0:f>
        <ns0:v/>
      </ns0:c>
    </ns0:row>
    <ns0:row r="1751" ht="21" customHeight="1">
      <ns0:c r="A1751" s="25" t="n"/>
      <ns0:c r="B1751" s="26" t="n"/>
      <ns0:c r="C1751" s="26" t="n"/>
      <ns0:c r="D1751" s="26" t="n"/>
      <ns0:c r="E1751" s="27" t="n"/>
      <ns0:c r="F1751" s="28" t="str">
        <ns0:f>IF(A1751="","",YEAR(A1751)&amp;"-"&amp;RIGHT("0"&amp;MONTH(A1751),2))</ns0:f>
        <ns0:v/>
      </ns0:c>
    </ns0:row>
    <ns0:row r="1752" ht="21" customHeight="1">
      <ns0:c r="A1752" s="25" t="n"/>
      <ns0:c r="B1752" s="26" t="n"/>
      <ns0:c r="C1752" s="26" t="n"/>
      <ns0:c r="D1752" s="26" t="n"/>
      <ns0:c r="E1752" s="27" t="n"/>
      <ns0:c r="F1752" s="28" t="str">
        <ns0:f>IF(A1752="","",YEAR(A1752)&amp;"-"&amp;RIGHT("0"&amp;MONTH(A1752),2))</ns0:f>
        <ns0:v/>
      </ns0:c>
    </ns0:row>
    <ns0:row r="1753" ht="21" customHeight="1">
      <ns0:c r="A1753" s="25" t="n"/>
      <ns0:c r="B1753" s="26" t="n"/>
      <ns0:c r="C1753" s="26" t="n"/>
      <ns0:c r="D1753" s="26" t="n"/>
      <ns0:c r="E1753" s="27" t="n"/>
      <ns0:c r="F1753" s="28" t="str">
        <ns0:f>IF(A1753="","",YEAR(A1753)&amp;"-"&amp;RIGHT("0"&amp;MONTH(A1753),2))</ns0:f>
        <ns0:v/>
      </ns0:c>
    </ns0:row>
    <ns0:row r="1754" ht="21" customHeight="1">
      <ns0:c r="A1754" s="25" t="n"/>
      <ns0:c r="B1754" s="26" t="n"/>
      <ns0:c r="C1754" s="26" t="n"/>
      <ns0:c r="D1754" s="26" t="n"/>
      <ns0:c r="E1754" s="27" t="n"/>
      <ns0:c r="F1754" s="28" t="str">
        <ns0:f>IF(A1754="","",YEAR(A1754)&amp;"-"&amp;RIGHT("0"&amp;MONTH(A1754),2))</ns0:f>
        <ns0:v/>
      </ns0:c>
    </ns0:row>
    <ns0:row r="1755" ht="21" customHeight="1">
      <ns0:c r="A1755" s="25" t="n"/>
      <ns0:c r="B1755" s="26" t="n"/>
      <ns0:c r="C1755" s="26" t="n"/>
      <ns0:c r="D1755" s="26" t="n"/>
      <ns0:c r="E1755" s="27" t="n"/>
      <ns0:c r="F1755" s="28" t="str">
        <ns0:f>IF(A1755="","",YEAR(A1755)&amp;"-"&amp;RIGHT("0"&amp;MONTH(A1755),2))</ns0:f>
        <ns0:v/>
      </ns0:c>
    </ns0:row>
    <ns0:row r="1756" ht="21" customHeight="1">
      <ns0:c r="A1756" s="25" t="n"/>
      <ns0:c r="B1756" s="26" t="n"/>
      <ns0:c r="C1756" s="26" t="n"/>
      <ns0:c r="D1756" s="26" t="n"/>
      <ns0:c r="E1756" s="27" t="n"/>
      <ns0:c r="F1756" s="28" t="str">
        <ns0:f>IF(A1756="","",YEAR(A1756)&amp;"-"&amp;RIGHT("0"&amp;MONTH(A1756),2))</ns0:f>
        <ns0:v/>
      </ns0:c>
    </ns0:row>
    <ns0:row r="1757" ht="21" customHeight="1">
      <ns0:c r="A1757" s="25" t="n"/>
      <ns0:c r="B1757" s="26" t="n"/>
      <ns0:c r="C1757" s="26" t="n"/>
      <ns0:c r="D1757" s="26" t="n"/>
      <ns0:c r="E1757" s="27" t="n"/>
      <ns0:c r="F1757" s="28" t="str">
        <ns0:f>IF(A1757="","",YEAR(A1757)&amp;"-"&amp;RIGHT("0"&amp;MONTH(A1757),2))</ns0:f>
        <ns0:v/>
      </ns0:c>
    </ns0:row>
    <ns0:row r="1758" ht="21" customHeight="1">
      <ns0:c r="A1758" s="25" t="n"/>
      <ns0:c r="B1758" s="26" t="n"/>
      <ns0:c r="C1758" s="26" t="n"/>
      <ns0:c r="D1758" s="26" t="n"/>
      <ns0:c r="E1758" s="27" t="n"/>
      <ns0:c r="F1758" s="28" t="str">
        <ns0:f>IF(A1758="","",YEAR(A1758)&amp;"-"&amp;RIGHT("0"&amp;MONTH(A1758),2))</ns0:f>
        <ns0:v/>
      </ns0:c>
    </ns0:row>
    <ns0:row r="1759" ht="21" customHeight="1">
      <ns0:c r="A1759" s="25" t="n"/>
      <ns0:c r="B1759" s="26" t="n"/>
      <ns0:c r="C1759" s="26" t="n"/>
      <ns0:c r="D1759" s="26" t="n"/>
      <ns0:c r="E1759" s="27" t="n"/>
      <ns0:c r="F1759" s="28" t="str">
        <ns0:f>IF(A1759="","",YEAR(A1759)&amp;"-"&amp;RIGHT("0"&amp;MONTH(A1759),2))</ns0:f>
        <ns0:v/>
      </ns0:c>
    </ns0:row>
    <ns0:row r="1760" ht="21" customHeight="1">
      <ns0:c r="A1760" s="25" t="n"/>
      <ns0:c r="B1760" s="26" t="n"/>
      <ns0:c r="C1760" s="26" t="n"/>
      <ns0:c r="D1760" s="26" t="n"/>
      <ns0:c r="E1760" s="27" t="n"/>
      <ns0:c r="F1760" s="28" t="str">
        <ns0:f>IF(A1760="","",YEAR(A1760)&amp;"-"&amp;RIGHT("0"&amp;MONTH(A1760),2))</ns0:f>
        <ns0:v/>
      </ns0:c>
    </ns0:row>
    <ns0:row r="1761" ht="21" customHeight="1">
      <ns0:c r="A1761" s="25" t="n"/>
      <ns0:c r="B1761" s="26" t="n"/>
      <ns0:c r="C1761" s="26" t="n"/>
      <ns0:c r="D1761" s="26" t="n"/>
      <ns0:c r="E1761" s="27" t="n"/>
      <ns0:c r="F1761" s="28" t="str">
        <ns0:f>IF(A1761="","",YEAR(A1761)&amp;"-"&amp;RIGHT("0"&amp;MONTH(A1761),2))</ns0:f>
        <ns0:v/>
      </ns0:c>
    </ns0:row>
    <ns0:row r="1762" ht="21" customHeight="1">
      <ns0:c r="A1762" s="25" t="n"/>
      <ns0:c r="B1762" s="26" t="n"/>
      <ns0:c r="C1762" s="26" t="n"/>
      <ns0:c r="D1762" s="26" t="n"/>
      <ns0:c r="E1762" s="27" t="n"/>
      <ns0:c r="F1762" s="28" t="str">
        <ns0:f>IF(A1762="","",YEAR(A1762)&amp;"-"&amp;RIGHT("0"&amp;MONTH(A1762),2))</ns0:f>
        <ns0:v/>
      </ns0:c>
    </ns0:row>
    <ns0:row r="1763" ht="21" customHeight="1">
      <ns0:c r="A1763" s="25" t="n"/>
      <ns0:c r="B1763" s="26" t="n"/>
      <ns0:c r="C1763" s="26" t="n"/>
      <ns0:c r="D1763" s="26" t="n"/>
      <ns0:c r="E1763" s="27" t="n"/>
      <ns0:c r="F1763" s="28" t="str">
        <ns0:f>IF(A1763="","",YEAR(A1763)&amp;"-"&amp;RIGHT("0"&amp;MONTH(A1763),2))</ns0:f>
        <ns0:v/>
      </ns0:c>
    </ns0:row>
    <ns0:row r="1764" ht="21" customHeight="1">
      <ns0:c r="A1764" s="25" t="n"/>
      <ns0:c r="B1764" s="26" t="n"/>
      <ns0:c r="C1764" s="26" t="n"/>
      <ns0:c r="D1764" s="26" t="n"/>
      <ns0:c r="E1764" s="27" t="n"/>
      <ns0:c r="F1764" s="28" t="str">
        <ns0:f>IF(A1764="","",YEAR(A1764)&amp;"-"&amp;RIGHT("0"&amp;MONTH(A1764),2))</ns0:f>
        <ns0:v/>
      </ns0:c>
    </ns0:row>
    <ns0:row r="1765" ht="21" customHeight="1">
      <ns0:c r="A1765" s="25" t="n"/>
      <ns0:c r="B1765" s="26" t="n"/>
      <ns0:c r="C1765" s="26" t="n"/>
      <ns0:c r="D1765" s="26" t="n"/>
      <ns0:c r="E1765" s="27" t="n"/>
      <ns0:c r="F1765" s="28" t="str">
        <ns0:f>IF(A1765="","",YEAR(A1765)&amp;"-"&amp;RIGHT("0"&amp;MONTH(A1765),2))</ns0:f>
        <ns0:v/>
      </ns0:c>
    </ns0:row>
    <ns0:row r="1766" ht="21" customHeight="1">
      <ns0:c r="A1766" s="25" t="n"/>
      <ns0:c r="B1766" s="26" t="n"/>
      <ns0:c r="C1766" s="26" t="n"/>
      <ns0:c r="D1766" s="26" t="n"/>
      <ns0:c r="E1766" s="27" t="n"/>
      <ns0:c r="F1766" s="28" t="str">
        <ns0:f>IF(A1766="","",YEAR(A1766)&amp;"-"&amp;RIGHT("0"&amp;MONTH(A1766),2))</ns0:f>
        <ns0:v/>
      </ns0:c>
    </ns0:row>
    <ns0:row r="1767" ht="21" customHeight="1">
      <ns0:c r="A1767" s="25" t="n"/>
      <ns0:c r="B1767" s="26" t="n"/>
      <ns0:c r="C1767" s="26" t="n"/>
      <ns0:c r="D1767" s="26" t="n"/>
      <ns0:c r="E1767" s="27" t="n"/>
      <ns0:c r="F1767" s="28" t="str">
        <ns0:f>IF(A1767="","",YEAR(A1767)&amp;"-"&amp;RIGHT("0"&amp;MONTH(A1767),2))</ns0:f>
        <ns0:v/>
      </ns0:c>
    </ns0:row>
    <ns0:row r="1768" ht="21" customHeight="1">
      <ns0:c r="A1768" s="25" t="n"/>
      <ns0:c r="B1768" s="26" t="n"/>
      <ns0:c r="C1768" s="26" t="n"/>
      <ns0:c r="D1768" s="26" t="n"/>
      <ns0:c r="E1768" s="27" t="n"/>
      <ns0:c r="F1768" s="28" t="str">
        <ns0:f>IF(A1768="","",YEAR(A1768)&amp;"-"&amp;RIGHT("0"&amp;MONTH(A1768),2))</ns0:f>
        <ns0:v/>
      </ns0:c>
    </ns0:row>
    <ns0:row r="1769" ht="21" customHeight="1">
      <ns0:c r="A1769" s="25" t="n"/>
      <ns0:c r="B1769" s="26" t="n"/>
      <ns0:c r="C1769" s="26" t="n"/>
      <ns0:c r="D1769" s="26" t="n"/>
      <ns0:c r="E1769" s="27" t="n"/>
      <ns0:c r="F1769" s="28" t="str">
        <ns0:f>IF(A1769="","",YEAR(A1769)&amp;"-"&amp;RIGHT("0"&amp;MONTH(A1769),2))</ns0:f>
        <ns0:v/>
      </ns0:c>
    </ns0:row>
    <ns0:row r="1770" ht="21" customHeight="1">
      <ns0:c r="A1770" s="25" t="n"/>
      <ns0:c r="B1770" s="26" t="n"/>
      <ns0:c r="C1770" s="26" t="n"/>
      <ns0:c r="D1770" s="26" t="n"/>
      <ns0:c r="E1770" s="27" t="n"/>
      <ns0:c r="F1770" s="28" t="str">
        <ns0:f>IF(A1770="","",YEAR(A1770)&amp;"-"&amp;RIGHT("0"&amp;MONTH(A1770),2))</ns0:f>
        <ns0:v/>
      </ns0:c>
    </ns0:row>
    <ns0:row r="1771" ht="21" customHeight="1">
      <ns0:c r="A1771" s="25" t="n"/>
      <ns0:c r="B1771" s="26" t="n"/>
      <ns0:c r="C1771" s="26" t="n"/>
      <ns0:c r="D1771" s="26" t="n"/>
      <ns0:c r="E1771" s="27" t="n"/>
      <ns0:c r="F1771" s="28" t="str">
        <ns0:f>IF(A1771="","",YEAR(A1771)&amp;"-"&amp;RIGHT("0"&amp;MONTH(A1771),2))</ns0:f>
        <ns0:v/>
      </ns0:c>
    </ns0:row>
    <ns0:row r="1772" ht="21" customHeight="1">
      <ns0:c r="A1772" s="25" t="n"/>
      <ns0:c r="B1772" s="26" t="n"/>
      <ns0:c r="C1772" s="26" t="n"/>
      <ns0:c r="D1772" s="26" t="n"/>
      <ns0:c r="E1772" s="27" t="n"/>
      <ns0:c r="F1772" s="28" t="str">
        <ns0:f>IF(A1772="","",YEAR(A1772)&amp;"-"&amp;RIGHT("0"&amp;MONTH(A1772),2))</ns0:f>
        <ns0:v/>
      </ns0:c>
    </ns0:row>
    <ns0:row r="1773" ht="21" customHeight="1">
      <ns0:c r="A1773" s="25" t="n"/>
      <ns0:c r="B1773" s="26" t="n"/>
      <ns0:c r="C1773" s="26" t="n"/>
      <ns0:c r="D1773" s="26" t="n"/>
      <ns0:c r="E1773" s="27" t="n"/>
      <ns0:c r="F1773" s="28" t="str">
        <ns0:f>IF(A1773="","",YEAR(A1773)&amp;"-"&amp;RIGHT("0"&amp;MONTH(A1773),2))</ns0:f>
        <ns0:v/>
      </ns0:c>
    </ns0:row>
    <ns0:row r="1774" ht="21" customHeight="1">
      <ns0:c r="A1774" s="25" t="n"/>
      <ns0:c r="B1774" s="26" t="n"/>
      <ns0:c r="C1774" s="26" t="n"/>
      <ns0:c r="D1774" s="26" t="n"/>
      <ns0:c r="E1774" s="27" t="n"/>
      <ns0:c r="F1774" s="28" t="str">
        <ns0:f>IF(A1774="","",YEAR(A1774)&amp;"-"&amp;RIGHT("0"&amp;MONTH(A1774),2))</ns0:f>
        <ns0:v/>
      </ns0:c>
    </ns0:row>
    <ns0:row r="1775" ht="21" customHeight="1">
      <ns0:c r="A1775" s="25" t="n"/>
      <ns0:c r="B1775" s="26" t="n"/>
      <ns0:c r="C1775" s="26" t="n"/>
      <ns0:c r="D1775" s="26" t="n"/>
      <ns0:c r="E1775" s="27" t="n"/>
      <ns0:c r="F1775" s="28" t="str">
        <ns0:f>IF(A1775="","",YEAR(A1775)&amp;"-"&amp;RIGHT("0"&amp;MONTH(A1775),2))</ns0:f>
        <ns0:v/>
      </ns0:c>
    </ns0:row>
    <ns0:row r="1776" ht="21" customHeight="1">
      <ns0:c r="A1776" s="25" t="n"/>
      <ns0:c r="B1776" s="26" t="n"/>
      <ns0:c r="C1776" s="26" t="n"/>
      <ns0:c r="D1776" s="26" t="n"/>
      <ns0:c r="E1776" s="27" t="n"/>
      <ns0:c r="F1776" s="28" t="str">
        <ns0:f>IF(A1776="","",YEAR(A1776)&amp;"-"&amp;RIGHT("0"&amp;MONTH(A1776),2))</ns0:f>
        <ns0:v/>
      </ns0:c>
    </ns0:row>
    <ns0:row r="1777" ht="21" customHeight="1">
      <ns0:c r="A1777" s="25" t="n"/>
      <ns0:c r="B1777" s="26" t="n"/>
      <ns0:c r="C1777" s="26" t="n"/>
      <ns0:c r="D1777" s="26" t="n"/>
      <ns0:c r="E1777" s="27" t="n"/>
      <ns0:c r="F1777" s="28" t="str">
        <ns0:f>IF(A1777="","",YEAR(A1777)&amp;"-"&amp;RIGHT("0"&amp;MONTH(A1777),2))</ns0:f>
        <ns0:v/>
      </ns0:c>
    </ns0:row>
    <ns0:row r="1778" ht="21" customHeight="1">
      <ns0:c r="A1778" s="25" t="n"/>
      <ns0:c r="B1778" s="26" t="n"/>
      <ns0:c r="C1778" s="26" t="n"/>
      <ns0:c r="D1778" s="26" t="n"/>
      <ns0:c r="E1778" s="27" t="n"/>
      <ns0:c r="F1778" s="28" t="str">
        <ns0:f>IF(A1778="","",YEAR(A1778)&amp;"-"&amp;RIGHT("0"&amp;MONTH(A1778),2))</ns0:f>
        <ns0:v/>
      </ns0:c>
    </ns0:row>
    <ns0:row r="1779" ht="21" customHeight="1">
      <ns0:c r="A1779" s="25" t="n"/>
      <ns0:c r="B1779" s="26" t="n"/>
      <ns0:c r="C1779" s="26" t="n"/>
      <ns0:c r="D1779" s="26" t="n"/>
      <ns0:c r="E1779" s="27" t="n"/>
      <ns0:c r="F1779" s="28" t="str">
        <ns0:f>IF(A1779="","",YEAR(A1779)&amp;"-"&amp;RIGHT("0"&amp;MONTH(A1779),2))</ns0:f>
        <ns0:v/>
      </ns0:c>
    </ns0:row>
    <ns0:row r="1780" ht="21" customHeight="1">
      <ns0:c r="A1780" s="25" t="n"/>
      <ns0:c r="B1780" s="26" t="n"/>
      <ns0:c r="C1780" s="26" t="n"/>
      <ns0:c r="D1780" s="26" t="n"/>
      <ns0:c r="E1780" s="27" t="n"/>
      <ns0:c r="F1780" s="28" t="str">
        <ns0:f>IF(A1780="","",YEAR(A1780)&amp;"-"&amp;RIGHT("0"&amp;MONTH(A1780),2))</ns0:f>
        <ns0:v/>
      </ns0:c>
    </ns0:row>
    <ns0:row r="1781" ht="21" customHeight="1">
      <ns0:c r="A1781" s="25" t="n"/>
      <ns0:c r="B1781" s="26" t="n"/>
      <ns0:c r="C1781" s="26" t="n"/>
      <ns0:c r="D1781" s="26" t="n"/>
      <ns0:c r="E1781" s="27" t="n"/>
      <ns0:c r="F1781" s="28" t="str">
        <ns0:f>IF(A1781="","",YEAR(A1781)&amp;"-"&amp;RIGHT("0"&amp;MONTH(A1781),2))</ns0:f>
        <ns0:v/>
      </ns0:c>
    </ns0:row>
    <ns0:row r="1782" ht="21" customHeight="1">
      <ns0:c r="A1782" s="25" t="n"/>
      <ns0:c r="B1782" s="26" t="n"/>
      <ns0:c r="C1782" s="26" t="n"/>
      <ns0:c r="D1782" s="26" t="n"/>
      <ns0:c r="E1782" s="27" t="n"/>
      <ns0:c r="F1782" s="28" t="str">
        <ns0:f>IF(A1782="","",YEAR(A1782)&amp;"-"&amp;RIGHT("0"&amp;MONTH(A1782),2))</ns0:f>
        <ns0:v/>
      </ns0:c>
    </ns0:row>
    <ns0:row r="1783" ht="21" customHeight="1">
      <ns0:c r="A1783" s="25" t="n"/>
      <ns0:c r="B1783" s="26" t="n"/>
      <ns0:c r="C1783" s="26" t="n"/>
      <ns0:c r="D1783" s="26" t="n"/>
      <ns0:c r="E1783" s="27" t="n"/>
      <ns0:c r="F1783" s="28" t="str">
        <ns0:f>IF(A1783="","",YEAR(A1783)&amp;"-"&amp;RIGHT("0"&amp;MONTH(A1783),2))</ns0:f>
        <ns0:v/>
      </ns0:c>
    </ns0:row>
    <ns0:row r="1784" ht="21" customHeight="1">
      <ns0:c r="A1784" s="25" t="n"/>
      <ns0:c r="B1784" s="26" t="n"/>
      <ns0:c r="C1784" s="26" t="n"/>
      <ns0:c r="D1784" s="26" t="n"/>
      <ns0:c r="E1784" s="27" t="n"/>
      <ns0:c r="F1784" s="28" t="str">
        <ns0:f>IF(A1784="","",YEAR(A1784)&amp;"-"&amp;RIGHT("0"&amp;MONTH(A1784),2))</ns0:f>
        <ns0:v/>
      </ns0:c>
    </ns0:row>
    <ns0:row r="1785" ht="21" customHeight="1">
      <ns0:c r="A1785" s="25" t="n"/>
      <ns0:c r="B1785" s="26" t="n"/>
      <ns0:c r="C1785" s="26" t="n"/>
      <ns0:c r="D1785" s="26" t="n"/>
      <ns0:c r="E1785" s="27" t="n"/>
      <ns0:c r="F1785" s="28" t="str">
        <ns0:f>IF(A1785="","",YEAR(A1785)&amp;"-"&amp;RIGHT("0"&amp;MONTH(A1785),2))</ns0:f>
        <ns0:v/>
      </ns0:c>
    </ns0:row>
    <ns0:row r="1786" ht="21" customHeight="1">
      <ns0:c r="A1786" s="25" t="n"/>
      <ns0:c r="B1786" s="26" t="n"/>
      <ns0:c r="C1786" s="26" t="n"/>
      <ns0:c r="D1786" s="26" t="n"/>
      <ns0:c r="E1786" s="27" t="n"/>
      <ns0:c r="F1786" s="28" t="str">
        <ns0:f>IF(A1786="","",YEAR(A1786)&amp;"-"&amp;RIGHT("0"&amp;MONTH(A1786),2))</ns0:f>
        <ns0:v/>
      </ns0:c>
    </ns0:row>
    <ns0:row r="1787" ht="21" customHeight="1">
      <ns0:c r="A1787" s="25" t="n"/>
      <ns0:c r="B1787" s="26" t="n"/>
      <ns0:c r="C1787" s="26" t="n"/>
      <ns0:c r="D1787" s="26" t="n"/>
      <ns0:c r="E1787" s="27" t="n"/>
      <ns0:c r="F1787" s="28" t="str">
        <ns0:f>IF(A1787="","",YEAR(A1787)&amp;"-"&amp;RIGHT("0"&amp;MONTH(A1787),2))</ns0:f>
        <ns0:v/>
      </ns0:c>
    </ns0:row>
    <ns0:row r="1788" ht="21" customHeight="1">
      <ns0:c r="A1788" s="25" t="n"/>
      <ns0:c r="B1788" s="26" t="n"/>
      <ns0:c r="C1788" s="26" t="n"/>
      <ns0:c r="D1788" s="26" t="n"/>
      <ns0:c r="E1788" s="27" t="n"/>
      <ns0:c r="F1788" s="28" t="str">
        <ns0:f>IF(A1788="","",YEAR(A1788)&amp;"-"&amp;RIGHT("0"&amp;MONTH(A1788),2))</ns0:f>
        <ns0:v/>
      </ns0:c>
    </ns0:row>
    <ns0:row r="1789" ht="21" customHeight="1">
      <ns0:c r="A1789" s="25" t="n"/>
      <ns0:c r="B1789" s="26" t="n"/>
      <ns0:c r="C1789" s="26" t="n"/>
      <ns0:c r="D1789" s="26" t="n"/>
      <ns0:c r="E1789" s="27" t="n"/>
      <ns0:c r="F1789" s="28" t="str">
        <ns0:f>IF(A1789="","",YEAR(A1789)&amp;"-"&amp;RIGHT("0"&amp;MONTH(A1789),2))</ns0:f>
        <ns0:v/>
      </ns0:c>
    </ns0:row>
    <ns0:row r="1790" ht="21" customHeight="1">
      <ns0:c r="A1790" s="25" t="n"/>
      <ns0:c r="B1790" s="26" t="n"/>
      <ns0:c r="C1790" s="26" t="n"/>
      <ns0:c r="D1790" s="26" t="n"/>
      <ns0:c r="E1790" s="27" t="n"/>
      <ns0:c r="F1790" s="28" t="str">
        <ns0:f>IF(A1790="","",YEAR(A1790)&amp;"-"&amp;RIGHT("0"&amp;MONTH(A1790),2))</ns0:f>
        <ns0:v/>
      </ns0:c>
    </ns0:row>
    <ns0:row r="1791" ht="21" customHeight="1">
      <ns0:c r="A1791" s="25" t="n"/>
      <ns0:c r="B1791" s="26" t="n"/>
      <ns0:c r="C1791" s="26" t="n"/>
      <ns0:c r="D1791" s="26" t="n"/>
      <ns0:c r="E1791" s="27" t="n"/>
      <ns0:c r="F1791" s="28" t="str">
        <ns0:f>IF(A1791="","",YEAR(A1791)&amp;"-"&amp;RIGHT("0"&amp;MONTH(A1791),2))</ns0:f>
        <ns0:v/>
      </ns0:c>
    </ns0:row>
    <ns0:row r="1792" ht="21" customHeight="1">
      <ns0:c r="A1792" s="25" t="n"/>
      <ns0:c r="B1792" s="26" t="n"/>
      <ns0:c r="C1792" s="26" t="n"/>
      <ns0:c r="D1792" s="26" t="n"/>
      <ns0:c r="E1792" s="27" t="n"/>
      <ns0:c r="F1792" s="28" t="str">
        <ns0:f>IF(A1792="","",YEAR(A1792)&amp;"-"&amp;RIGHT("0"&amp;MONTH(A1792),2))</ns0:f>
        <ns0:v/>
      </ns0:c>
    </ns0:row>
    <ns0:row r="1793" ht="21" customHeight="1">
      <ns0:c r="A1793" s="25" t="n"/>
      <ns0:c r="B1793" s="26" t="n"/>
      <ns0:c r="C1793" s="26" t="n"/>
      <ns0:c r="D1793" s="26" t="n"/>
      <ns0:c r="E1793" s="27" t="n"/>
      <ns0:c r="F1793" s="28" t="str">
        <ns0:f>IF(A1793="","",YEAR(A1793)&amp;"-"&amp;RIGHT("0"&amp;MONTH(A1793),2))</ns0:f>
        <ns0:v/>
      </ns0:c>
    </ns0:row>
    <ns0:row r="1794" ht="21" customHeight="1">
      <ns0:c r="A1794" s="25" t="n"/>
      <ns0:c r="B1794" s="26" t="n"/>
      <ns0:c r="C1794" s="26" t="n"/>
      <ns0:c r="D1794" s="26" t="n"/>
      <ns0:c r="E1794" s="27" t="n"/>
      <ns0:c r="F1794" s="28" t="str">
        <ns0:f>IF(A1794="","",YEAR(A1794)&amp;"-"&amp;RIGHT("0"&amp;MONTH(A1794),2))</ns0:f>
        <ns0:v/>
      </ns0:c>
    </ns0:row>
    <ns0:row r="1795" ht="21" customHeight="1">
      <ns0:c r="A1795" s="25" t="n"/>
      <ns0:c r="B1795" s="26" t="n"/>
      <ns0:c r="C1795" s="26" t="n"/>
      <ns0:c r="D1795" s="26" t="n"/>
      <ns0:c r="E1795" s="27" t="n"/>
      <ns0:c r="F1795" s="28" t="str">
        <ns0:f>IF(A1795="","",YEAR(A1795)&amp;"-"&amp;RIGHT("0"&amp;MONTH(A1795),2))</ns0:f>
        <ns0:v/>
      </ns0:c>
    </ns0:row>
    <ns0:row r="1796" ht="21" customHeight="1">
      <ns0:c r="A1796" s="25" t="n"/>
      <ns0:c r="B1796" s="26" t="n"/>
      <ns0:c r="C1796" s="26" t="n"/>
      <ns0:c r="D1796" s="26" t="n"/>
      <ns0:c r="E1796" s="27" t="n"/>
      <ns0:c r="F1796" s="28" t="str">
        <ns0:f>IF(A1796="","",YEAR(A1796)&amp;"-"&amp;RIGHT("0"&amp;MONTH(A1796),2))</ns0:f>
        <ns0:v/>
      </ns0:c>
    </ns0:row>
    <ns0:row r="1797" ht="21" customHeight="1">
      <ns0:c r="A1797" s="25" t="n"/>
      <ns0:c r="B1797" s="26" t="n"/>
      <ns0:c r="C1797" s="26" t="n"/>
      <ns0:c r="D1797" s="26" t="n"/>
      <ns0:c r="E1797" s="27" t="n"/>
      <ns0:c r="F1797" s="28" t="str">
        <ns0:f>IF(A1797="","",YEAR(A1797)&amp;"-"&amp;RIGHT("0"&amp;MONTH(A1797),2))</ns0:f>
        <ns0:v/>
      </ns0:c>
    </ns0:row>
    <ns0:row r="1798" ht="21" customHeight="1">
      <ns0:c r="A1798" s="25" t="n"/>
      <ns0:c r="B1798" s="26" t="n"/>
      <ns0:c r="C1798" s="26" t="n"/>
      <ns0:c r="D1798" s="26" t="n"/>
      <ns0:c r="E1798" s="27" t="n"/>
      <ns0:c r="F1798" s="28" t="str">
        <ns0:f>IF(A1798="","",YEAR(A1798)&amp;"-"&amp;RIGHT("0"&amp;MONTH(A1798),2))</ns0:f>
        <ns0:v/>
      </ns0:c>
    </ns0:row>
    <ns0:row r="1799" ht="21" customHeight="1">
      <ns0:c r="A1799" s="25" t="n"/>
      <ns0:c r="B1799" s="26" t="n"/>
      <ns0:c r="C1799" s="26" t="n"/>
      <ns0:c r="D1799" s="26" t="n"/>
      <ns0:c r="E1799" s="27" t="n"/>
      <ns0:c r="F1799" s="28" t="str">
        <ns0:f>IF(A1799="","",YEAR(A1799)&amp;"-"&amp;RIGHT("0"&amp;MONTH(A1799),2))</ns0:f>
        <ns0:v/>
      </ns0:c>
    </ns0:row>
    <ns0:row r="1800" ht="21" customHeight="1">
      <ns0:c r="A1800" s="25" t="n"/>
      <ns0:c r="B1800" s="26" t="n"/>
      <ns0:c r="C1800" s="26" t="n"/>
      <ns0:c r="D1800" s="26" t="n"/>
      <ns0:c r="E1800" s="27" t="n"/>
      <ns0:c r="F1800" s="28" t="str">
        <ns0:f>IF(A1800="","",YEAR(A1800)&amp;"-"&amp;RIGHT("0"&amp;MONTH(A1800),2))</ns0:f>
        <ns0:v/>
      </ns0:c>
    </ns0:row>
    <ns0:row r="1801" ht="21" customHeight="1">
      <ns0:c r="A1801" s="25" t="n"/>
      <ns0:c r="B1801" s="26" t="n"/>
      <ns0:c r="C1801" s="26" t="n"/>
      <ns0:c r="D1801" s="26" t="n"/>
      <ns0:c r="E1801" s="27" t="n"/>
      <ns0:c r="F1801" s="28" t="str">
        <ns0:f>IF(A1801="","",YEAR(A1801)&amp;"-"&amp;RIGHT("0"&amp;MONTH(A1801),2))</ns0:f>
        <ns0:v/>
      </ns0:c>
    </ns0:row>
    <ns0:row r="1802" ht="21" customHeight="1">
      <ns0:c r="A1802" s="25" t="n"/>
      <ns0:c r="B1802" s="26" t="n"/>
      <ns0:c r="C1802" s="26" t="n"/>
      <ns0:c r="D1802" s="26" t="n"/>
      <ns0:c r="E1802" s="27" t="n"/>
      <ns0:c r="F1802" s="28" t="str">
        <ns0:f>IF(A1802="","",YEAR(A1802)&amp;"-"&amp;RIGHT("0"&amp;MONTH(A1802),2))</ns0:f>
        <ns0:v/>
      </ns0:c>
    </ns0:row>
    <ns0:row r="1803" ht="21" customHeight="1">
      <ns0:c r="A1803" s="25" t="n"/>
      <ns0:c r="B1803" s="26" t="n"/>
      <ns0:c r="C1803" s="26" t="n"/>
      <ns0:c r="D1803" s="26" t="n"/>
      <ns0:c r="E1803" s="27" t="n"/>
      <ns0:c r="F1803" s="28" t="str">
        <ns0:f>IF(A1803="","",YEAR(A1803)&amp;"-"&amp;RIGHT("0"&amp;MONTH(A1803),2))</ns0:f>
        <ns0:v/>
      </ns0:c>
    </ns0:row>
    <ns0:row r="1804" ht="21" customHeight="1">
      <ns0:c r="A1804" s="25" t="n"/>
      <ns0:c r="B1804" s="26" t="n"/>
      <ns0:c r="C1804" s="26" t="n"/>
      <ns0:c r="D1804" s="26" t="n"/>
      <ns0:c r="E1804" s="27" t="n"/>
      <ns0:c r="F1804" s="28" t="str">
        <ns0:f>IF(A1804="","",YEAR(A1804)&amp;"-"&amp;RIGHT("0"&amp;MONTH(A1804),2))</ns0:f>
        <ns0:v/>
      </ns0:c>
    </ns0:row>
    <ns0:row r="1805" ht="21" customHeight="1">
      <ns0:c r="A1805" s="25" t="n"/>
      <ns0:c r="B1805" s="26" t="n"/>
      <ns0:c r="C1805" s="26" t="n"/>
      <ns0:c r="D1805" s="26" t="n"/>
      <ns0:c r="E1805" s="27" t="n"/>
      <ns0:c r="F1805" s="28" t="str">
        <ns0:f>IF(A1805="","",YEAR(A1805)&amp;"-"&amp;RIGHT("0"&amp;MONTH(A1805),2))</ns0:f>
        <ns0:v/>
      </ns0:c>
    </ns0:row>
    <ns0:row r="1806" ht="21" customHeight="1">
      <ns0:c r="A1806" s="25" t="n"/>
      <ns0:c r="B1806" s="26" t="n"/>
      <ns0:c r="C1806" s="26" t="n"/>
      <ns0:c r="D1806" s="26" t="n"/>
      <ns0:c r="E1806" s="27" t="n"/>
      <ns0:c r="F1806" s="28" t="str">
        <ns0:f>IF(A1806="","",YEAR(A1806)&amp;"-"&amp;RIGHT("0"&amp;MONTH(A1806),2))</ns0:f>
        <ns0:v/>
      </ns0:c>
    </ns0:row>
    <ns0:row r="1807" ht="21" customHeight="1">
      <ns0:c r="A1807" s="25" t="n"/>
      <ns0:c r="B1807" s="26" t="n"/>
      <ns0:c r="C1807" s="26" t="n"/>
      <ns0:c r="D1807" s="26" t="n"/>
      <ns0:c r="E1807" s="27" t="n"/>
      <ns0:c r="F1807" s="28" t="str">
        <ns0:f>IF(A1807="","",YEAR(A1807)&amp;"-"&amp;RIGHT("0"&amp;MONTH(A1807),2))</ns0:f>
        <ns0:v/>
      </ns0:c>
    </ns0:row>
    <ns0:row r="1808" ht="21" customHeight="1">
      <ns0:c r="A1808" s="25" t="n"/>
      <ns0:c r="B1808" s="26" t="n"/>
      <ns0:c r="C1808" s="26" t="n"/>
      <ns0:c r="D1808" s="26" t="n"/>
      <ns0:c r="E1808" s="27" t="n"/>
      <ns0:c r="F1808" s="28" t="str">
        <ns0:f>IF(A1808="","",YEAR(A1808)&amp;"-"&amp;RIGHT("0"&amp;MONTH(A1808),2))</ns0:f>
        <ns0:v/>
      </ns0:c>
    </ns0:row>
    <ns0:row r="1809" ht="21" customHeight="1">
      <ns0:c r="A1809" s="25" t="n"/>
      <ns0:c r="B1809" s="26" t="n"/>
      <ns0:c r="C1809" s="26" t="n"/>
      <ns0:c r="D1809" s="26" t="n"/>
      <ns0:c r="E1809" s="27" t="n"/>
      <ns0:c r="F1809" s="28" t="str">
        <ns0:f>IF(A1809="","",YEAR(A1809)&amp;"-"&amp;RIGHT("0"&amp;MONTH(A1809),2))</ns0:f>
        <ns0:v/>
      </ns0:c>
    </ns0:row>
    <ns0:row r="1810" ht="21" customHeight="1">
      <ns0:c r="A1810" s="25" t="n"/>
      <ns0:c r="B1810" s="26" t="n"/>
      <ns0:c r="C1810" s="26" t="n"/>
      <ns0:c r="D1810" s="26" t="n"/>
      <ns0:c r="E1810" s="27" t="n"/>
      <ns0:c r="F1810" s="28" t="str">
        <ns0:f>IF(A1810="","",YEAR(A1810)&amp;"-"&amp;RIGHT("0"&amp;MONTH(A1810),2))</ns0:f>
        <ns0:v/>
      </ns0:c>
    </ns0:row>
    <ns0:row r="1811" ht="21" customHeight="1">
      <ns0:c r="A1811" s="25" t="n"/>
      <ns0:c r="B1811" s="26" t="n"/>
      <ns0:c r="C1811" s="26" t="n"/>
      <ns0:c r="D1811" s="26" t="n"/>
      <ns0:c r="E1811" s="27" t="n"/>
      <ns0:c r="F1811" s="28" t="str">
        <ns0:f>IF(A1811="","",YEAR(A1811)&amp;"-"&amp;RIGHT("0"&amp;MONTH(A1811),2))</ns0:f>
        <ns0:v/>
      </ns0:c>
    </ns0:row>
    <ns0:row r="1812" ht="21" customHeight="1">
      <ns0:c r="A1812" s="25" t="n"/>
      <ns0:c r="B1812" s="26" t="n"/>
      <ns0:c r="C1812" s="26" t="n"/>
      <ns0:c r="D1812" s="26" t="n"/>
      <ns0:c r="E1812" s="27" t="n"/>
      <ns0:c r="F1812" s="28" t="str">
        <ns0:f>IF(A1812="","",YEAR(A1812)&amp;"-"&amp;RIGHT("0"&amp;MONTH(A1812),2))</ns0:f>
        <ns0:v/>
      </ns0:c>
    </ns0:row>
    <ns0:row r="1813" ht="21" customHeight="1">
      <ns0:c r="A1813" s="25" t="n"/>
      <ns0:c r="B1813" s="26" t="n"/>
      <ns0:c r="C1813" s="26" t="n"/>
      <ns0:c r="D1813" s="26" t="n"/>
      <ns0:c r="E1813" s="27" t="n"/>
      <ns0:c r="F1813" s="28" t="str">
        <ns0:f>IF(A1813="","",YEAR(A1813)&amp;"-"&amp;RIGHT("0"&amp;MONTH(A1813),2))</ns0:f>
        <ns0:v/>
      </ns0:c>
    </ns0:row>
    <ns0:row r="1814" ht="21" customHeight="1">
      <ns0:c r="A1814" s="25" t="n"/>
      <ns0:c r="B1814" s="26" t="n"/>
      <ns0:c r="C1814" s="26" t="n"/>
      <ns0:c r="D1814" s="26" t="n"/>
      <ns0:c r="E1814" s="27" t="n"/>
      <ns0:c r="F1814" s="28" t="str">
        <ns0:f>IF(A1814="","",YEAR(A1814)&amp;"-"&amp;RIGHT("0"&amp;MONTH(A1814),2))</ns0:f>
        <ns0:v/>
      </ns0:c>
    </ns0:row>
    <ns0:row r="1815" ht="21" customHeight="1">
      <ns0:c r="A1815" s="25" t="n"/>
      <ns0:c r="B1815" s="26" t="n"/>
      <ns0:c r="C1815" s="26" t="n"/>
      <ns0:c r="D1815" s="26" t="n"/>
      <ns0:c r="E1815" s="27" t="n"/>
      <ns0:c r="F1815" s="28" t="str">
        <ns0:f>IF(A1815="","",YEAR(A1815)&amp;"-"&amp;RIGHT("0"&amp;MONTH(A1815),2))</ns0:f>
        <ns0:v/>
      </ns0:c>
    </ns0:row>
    <ns0:row r="1816" ht="21" customHeight="1">
      <ns0:c r="A1816" s="25" t="n"/>
      <ns0:c r="B1816" s="26" t="n"/>
      <ns0:c r="C1816" s="26" t="n"/>
      <ns0:c r="D1816" s="26" t="n"/>
      <ns0:c r="E1816" s="27" t="n"/>
      <ns0:c r="F1816" s="28" t="str">
        <ns0:f>IF(A1816="","",YEAR(A1816)&amp;"-"&amp;RIGHT("0"&amp;MONTH(A1816),2))</ns0:f>
        <ns0:v/>
      </ns0:c>
    </ns0:row>
    <ns0:row r="1817" ht="21" customHeight="1">
      <ns0:c r="A1817" s="25" t="n"/>
      <ns0:c r="B1817" s="26" t="n"/>
      <ns0:c r="C1817" s="26" t="n"/>
      <ns0:c r="D1817" s="26" t="n"/>
      <ns0:c r="E1817" s="27" t="n"/>
      <ns0:c r="F1817" s="28" t="str">
        <ns0:f>IF(A1817="","",YEAR(A1817)&amp;"-"&amp;RIGHT("0"&amp;MONTH(A1817),2))</ns0:f>
        <ns0:v/>
      </ns0:c>
    </ns0:row>
    <ns0:row r="1818" ht="21" customHeight="1">
      <ns0:c r="A1818" s="25" t="n"/>
      <ns0:c r="B1818" s="26" t="n"/>
      <ns0:c r="C1818" s="26" t="n"/>
      <ns0:c r="D1818" s="26" t="n"/>
      <ns0:c r="E1818" s="27" t="n"/>
      <ns0:c r="F1818" s="28" t="str">
        <ns0:f>IF(A1818="","",YEAR(A1818)&amp;"-"&amp;RIGHT("0"&amp;MONTH(A1818),2))</ns0:f>
        <ns0:v/>
      </ns0:c>
    </ns0:row>
    <ns0:row r="1819" ht="21" customHeight="1">
      <ns0:c r="A1819" s="25" t="n"/>
      <ns0:c r="B1819" s="26" t="n"/>
      <ns0:c r="C1819" s="26" t="n"/>
      <ns0:c r="D1819" s="26" t="n"/>
      <ns0:c r="E1819" s="27" t="n"/>
      <ns0:c r="F1819" s="28" t="str">
        <ns0:f>IF(A1819="","",YEAR(A1819)&amp;"-"&amp;RIGHT("0"&amp;MONTH(A1819),2))</ns0:f>
        <ns0:v/>
      </ns0:c>
    </ns0:row>
    <ns0:row r="1820" ht="21" customHeight="1">
      <ns0:c r="A1820" s="25" t="n"/>
      <ns0:c r="B1820" s="26" t="n"/>
      <ns0:c r="C1820" s="26" t="n"/>
      <ns0:c r="D1820" s="26" t="n"/>
      <ns0:c r="E1820" s="27" t="n"/>
      <ns0:c r="F1820" s="28" t="str">
        <ns0:f>IF(A1820="","",YEAR(A1820)&amp;"-"&amp;RIGHT("0"&amp;MONTH(A1820),2))</ns0:f>
        <ns0:v/>
      </ns0:c>
    </ns0:row>
    <ns0:row r="1821" ht="21" customHeight="1">
      <ns0:c r="A1821" s="25" t="n"/>
      <ns0:c r="B1821" s="26" t="n"/>
      <ns0:c r="C1821" s="26" t="n"/>
      <ns0:c r="D1821" s="26" t="n"/>
      <ns0:c r="E1821" s="27" t="n"/>
      <ns0:c r="F1821" s="28" t="str">
        <ns0:f>IF(A1821="","",YEAR(A1821)&amp;"-"&amp;RIGHT("0"&amp;MONTH(A1821),2))</ns0:f>
        <ns0:v/>
      </ns0:c>
    </ns0:row>
    <ns0:row r="1822" ht="21" customHeight="1">
      <ns0:c r="A1822" s="25" t="n"/>
      <ns0:c r="B1822" s="26" t="n"/>
      <ns0:c r="C1822" s="26" t="n"/>
      <ns0:c r="D1822" s="26" t="n"/>
      <ns0:c r="E1822" s="27" t="n"/>
      <ns0:c r="F1822" s="28" t="str">
        <ns0:f>IF(A1822="","",YEAR(A1822)&amp;"-"&amp;RIGHT("0"&amp;MONTH(A1822),2))</ns0:f>
        <ns0:v/>
      </ns0:c>
    </ns0:row>
    <ns0:row r="1823" ht="21" customHeight="1">
      <ns0:c r="A1823" s="25" t="n"/>
      <ns0:c r="B1823" s="26" t="n"/>
      <ns0:c r="C1823" s="26" t="n"/>
      <ns0:c r="D1823" s="26" t="n"/>
      <ns0:c r="E1823" s="27" t="n"/>
      <ns0:c r="F1823" s="28" t="str">
        <ns0:f>IF(A1823="","",YEAR(A1823)&amp;"-"&amp;RIGHT("0"&amp;MONTH(A1823),2))</ns0:f>
        <ns0:v/>
      </ns0:c>
    </ns0:row>
    <ns0:row r="1824" ht="21" customHeight="1">
      <ns0:c r="A1824" s="25" t="n"/>
      <ns0:c r="B1824" s="26" t="n"/>
      <ns0:c r="C1824" s="26" t="n"/>
      <ns0:c r="D1824" s="26" t="n"/>
      <ns0:c r="E1824" s="27" t="n"/>
      <ns0:c r="F1824" s="28" t="str">
        <ns0:f>IF(A1824="","",YEAR(A1824)&amp;"-"&amp;RIGHT("0"&amp;MONTH(A1824),2))</ns0:f>
        <ns0:v/>
      </ns0:c>
    </ns0:row>
    <ns0:row r="1825" ht="21" customHeight="1">
      <ns0:c r="A1825" s="25" t="n"/>
      <ns0:c r="B1825" s="26" t="n"/>
      <ns0:c r="C1825" s="26" t="n"/>
      <ns0:c r="D1825" s="26" t="n"/>
      <ns0:c r="E1825" s="27" t="n"/>
      <ns0:c r="F1825" s="28" t="str">
        <ns0:f>IF(A1825="","",YEAR(A1825)&amp;"-"&amp;RIGHT("0"&amp;MONTH(A1825),2))</ns0:f>
        <ns0:v/>
      </ns0:c>
    </ns0:row>
    <ns0:row r="1826" ht="21" customHeight="1">
      <ns0:c r="A1826" s="25" t="n"/>
      <ns0:c r="B1826" s="26" t="n"/>
      <ns0:c r="C1826" s="26" t="n"/>
      <ns0:c r="D1826" s="26" t="n"/>
      <ns0:c r="E1826" s="27" t="n"/>
      <ns0:c r="F1826" s="28" t="str">
        <ns0:f>IF(A1826="","",YEAR(A1826)&amp;"-"&amp;RIGHT("0"&amp;MONTH(A1826),2))</ns0:f>
        <ns0:v/>
      </ns0:c>
    </ns0:row>
    <ns0:row r="1827" ht="21" customHeight="1">
      <ns0:c r="A1827" s="25" t="n"/>
      <ns0:c r="B1827" s="26" t="n"/>
      <ns0:c r="C1827" s="26" t="n"/>
      <ns0:c r="D1827" s="26" t="n"/>
      <ns0:c r="E1827" s="27" t="n"/>
      <ns0:c r="F1827" s="28" t="str">
        <ns0:f>IF(A1827="","",YEAR(A1827)&amp;"-"&amp;RIGHT("0"&amp;MONTH(A1827),2))</ns0:f>
        <ns0:v/>
      </ns0:c>
    </ns0:row>
    <ns0:row r="1828" ht="21" customHeight="1">
      <ns0:c r="A1828" s="25" t="n"/>
      <ns0:c r="B1828" s="26" t="n"/>
      <ns0:c r="C1828" s="26" t="n"/>
      <ns0:c r="D1828" s="26" t="n"/>
      <ns0:c r="E1828" s="27" t="n"/>
      <ns0:c r="F1828" s="28" t="str">
        <ns0:f>IF(A1828="","",YEAR(A1828)&amp;"-"&amp;RIGHT("0"&amp;MONTH(A1828),2))</ns0:f>
        <ns0:v/>
      </ns0:c>
    </ns0:row>
    <ns0:row r="1829" ht="21" customHeight="1">
      <ns0:c r="A1829" s="25" t="n"/>
      <ns0:c r="B1829" s="26" t="n"/>
      <ns0:c r="C1829" s="26" t="n"/>
      <ns0:c r="D1829" s="26" t="n"/>
      <ns0:c r="E1829" s="27" t="n"/>
      <ns0:c r="F1829" s="28" t="str">
        <ns0:f>IF(A1829="","",YEAR(A1829)&amp;"-"&amp;RIGHT("0"&amp;MONTH(A1829),2))</ns0:f>
        <ns0:v/>
      </ns0:c>
    </ns0:row>
    <ns0:row r="1830" ht="21" customHeight="1">
      <ns0:c r="A1830" s="25" t="n"/>
      <ns0:c r="B1830" s="26" t="n"/>
      <ns0:c r="C1830" s="26" t="n"/>
      <ns0:c r="D1830" s="26" t="n"/>
      <ns0:c r="E1830" s="27" t="n"/>
      <ns0:c r="F1830" s="28" t="str">
        <ns0:f>IF(A1830="","",YEAR(A1830)&amp;"-"&amp;RIGHT("0"&amp;MONTH(A1830),2))</ns0:f>
        <ns0:v/>
      </ns0:c>
    </ns0:row>
    <ns0:row r="1831" ht="21" customHeight="1">
      <ns0:c r="A1831" s="25" t="n"/>
      <ns0:c r="B1831" s="26" t="n"/>
      <ns0:c r="C1831" s="26" t="n"/>
      <ns0:c r="D1831" s="26" t="n"/>
      <ns0:c r="E1831" s="27" t="n"/>
      <ns0:c r="F1831" s="28" t="str">
        <ns0:f>IF(A1831="","",YEAR(A1831)&amp;"-"&amp;RIGHT("0"&amp;MONTH(A1831),2))</ns0:f>
        <ns0:v/>
      </ns0:c>
    </ns0:row>
    <ns0:row r="1832" ht="21" customHeight="1">
      <ns0:c r="A1832" s="25" t="n"/>
      <ns0:c r="B1832" s="26" t="n"/>
      <ns0:c r="C1832" s="26" t="n"/>
      <ns0:c r="D1832" s="26" t="n"/>
      <ns0:c r="E1832" s="27" t="n"/>
      <ns0:c r="F1832" s="28" t="str">
        <ns0:f>IF(A1832="","",YEAR(A1832)&amp;"-"&amp;RIGHT("0"&amp;MONTH(A1832),2))</ns0:f>
        <ns0:v/>
      </ns0:c>
    </ns0:row>
    <ns0:row r="1833" ht="21" customHeight="1">
      <ns0:c r="A1833" s="25" t="n"/>
      <ns0:c r="B1833" s="26" t="n"/>
      <ns0:c r="C1833" s="26" t="n"/>
      <ns0:c r="D1833" s="26" t="n"/>
      <ns0:c r="E1833" s="27" t="n"/>
      <ns0:c r="F1833" s="28" t="str">
        <ns0:f>IF(A1833="","",YEAR(A1833)&amp;"-"&amp;RIGHT("0"&amp;MONTH(A1833),2))</ns0:f>
        <ns0:v/>
      </ns0:c>
    </ns0:row>
    <ns0:row r="1834" ht="21" customHeight="1">
      <ns0:c r="A1834" s="25" t="n"/>
      <ns0:c r="B1834" s="26" t="n"/>
      <ns0:c r="C1834" s="26" t="n"/>
      <ns0:c r="D1834" s="26" t="n"/>
      <ns0:c r="E1834" s="27" t="n"/>
      <ns0:c r="F1834" s="28" t="str">
        <ns0:f>IF(A1834="","",YEAR(A1834)&amp;"-"&amp;RIGHT("0"&amp;MONTH(A1834),2))</ns0:f>
        <ns0:v/>
      </ns0:c>
    </ns0:row>
    <ns0:row r="1835" ht="21" customHeight="1">
      <ns0:c r="A1835" s="25" t="n"/>
      <ns0:c r="B1835" s="26" t="n"/>
      <ns0:c r="C1835" s="26" t="n"/>
      <ns0:c r="D1835" s="26" t="n"/>
      <ns0:c r="E1835" s="27" t="n"/>
      <ns0:c r="F1835" s="28" t="str">
        <ns0:f>IF(A1835="","",YEAR(A1835)&amp;"-"&amp;RIGHT("0"&amp;MONTH(A1835),2))</ns0:f>
        <ns0:v/>
      </ns0:c>
    </ns0:row>
    <ns0:row r="1836" ht="21" customHeight="1">
      <ns0:c r="A1836" s="25" t="n"/>
      <ns0:c r="B1836" s="26" t="n"/>
      <ns0:c r="C1836" s="26" t="n"/>
      <ns0:c r="D1836" s="26" t="n"/>
      <ns0:c r="E1836" s="27" t="n"/>
      <ns0:c r="F1836" s="28" t="str">
        <ns0:f>IF(A1836="","",YEAR(A1836)&amp;"-"&amp;RIGHT("0"&amp;MONTH(A1836),2))</ns0:f>
        <ns0:v/>
      </ns0:c>
    </ns0:row>
    <ns0:row r="1837" ht="21" customHeight="1">
      <ns0:c r="A1837" s="25" t="n"/>
      <ns0:c r="B1837" s="26" t="n"/>
      <ns0:c r="C1837" s="26" t="n"/>
      <ns0:c r="D1837" s="26" t="n"/>
      <ns0:c r="E1837" s="27" t="n"/>
      <ns0:c r="F1837" s="28" t="str">
        <ns0:f>IF(A1837="","",YEAR(A1837)&amp;"-"&amp;RIGHT("0"&amp;MONTH(A1837),2))</ns0:f>
        <ns0:v/>
      </ns0:c>
    </ns0:row>
    <ns0:row r="1838" ht="21" customHeight="1">
      <ns0:c r="A1838" s="25" t="n"/>
      <ns0:c r="B1838" s="26" t="n"/>
      <ns0:c r="C1838" s="26" t="n"/>
      <ns0:c r="D1838" s="26" t="n"/>
      <ns0:c r="E1838" s="27" t="n"/>
      <ns0:c r="F1838" s="28" t="str">
        <ns0:f>IF(A1838="","",YEAR(A1838)&amp;"-"&amp;RIGHT("0"&amp;MONTH(A1838),2))</ns0:f>
        <ns0:v/>
      </ns0:c>
    </ns0:row>
    <ns0:row r="1839" ht="21" customHeight="1">
      <ns0:c r="A1839" s="25" t="n"/>
      <ns0:c r="B1839" s="26" t="n"/>
      <ns0:c r="C1839" s="26" t="n"/>
      <ns0:c r="D1839" s="26" t="n"/>
      <ns0:c r="E1839" s="27" t="n"/>
      <ns0:c r="F1839" s="28" t="str">
        <ns0:f>IF(A1839="","",YEAR(A1839)&amp;"-"&amp;RIGHT("0"&amp;MONTH(A1839),2))</ns0:f>
        <ns0:v/>
      </ns0:c>
    </ns0:row>
    <ns0:row r="1840" ht="21" customHeight="1">
      <ns0:c r="A1840" s="25" t="n"/>
      <ns0:c r="B1840" s="26" t="n"/>
      <ns0:c r="C1840" s="26" t="n"/>
      <ns0:c r="D1840" s="26" t="n"/>
      <ns0:c r="E1840" s="27" t="n"/>
      <ns0:c r="F1840" s="28" t="str">
        <ns0:f>IF(A1840="","",YEAR(A1840)&amp;"-"&amp;RIGHT("0"&amp;MONTH(A1840),2))</ns0:f>
        <ns0:v/>
      </ns0:c>
    </ns0:row>
    <ns0:row r="1841" ht="21" customHeight="1">
      <ns0:c r="A1841" s="25" t="n"/>
      <ns0:c r="B1841" s="26" t="n"/>
      <ns0:c r="C1841" s="26" t="n"/>
      <ns0:c r="D1841" s="26" t="n"/>
      <ns0:c r="E1841" s="27" t="n"/>
      <ns0:c r="F1841" s="28" t="str">
        <ns0:f>IF(A1841="","",YEAR(A1841)&amp;"-"&amp;RIGHT("0"&amp;MONTH(A1841),2))</ns0:f>
        <ns0:v/>
      </ns0:c>
    </ns0:row>
    <ns0:row r="1842" ht="21" customHeight="1">
      <ns0:c r="A1842" s="25" t="n"/>
      <ns0:c r="B1842" s="26" t="n"/>
      <ns0:c r="C1842" s="26" t="n"/>
      <ns0:c r="D1842" s="26" t="n"/>
      <ns0:c r="E1842" s="27" t="n"/>
      <ns0:c r="F1842" s="28" t="str">
        <ns0:f>IF(A1842="","",YEAR(A1842)&amp;"-"&amp;RIGHT("0"&amp;MONTH(A1842),2))</ns0:f>
        <ns0:v/>
      </ns0:c>
    </ns0:row>
    <ns0:row r="1843" ht="21" customHeight="1">
      <ns0:c r="A1843" s="25" t="n"/>
      <ns0:c r="B1843" s="26" t="n"/>
      <ns0:c r="C1843" s="26" t="n"/>
      <ns0:c r="D1843" s="26" t="n"/>
      <ns0:c r="E1843" s="27" t="n"/>
      <ns0:c r="F1843" s="28" t="str">
        <ns0:f>IF(A1843="","",YEAR(A1843)&amp;"-"&amp;RIGHT("0"&amp;MONTH(A1843),2))</ns0:f>
        <ns0:v/>
      </ns0:c>
    </ns0:row>
    <ns0:row r="1844" ht="21" customHeight="1">
      <ns0:c r="A1844" s="25" t="n"/>
      <ns0:c r="B1844" s="26" t="n"/>
      <ns0:c r="C1844" s="26" t="n"/>
      <ns0:c r="D1844" s="26" t="n"/>
      <ns0:c r="E1844" s="27" t="n"/>
      <ns0:c r="F1844" s="28" t="str">
        <ns0:f>IF(A1844="","",YEAR(A1844)&amp;"-"&amp;RIGHT("0"&amp;MONTH(A1844),2))</ns0:f>
        <ns0:v/>
      </ns0:c>
    </ns0:row>
    <ns0:row r="1845" ht="21" customHeight="1">
      <ns0:c r="A1845" s="25" t="n"/>
      <ns0:c r="B1845" s="26" t="n"/>
      <ns0:c r="C1845" s="26" t="n"/>
      <ns0:c r="D1845" s="26" t="n"/>
      <ns0:c r="E1845" s="27" t="n"/>
      <ns0:c r="F1845" s="28" t="str">
        <ns0:f>IF(A1845="","",YEAR(A1845)&amp;"-"&amp;RIGHT("0"&amp;MONTH(A1845),2))</ns0:f>
        <ns0:v/>
      </ns0:c>
    </ns0:row>
    <ns0:row r="1846" ht="21" customHeight="1">
      <ns0:c r="A1846" s="25" t="n"/>
      <ns0:c r="B1846" s="26" t="n"/>
      <ns0:c r="C1846" s="26" t="n"/>
      <ns0:c r="D1846" s="26" t="n"/>
      <ns0:c r="E1846" s="27" t="n"/>
      <ns0:c r="F1846" s="28" t="str">
        <ns0:f>IF(A1846="","",YEAR(A1846)&amp;"-"&amp;RIGHT("0"&amp;MONTH(A1846),2))</ns0:f>
        <ns0:v/>
      </ns0:c>
    </ns0:row>
    <ns0:row r="1847" ht="21" customHeight="1">
      <ns0:c r="A1847" s="25" t="n"/>
      <ns0:c r="B1847" s="26" t="n"/>
      <ns0:c r="C1847" s="26" t="n"/>
      <ns0:c r="D1847" s="26" t="n"/>
      <ns0:c r="E1847" s="27" t="n"/>
      <ns0:c r="F1847" s="28" t="str">
        <ns0:f>IF(A1847="","",YEAR(A1847)&amp;"-"&amp;RIGHT("0"&amp;MONTH(A1847),2))</ns0:f>
        <ns0:v/>
      </ns0:c>
    </ns0:row>
    <ns0:row r="1848" ht="21" customHeight="1">
      <ns0:c r="A1848" s="25" t="n"/>
      <ns0:c r="B1848" s="26" t="n"/>
      <ns0:c r="C1848" s="26" t="n"/>
      <ns0:c r="D1848" s="26" t="n"/>
      <ns0:c r="E1848" s="27" t="n"/>
      <ns0:c r="F1848" s="28" t="str">
        <ns0:f>IF(A1848="","",YEAR(A1848)&amp;"-"&amp;RIGHT("0"&amp;MONTH(A1848),2))</ns0:f>
        <ns0:v/>
      </ns0:c>
    </ns0:row>
    <ns0:row r="1849" ht="21" customHeight="1">
      <ns0:c r="A1849" s="25" t="n"/>
      <ns0:c r="B1849" s="26" t="n"/>
      <ns0:c r="C1849" s="26" t="n"/>
      <ns0:c r="D1849" s="26" t="n"/>
      <ns0:c r="E1849" s="27" t="n"/>
      <ns0:c r="F1849" s="28" t="str">
        <ns0:f>IF(A1849="","",YEAR(A1849)&amp;"-"&amp;RIGHT("0"&amp;MONTH(A1849),2))</ns0:f>
        <ns0:v/>
      </ns0:c>
    </ns0:row>
    <ns0:row r="1850" ht="21" customHeight="1">
      <ns0:c r="A1850" s="25" t="n"/>
      <ns0:c r="B1850" s="26" t="n"/>
      <ns0:c r="C1850" s="26" t="n"/>
      <ns0:c r="D1850" s="26" t="n"/>
      <ns0:c r="E1850" s="27" t="n"/>
      <ns0:c r="F1850" s="28" t="str">
        <ns0:f>IF(A1850="","",YEAR(A1850)&amp;"-"&amp;RIGHT("0"&amp;MONTH(A1850),2))</ns0:f>
        <ns0:v/>
      </ns0:c>
    </ns0:row>
    <ns0:row r="1851" ht="21" customHeight="1">
      <ns0:c r="A1851" s="25" t="n"/>
      <ns0:c r="B1851" s="26" t="n"/>
      <ns0:c r="C1851" s="26" t="n"/>
      <ns0:c r="D1851" s="26" t="n"/>
      <ns0:c r="E1851" s="27" t="n"/>
      <ns0:c r="F1851" s="28" t="str">
        <ns0:f>IF(A1851="","",YEAR(A1851)&amp;"-"&amp;RIGHT("0"&amp;MONTH(A1851),2))</ns0:f>
        <ns0:v/>
      </ns0:c>
    </ns0:row>
    <ns0:row r="1852" ht="21" customHeight="1">
      <ns0:c r="A1852" s="25" t="n"/>
      <ns0:c r="B1852" s="26" t="n"/>
      <ns0:c r="C1852" s="26" t="n"/>
      <ns0:c r="D1852" s="26" t="n"/>
      <ns0:c r="E1852" s="27" t="n"/>
      <ns0:c r="F1852" s="28" t="str">
        <ns0:f>IF(A1852="","",YEAR(A1852)&amp;"-"&amp;RIGHT("0"&amp;MONTH(A1852),2))</ns0:f>
        <ns0:v/>
      </ns0:c>
    </ns0:row>
    <ns0:row r="1853" ht="21" customHeight="1">
      <ns0:c r="A1853" s="25" t="n"/>
      <ns0:c r="B1853" s="26" t="n"/>
      <ns0:c r="C1853" s="26" t="n"/>
      <ns0:c r="D1853" s="26" t="n"/>
      <ns0:c r="E1853" s="27" t="n"/>
      <ns0:c r="F1853" s="28" t="str">
        <ns0:f>IF(A1853="","",YEAR(A1853)&amp;"-"&amp;RIGHT("0"&amp;MONTH(A1853),2))</ns0:f>
        <ns0:v/>
      </ns0:c>
    </ns0:row>
    <ns0:row r="1854" ht="21" customHeight="1">
      <ns0:c r="A1854" s="25" t="n"/>
      <ns0:c r="B1854" s="26" t="n"/>
      <ns0:c r="C1854" s="26" t="n"/>
      <ns0:c r="D1854" s="26" t="n"/>
      <ns0:c r="E1854" s="27" t="n"/>
      <ns0:c r="F1854" s="28" t="str">
        <ns0:f>IF(A1854="","",YEAR(A1854)&amp;"-"&amp;RIGHT("0"&amp;MONTH(A1854),2))</ns0:f>
        <ns0:v/>
      </ns0:c>
    </ns0:row>
    <ns0:row r="1855" ht="21" customHeight="1">
      <ns0:c r="A1855" s="25" t="n"/>
      <ns0:c r="B1855" s="26" t="n"/>
      <ns0:c r="C1855" s="26" t="n"/>
      <ns0:c r="D1855" s="26" t="n"/>
      <ns0:c r="E1855" s="27" t="n"/>
      <ns0:c r="F1855" s="28" t="str">
        <ns0:f>IF(A1855="","",YEAR(A1855)&amp;"-"&amp;RIGHT("0"&amp;MONTH(A1855),2))</ns0:f>
        <ns0:v/>
      </ns0:c>
    </ns0:row>
    <ns0:row r="1856" ht="21" customHeight="1">
      <ns0:c r="A1856" s="25" t="n"/>
      <ns0:c r="B1856" s="26" t="n"/>
      <ns0:c r="C1856" s="26" t="n"/>
      <ns0:c r="D1856" s="26" t="n"/>
      <ns0:c r="E1856" s="27" t="n"/>
      <ns0:c r="F1856" s="28" t="str">
        <ns0:f>IF(A1856="","",YEAR(A1856)&amp;"-"&amp;RIGHT("0"&amp;MONTH(A1856),2))</ns0:f>
        <ns0:v/>
      </ns0:c>
    </ns0:row>
    <ns0:row r="1857" ht="21" customHeight="1">
      <ns0:c r="A1857" s="25" t="n"/>
      <ns0:c r="B1857" s="26" t="n"/>
      <ns0:c r="C1857" s="26" t="n"/>
      <ns0:c r="D1857" s="26" t="n"/>
      <ns0:c r="E1857" s="27" t="n"/>
      <ns0:c r="F1857" s="28" t="str">
        <ns0:f>IF(A1857="","",YEAR(A1857)&amp;"-"&amp;RIGHT("0"&amp;MONTH(A1857),2))</ns0:f>
        <ns0:v/>
      </ns0:c>
    </ns0:row>
    <ns0:row r="1858" ht="21" customHeight="1">
      <ns0:c r="A1858" s="25" t="n"/>
      <ns0:c r="B1858" s="26" t="n"/>
      <ns0:c r="C1858" s="26" t="n"/>
      <ns0:c r="D1858" s="26" t="n"/>
      <ns0:c r="E1858" s="27" t="n"/>
      <ns0:c r="F1858" s="28" t="str">
        <ns0:f>IF(A1858="","",YEAR(A1858)&amp;"-"&amp;RIGHT("0"&amp;MONTH(A1858),2))</ns0:f>
        <ns0:v/>
      </ns0:c>
    </ns0:row>
    <ns0:row r="1859" ht="21" customHeight="1">
      <ns0:c r="A1859" s="25" t="n"/>
      <ns0:c r="B1859" s="26" t="n"/>
      <ns0:c r="C1859" s="26" t="n"/>
      <ns0:c r="D1859" s="26" t="n"/>
      <ns0:c r="E1859" s="27" t="n"/>
      <ns0:c r="F1859" s="28" t="str">
        <ns0:f>IF(A1859="","",YEAR(A1859)&amp;"-"&amp;RIGHT("0"&amp;MONTH(A1859),2))</ns0:f>
        <ns0:v/>
      </ns0:c>
    </ns0:row>
    <ns0:row r="1860" ht="21" customHeight="1">
      <ns0:c r="A1860" s="25" t="n"/>
      <ns0:c r="B1860" s="26" t="n"/>
      <ns0:c r="C1860" s="26" t="n"/>
      <ns0:c r="D1860" s="26" t="n"/>
      <ns0:c r="E1860" s="27" t="n"/>
      <ns0:c r="F1860" s="28" t="str">
        <ns0:f>IF(A1860="","",YEAR(A1860)&amp;"-"&amp;RIGHT("0"&amp;MONTH(A1860),2))</ns0:f>
        <ns0:v/>
      </ns0:c>
    </ns0:row>
    <ns0:row r="1861" ht="21" customHeight="1">
      <ns0:c r="A1861" s="25" t="n"/>
      <ns0:c r="B1861" s="26" t="n"/>
      <ns0:c r="C1861" s="26" t="n"/>
      <ns0:c r="D1861" s="26" t="n"/>
      <ns0:c r="E1861" s="27" t="n"/>
      <ns0:c r="F1861" s="28" t="str">
        <ns0:f>IF(A1861="","",YEAR(A1861)&amp;"-"&amp;RIGHT("0"&amp;MONTH(A1861),2))</ns0:f>
        <ns0:v/>
      </ns0:c>
    </ns0:row>
    <ns0:row r="1862" ht="21" customHeight="1">
      <ns0:c r="A1862" s="25" t="n"/>
      <ns0:c r="B1862" s="26" t="n"/>
      <ns0:c r="C1862" s="26" t="n"/>
      <ns0:c r="D1862" s="26" t="n"/>
      <ns0:c r="E1862" s="27" t="n"/>
      <ns0:c r="F1862" s="28" t="str">
        <ns0:f>IF(A1862="","",YEAR(A1862)&amp;"-"&amp;RIGHT("0"&amp;MONTH(A1862),2))</ns0:f>
        <ns0:v/>
      </ns0:c>
    </ns0:row>
    <ns0:row r="1863" ht="21" customHeight="1">
      <ns0:c r="A1863" s="25" t="n"/>
      <ns0:c r="B1863" s="26" t="n"/>
      <ns0:c r="C1863" s="26" t="n"/>
      <ns0:c r="D1863" s="26" t="n"/>
      <ns0:c r="E1863" s="27" t="n"/>
      <ns0:c r="F1863" s="28" t="str">
        <ns0:f>IF(A1863="","",YEAR(A1863)&amp;"-"&amp;RIGHT("0"&amp;MONTH(A1863),2))</ns0:f>
        <ns0:v/>
      </ns0:c>
    </ns0:row>
    <ns0:row r="1864" ht="21" customHeight="1">
      <ns0:c r="A1864" s="25" t="n"/>
      <ns0:c r="B1864" s="26" t="n"/>
      <ns0:c r="C1864" s="26" t="n"/>
      <ns0:c r="D1864" s="26" t="n"/>
      <ns0:c r="E1864" s="27" t="n"/>
      <ns0:c r="F1864" s="28" t="str">
        <ns0:f>IF(A1864="","",YEAR(A1864)&amp;"-"&amp;RIGHT("0"&amp;MONTH(A1864),2))</ns0:f>
        <ns0:v/>
      </ns0:c>
    </ns0:row>
    <ns0:row r="1865" ht="21" customHeight="1">
      <ns0:c r="A1865" s="25" t="n"/>
      <ns0:c r="B1865" s="26" t="n"/>
      <ns0:c r="C1865" s="26" t="n"/>
      <ns0:c r="D1865" s="26" t="n"/>
      <ns0:c r="E1865" s="27" t="n"/>
      <ns0:c r="F1865" s="28" t="str">
        <ns0:f>IF(A1865="","",YEAR(A1865)&amp;"-"&amp;RIGHT("0"&amp;MONTH(A1865),2))</ns0:f>
        <ns0:v/>
      </ns0:c>
    </ns0:row>
    <ns0:row r="1866" ht="21" customHeight="1">
      <ns0:c r="A1866" s="25" t="n"/>
      <ns0:c r="B1866" s="26" t="n"/>
      <ns0:c r="C1866" s="26" t="n"/>
      <ns0:c r="D1866" s="26" t="n"/>
      <ns0:c r="E1866" s="27" t="n"/>
      <ns0:c r="F1866" s="28" t="str">
        <ns0:f>IF(A1866="","",YEAR(A1866)&amp;"-"&amp;RIGHT("0"&amp;MONTH(A1866),2))</ns0:f>
        <ns0:v/>
      </ns0:c>
    </ns0:row>
    <ns0:row r="1867" ht="21" customHeight="1">
      <ns0:c r="A1867" s="25" t="n"/>
      <ns0:c r="B1867" s="26" t="n"/>
      <ns0:c r="C1867" s="26" t="n"/>
      <ns0:c r="D1867" s="26" t="n"/>
      <ns0:c r="E1867" s="27" t="n"/>
      <ns0:c r="F1867" s="28" t="str">
        <ns0:f>IF(A1867="","",YEAR(A1867)&amp;"-"&amp;RIGHT("0"&amp;MONTH(A1867),2))</ns0:f>
        <ns0:v/>
      </ns0:c>
    </ns0:row>
    <ns0:row r="1868" ht="21" customHeight="1">
      <ns0:c r="A1868" s="25" t="n"/>
      <ns0:c r="B1868" s="26" t="n"/>
      <ns0:c r="C1868" s="26" t="n"/>
      <ns0:c r="D1868" s="26" t="n"/>
      <ns0:c r="E1868" s="27" t="n"/>
      <ns0:c r="F1868" s="28" t="str">
        <ns0:f>IF(A1868="","",YEAR(A1868)&amp;"-"&amp;RIGHT("0"&amp;MONTH(A1868),2))</ns0:f>
        <ns0:v/>
      </ns0:c>
    </ns0:row>
    <ns0:row r="1869" ht="21" customHeight="1">
      <ns0:c r="A1869" s="25" t="n"/>
      <ns0:c r="B1869" s="26" t="n"/>
      <ns0:c r="C1869" s="26" t="n"/>
      <ns0:c r="D1869" s="26" t="n"/>
      <ns0:c r="E1869" s="27" t="n"/>
      <ns0:c r="F1869" s="28" t="str">
        <ns0:f>IF(A1869="","",YEAR(A1869)&amp;"-"&amp;RIGHT("0"&amp;MONTH(A1869),2))</ns0:f>
        <ns0:v/>
      </ns0:c>
    </ns0:row>
    <ns0:row r="1870" ht="21" customHeight="1">
      <ns0:c r="A1870" s="25" t="n"/>
      <ns0:c r="B1870" s="26" t="n"/>
      <ns0:c r="C1870" s="26" t="n"/>
      <ns0:c r="D1870" s="26" t="n"/>
      <ns0:c r="E1870" s="27" t="n"/>
      <ns0:c r="F1870" s="28" t="str">
        <ns0:f>IF(A1870="","",YEAR(A1870)&amp;"-"&amp;RIGHT("0"&amp;MONTH(A1870),2))</ns0:f>
        <ns0:v/>
      </ns0:c>
    </ns0:row>
    <ns0:row r="1871" ht="21" customHeight="1">
      <ns0:c r="A1871" s="25" t="n"/>
      <ns0:c r="B1871" s="26" t="n"/>
      <ns0:c r="C1871" s="26" t="n"/>
      <ns0:c r="D1871" s="26" t="n"/>
      <ns0:c r="E1871" s="27" t="n"/>
      <ns0:c r="F1871" s="28" t="str">
        <ns0:f>IF(A1871="","",YEAR(A1871)&amp;"-"&amp;RIGHT("0"&amp;MONTH(A1871),2))</ns0:f>
        <ns0:v/>
      </ns0:c>
    </ns0:row>
    <ns0:row r="1872" ht="21" customHeight="1">
      <ns0:c r="A1872" s="25" t="n"/>
      <ns0:c r="B1872" s="26" t="n"/>
      <ns0:c r="C1872" s="26" t="n"/>
      <ns0:c r="D1872" s="26" t="n"/>
      <ns0:c r="E1872" s="27" t="n"/>
      <ns0:c r="F1872" s="28" t="str">
        <ns0:f>IF(A1872="","",YEAR(A1872)&amp;"-"&amp;RIGHT("0"&amp;MONTH(A1872),2))</ns0:f>
        <ns0:v/>
      </ns0:c>
    </ns0:row>
    <ns0:row r="1873" ht="21" customHeight="1">
      <ns0:c r="A1873" s="25" t="n"/>
      <ns0:c r="B1873" s="26" t="n"/>
      <ns0:c r="C1873" s="26" t="n"/>
      <ns0:c r="D1873" s="26" t="n"/>
      <ns0:c r="E1873" s="27" t="n"/>
      <ns0:c r="F1873" s="28" t="str">
        <ns0:f>IF(A1873="","",YEAR(A1873)&amp;"-"&amp;RIGHT("0"&amp;MONTH(A1873),2))</ns0:f>
        <ns0:v/>
      </ns0:c>
    </ns0:row>
    <ns0:row r="1874" ht="21" customHeight="1">
      <ns0:c r="A1874" s="25" t="n"/>
      <ns0:c r="B1874" s="26" t="n"/>
      <ns0:c r="C1874" s="26" t="n"/>
      <ns0:c r="D1874" s="26" t="n"/>
      <ns0:c r="E1874" s="27" t="n"/>
      <ns0:c r="F1874" s="28" t="str">
        <ns0:f>IF(A1874="","",YEAR(A1874)&amp;"-"&amp;RIGHT("0"&amp;MONTH(A1874),2))</ns0:f>
        <ns0:v/>
      </ns0:c>
    </ns0:row>
    <ns0:row r="1875" ht="21" customHeight="1">
      <ns0:c r="A1875" s="25" t="n"/>
      <ns0:c r="B1875" s="26" t="n"/>
      <ns0:c r="C1875" s="26" t="n"/>
      <ns0:c r="D1875" s="26" t="n"/>
      <ns0:c r="E1875" s="27" t="n"/>
      <ns0:c r="F1875" s="28" t="str">
        <ns0:f>IF(A1875="","",YEAR(A1875)&amp;"-"&amp;RIGHT("0"&amp;MONTH(A1875),2))</ns0:f>
        <ns0:v/>
      </ns0:c>
    </ns0:row>
    <ns0:row r="1876" ht="21" customHeight="1">
      <ns0:c r="A1876" s="25" t="n"/>
      <ns0:c r="B1876" s="26" t="n"/>
      <ns0:c r="C1876" s="26" t="n"/>
      <ns0:c r="D1876" s="26" t="n"/>
      <ns0:c r="E1876" s="27" t="n"/>
      <ns0:c r="F1876" s="28" t="str">
        <ns0:f>IF(A1876="","",YEAR(A1876)&amp;"-"&amp;RIGHT("0"&amp;MONTH(A1876),2))</ns0:f>
        <ns0:v/>
      </ns0:c>
    </ns0:row>
    <ns0:row r="1877" ht="21" customHeight="1">
      <ns0:c r="A1877" s="25" t="n"/>
      <ns0:c r="B1877" s="26" t="n"/>
      <ns0:c r="C1877" s="26" t="n"/>
      <ns0:c r="D1877" s="26" t="n"/>
      <ns0:c r="E1877" s="27" t="n"/>
      <ns0:c r="F1877" s="28" t="str">
        <ns0:f>IF(A1877="","",YEAR(A1877)&amp;"-"&amp;RIGHT("0"&amp;MONTH(A1877),2))</ns0:f>
        <ns0:v/>
      </ns0:c>
    </ns0:row>
    <ns0:row r="1878" ht="21" customHeight="1">
      <ns0:c r="A1878" s="25" t="n"/>
      <ns0:c r="B1878" s="26" t="n"/>
      <ns0:c r="C1878" s="26" t="n"/>
      <ns0:c r="D1878" s="26" t="n"/>
      <ns0:c r="E1878" s="27" t="n"/>
      <ns0:c r="F1878" s="28" t="str">
        <ns0:f>IF(A1878="","",YEAR(A1878)&amp;"-"&amp;RIGHT("0"&amp;MONTH(A1878),2))</ns0:f>
        <ns0:v/>
      </ns0:c>
    </ns0:row>
    <ns0:row r="1879" ht="21" customHeight="1">
      <ns0:c r="A1879" s="25" t="n"/>
      <ns0:c r="B1879" s="26" t="n"/>
      <ns0:c r="C1879" s="26" t="n"/>
      <ns0:c r="D1879" s="26" t="n"/>
      <ns0:c r="E1879" s="27" t="n"/>
      <ns0:c r="F1879" s="28" t="str">
        <ns0:f>IF(A1879="","",YEAR(A1879)&amp;"-"&amp;RIGHT("0"&amp;MONTH(A1879),2))</ns0:f>
        <ns0:v/>
      </ns0:c>
    </ns0:row>
    <ns0:row r="1880" ht="21" customHeight="1">
      <ns0:c r="A1880" s="25" t="n"/>
      <ns0:c r="B1880" s="26" t="n"/>
      <ns0:c r="C1880" s="26" t="n"/>
      <ns0:c r="D1880" s="26" t="n"/>
      <ns0:c r="E1880" s="27" t="n"/>
      <ns0:c r="F1880" s="28" t="str">
        <ns0:f>IF(A1880="","",YEAR(A1880)&amp;"-"&amp;RIGHT("0"&amp;MONTH(A1880),2))</ns0:f>
        <ns0:v/>
      </ns0:c>
    </ns0:row>
    <ns0:row r="1881" ht="21" customHeight="1">
      <ns0:c r="A1881" s="25" t="n"/>
      <ns0:c r="B1881" s="26" t="n"/>
      <ns0:c r="C1881" s="26" t="n"/>
      <ns0:c r="D1881" s="26" t="n"/>
      <ns0:c r="E1881" s="27" t="n"/>
      <ns0:c r="F1881" s="28" t="str">
        <ns0:f>IF(A1881="","",YEAR(A1881)&amp;"-"&amp;RIGHT("0"&amp;MONTH(A1881),2))</ns0:f>
        <ns0:v/>
      </ns0:c>
    </ns0:row>
    <ns0:row r="1882" ht="21" customHeight="1">
      <ns0:c r="A1882" s="25" t="n"/>
      <ns0:c r="B1882" s="26" t="n"/>
      <ns0:c r="C1882" s="26" t="n"/>
      <ns0:c r="D1882" s="26" t="n"/>
      <ns0:c r="E1882" s="27" t="n"/>
      <ns0:c r="F1882" s="28" t="str">
        <ns0:f>IF(A1882="","",YEAR(A1882)&amp;"-"&amp;RIGHT("0"&amp;MONTH(A1882),2))</ns0:f>
        <ns0:v/>
      </ns0:c>
    </ns0:row>
    <ns0:row r="1883" ht="21" customHeight="1">
      <ns0:c r="A1883" s="25" t="n"/>
      <ns0:c r="B1883" s="26" t="n"/>
      <ns0:c r="C1883" s="26" t="n"/>
      <ns0:c r="D1883" s="26" t="n"/>
      <ns0:c r="E1883" s="27" t="n"/>
      <ns0:c r="F1883" s="28" t="str">
        <ns0:f>IF(A1883="","",YEAR(A1883)&amp;"-"&amp;RIGHT("0"&amp;MONTH(A1883),2))</ns0:f>
        <ns0:v/>
      </ns0:c>
    </ns0:row>
    <ns0:row r="1884" ht="21" customHeight="1">
      <ns0:c r="A1884" s="25" t="n"/>
      <ns0:c r="B1884" s="26" t="n"/>
      <ns0:c r="C1884" s="26" t="n"/>
      <ns0:c r="D1884" s="26" t="n"/>
      <ns0:c r="E1884" s="27" t="n"/>
      <ns0:c r="F1884" s="28" t="str">
        <ns0:f>IF(A1884="","",YEAR(A1884)&amp;"-"&amp;RIGHT("0"&amp;MONTH(A1884),2))</ns0:f>
        <ns0:v/>
      </ns0:c>
    </ns0:row>
    <ns0:row r="1885" ht="21" customHeight="1">
      <ns0:c r="A1885" s="25" t="n"/>
      <ns0:c r="B1885" s="26" t="n"/>
      <ns0:c r="C1885" s="26" t="n"/>
      <ns0:c r="D1885" s="26" t="n"/>
      <ns0:c r="E1885" s="27" t="n"/>
      <ns0:c r="F1885" s="28" t="str">
        <ns0:f>IF(A1885="","",YEAR(A1885)&amp;"-"&amp;RIGHT("0"&amp;MONTH(A1885),2))</ns0:f>
        <ns0:v/>
      </ns0:c>
    </ns0:row>
    <ns0:row r="1886" ht="21" customHeight="1">
      <ns0:c r="A1886" s="25" t="n"/>
      <ns0:c r="B1886" s="26" t="n"/>
      <ns0:c r="C1886" s="26" t="n"/>
      <ns0:c r="D1886" s="26" t="n"/>
      <ns0:c r="E1886" s="27" t="n"/>
      <ns0:c r="F1886" s="28" t="str">
        <ns0:f>IF(A1886="","",YEAR(A1886)&amp;"-"&amp;RIGHT("0"&amp;MONTH(A1886),2))</ns0:f>
        <ns0:v/>
      </ns0:c>
    </ns0:row>
    <ns0:row r="1887" ht="21" customHeight="1">
      <ns0:c r="A1887" s="25" t="n"/>
      <ns0:c r="B1887" s="26" t="n"/>
      <ns0:c r="C1887" s="26" t="n"/>
      <ns0:c r="D1887" s="26" t="n"/>
      <ns0:c r="E1887" s="27" t="n"/>
      <ns0:c r="F1887" s="28" t="str">
        <ns0:f>IF(A1887="","",YEAR(A1887)&amp;"-"&amp;RIGHT("0"&amp;MONTH(A1887),2))</ns0:f>
        <ns0:v/>
      </ns0:c>
    </ns0:row>
    <ns0:row r="1888" ht="21" customHeight="1">
      <ns0:c r="A1888" s="25" t="n"/>
      <ns0:c r="B1888" s="26" t="n"/>
      <ns0:c r="C1888" s="26" t="n"/>
      <ns0:c r="D1888" s="26" t="n"/>
      <ns0:c r="E1888" s="27" t="n"/>
      <ns0:c r="F1888" s="28" t="str">
        <ns0:f>IF(A1888="","",YEAR(A1888)&amp;"-"&amp;RIGHT("0"&amp;MONTH(A1888),2))</ns0:f>
        <ns0:v/>
      </ns0:c>
    </ns0:row>
    <ns0:row r="1889" ht="21" customHeight="1">
      <ns0:c r="A1889" s="25" t="n"/>
      <ns0:c r="B1889" s="26" t="n"/>
      <ns0:c r="C1889" s="26" t="n"/>
      <ns0:c r="D1889" s="26" t="n"/>
      <ns0:c r="E1889" s="27" t="n"/>
      <ns0:c r="F1889" s="28" t="str">
        <ns0:f>IF(A1889="","",YEAR(A1889)&amp;"-"&amp;RIGHT("0"&amp;MONTH(A1889),2))</ns0:f>
        <ns0:v/>
      </ns0:c>
    </ns0:row>
    <ns0:row r="1890" ht="21" customHeight="1">
      <ns0:c r="A1890" s="25" t="n"/>
      <ns0:c r="B1890" s="26" t="n"/>
      <ns0:c r="C1890" s="26" t="n"/>
      <ns0:c r="D1890" s="26" t="n"/>
      <ns0:c r="E1890" s="27" t="n"/>
      <ns0:c r="F1890" s="28" t="str">
        <ns0:f>IF(A1890="","",YEAR(A1890)&amp;"-"&amp;RIGHT("0"&amp;MONTH(A1890),2))</ns0:f>
        <ns0:v/>
      </ns0:c>
    </ns0:row>
    <ns0:row r="1891" ht="21" customHeight="1">
      <ns0:c r="A1891" s="25" t="n"/>
      <ns0:c r="B1891" s="26" t="n"/>
      <ns0:c r="C1891" s="26" t="n"/>
      <ns0:c r="D1891" s="26" t="n"/>
      <ns0:c r="E1891" s="27" t="n"/>
      <ns0:c r="F1891" s="28" t="str">
        <ns0:f>IF(A1891="","",YEAR(A1891)&amp;"-"&amp;RIGHT("0"&amp;MONTH(A1891),2))</ns0:f>
        <ns0:v/>
      </ns0:c>
    </ns0:row>
    <ns0:row r="1892" ht="21" customHeight="1">
      <ns0:c r="A1892" s="25" t="n"/>
      <ns0:c r="B1892" s="26" t="n"/>
      <ns0:c r="C1892" s="26" t="n"/>
      <ns0:c r="D1892" s="26" t="n"/>
      <ns0:c r="E1892" s="27" t="n"/>
      <ns0:c r="F1892" s="28" t="str">
        <ns0:f>IF(A1892="","",YEAR(A1892)&amp;"-"&amp;RIGHT("0"&amp;MONTH(A1892),2))</ns0:f>
        <ns0:v/>
      </ns0:c>
    </ns0:row>
    <ns0:row r="1893" ht="21" customHeight="1">
      <ns0:c r="A1893" s="25" t="n"/>
      <ns0:c r="B1893" s="26" t="n"/>
      <ns0:c r="C1893" s="26" t="n"/>
      <ns0:c r="D1893" s="26" t="n"/>
      <ns0:c r="E1893" s="27" t="n"/>
      <ns0:c r="F1893" s="28" t="str">
        <ns0:f>IF(A1893="","",YEAR(A1893)&amp;"-"&amp;RIGHT("0"&amp;MONTH(A1893),2))</ns0:f>
        <ns0:v/>
      </ns0:c>
    </ns0:row>
    <ns0:row r="1894" ht="21" customHeight="1">
      <ns0:c r="A1894" s="25" t="n"/>
      <ns0:c r="B1894" s="26" t="n"/>
      <ns0:c r="C1894" s="26" t="n"/>
      <ns0:c r="D1894" s="26" t="n"/>
      <ns0:c r="E1894" s="27" t="n"/>
      <ns0:c r="F1894" s="28" t="str">
        <ns0:f>IF(A1894="","",YEAR(A1894)&amp;"-"&amp;RIGHT("0"&amp;MONTH(A1894),2))</ns0:f>
        <ns0:v/>
      </ns0:c>
    </ns0:row>
    <ns0:row r="1895" ht="21" customHeight="1">
      <ns0:c r="A1895" s="25" t="n"/>
      <ns0:c r="B1895" s="26" t="n"/>
      <ns0:c r="C1895" s="26" t="n"/>
      <ns0:c r="D1895" s="26" t="n"/>
      <ns0:c r="E1895" s="27" t="n"/>
      <ns0:c r="F1895" s="28" t="str">
        <ns0:f>IF(A1895="","",YEAR(A1895)&amp;"-"&amp;RIGHT("0"&amp;MONTH(A1895),2))</ns0:f>
        <ns0:v/>
      </ns0:c>
    </ns0:row>
    <ns0:row r="1896" ht="21" customHeight="1">
      <ns0:c r="A1896" s="25" t="n"/>
      <ns0:c r="B1896" s="26" t="n"/>
      <ns0:c r="C1896" s="26" t="n"/>
      <ns0:c r="D1896" s="26" t="n"/>
      <ns0:c r="E1896" s="27" t="n"/>
      <ns0:c r="F1896" s="28" t="str">
        <ns0:f>IF(A1896="","",YEAR(A1896)&amp;"-"&amp;RIGHT("0"&amp;MONTH(A1896),2))</ns0:f>
        <ns0:v/>
      </ns0:c>
    </ns0:row>
    <ns0:row r="1897" ht="21" customHeight="1">
      <ns0:c r="A1897" s="25" t="n"/>
      <ns0:c r="B1897" s="26" t="n"/>
      <ns0:c r="C1897" s="26" t="n"/>
      <ns0:c r="D1897" s="26" t="n"/>
      <ns0:c r="E1897" s="27" t="n"/>
      <ns0:c r="F1897" s="28" t="str">
        <ns0:f>IF(A1897="","",YEAR(A1897)&amp;"-"&amp;RIGHT("0"&amp;MONTH(A1897),2))</ns0:f>
        <ns0:v/>
      </ns0:c>
    </ns0:row>
    <ns0:row r="1898" ht="21" customHeight="1">
      <ns0:c r="A1898" s="25" t="n"/>
      <ns0:c r="B1898" s="26" t="n"/>
      <ns0:c r="C1898" s="26" t="n"/>
      <ns0:c r="D1898" s="26" t="n"/>
      <ns0:c r="E1898" s="27" t="n"/>
      <ns0:c r="F1898" s="28" t="str">
        <ns0:f>IF(A1898="","",YEAR(A1898)&amp;"-"&amp;RIGHT("0"&amp;MONTH(A1898),2))</ns0:f>
        <ns0:v/>
      </ns0:c>
    </ns0:row>
    <ns0:row r="1899" ht="21" customHeight="1">
      <ns0:c r="A1899" s="25" t="n"/>
      <ns0:c r="B1899" s="26" t="n"/>
      <ns0:c r="C1899" s="26" t="n"/>
      <ns0:c r="D1899" s="26" t="n"/>
      <ns0:c r="E1899" s="27" t="n"/>
      <ns0:c r="F1899" s="28" t="str">
        <ns0:f>IF(A1899="","",YEAR(A1899)&amp;"-"&amp;RIGHT("0"&amp;MONTH(A1899),2))</ns0:f>
        <ns0:v/>
      </ns0:c>
    </ns0:row>
    <ns0:row r="1900" ht="21" customHeight="1">
      <ns0:c r="A1900" s="25" t="n"/>
      <ns0:c r="B1900" s="26" t="n"/>
      <ns0:c r="C1900" s="26" t="n"/>
      <ns0:c r="D1900" s="26" t="n"/>
      <ns0:c r="E1900" s="27" t="n"/>
      <ns0:c r="F1900" s="28" t="str">
        <ns0:f>IF(A1900="","",YEAR(A1900)&amp;"-"&amp;RIGHT("0"&amp;MONTH(A1900),2))</ns0:f>
        <ns0:v/>
      </ns0:c>
    </ns0:row>
    <ns0:row r="1901" ht="21" customHeight="1">
      <ns0:c r="A1901" s="25" t="n"/>
      <ns0:c r="B1901" s="26" t="n"/>
      <ns0:c r="C1901" s="26" t="n"/>
      <ns0:c r="D1901" s="26" t="n"/>
      <ns0:c r="E1901" s="27" t="n"/>
      <ns0:c r="F1901" s="28" t="str">
        <ns0:f>IF(A1901="","",YEAR(A1901)&amp;"-"&amp;RIGHT("0"&amp;MONTH(A1901),2))</ns0:f>
        <ns0:v/>
      </ns0:c>
    </ns0:row>
    <ns0:row r="1902" ht="21" customHeight="1">
      <ns0:c r="A1902" s="25" t="n"/>
      <ns0:c r="B1902" s="26" t="n"/>
      <ns0:c r="C1902" s="26" t="n"/>
      <ns0:c r="D1902" s="26" t="n"/>
      <ns0:c r="E1902" s="27" t="n"/>
      <ns0:c r="F1902" s="28" t="str">
        <ns0:f>IF(A1902="","",YEAR(A1902)&amp;"-"&amp;RIGHT("0"&amp;MONTH(A1902),2))</ns0:f>
        <ns0:v/>
      </ns0:c>
    </ns0:row>
    <ns0:row r="1903" ht="21" customHeight="1">
      <ns0:c r="A1903" s="25" t="n"/>
      <ns0:c r="B1903" s="26" t="n"/>
      <ns0:c r="C1903" s="26" t="n"/>
      <ns0:c r="D1903" s="26" t="n"/>
      <ns0:c r="E1903" s="27" t="n"/>
      <ns0:c r="F1903" s="28" t="str">
        <ns0:f>IF(A1903="","",YEAR(A1903)&amp;"-"&amp;RIGHT("0"&amp;MONTH(A1903),2))</ns0:f>
        <ns0:v/>
      </ns0:c>
    </ns0:row>
    <ns0:row r="1904" ht="21" customHeight="1">
      <ns0:c r="A1904" s="25" t="n"/>
      <ns0:c r="B1904" s="26" t="n"/>
      <ns0:c r="C1904" s="26" t="n"/>
      <ns0:c r="D1904" s="26" t="n"/>
      <ns0:c r="E1904" s="27" t="n"/>
      <ns0:c r="F1904" s="28" t="str">
        <ns0:f>IF(A1904="","",YEAR(A1904)&amp;"-"&amp;RIGHT("0"&amp;MONTH(A1904),2))</ns0:f>
        <ns0:v/>
      </ns0:c>
    </ns0:row>
    <ns0:row r="1905" ht="21" customHeight="1">
      <ns0:c r="A1905" s="25" t="n"/>
      <ns0:c r="B1905" s="26" t="n"/>
      <ns0:c r="C1905" s="26" t="n"/>
      <ns0:c r="D1905" s="26" t="n"/>
      <ns0:c r="E1905" s="27" t="n"/>
      <ns0:c r="F1905" s="28" t="str">
        <ns0:f>IF(A1905="","",YEAR(A1905)&amp;"-"&amp;RIGHT("0"&amp;MONTH(A1905),2))</ns0:f>
        <ns0:v/>
      </ns0:c>
    </ns0:row>
    <ns0:row r="1906" ht="21" customHeight="1">
      <ns0:c r="A1906" s="25" t="n"/>
      <ns0:c r="B1906" s="26" t="n"/>
      <ns0:c r="C1906" s="26" t="n"/>
      <ns0:c r="D1906" s="26" t="n"/>
      <ns0:c r="E1906" s="27" t="n"/>
      <ns0:c r="F1906" s="28" t="str">
        <ns0:f>IF(A1906="","",YEAR(A1906)&amp;"-"&amp;RIGHT("0"&amp;MONTH(A1906),2))</ns0:f>
        <ns0:v/>
      </ns0:c>
    </ns0:row>
    <ns0:row r="1907" ht="21" customHeight="1">
      <ns0:c r="A1907" s="25" t="n"/>
      <ns0:c r="B1907" s="26" t="n"/>
      <ns0:c r="C1907" s="26" t="n"/>
      <ns0:c r="D1907" s="26" t="n"/>
      <ns0:c r="E1907" s="27" t="n"/>
      <ns0:c r="F1907" s="28" t="str">
        <ns0:f>IF(A1907="","",YEAR(A1907)&amp;"-"&amp;RIGHT("0"&amp;MONTH(A1907),2))</ns0:f>
        <ns0:v/>
      </ns0:c>
    </ns0:row>
    <ns0:row r="1908" ht="21" customHeight="1">
      <ns0:c r="A1908" s="25" t="n"/>
      <ns0:c r="B1908" s="26" t="n"/>
      <ns0:c r="C1908" s="26" t="n"/>
      <ns0:c r="D1908" s="26" t="n"/>
      <ns0:c r="E1908" s="27" t="n"/>
      <ns0:c r="F1908" s="28" t="str">
        <ns0:f>IF(A1908="","",YEAR(A1908)&amp;"-"&amp;RIGHT("0"&amp;MONTH(A1908),2))</ns0:f>
        <ns0:v/>
      </ns0:c>
    </ns0:row>
    <ns0:row r="1909" ht="21" customHeight="1">
      <ns0:c r="A1909" s="25" t="n"/>
      <ns0:c r="B1909" s="26" t="n"/>
      <ns0:c r="C1909" s="26" t="n"/>
      <ns0:c r="D1909" s="26" t="n"/>
      <ns0:c r="E1909" s="27" t="n"/>
      <ns0:c r="F1909" s="28" t="str">
        <ns0:f>IF(A1909="","",YEAR(A1909)&amp;"-"&amp;RIGHT("0"&amp;MONTH(A1909),2))</ns0:f>
        <ns0:v/>
      </ns0:c>
    </ns0:row>
    <ns0:row r="1910" ht="21" customHeight="1">
      <ns0:c r="A1910" s="25" t="n"/>
      <ns0:c r="B1910" s="26" t="n"/>
      <ns0:c r="C1910" s="26" t="n"/>
      <ns0:c r="D1910" s="26" t="n"/>
      <ns0:c r="E1910" s="27" t="n"/>
      <ns0:c r="F1910" s="28" t="str">
        <ns0:f>IF(A1910="","",YEAR(A1910)&amp;"-"&amp;RIGHT("0"&amp;MONTH(A1910),2))</ns0:f>
        <ns0:v/>
      </ns0:c>
    </ns0:row>
    <ns0:row r="1911" ht="21" customHeight="1">
      <ns0:c r="A1911" s="25" t="n"/>
      <ns0:c r="B1911" s="26" t="n"/>
      <ns0:c r="C1911" s="26" t="n"/>
      <ns0:c r="D1911" s="26" t="n"/>
      <ns0:c r="E1911" s="27" t="n"/>
      <ns0:c r="F1911" s="28" t="str">
        <ns0:f>IF(A1911="","",YEAR(A1911)&amp;"-"&amp;RIGHT("0"&amp;MONTH(A1911),2))</ns0:f>
        <ns0:v/>
      </ns0:c>
    </ns0:row>
    <ns0:row r="1912" ht="21" customHeight="1">
      <ns0:c r="A1912" s="25" t="n"/>
      <ns0:c r="B1912" s="26" t="n"/>
      <ns0:c r="C1912" s="26" t="n"/>
      <ns0:c r="D1912" s="26" t="n"/>
      <ns0:c r="E1912" s="27" t="n"/>
      <ns0:c r="F1912" s="28" t="str">
        <ns0:f>IF(A1912="","",YEAR(A1912)&amp;"-"&amp;RIGHT("0"&amp;MONTH(A1912),2))</ns0:f>
        <ns0:v/>
      </ns0:c>
    </ns0:row>
    <ns0:row r="1913" ht="21" customHeight="1">
      <ns0:c r="A1913" s="25" t="n"/>
      <ns0:c r="B1913" s="26" t="n"/>
      <ns0:c r="C1913" s="26" t="n"/>
      <ns0:c r="D1913" s="26" t="n"/>
      <ns0:c r="E1913" s="27" t="n"/>
      <ns0:c r="F1913" s="28" t="str">
        <ns0:f>IF(A1913="","",YEAR(A1913)&amp;"-"&amp;RIGHT("0"&amp;MONTH(A1913),2))</ns0:f>
        <ns0:v/>
      </ns0:c>
    </ns0:row>
    <ns0:row r="1914" ht="21" customHeight="1">
      <ns0:c r="A1914" s="25" t="n"/>
      <ns0:c r="B1914" s="26" t="n"/>
      <ns0:c r="C1914" s="26" t="n"/>
      <ns0:c r="D1914" s="26" t="n"/>
      <ns0:c r="E1914" s="27" t="n"/>
      <ns0:c r="F1914" s="28" t="str">
        <ns0:f>IF(A1914="","",YEAR(A1914)&amp;"-"&amp;RIGHT("0"&amp;MONTH(A1914),2))</ns0:f>
        <ns0:v/>
      </ns0:c>
    </ns0:row>
    <ns0:row r="1915" ht="21" customHeight="1">
      <ns0:c r="A1915" s="25" t="n"/>
      <ns0:c r="B1915" s="26" t="n"/>
      <ns0:c r="C1915" s="26" t="n"/>
      <ns0:c r="D1915" s="26" t="n"/>
      <ns0:c r="E1915" s="27" t="n"/>
      <ns0:c r="F1915" s="28" t="str">
        <ns0:f>IF(A1915="","",YEAR(A1915)&amp;"-"&amp;RIGHT("0"&amp;MONTH(A1915),2))</ns0:f>
        <ns0:v/>
      </ns0:c>
    </ns0:row>
    <ns0:row r="1916" ht="21" customHeight="1">
      <ns0:c r="A1916" s="25" t="n"/>
      <ns0:c r="B1916" s="26" t="n"/>
      <ns0:c r="C1916" s="26" t="n"/>
      <ns0:c r="D1916" s="26" t="n"/>
      <ns0:c r="E1916" s="27" t="n"/>
      <ns0:c r="F1916" s="28" t="str">
        <ns0:f>IF(A1916="","",YEAR(A1916)&amp;"-"&amp;RIGHT("0"&amp;MONTH(A1916),2))</ns0:f>
        <ns0:v/>
      </ns0:c>
    </ns0:row>
    <ns0:row r="1917" ht="21" customHeight="1">
      <ns0:c r="A1917" s="25" t="n"/>
      <ns0:c r="B1917" s="26" t="n"/>
      <ns0:c r="C1917" s="26" t="n"/>
      <ns0:c r="D1917" s="26" t="n"/>
      <ns0:c r="E1917" s="27" t="n"/>
      <ns0:c r="F1917" s="28" t="str">
        <ns0:f>IF(A1917="","",YEAR(A1917)&amp;"-"&amp;RIGHT("0"&amp;MONTH(A1917),2))</ns0:f>
        <ns0:v/>
      </ns0:c>
    </ns0:row>
    <ns0:row r="1918" ht="21" customHeight="1">
      <ns0:c r="A1918" s="25" t="n"/>
      <ns0:c r="B1918" s="26" t="n"/>
      <ns0:c r="C1918" s="26" t="n"/>
      <ns0:c r="D1918" s="26" t="n"/>
      <ns0:c r="E1918" s="27" t="n"/>
      <ns0:c r="F1918" s="28" t="str">
        <ns0:f>IF(A1918="","",YEAR(A1918)&amp;"-"&amp;RIGHT("0"&amp;MONTH(A1918),2))</ns0:f>
        <ns0:v/>
      </ns0:c>
    </ns0:row>
    <ns0:row r="1919" ht="21" customHeight="1">
      <ns0:c r="A1919" s="25" t="n"/>
      <ns0:c r="B1919" s="26" t="n"/>
      <ns0:c r="C1919" s="26" t="n"/>
      <ns0:c r="D1919" s="26" t="n"/>
      <ns0:c r="E1919" s="27" t="n"/>
      <ns0:c r="F1919" s="28" t="str">
        <ns0:f>IF(A1919="","",YEAR(A1919)&amp;"-"&amp;RIGHT("0"&amp;MONTH(A1919),2))</ns0:f>
        <ns0:v/>
      </ns0:c>
    </ns0:row>
    <ns0:row r="1920" ht="21" customHeight="1">
      <ns0:c r="A1920" s="25" t="n"/>
      <ns0:c r="B1920" s="26" t="n"/>
      <ns0:c r="C1920" s="26" t="n"/>
      <ns0:c r="D1920" s="26" t="n"/>
      <ns0:c r="E1920" s="27" t="n"/>
      <ns0:c r="F1920" s="28" t="str">
        <ns0:f>IF(A1920="","",YEAR(A1920)&amp;"-"&amp;RIGHT("0"&amp;MONTH(A1920),2))</ns0:f>
        <ns0:v/>
      </ns0:c>
    </ns0:row>
    <ns0:row r="1921" ht="21" customHeight="1">
      <ns0:c r="A1921" s="25" t="n"/>
      <ns0:c r="B1921" s="26" t="n"/>
      <ns0:c r="C1921" s="26" t="n"/>
      <ns0:c r="D1921" s="26" t="n"/>
      <ns0:c r="E1921" s="27" t="n"/>
      <ns0:c r="F1921" s="28" t="str">
        <ns0:f>IF(A1921="","",YEAR(A1921)&amp;"-"&amp;RIGHT("0"&amp;MONTH(A1921),2))</ns0:f>
        <ns0:v/>
      </ns0:c>
    </ns0:row>
    <ns0:row r="1922" ht="21" customHeight="1">
      <ns0:c r="A1922" s="25" t="n"/>
      <ns0:c r="B1922" s="26" t="n"/>
      <ns0:c r="C1922" s="26" t="n"/>
      <ns0:c r="D1922" s="26" t="n"/>
      <ns0:c r="E1922" s="27" t="n"/>
      <ns0:c r="F1922" s="28" t="str">
        <ns0:f>IF(A1922="","",YEAR(A1922)&amp;"-"&amp;RIGHT("0"&amp;MONTH(A1922),2))</ns0:f>
        <ns0:v/>
      </ns0:c>
    </ns0:row>
    <ns0:row r="1923" ht="21" customHeight="1">
      <ns0:c r="A1923" s="25" t="n"/>
      <ns0:c r="B1923" s="26" t="n"/>
      <ns0:c r="C1923" s="26" t="n"/>
      <ns0:c r="D1923" s="26" t="n"/>
      <ns0:c r="E1923" s="27" t="n"/>
      <ns0:c r="F1923" s="28" t="str">
        <ns0:f>IF(A1923="","",YEAR(A1923)&amp;"-"&amp;RIGHT("0"&amp;MONTH(A1923),2))</ns0:f>
        <ns0:v/>
      </ns0:c>
    </ns0:row>
    <ns0:row r="1924" ht="21" customHeight="1">
      <ns0:c r="A1924" s="25" t="n"/>
      <ns0:c r="B1924" s="26" t="n"/>
      <ns0:c r="C1924" s="26" t="n"/>
      <ns0:c r="D1924" s="26" t="n"/>
      <ns0:c r="E1924" s="27" t="n"/>
      <ns0:c r="F1924" s="28" t="str">
        <ns0:f>IF(A1924="","",YEAR(A1924)&amp;"-"&amp;RIGHT("0"&amp;MONTH(A1924),2))</ns0:f>
        <ns0:v/>
      </ns0:c>
    </ns0:row>
    <ns0:row r="1925" ht="21" customHeight="1">
      <ns0:c r="A1925" s="25" t="n"/>
      <ns0:c r="B1925" s="26" t="n"/>
      <ns0:c r="C1925" s="26" t="n"/>
      <ns0:c r="D1925" s="26" t="n"/>
      <ns0:c r="E1925" s="27" t="n"/>
      <ns0:c r="F1925" s="28" t="str">
        <ns0:f>IF(A1925="","",YEAR(A1925)&amp;"-"&amp;RIGHT("0"&amp;MONTH(A1925),2))</ns0:f>
        <ns0:v/>
      </ns0:c>
    </ns0:row>
    <ns0:row r="1926" ht="21" customHeight="1">
      <ns0:c r="A1926" s="25" t="n"/>
      <ns0:c r="B1926" s="26" t="n"/>
      <ns0:c r="C1926" s="26" t="n"/>
      <ns0:c r="D1926" s="26" t="n"/>
      <ns0:c r="E1926" s="27" t="n"/>
      <ns0:c r="F1926" s="28" t="str">
        <ns0:f>IF(A1926="","",YEAR(A1926)&amp;"-"&amp;RIGHT("0"&amp;MONTH(A1926),2))</ns0:f>
        <ns0:v/>
      </ns0:c>
    </ns0:row>
    <ns0:row r="1927" ht="21" customHeight="1">
      <ns0:c r="A1927" s="25" t="n"/>
      <ns0:c r="B1927" s="26" t="n"/>
      <ns0:c r="C1927" s="26" t="n"/>
      <ns0:c r="D1927" s="26" t="n"/>
      <ns0:c r="E1927" s="27" t="n"/>
      <ns0:c r="F1927" s="28" t="str">
        <ns0:f>IF(A1927="","",YEAR(A1927)&amp;"-"&amp;RIGHT("0"&amp;MONTH(A1927),2))</ns0:f>
        <ns0:v/>
      </ns0:c>
    </ns0:row>
    <ns0:row r="1928" ht="21" customHeight="1">
      <ns0:c r="A1928" s="25" t="n"/>
      <ns0:c r="B1928" s="26" t="n"/>
      <ns0:c r="C1928" s="26" t="n"/>
      <ns0:c r="D1928" s="26" t="n"/>
      <ns0:c r="E1928" s="27" t="n"/>
      <ns0:c r="F1928" s="28" t="str">
        <ns0:f>IF(A1928="","",YEAR(A1928)&amp;"-"&amp;RIGHT("0"&amp;MONTH(A1928),2))</ns0:f>
        <ns0:v/>
      </ns0:c>
    </ns0:row>
    <ns0:row r="1929" ht="21" customHeight="1">
      <ns0:c r="A1929" s="25" t="n"/>
      <ns0:c r="B1929" s="26" t="n"/>
      <ns0:c r="C1929" s="26" t="n"/>
      <ns0:c r="D1929" s="26" t="n"/>
      <ns0:c r="E1929" s="27" t="n"/>
      <ns0:c r="F1929" s="28" t="str">
        <ns0:f>IF(A1929="","",YEAR(A1929)&amp;"-"&amp;RIGHT("0"&amp;MONTH(A1929),2))</ns0:f>
        <ns0:v/>
      </ns0:c>
    </ns0:row>
    <ns0:row r="1930" ht="21" customHeight="1">
      <ns0:c r="A1930" s="25" t="n"/>
      <ns0:c r="B1930" s="26" t="n"/>
      <ns0:c r="C1930" s="26" t="n"/>
      <ns0:c r="D1930" s="26" t="n"/>
      <ns0:c r="E1930" s="27" t="n"/>
      <ns0:c r="F1930" s="28" t="str">
        <ns0:f>IF(A1930="","",YEAR(A1930)&amp;"-"&amp;RIGHT("0"&amp;MONTH(A1930),2))</ns0:f>
        <ns0:v/>
      </ns0:c>
    </ns0:row>
    <ns0:row r="1931" ht="21" customHeight="1">
      <ns0:c r="A1931" s="25" t="n"/>
      <ns0:c r="B1931" s="26" t="n"/>
      <ns0:c r="C1931" s="26" t="n"/>
      <ns0:c r="D1931" s="26" t="n"/>
      <ns0:c r="E1931" s="27" t="n"/>
      <ns0:c r="F1931" s="28" t="str">
        <ns0:f>IF(A1931="","",YEAR(A1931)&amp;"-"&amp;RIGHT("0"&amp;MONTH(A1931),2))</ns0:f>
        <ns0:v/>
      </ns0:c>
    </ns0:row>
    <ns0:row r="1932" ht="21" customHeight="1">
      <ns0:c r="A1932" s="25" t="n"/>
      <ns0:c r="B1932" s="26" t="n"/>
      <ns0:c r="C1932" s="26" t="n"/>
      <ns0:c r="D1932" s="26" t="n"/>
      <ns0:c r="E1932" s="27" t="n"/>
      <ns0:c r="F1932" s="28" t="str">
        <ns0:f>IF(A1932="","",YEAR(A1932)&amp;"-"&amp;RIGHT("0"&amp;MONTH(A1932),2))</ns0:f>
        <ns0:v/>
      </ns0:c>
    </ns0:row>
    <ns0:row r="1933" ht="21" customHeight="1">
      <ns0:c r="A1933" s="25" t="n"/>
      <ns0:c r="B1933" s="26" t="n"/>
      <ns0:c r="C1933" s="26" t="n"/>
      <ns0:c r="D1933" s="26" t="n"/>
      <ns0:c r="E1933" s="27" t="n"/>
      <ns0:c r="F1933" s="28" t="str">
        <ns0:f>IF(A1933="","",YEAR(A1933)&amp;"-"&amp;RIGHT("0"&amp;MONTH(A1933),2))</ns0:f>
        <ns0:v/>
      </ns0:c>
    </ns0:row>
    <ns0:row r="1934" ht="21" customHeight="1">
      <ns0:c r="A1934" s="25" t="n"/>
      <ns0:c r="B1934" s="26" t="n"/>
      <ns0:c r="C1934" s="26" t="n"/>
      <ns0:c r="D1934" s="26" t="n"/>
      <ns0:c r="E1934" s="27" t="n"/>
      <ns0:c r="F1934" s="28" t="str">
        <ns0:f>IF(A1934="","",YEAR(A1934)&amp;"-"&amp;RIGHT("0"&amp;MONTH(A1934),2))</ns0:f>
        <ns0:v/>
      </ns0:c>
    </ns0:row>
    <ns0:row r="1935" ht="21" customHeight="1">
      <ns0:c r="A1935" s="25" t="n"/>
      <ns0:c r="B1935" s="26" t="n"/>
      <ns0:c r="C1935" s="26" t="n"/>
      <ns0:c r="D1935" s="26" t="n"/>
      <ns0:c r="E1935" s="27" t="n"/>
      <ns0:c r="F1935" s="28" t="str">
        <ns0:f>IF(A1935="","",YEAR(A1935)&amp;"-"&amp;RIGHT("0"&amp;MONTH(A1935),2))</ns0:f>
        <ns0:v/>
      </ns0:c>
    </ns0:row>
    <ns0:row r="1936" ht="21" customHeight="1">
      <ns0:c r="A1936" s="25" t="n"/>
      <ns0:c r="B1936" s="26" t="n"/>
      <ns0:c r="C1936" s="26" t="n"/>
      <ns0:c r="D1936" s="26" t="n"/>
      <ns0:c r="E1936" s="27" t="n"/>
      <ns0:c r="F1936" s="28" t="str">
        <ns0:f>IF(A1936="","",YEAR(A1936)&amp;"-"&amp;RIGHT("0"&amp;MONTH(A1936),2))</ns0:f>
        <ns0:v/>
      </ns0:c>
    </ns0:row>
    <ns0:row r="1937" ht="21" customHeight="1">
      <ns0:c r="A1937" s="25" t="n"/>
      <ns0:c r="B1937" s="26" t="n"/>
      <ns0:c r="C1937" s="26" t="n"/>
      <ns0:c r="D1937" s="26" t="n"/>
      <ns0:c r="E1937" s="27" t="n"/>
      <ns0:c r="F1937" s="28" t="str">
        <ns0:f>IF(A1937="","",YEAR(A1937)&amp;"-"&amp;RIGHT("0"&amp;MONTH(A1937),2))</ns0:f>
        <ns0:v/>
      </ns0:c>
    </ns0:row>
    <ns0:row r="1938" ht="21" customHeight="1">
      <ns0:c r="A1938" s="25" t="n"/>
      <ns0:c r="B1938" s="26" t="n"/>
      <ns0:c r="C1938" s="26" t="n"/>
      <ns0:c r="D1938" s="26" t="n"/>
      <ns0:c r="E1938" s="27" t="n"/>
      <ns0:c r="F1938" s="28" t="str">
        <ns0:f>IF(A1938="","",YEAR(A1938)&amp;"-"&amp;RIGHT("0"&amp;MONTH(A1938),2))</ns0:f>
        <ns0:v/>
      </ns0:c>
    </ns0:row>
    <ns0:row r="1939" ht="21" customHeight="1">
      <ns0:c r="A1939" s="25" t="n"/>
      <ns0:c r="B1939" s="26" t="n"/>
      <ns0:c r="C1939" s="26" t="n"/>
      <ns0:c r="D1939" s="26" t="n"/>
      <ns0:c r="E1939" s="27" t="n"/>
      <ns0:c r="F1939" s="28" t="str">
        <ns0:f>IF(A1939="","",YEAR(A1939)&amp;"-"&amp;RIGHT("0"&amp;MONTH(A1939),2))</ns0:f>
        <ns0:v/>
      </ns0:c>
    </ns0:row>
    <ns0:row r="1940" ht="21" customHeight="1">
      <ns0:c r="A1940" s="25" t="n"/>
      <ns0:c r="B1940" s="26" t="n"/>
      <ns0:c r="C1940" s="26" t="n"/>
      <ns0:c r="D1940" s="26" t="n"/>
      <ns0:c r="E1940" s="27" t="n"/>
      <ns0:c r="F1940" s="28" t="str">
        <ns0:f>IF(A1940="","",YEAR(A1940)&amp;"-"&amp;RIGHT("0"&amp;MONTH(A1940),2))</ns0:f>
        <ns0:v/>
      </ns0:c>
    </ns0:row>
    <ns0:row r="1941" ht="21" customHeight="1">
      <ns0:c r="A1941" s="25" t="n"/>
      <ns0:c r="B1941" s="26" t="n"/>
      <ns0:c r="C1941" s="26" t="n"/>
      <ns0:c r="D1941" s="26" t="n"/>
      <ns0:c r="E1941" s="27" t="n"/>
      <ns0:c r="F1941" s="28" t="str">
        <ns0:f>IF(A1941="","",YEAR(A1941)&amp;"-"&amp;RIGHT("0"&amp;MONTH(A1941),2))</ns0:f>
        <ns0:v/>
      </ns0:c>
    </ns0:row>
    <ns0:row r="1942" ht="21" customHeight="1">
      <ns0:c r="A1942" s="25" t="n"/>
      <ns0:c r="B1942" s="26" t="n"/>
      <ns0:c r="C1942" s="26" t="n"/>
      <ns0:c r="D1942" s="26" t="n"/>
      <ns0:c r="E1942" s="27" t="n"/>
      <ns0:c r="F1942" s="28" t="str">
        <ns0:f>IF(A1942="","",YEAR(A1942)&amp;"-"&amp;RIGHT("0"&amp;MONTH(A1942),2))</ns0:f>
        <ns0:v/>
      </ns0:c>
    </ns0:row>
    <ns0:row r="1943" ht="21" customHeight="1">
      <ns0:c r="A1943" s="25" t="n"/>
      <ns0:c r="B1943" s="26" t="n"/>
      <ns0:c r="C1943" s="26" t="n"/>
      <ns0:c r="D1943" s="26" t="n"/>
      <ns0:c r="E1943" s="27" t="n"/>
      <ns0:c r="F1943" s="28" t="str">
        <ns0:f>IF(A1943="","",YEAR(A1943)&amp;"-"&amp;RIGHT("0"&amp;MONTH(A1943),2))</ns0:f>
        <ns0:v/>
      </ns0:c>
    </ns0:row>
    <ns0:row r="1944" ht="21" customHeight="1">
      <ns0:c r="A1944" s="25" t="n"/>
      <ns0:c r="B1944" s="26" t="n"/>
      <ns0:c r="C1944" s="26" t="n"/>
      <ns0:c r="D1944" s="26" t="n"/>
      <ns0:c r="E1944" s="27" t="n"/>
      <ns0:c r="F1944" s="28" t="str">
        <ns0:f>IF(A1944="","",YEAR(A1944)&amp;"-"&amp;RIGHT("0"&amp;MONTH(A1944),2))</ns0:f>
        <ns0:v/>
      </ns0:c>
    </ns0:row>
    <ns0:row r="1945" ht="21" customHeight="1">
      <ns0:c r="A1945" s="25" t="n"/>
      <ns0:c r="B1945" s="26" t="n"/>
      <ns0:c r="C1945" s="26" t="n"/>
      <ns0:c r="D1945" s="26" t="n"/>
      <ns0:c r="E1945" s="27" t="n"/>
      <ns0:c r="F1945" s="28" t="str">
        <ns0:f>IF(A1945="","",YEAR(A1945)&amp;"-"&amp;RIGHT("0"&amp;MONTH(A1945),2))</ns0:f>
        <ns0:v/>
      </ns0:c>
    </ns0:row>
    <ns0:row r="1946" ht="21" customHeight="1">
      <ns0:c r="A1946" s="25" t="n"/>
      <ns0:c r="B1946" s="26" t="n"/>
      <ns0:c r="C1946" s="26" t="n"/>
      <ns0:c r="D1946" s="26" t="n"/>
      <ns0:c r="E1946" s="27" t="n"/>
      <ns0:c r="F1946" s="28" t="str">
        <ns0:f>IF(A1946="","",YEAR(A1946)&amp;"-"&amp;RIGHT("0"&amp;MONTH(A1946),2))</ns0:f>
        <ns0:v/>
      </ns0:c>
    </ns0:row>
    <ns0:row r="1947" ht="21" customHeight="1">
      <ns0:c r="A1947" s="25" t="n"/>
      <ns0:c r="B1947" s="26" t="n"/>
      <ns0:c r="C1947" s="26" t="n"/>
      <ns0:c r="D1947" s="26" t="n"/>
      <ns0:c r="E1947" s="27" t="n"/>
      <ns0:c r="F1947" s="28" t="str">
        <ns0:f>IF(A1947="","",YEAR(A1947)&amp;"-"&amp;RIGHT("0"&amp;MONTH(A1947),2))</ns0:f>
        <ns0:v/>
      </ns0:c>
    </ns0:row>
    <ns0:row r="1948" ht="21" customHeight="1">
      <ns0:c r="A1948" s="25" t="n"/>
      <ns0:c r="B1948" s="26" t="n"/>
      <ns0:c r="C1948" s="26" t="n"/>
      <ns0:c r="D1948" s="26" t="n"/>
      <ns0:c r="E1948" s="27" t="n"/>
      <ns0:c r="F1948" s="28" t="str">
        <ns0:f>IF(A1948="","",YEAR(A1948)&amp;"-"&amp;RIGHT("0"&amp;MONTH(A1948),2))</ns0:f>
        <ns0:v/>
      </ns0:c>
    </ns0:row>
    <ns0:row r="1949" ht="21" customHeight="1">
      <ns0:c r="A1949" s="25" t="n"/>
      <ns0:c r="B1949" s="26" t="n"/>
      <ns0:c r="C1949" s="26" t="n"/>
      <ns0:c r="D1949" s="26" t="n"/>
      <ns0:c r="E1949" s="27" t="n"/>
      <ns0:c r="F1949" s="28" t="str">
        <ns0:f>IF(A1949="","",YEAR(A1949)&amp;"-"&amp;RIGHT("0"&amp;MONTH(A1949),2))</ns0:f>
        <ns0:v/>
      </ns0:c>
    </ns0:row>
    <ns0:row r="1950" ht="21" customHeight="1">
      <ns0:c r="A1950" s="25" t="n"/>
      <ns0:c r="B1950" s="26" t="n"/>
      <ns0:c r="C1950" s="26" t="n"/>
      <ns0:c r="D1950" s="26" t="n"/>
      <ns0:c r="E1950" s="27" t="n"/>
      <ns0:c r="F1950" s="28" t="str">
        <ns0:f>IF(A1950="","",YEAR(A1950)&amp;"-"&amp;RIGHT("0"&amp;MONTH(A1950),2))</ns0:f>
        <ns0:v/>
      </ns0:c>
    </ns0:row>
    <ns0:row r="1951" ht="21" customHeight="1">
      <ns0:c r="A1951" s="25" t="n"/>
      <ns0:c r="B1951" s="26" t="n"/>
      <ns0:c r="C1951" s="26" t="n"/>
      <ns0:c r="D1951" s="26" t="n"/>
      <ns0:c r="E1951" s="27" t="n"/>
      <ns0:c r="F1951" s="28" t="str">
        <ns0:f>IF(A1951="","",YEAR(A1951)&amp;"-"&amp;RIGHT("0"&amp;MONTH(A1951),2))</ns0:f>
        <ns0:v/>
      </ns0:c>
    </ns0:row>
    <ns0:row r="1952" ht="21" customHeight="1">
      <ns0:c r="A1952" s="25" t="n"/>
      <ns0:c r="B1952" s="26" t="n"/>
      <ns0:c r="C1952" s="26" t="n"/>
      <ns0:c r="D1952" s="26" t="n"/>
      <ns0:c r="E1952" s="27" t="n"/>
      <ns0:c r="F1952" s="28" t="str">
        <ns0:f>IF(A1952="","",YEAR(A1952)&amp;"-"&amp;RIGHT("0"&amp;MONTH(A1952),2))</ns0:f>
        <ns0:v/>
      </ns0:c>
    </ns0:row>
    <ns0:row r="1953" ht="21" customHeight="1">
      <ns0:c r="A1953" s="25" t="n"/>
      <ns0:c r="B1953" s="26" t="n"/>
      <ns0:c r="C1953" s="26" t="n"/>
      <ns0:c r="D1953" s="26" t="n"/>
      <ns0:c r="E1953" s="27" t="n"/>
      <ns0:c r="F1953" s="28" t="str">
        <ns0:f>IF(A1953="","",YEAR(A1953)&amp;"-"&amp;RIGHT("0"&amp;MONTH(A1953),2))</ns0:f>
        <ns0:v/>
      </ns0:c>
    </ns0:row>
    <ns0:row r="1954" ht="21" customHeight="1">
      <ns0:c r="A1954" s="25" t="n"/>
      <ns0:c r="B1954" s="26" t="n"/>
      <ns0:c r="C1954" s="26" t="n"/>
      <ns0:c r="D1954" s="26" t="n"/>
      <ns0:c r="E1954" s="27" t="n"/>
      <ns0:c r="F1954" s="28" t="str">
        <ns0:f>IF(A1954="","",YEAR(A1954)&amp;"-"&amp;RIGHT("0"&amp;MONTH(A1954),2))</ns0:f>
        <ns0:v/>
      </ns0:c>
    </ns0:row>
    <ns0:row r="1955" ht="21" customHeight="1">
      <ns0:c r="A1955" s="25" t="n"/>
      <ns0:c r="B1955" s="26" t="n"/>
      <ns0:c r="C1955" s="26" t="n"/>
      <ns0:c r="D1955" s="26" t="n"/>
      <ns0:c r="E1955" s="27" t="n"/>
      <ns0:c r="F1955" s="28" t="str">
        <ns0:f>IF(A1955="","",YEAR(A1955)&amp;"-"&amp;RIGHT("0"&amp;MONTH(A1955),2))</ns0:f>
        <ns0:v/>
      </ns0:c>
    </ns0:row>
    <ns0:row r="1956" ht="21" customHeight="1">
      <ns0:c r="A1956" s="25" t="n"/>
      <ns0:c r="B1956" s="26" t="n"/>
      <ns0:c r="C1956" s="26" t="n"/>
      <ns0:c r="D1956" s="26" t="n"/>
      <ns0:c r="E1956" s="27" t="n"/>
      <ns0:c r="F1956" s="28" t="str">
        <ns0:f>IF(A1956="","",YEAR(A1956)&amp;"-"&amp;RIGHT("0"&amp;MONTH(A1956),2))</ns0:f>
        <ns0:v/>
      </ns0:c>
    </ns0:row>
    <ns0:row r="1957" ht="21" customHeight="1">
      <ns0:c r="A1957" s="25" t="n"/>
      <ns0:c r="B1957" s="26" t="n"/>
      <ns0:c r="C1957" s="26" t="n"/>
      <ns0:c r="D1957" s="26" t="n"/>
      <ns0:c r="E1957" s="27" t="n"/>
      <ns0:c r="F1957" s="28" t="str">
        <ns0:f>IF(A1957="","",YEAR(A1957)&amp;"-"&amp;RIGHT("0"&amp;MONTH(A1957),2))</ns0:f>
        <ns0:v/>
      </ns0:c>
    </ns0:row>
    <ns0:row r="1958" ht="21" customHeight="1">
      <ns0:c r="A1958" s="25" t="n"/>
      <ns0:c r="B1958" s="26" t="n"/>
      <ns0:c r="C1958" s="26" t="n"/>
      <ns0:c r="D1958" s="26" t="n"/>
      <ns0:c r="E1958" s="27" t="n"/>
      <ns0:c r="F1958" s="28" t="str">
        <ns0:f>IF(A1958="","",YEAR(A1958)&amp;"-"&amp;RIGHT("0"&amp;MONTH(A1958),2))</ns0:f>
        <ns0:v/>
      </ns0:c>
    </ns0:row>
    <ns0:row r="1959" ht="21" customHeight="1">
      <ns0:c r="A1959" s="25" t="n"/>
      <ns0:c r="B1959" s="26" t="n"/>
      <ns0:c r="C1959" s="26" t="n"/>
      <ns0:c r="D1959" s="26" t="n"/>
      <ns0:c r="E1959" s="27" t="n"/>
      <ns0:c r="F1959" s="28" t="str">
        <ns0:f>IF(A1959="","",YEAR(A1959)&amp;"-"&amp;RIGHT("0"&amp;MONTH(A1959),2))</ns0:f>
        <ns0:v/>
      </ns0:c>
    </ns0:row>
    <ns0:row r="1960" ht="21" customHeight="1">
      <ns0:c r="A1960" s="25" t="n"/>
      <ns0:c r="B1960" s="26" t="n"/>
      <ns0:c r="C1960" s="26" t="n"/>
      <ns0:c r="D1960" s="26" t="n"/>
      <ns0:c r="E1960" s="27" t="n"/>
      <ns0:c r="F1960" s="28" t="str">
        <ns0:f>IF(A1960="","",YEAR(A1960)&amp;"-"&amp;RIGHT("0"&amp;MONTH(A1960),2))</ns0:f>
        <ns0:v/>
      </ns0:c>
    </ns0:row>
    <ns0:row r="1961" ht="21" customHeight="1">
      <ns0:c r="A1961" s="25" t="n"/>
      <ns0:c r="B1961" s="26" t="n"/>
      <ns0:c r="C1961" s="26" t="n"/>
      <ns0:c r="D1961" s="26" t="n"/>
      <ns0:c r="E1961" s="27" t="n"/>
      <ns0:c r="F1961" s="28" t="str">
        <ns0:f>IF(A1961="","",YEAR(A1961)&amp;"-"&amp;RIGHT("0"&amp;MONTH(A1961),2))</ns0:f>
        <ns0:v/>
      </ns0:c>
    </ns0:row>
    <ns0:row r="1962" ht="21" customHeight="1">
      <ns0:c r="A1962" s="25" t="n"/>
      <ns0:c r="B1962" s="26" t="n"/>
      <ns0:c r="C1962" s="26" t="n"/>
      <ns0:c r="D1962" s="26" t="n"/>
      <ns0:c r="E1962" s="27" t="n"/>
      <ns0:c r="F1962" s="28" t="str">
        <ns0:f>IF(A1962="","",YEAR(A1962)&amp;"-"&amp;RIGHT("0"&amp;MONTH(A1962),2))</ns0:f>
        <ns0:v/>
      </ns0:c>
    </ns0:row>
    <ns0:row r="1963" ht="21" customHeight="1">
      <ns0:c r="A1963" s="25" t="n"/>
      <ns0:c r="B1963" s="26" t="n"/>
      <ns0:c r="C1963" s="26" t="n"/>
      <ns0:c r="D1963" s="26" t="n"/>
      <ns0:c r="E1963" s="27" t="n"/>
      <ns0:c r="F1963" s="28" t="str">
        <ns0:f>IF(A1963="","",YEAR(A1963)&amp;"-"&amp;RIGHT("0"&amp;MONTH(A1963),2))</ns0:f>
        <ns0:v/>
      </ns0:c>
    </ns0:row>
    <ns0:row r="1964" ht="21" customHeight="1">
      <ns0:c r="A1964" s="25" t="n"/>
      <ns0:c r="B1964" s="26" t="n"/>
      <ns0:c r="C1964" s="26" t="n"/>
      <ns0:c r="D1964" s="26" t="n"/>
      <ns0:c r="E1964" s="27" t="n"/>
      <ns0:c r="F1964" s="28" t="str">
        <ns0:f>IF(A1964="","",YEAR(A1964)&amp;"-"&amp;RIGHT("0"&amp;MONTH(A1964),2))</ns0:f>
        <ns0:v/>
      </ns0:c>
    </ns0:row>
    <ns0:row r="1965" ht="21" customHeight="1">
      <ns0:c r="A1965" s="25" t="n"/>
      <ns0:c r="B1965" s="26" t="n"/>
      <ns0:c r="C1965" s="26" t="n"/>
      <ns0:c r="D1965" s="26" t="n"/>
      <ns0:c r="E1965" s="27" t="n"/>
      <ns0:c r="F1965" s="28" t="str">
        <ns0:f>IF(A1965="","",YEAR(A1965)&amp;"-"&amp;RIGHT("0"&amp;MONTH(A1965),2))</ns0:f>
        <ns0:v/>
      </ns0:c>
    </ns0:row>
    <ns0:row r="1966" ht="21" customHeight="1">
      <ns0:c r="A1966" s="25" t="n"/>
      <ns0:c r="B1966" s="26" t="n"/>
      <ns0:c r="C1966" s="26" t="n"/>
      <ns0:c r="D1966" s="26" t="n"/>
      <ns0:c r="E1966" s="27" t="n"/>
      <ns0:c r="F1966" s="28" t="str">
        <ns0:f>IF(A1966="","",YEAR(A1966)&amp;"-"&amp;RIGHT("0"&amp;MONTH(A1966),2))</ns0:f>
        <ns0:v/>
      </ns0:c>
    </ns0:row>
    <ns0:row r="1967" ht="21" customHeight="1">
      <ns0:c r="A1967" s="25" t="n"/>
      <ns0:c r="B1967" s="26" t="n"/>
      <ns0:c r="C1967" s="26" t="n"/>
      <ns0:c r="D1967" s="26" t="n"/>
      <ns0:c r="E1967" s="27" t="n"/>
      <ns0:c r="F1967" s="28" t="str">
        <ns0:f>IF(A1967="","",YEAR(A1967)&amp;"-"&amp;RIGHT("0"&amp;MONTH(A1967),2))</ns0:f>
        <ns0:v/>
      </ns0:c>
    </ns0:row>
    <ns0:row r="1968" ht="21" customHeight="1">
      <ns0:c r="A1968" s="25" t="n"/>
      <ns0:c r="B1968" s="26" t="n"/>
      <ns0:c r="C1968" s="26" t="n"/>
      <ns0:c r="D1968" s="26" t="n"/>
      <ns0:c r="E1968" s="27" t="n"/>
      <ns0:c r="F1968" s="28" t="str">
        <ns0:f>IF(A1968="","",YEAR(A1968)&amp;"-"&amp;RIGHT("0"&amp;MONTH(A1968),2))</ns0:f>
        <ns0:v/>
      </ns0:c>
    </ns0:row>
    <ns0:row r="1969" ht="21" customHeight="1">
      <ns0:c r="A1969" s="25" t="n"/>
      <ns0:c r="B1969" s="26" t="n"/>
      <ns0:c r="C1969" s="26" t="n"/>
      <ns0:c r="D1969" s="26" t="n"/>
      <ns0:c r="E1969" s="27" t="n"/>
      <ns0:c r="F1969" s="28" t="str">
        <ns0:f>IF(A1969="","",YEAR(A1969)&amp;"-"&amp;RIGHT("0"&amp;MONTH(A1969),2))</ns0:f>
        <ns0:v/>
      </ns0:c>
    </ns0:row>
    <ns0:row r="1970" ht="21" customHeight="1">
      <ns0:c r="A1970" s="25" t="n"/>
      <ns0:c r="B1970" s="26" t="n"/>
      <ns0:c r="C1970" s="26" t="n"/>
      <ns0:c r="D1970" s="26" t="n"/>
      <ns0:c r="E1970" s="27" t="n"/>
      <ns0:c r="F1970" s="28" t="str">
        <ns0:f>IF(A1970="","",YEAR(A1970)&amp;"-"&amp;RIGHT("0"&amp;MONTH(A1970),2))</ns0:f>
        <ns0:v/>
      </ns0:c>
    </ns0:row>
    <ns0:row r="1971" ht="21" customHeight="1">
      <ns0:c r="A1971" s="25" t="n"/>
      <ns0:c r="B1971" s="26" t="n"/>
      <ns0:c r="C1971" s="26" t="n"/>
      <ns0:c r="D1971" s="26" t="n"/>
      <ns0:c r="E1971" s="27" t="n"/>
      <ns0:c r="F1971" s="28" t="str">
        <ns0:f>IF(A1971="","",YEAR(A1971)&amp;"-"&amp;RIGHT("0"&amp;MONTH(A1971),2))</ns0:f>
        <ns0:v/>
      </ns0:c>
    </ns0:row>
    <ns0:row r="1972" ht="21" customHeight="1">
      <ns0:c r="A1972" s="25" t="n"/>
      <ns0:c r="B1972" s="26" t="n"/>
      <ns0:c r="C1972" s="26" t="n"/>
      <ns0:c r="D1972" s="26" t="n"/>
      <ns0:c r="E1972" s="27" t="n"/>
      <ns0:c r="F1972" s="28" t="str">
        <ns0:f>IF(A1972="","",YEAR(A1972)&amp;"-"&amp;RIGHT("0"&amp;MONTH(A1972),2))</ns0:f>
        <ns0:v/>
      </ns0:c>
    </ns0:row>
    <ns0:row r="1973" ht="21" customHeight="1">
      <ns0:c r="A1973" s="25" t="n"/>
      <ns0:c r="B1973" s="26" t="n"/>
      <ns0:c r="C1973" s="26" t="n"/>
      <ns0:c r="D1973" s="26" t="n"/>
      <ns0:c r="E1973" s="27" t="n"/>
      <ns0:c r="F1973" s="28" t="str">
        <ns0:f>IF(A1973="","",YEAR(A1973)&amp;"-"&amp;RIGHT("0"&amp;MONTH(A1973),2))</ns0:f>
        <ns0:v/>
      </ns0:c>
    </ns0:row>
    <ns0:row r="1974" ht="21" customHeight="1">
      <ns0:c r="A1974" s="25" t="n"/>
      <ns0:c r="B1974" s="26" t="n"/>
      <ns0:c r="C1974" s="26" t="n"/>
      <ns0:c r="D1974" s="26" t="n"/>
      <ns0:c r="E1974" s="27" t="n"/>
      <ns0:c r="F1974" s="28" t="str">
        <ns0:f>IF(A1974="","",YEAR(A1974)&amp;"-"&amp;RIGHT("0"&amp;MONTH(A1974),2))</ns0:f>
        <ns0:v/>
      </ns0:c>
    </ns0:row>
    <ns0:row r="1975" ht="21" customHeight="1">
      <ns0:c r="A1975" s="25" t="n"/>
      <ns0:c r="B1975" s="26" t="n"/>
      <ns0:c r="C1975" s="26" t="n"/>
      <ns0:c r="D1975" s="26" t="n"/>
      <ns0:c r="E1975" s="27" t="n"/>
      <ns0:c r="F1975" s="28" t="str">
        <ns0:f>IF(A1975="","",YEAR(A1975)&amp;"-"&amp;RIGHT("0"&amp;MONTH(A1975),2))</ns0:f>
        <ns0:v/>
      </ns0:c>
    </ns0:row>
    <ns0:row r="1976" ht="21" customHeight="1">
      <ns0:c r="A1976" s="25" t="n"/>
      <ns0:c r="B1976" s="26" t="n"/>
      <ns0:c r="C1976" s="26" t="n"/>
      <ns0:c r="D1976" s="26" t="n"/>
      <ns0:c r="E1976" s="27" t="n"/>
      <ns0:c r="F1976" s="28" t="str">
        <ns0:f>IF(A1976="","",YEAR(A1976)&amp;"-"&amp;RIGHT("0"&amp;MONTH(A1976),2))</ns0:f>
        <ns0:v/>
      </ns0:c>
    </ns0:row>
    <ns0:row r="1977" ht="21" customHeight="1">
      <ns0:c r="A1977" s="25" t="n"/>
      <ns0:c r="B1977" s="26" t="n"/>
      <ns0:c r="C1977" s="26" t="n"/>
      <ns0:c r="D1977" s="26" t="n"/>
      <ns0:c r="E1977" s="27" t="n"/>
      <ns0:c r="F1977" s="28" t="str">
        <ns0:f>IF(A1977="","",YEAR(A1977)&amp;"-"&amp;RIGHT("0"&amp;MONTH(A1977),2))</ns0:f>
        <ns0:v/>
      </ns0:c>
    </ns0:row>
    <ns0:row r="1978" ht="21" customHeight="1">
      <ns0:c r="A1978" s="25" t="n"/>
      <ns0:c r="B1978" s="26" t="n"/>
      <ns0:c r="C1978" s="26" t="n"/>
      <ns0:c r="D1978" s="26" t="n"/>
      <ns0:c r="E1978" s="27" t="n"/>
      <ns0:c r="F1978" s="28" t="str">
        <ns0:f>IF(A1978="","",YEAR(A1978)&amp;"-"&amp;RIGHT("0"&amp;MONTH(A1978),2))</ns0:f>
        <ns0:v/>
      </ns0:c>
    </ns0:row>
    <ns0:row r="1979" ht="21" customHeight="1">
      <ns0:c r="A1979" s="25" t="n"/>
      <ns0:c r="B1979" s="26" t="n"/>
      <ns0:c r="C1979" s="26" t="n"/>
      <ns0:c r="D1979" s="26" t="n"/>
      <ns0:c r="E1979" s="27" t="n"/>
      <ns0:c r="F1979" s="28" t="str">
        <ns0:f>IF(A1979="","",YEAR(A1979)&amp;"-"&amp;RIGHT("0"&amp;MONTH(A1979),2))</ns0:f>
        <ns0:v/>
      </ns0:c>
    </ns0:row>
    <ns0:row r="1980" ht="21" customHeight="1">
      <ns0:c r="A1980" s="25" t="n"/>
      <ns0:c r="B1980" s="26" t="n"/>
      <ns0:c r="C1980" s="26" t="n"/>
      <ns0:c r="D1980" s="26" t="n"/>
      <ns0:c r="E1980" s="27" t="n"/>
      <ns0:c r="F1980" s="28" t="str">
        <ns0:f>IF(A1980="","",YEAR(A1980)&amp;"-"&amp;RIGHT("0"&amp;MONTH(A1980),2))</ns0:f>
        <ns0:v/>
      </ns0:c>
    </ns0:row>
    <ns0:row r="1981" ht="21" customHeight="1">
      <ns0:c r="A1981" s="25" t="n"/>
      <ns0:c r="B1981" s="26" t="n"/>
      <ns0:c r="C1981" s="26" t="n"/>
      <ns0:c r="D1981" s="26" t="n"/>
      <ns0:c r="E1981" s="27" t="n"/>
      <ns0:c r="F1981" s="28" t="str">
        <ns0:f>IF(A1981="","",YEAR(A1981)&amp;"-"&amp;RIGHT("0"&amp;MONTH(A1981),2))</ns0:f>
        <ns0:v/>
      </ns0:c>
    </ns0:row>
    <ns0:row r="1982" ht="21" customHeight="1">
      <ns0:c r="A1982" s="25" t="n"/>
      <ns0:c r="B1982" s="26" t="n"/>
      <ns0:c r="C1982" s="26" t="n"/>
      <ns0:c r="D1982" s="26" t="n"/>
      <ns0:c r="E1982" s="27" t="n"/>
      <ns0:c r="F1982" s="28" t="str">
        <ns0:f>IF(A1982="","",YEAR(A1982)&amp;"-"&amp;RIGHT("0"&amp;MONTH(A1982),2))</ns0:f>
        <ns0:v/>
      </ns0:c>
    </ns0:row>
    <ns0:row r="1983" ht="21" customHeight="1">
      <ns0:c r="A1983" s="25" t="n"/>
      <ns0:c r="B1983" s="26" t="n"/>
      <ns0:c r="C1983" s="26" t="n"/>
      <ns0:c r="D1983" s="26" t="n"/>
      <ns0:c r="E1983" s="27" t="n"/>
      <ns0:c r="F1983" s="28" t="str">
        <ns0:f>IF(A1983="","",YEAR(A1983)&amp;"-"&amp;RIGHT("0"&amp;MONTH(A1983),2))</ns0:f>
        <ns0:v/>
      </ns0:c>
    </ns0:row>
    <ns0:row r="1984" ht="21" customHeight="1">
      <ns0:c r="A1984" s="25" t="n"/>
      <ns0:c r="B1984" s="26" t="n"/>
      <ns0:c r="C1984" s="26" t="n"/>
      <ns0:c r="D1984" s="26" t="n"/>
      <ns0:c r="E1984" s="27" t="n"/>
      <ns0:c r="F1984" s="28" t="str">
        <ns0:f>IF(A1984="","",YEAR(A1984)&amp;"-"&amp;RIGHT("0"&amp;MONTH(A1984),2))</ns0:f>
        <ns0:v/>
      </ns0:c>
    </ns0:row>
    <ns0:row r="1985" ht="21" customHeight="1">
      <ns0:c r="A1985" s="25" t="n"/>
      <ns0:c r="B1985" s="26" t="n"/>
      <ns0:c r="C1985" s="26" t="n"/>
      <ns0:c r="D1985" s="26" t="n"/>
      <ns0:c r="E1985" s="27" t="n"/>
      <ns0:c r="F1985" s="28" t="str">
        <ns0:f>IF(A1985="","",YEAR(A1985)&amp;"-"&amp;RIGHT("0"&amp;MONTH(A1985),2))</ns0:f>
        <ns0:v/>
      </ns0:c>
    </ns0:row>
    <ns0:row r="1986" ht="21" customHeight="1">
      <ns0:c r="A1986" s="25" t="n"/>
      <ns0:c r="B1986" s="26" t="n"/>
      <ns0:c r="C1986" s="26" t="n"/>
      <ns0:c r="D1986" s="26" t="n"/>
      <ns0:c r="E1986" s="27" t="n"/>
      <ns0:c r="F1986" s="28" t="str">
        <ns0:f>IF(A1986="","",YEAR(A1986)&amp;"-"&amp;RIGHT("0"&amp;MONTH(A1986),2))</ns0:f>
        <ns0:v/>
      </ns0:c>
    </ns0:row>
    <ns0:row r="1987" ht="21" customHeight="1">
      <ns0:c r="A1987" s="25" t="n"/>
      <ns0:c r="B1987" s="26" t="n"/>
      <ns0:c r="C1987" s="26" t="n"/>
      <ns0:c r="D1987" s="26" t="n"/>
      <ns0:c r="E1987" s="27" t="n"/>
      <ns0:c r="F1987" s="28" t="str">
        <ns0:f>IF(A1987="","",YEAR(A1987)&amp;"-"&amp;RIGHT("0"&amp;MONTH(A1987),2))</ns0:f>
        <ns0:v/>
      </ns0:c>
    </ns0:row>
    <ns0:row r="1988" ht="21" customHeight="1">
      <ns0:c r="A1988" s="25" t="n"/>
      <ns0:c r="B1988" s="26" t="n"/>
      <ns0:c r="C1988" s="26" t="n"/>
      <ns0:c r="D1988" s="26" t="n"/>
      <ns0:c r="E1988" s="27" t="n"/>
      <ns0:c r="F1988" s="28" t="str">
        <ns0:f>IF(A1988="","",YEAR(A1988)&amp;"-"&amp;RIGHT("0"&amp;MONTH(A1988),2))</ns0:f>
        <ns0:v/>
      </ns0:c>
    </ns0:row>
    <ns0:row r="1989" ht="21" customHeight="1">
      <ns0:c r="A1989" s="25" t="n"/>
      <ns0:c r="B1989" s="26" t="n"/>
      <ns0:c r="C1989" s="26" t="n"/>
      <ns0:c r="D1989" s="26" t="n"/>
      <ns0:c r="E1989" s="27" t="n"/>
      <ns0:c r="F1989" s="28" t="str">
        <ns0:f>IF(A1989="","",YEAR(A1989)&amp;"-"&amp;RIGHT("0"&amp;MONTH(A1989),2))</ns0:f>
        <ns0:v/>
      </ns0:c>
    </ns0:row>
    <ns0:row r="1990" ht="21" customHeight="1">
      <ns0:c r="A1990" s="25" t="n"/>
      <ns0:c r="B1990" s="26" t="n"/>
      <ns0:c r="C1990" s="26" t="n"/>
      <ns0:c r="D1990" s="26" t="n"/>
      <ns0:c r="E1990" s="27" t="n"/>
      <ns0:c r="F1990" s="28" t="str">
        <ns0:f>IF(A1990="","",YEAR(A1990)&amp;"-"&amp;RIGHT("0"&amp;MONTH(A1990),2))</ns0:f>
        <ns0:v/>
      </ns0:c>
    </ns0:row>
    <ns0:row r="1991" ht="21" customHeight="1">
      <ns0:c r="A1991" s="25" t="n"/>
      <ns0:c r="B1991" s="26" t="n"/>
      <ns0:c r="C1991" s="26" t="n"/>
      <ns0:c r="D1991" s="26" t="n"/>
      <ns0:c r="E1991" s="27" t="n"/>
      <ns0:c r="F1991" s="28" t="str">
        <ns0:f>IF(A1991="","",YEAR(A1991)&amp;"-"&amp;RIGHT("0"&amp;MONTH(A1991),2))</ns0:f>
        <ns0:v/>
      </ns0:c>
    </ns0:row>
    <ns0:row r="1992" ht="21" customHeight="1">
      <ns0:c r="A1992" s="25" t="n"/>
      <ns0:c r="B1992" s="26" t="n"/>
      <ns0:c r="C1992" s="26" t="n"/>
      <ns0:c r="D1992" s="26" t="n"/>
      <ns0:c r="E1992" s="27" t="n"/>
      <ns0:c r="F1992" s="28" t="str">
        <ns0:f>IF(A1992="","",YEAR(A1992)&amp;"-"&amp;RIGHT("0"&amp;MONTH(A1992),2))</ns0:f>
        <ns0:v/>
      </ns0:c>
    </ns0:row>
    <ns0:row r="1993" ht="21" customHeight="1">
      <ns0:c r="A1993" s="25" t="n"/>
      <ns0:c r="B1993" s="26" t="n"/>
      <ns0:c r="C1993" s="26" t="n"/>
      <ns0:c r="D1993" s="26" t="n"/>
      <ns0:c r="E1993" s="27" t="n"/>
      <ns0:c r="F1993" s="28" t="str">
        <ns0:f>IF(A1993="","",YEAR(A1993)&amp;"-"&amp;RIGHT("0"&amp;MONTH(A1993),2))</ns0:f>
        <ns0:v/>
      </ns0:c>
    </ns0:row>
    <ns0:row r="1994" ht="21" customHeight="1">
      <ns0:c r="A1994" s="25" t="n"/>
      <ns0:c r="B1994" s="26" t="n"/>
      <ns0:c r="C1994" s="26" t="n"/>
      <ns0:c r="D1994" s="26" t="n"/>
      <ns0:c r="E1994" s="27" t="n"/>
      <ns0:c r="F1994" s="28" t="str">
        <ns0:f>IF(A1994="","",YEAR(A1994)&amp;"-"&amp;RIGHT("0"&amp;MONTH(A1994),2))</ns0:f>
        <ns0:v/>
      </ns0:c>
    </ns0:row>
    <ns0:row r="1995" ht="21" customHeight="1">
      <ns0:c r="A1995" s="25" t="n"/>
      <ns0:c r="B1995" s="26" t="n"/>
      <ns0:c r="C1995" s="26" t="n"/>
      <ns0:c r="D1995" s="26" t="n"/>
      <ns0:c r="E1995" s="27" t="n"/>
      <ns0:c r="F1995" s="28" t="str">
        <ns0:f>IF(A1995="","",YEAR(A1995)&amp;"-"&amp;RIGHT("0"&amp;MONTH(A1995),2))</ns0:f>
        <ns0:v/>
      </ns0:c>
    </ns0:row>
    <ns0:row r="1996" ht="21" customHeight="1">
      <ns0:c r="A1996" s="25" t="n"/>
      <ns0:c r="B1996" s="26" t="n"/>
      <ns0:c r="C1996" s="26" t="n"/>
      <ns0:c r="D1996" s="26" t="n"/>
      <ns0:c r="E1996" s="27" t="n"/>
      <ns0:c r="F1996" s="28" t="str">
        <ns0:f>IF(A1996="","",YEAR(A1996)&amp;"-"&amp;RIGHT("0"&amp;MONTH(A1996),2))</ns0:f>
        <ns0:v/>
      </ns0:c>
    </ns0:row>
    <ns0:row r="1997" ht="21" customHeight="1">
      <ns0:c r="A1997" s="25" t="n"/>
      <ns0:c r="B1997" s="26" t="n"/>
      <ns0:c r="C1997" s="26" t="n"/>
      <ns0:c r="D1997" s="26" t="n"/>
      <ns0:c r="E1997" s="27" t="n"/>
      <ns0:c r="F1997" s="28" t="str">
        <ns0:f>IF(A1997="","",YEAR(A1997)&amp;"-"&amp;RIGHT("0"&amp;MONTH(A1997),2))</ns0:f>
        <ns0:v/>
      </ns0:c>
    </ns0:row>
    <ns0:row r="1998" ht="21" customHeight="1">
      <ns0:c r="A1998" s="25" t="n"/>
      <ns0:c r="B1998" s="26" t="n"/>
      <ns0:c r="C1998" s="26" t="n"/>
      <ns0:c r="D1998" s="26" t="n"/>
      <ns0:c r="E1998" s="27" t="n"/>
      <ns0:c r="F1998" s="28" t="str">
        <ns0:f>IF(A1998="","",YEAR(A1998)&amp;"-"&amp;RIGHT("0"&amp;MONTH(A1998),2))</ns0:f>
        <ns0:v/>
      </ns0:c>
    </ns0:row>
    <ns0:row r="1999" ht="21" customHeight="1">
      <ns0:c r="A1999" s="25" t="n"/>
      <ns0:c r="B1999" s="26" t="n"/>
      <ns0:c r="C1999" s="26" t="n"/>
      <ns0:c r="D1999" s="26" t="n"/>
      <ns0:c r="E1999" s="27" t="n"/>
      <ns0:c r="F1999" s="28" t="str">
        <ns0:f>IF(A1999="","",YEAR(A1999)&amp;"-"&amp;RIGHT("0"&amp;MONTH(A1999),2))</ns0:f>
        <ns0:v/>
      </ns0:c>
    </ns0:row>
    <ns0:row r="2000" ht="21" customHeight="1">
      <ns0:c r="A2000" s="25" t="n"/>
      <ns0:c r="B2000" s="26" t="n"/>
      <ns0:c r="C2000" s="26" t="n"/>
      <ns0:c r="D2000" s="26" t="n"/>
      <ns0:c r="E2000" s="27" t="n"/>
      <ns0:c r="F2000" s="28" t="str">
        <ns0:f>IF(A2000="","",YEAR(A2000)&amp;"-"&amp;RIGHT("0"&amp;MONTH(A2000),2))</ns0:f>
        <ns0:v/>
      </ns0:c>
    </ns0:row>
    <ns0:row r="2001" ht="21" customHeight="1">
      <ns0:c r="A2001" s="25" t="n"/>
      <ns0:c r="B2001" s="26" t="n"/>
      <ns0:c r="C2001" s="26" t="n"/>
      <ns0:c r="D2001" s="26" t="n"/>
      <ns0:c r="E2001" s="27" t="n"/>
      <ns0:c r="F2001" s="28" t="str">
        <ns0:f>IF(A2001="","",YEAR(A2001)&amp;"-"&amp;RIGHT("0"&amp;MONTH(A2001),2))</ns0:f>
        <ns0:v/>
      </ns0:c>
    </ns0:row>
  </ns0:sheetData>
  <ns0:dataValidations count="2">
    <ns0:dataValidation sqref="D2:D2001" showDropDown="0" showInputMessage="0" showErrorMessage="1" allowBlank="1" errorTitle="Listeden seçim yapın" error="Tanımlı değerlerden birini seçin; yeni kayıt için ayarlar sayfasını güncelleyin." type="list" errorStyle="stop">
      <ns0:formula1>=Iller</ns0:formula1>
    </ns0:dataValidation>
    <ns0:dataValidation sqref="C2:C2001" showDropDown="0" showInputMessage="0" showErrorMessage="1" allowBlank="1" errorTitle="Listeden seçim yapın" error="Tanımlı değerlerden birini seçin; yeni kayıt için ayarlar sayfasını güncelleyin." type="list" errorStyle="stop">
      <ns0:formula1>=Musteriler</ns0:formula1>
    </ns0:dataValidation>
  </ns0:dataValidations>
  <ns0:pageMargins left="0.75" right="0.75" top="1" bottom="1" header="0.5" footer="0.5"/>
  <ns0:legacyDrawing ns1:id="anysvml"/>
  <ns0:tableParts count="1">
    <ns0:tablePart ns1:id="rId1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0"/>
    <ns0:pageSetUpPr fitToPage="1"/>
  </ns0:sheetPr>
  <ns0:dimension ref="A1:H101"/>
  <ns0:sheetViews>
    <ns0:sheetView showGridLines="0" zoomScale="9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8" customWidth="1" min="1" max="1"/>
    <ns0:col width="34" customWidth="1" min="2" max="2"/>
    <ns0:col width="18" customWidth="1" min="3" max="3"/>
    <ns0:col width="3" customWidth="1" min="5" max="5"/>
    <ns0:col width="18" customWidth="1" min="6" max="6"/>
    <ns0:col width="16" customWidth="1" min="8" max="8"/>
  </ns0:cols>
  <ns0:sheetData>
    <ns0:row r="1" ht="30" customHeight="1">
      <ns0:c r="A1" s="14" t="inlineStr">
        <ns0:is>
          <ns0:t>Müşteri</ns0:t>
        </ns0:is>
      </ns0:c>
      <ns0:c r="B1" s="14" t="inlineStr">
        <ns0:is>
          <ns0:t>Aranacak ad</ns0:t>
        </ns0:is>
      </ns0:c>
      <ns0:c r="C1" s="14" t="inlineStr">
        <ns0:is>
          <ns0:t>İl</ns0:t>
        </ns0:is>
      </ns0:c>
      <ns0:c r="F1" t="inlineStr">
        <ns0:is>
          <ns0:t>İl listesi</ns0:t>
        </ns0:is>
      </ns0:c>
      <ns0:c r="H1" t="inlineStr">
        <ns0:is>
          <ns0:t>Ay listesi</ns0:t>
        </ns0:is>
      </ns0:c>
    </ns0:row>
    <ns0:row r="2" ht="21" customHeight="1">
      <ns0:c r="A2" s="26" t="inlineStr">
        <ns0:is>
          <ns0:t>Mavidal Gıda Örnek İşletme</ns0:t>
        </ns0:is>
      </ns0:c>
      <ns0:c r="B2" s="26" t="inlineStr">
        <ns0:is>
          <ns0:t>KURGUSAL MAVIDAL GIDA</ns0:t>
        </ns0:is>
      </ns0:c>
      <ns0:c r="C2" s="26" t="inlineStr">
        <ns0:is>
          <ns0:t>İstanbul</ns0:t>
        </ns0:is>
      </ns0:c>
      <ns0:c r="F2" t="inlineStr">
        <ns0:is>
          <ns0:t>İstanbul</ns0:t>
        </ns0:is>
      </ns0:c>
      <ns0:c r="H2" s="29" t="inlineStr">
        <ns0:is>
          <ns0:t>2026-01</ns0:t>
        </ns0:is>
      </ns0:c>
    </ns0:row>
    <ns0:row r="3" ht="21" customHeight="1">
      <ns0:c r="A3" s="26" t="inlineStr">
        <ns0:is>
          <ns0:t>Düşova Market Örnek İşletme</ns0:t>
        </ns0:is>
      </ns0:c>
      <ns0:c r="B3" s="26" t="inlineStr">
        <ns0:is>
          <ns0:t>KURGUSAL DUSOVA MARKET</ns0:t>
        </ns0:is>
      </ns0:c>
      <ns0:c r="C3" s="26" t="inlineStr">
        <ns0:is>
          <ns0:t>Ankara</ns0:t>
        </ns0:is>
      </ns0:c>
      <ns0:c r="F3" t="inlineStr">
        <ns0:is>
          <ns0:t>Ankara</ns0:t>
        </ns0:is>
      </ns0:c>
      <ns0:c r="H3" s="29" t="inlineStr">
        <ns0:is>
          <ns0:t>2026-02</ns0:t>
        </ns0:is>
      </ns0:c>
    </ns0:row>
    <ns0:row r="4" ht="21" customHeight="1">
      <ns0:c r="A4" s="26" t="inlineStr">
        <ns0:is>
          <ns0:t>Pusuyel Tedarik Örnek İşletme</ns0:t>
        </ns0:is>
      </ns0:c>
      <ns0:c r="B4" s="26" t="inlineStr">
        <ns0:is>
          <ns0:t>KURGUSAL PUSUYEL TEDARIK</ns0:t>
        </ns0:is>
      </ns0:c>
      <ns0:c r="C4" s="26" t="inlineStr">
        <ns0:is>
          <ns0:t>İzmir</ns0:t>
        </ns0:is>
      </ns0:c>
      <ns0:c r="F4" t="inlineStr">
        <ns0:is>
          <ns0:t>İzmir</ns0:t>
        </ns0:is>
      </ns0:c>
      <ns0:c r="H4" s="29" t="inlineStr">
        <ns0:is>
          <ns0:t>2026-03</ns0:t>
        </ns0:is>
      </ns0:c>
    </ns0:row>
    <ns0:row r="5" ht="21" customHeight="1">
      <ns0:c r="A5" s="26" t="inlineStr">
        <ns0:is>
          <ns0:t>Çınariz Dağıtım Örnek İşletme</ns0:t>
        </ns0:is>
      </ns0:c>
      <ns0:c r="B5" s="26" t="inlineStr">
        <ns0:is>
          <ns0:t>KURGUSAL CINARIZ DAGITIM</ns0:t>
        </ns0:is>
      </ns0:c>
      <ns0:c r="C5" s="26" t="inlineStr">
        <ns0:is>
          <ns0:t>Bursa</ns0:t>
        </ns0:is>
      </ns0:c>
      <ns0:c r="F5" t="inlineStr">
        <ns0:is>
          <ns0:t>Bursa</ns0:t>
        </ns0:is>
      </ns0:c>
      <ns0:c r="H5" s="29" t="inlineStr">
        <ns0:is>
          <ns0:t>2026-04</ns0:t>
        </ns0:is>
      </ns0:c>
    </ns0:row>
    <ns0:row r="6" ht="21" customHeight="1">
      <ns0:c r="A6" s="26" t="inlineStr">
        <ns0:is>
          <ns0:t>Ayvenk Ticaret Örnek İşletme</ns0:t>
        </ns0:is>
      </ns0:c>
      <ns0:c r="B6" s="26" t="inlineStr">
        <ns0:is>
          <ns0:t>KURGUSAL AYVENK TICARET</ns0:t>
        </ns0:is>
      </ns0:c>
      <ns0:c r="C6" s="26" t="inlineStr">
        <ns0:is>
          <ns0:t>Antalya</ns0:t>
        </ns0:is>
      </ns0:c>
      <ns0:c r="F6" t="inlineStr">
        <ns0:is>
          <ns0:t>Antalya</ns0:t>
        </ns0:is>
      </ns0:c>
      <ns0:c r="H6" s="29" t="inlineStr">
        <ns0:is>
          <ns0:t>2026-05</ns0:t>
        </ns0:is>
      </ns0:c>
    </ns0:row>
    <ns0:row r="7" ht="21" customHeight="1">
      <ns0:c r="A7" s="26" t="inlineStr">
        <ns0:is>
          <ns0:t>Kumsera Gıda Örnek İşletme</ns0:t>
        </ns0:is>
      </ns0:c>
      <ns0:c r="B7" s="26" t="inlineStr">
        <ns0:is>
          <ns0:t>KURGUSAL KUMSERA GIDA</ns0:t>
        </ns0:is>
      </ns0:c>
      <ns0:c r="C7" s="26" t="inlineStr">
        <ns0:is>
          <ns0:t>Konya</ns0:t>
        </ns0:is>
      </ns0:c>
      <ns0:c r="F7" t="inlineStr">
        <ns0:is>
          <ns0:t>Konya</ns0:t>
        </ns0:is>
      </ns0:c>
      <ns0:c r="H7" s="29" t="inlineStr">
        <ns0:is>
          <ns0:t>2026-06</ns0:t>
        </ns0:is>
      </ns0:c>
    </ns0:row>
    <ns0:row r="8" ht="21" customHeight="1">
      <ns0:c r="A8" s="26" t="inlineStr">
        <ns0:is>
          <ns0:t>Yelmino Market Örnek İşletme</ns0:t>
        </ns0:is>
      </ns0:c>
      <ns0:c r="B8" s="26" t="inlineStr">
        <ns0:is>
          <ns0:t>KURGUSAL YELMINO MARKET</ns0:t>
        </ns0:is>
      </ns0:c>
      <ns0:c r="C8" s="26" t="inlineStr">
        <ns0:is>
          <ns0:t>Kocaeli</ns0:t>
        </ns0:is>
      </ns0:c>
      <ns0:c r="F8" t="inlineStr">
        <ns0:is>
          <ns0:t>Kocaeli</ns0:t>
        </ns0:is>
      </ns0:c>
      <ns0:c r="H8" s="29" t="inlineStr">
        <ns0:is>
          <ns0:t>2026-07</ns0:t>
        </ns0:is>
      </ns0:c>
    </ns0:row>
    <ns0:row r="9" ht="21" customHeight="1">
      <ns0:c r="A9" s="26" t="inlineStr">
        <ns0:is>
          <ns0:t>Morçatı Tedarik Örnek İşletme</ns0:t>
        </ns0:is>
      </ns0:c>
      <ns0:c r="B9" s="26" t="inlineStr">
        <ns0:is>
          <ns0:t>KURGUSAL MORCATI TEDARIK</ns0:t>
        </ns0:is>
      </ns0:c>
      <ns0:c r="C9" s="26" t="inlineStr">
        <ns0:is>
          <ns0:t>Sakarya</ns0:t>
        </ns0:is>
      </ns0:c>
      <ns0:c r="F9" t="inlineStr">
        <ns0:is>
          <ns0:t>Sakarya</ns0:t>
        </ns0:is>
      </ns0:c>
      <ns0:c r="H9" s="29" t="inlineStr">
        <ns0:is>
          <ns0:t>2026-08</ns0:t>
        </ns0:is>
      </ns0:c>
    </ns0:row>
    <ns0:row r="10" ht="21" customHeight="1">
      <ns0:c r="A10" s="26" t="inlineStr">
        <ns0:is>
          <ns0:t>Gölvera Dağıtım Örnek İşletme</ns0:t>
        </ns0:is>
      </ns0:c>
      <ns0:c r="B10" s="26" t="inlineStr">
        <ns0:is>
          <ns0:t>KURGUSAL GOLVERA DAGITIM</ns0:t>
        </ns0:is>
      </ns0:c>
      <ns0:c r="C10" s="26" t="inlineStr">
        <ns0:is>
          <ns0:t>Kayseri</ns0:t>
        </ns0:is>
      </ns0:c>
      <ns0:c r="F10" t="inlineStr">
        <ns0:is>
          <ns0:t>Kayseri</ns0:t>
        </ns0:is>
      </ns0:c>
      <ns0:c r="H10" s="29" t="inlineStr">
        <ns0:is>
          <ns0:t>2026-09</ns0:t>
        </ns0:is>
      </ns0:c>
    </ns0:row>
    <ns0:row r="11" ht="21" customHeight="1">
      <ns0:c r="A11" s="26" t="inlineStr">
        <ns0:is>
          <ns0:t>Narvadi Ticaret Örnek İşletme</ns0:t>
        </ns0:is>
      </ns0:c>
      <ns0:c r="B11" s="26" t="inlineStr">
        <ns0:is>
          <ns0:t>KURGUSAL NARVADI TICARET</ns0:t>
        </ns0:is>
      </ns0:c>
      <ns0:c r="C11" s="26" t="inlineStr">
        <ns0:is>
          <ns0:t>Gaziantep</ns0:t>
        </ns0:is>
      </ns0:c>
      <ns0:c r="F11" t="inlineStr">
        <ns0:is>
          <ns0:t>Gaziantep</ns0:t>
        </ns0:is>
      </ns0:c>
      <ns0:c r="H11" s="29" t="inlineStr">
        <ns0:is>
          <ns0:t>2026-10</ns0:t>
        </ns0:is>
      </ns0:c>
    </ns0:row>
    <ns0:row r="12" ht="21" customHeight="1">
      <ns0:c r="A12" s="26" t="inlineStr">
        <ns0:is>
          <ns0:t>Çiyrota Gıda Örnek İşletme</ns0:t>
        </ns0:is>
      </ns0:c>
      <ns0:c r="B12" s="26" t="inlineStr">
        <ns0:is>
          <ns0:t>KURGUSAL CIYROTA GIDA</ns0:t>
        </ns0:is>
      </ns0:c>
      <ns0:c r="C12" s="26" t="inlineStr">
        <ns0:is>
          <ns0:t>İstanbul</ns0:t>
        </ns0:is>
      </ns0:c>
      <ns0:c r="H12" s="29" t="inlineStr">
        <ns0:is>
          <ns0:t>2026-11</ns0:t>
        </ns0:is>
      </ns0:c>
    </ns0:row>
    <ns0:row r="13" ht="21" customHeight="1">
      <ns0:c r="A13" s="26" t="inlineStr">
        <ns0:is>
          <ns0:t>Bulutiz Market Örnek İşletme</ns0:t>
        </ns0:is>
      </ns0:c>
      <ns0:c r="B13" s="26" t="inlineStr">
        <ns0:is>
          <ns0:t>KURGUSAL BULUTIZ MARKET</ns0:t>
        </ns0:is>
      </ns0:c>
      <ns0:c r="C13" s="26" t="inlineStr">
        <ns0:is>
          <ns0:t>Ankara</ns0:t>
        </ns0:is>
      </ns0:c>
      <ns0:c r="H13" s="29" t="inlineStr">
        <ns0:is>
          <ns0:t>2026-12</ns0:t>
        </ns0:is>
      </ns0:c>
    </ns0:row>
    <ns0:row r="14" ht="21" customHeight="1">
      <ns0:c r="A14" s="26" t="inlineStr">
        <ns0:is>
          <ns0:t>Kervola Tedarik Örnek İşletme</ns0:t>
        </ns0:is>
      </ns0:c>
      <ns0:c r="B14" s="26" t="inlineStr">
        <ns0:is>
          <ns0:t>KURGUSAL KERVOLA TEDARIK</ns0:t>
        </ns0:is>
      </ns0:c>
      <ns0:c r="C14" s="26" t="inlineStr">
        <ns0:is>
          <ns0:t>İzmir</ns0:t>
        </ns0:is>
      </ns0:c>
    </ns0:row>
    <ns0:row r="15" ht="21" customHeight="1">
      <ns0:c r="A15" s="26" t="inlineStr">
        <ns0:is>
          <ns0:t>Ayserin Dağıtım Örnek İşletme</ns0:t>
        </ns0:is>
      </ns0:c>
      <ns0:c r="B15" s="26" t="inlineStr">
        <ns0:is>
          <ns0:t>KURGUSAL AYSERIN DAGITIM</ns0:t>
        </ns0:is>
      </ns0:c>
      <ns0:c r="C15" s="26" t="inlineStr">
        <ns0:is>
          <ns0:t>Bursa</ns0:t>
        </ns0:is>
      </ns0:c>
    </ns0:row>
    <ns0:row r="16" ht="21" customHeight="1">
      <ns0:c r="A16" s="26" t="inlineStr">
        <ns0:is>
          <ns0:t>Yapriva Ticaret Örnek İşletme</ns0:t>
        </ns0:is>
      </ns0:c>
      <ns0:c r="B16" s="26" t="inlineStr">
        <ns0:is>
          <ns0:t>KURGUSAL YAPRIVA TICARET</ns0:t>
        </ns0:is>
      </ns0:c>
      <ns0:c r="C16" s="26" t="inlineStr">
        <ns0:is>
          <ns0:t>Antalya</ns0:t>
        </ns0:is>
      </ns0:c>
    </ns0:row>
    <ns0:row r="17" ht="21" customHeight="1">
      <ns0:c r="A17" s="26" t="inlineStr">
        <ns0:is>
          <ns0:t>Denizova Gıda Örnek İşletme</ns0:t>
        </ns0:is>
      </ns0:c>
      <ns0:c r="B17" s="26" t="inlineStr">
        <ns0:is>
          <ns0:t>KURGUSAL DENIZOVA GIDA</ns0:t>
        </ns0:is>
      </ns0:c>
      <ns0:c r="C17" s="26" t="inlineStr">
        <ns0:is>
          <ns0:t>Konya</ns0:t>
        </ns0:is>
      </ns0:c>
    </ns0:row>
    <ns0:row r="18" ht="21" customHeight="1">
      <ns0:c r="A18" s="26" t="inlineStr">
        <ns0:is>
          <ns0:t>Koralin Market Örnek İşletme</ns0:t>
        </ns0:is>
      </ns0:c>
      <ns0:c r="B18" s="26" t="inlineStr">
        <ns0:is>
          <ns0:t>KURGUSAL KORALIN MARKET</ns0:t>
        </ns0:is>
      </ns0:c>
      <ns0:c r="C18" s="26" t="inlineStr">
        <ns0:is>
          <ns0:t>Kocaeli</ns0:t>
        </ns0:is>
      </ns0:c>
    </ns0:row>
    <ns0:row r="19" ht="21" customHeight="1">
      <ns0:c r="A19" s="26" t="inlineStr">
        <ns0:is>
          <ns0:t>Zerova Tedarik Örnek İşletme</ns0:t>
        </ns0:is>
      </ns0:c>
      <ns0:c r="B19" s="26" t="inlineStr">
        <ns0:is>
          <ns0:t>KURGUSAL ZEROVA TEDARIK</ns0:t>
        </ns0:is>
      </ns0:c>
      <ns0:c r="C19" s="26" t="inlineStr">
        <ns0:is>
          <ns0:t>Sakarya</ns0:t>
        </ns0:is>
      </ns0:c>
    </ns0:row>
    <ns0:row r="20" ht="21" customHeight="1">
      <ns0:c r="A20" s="26" t="inlineStr">
        <ns0:is>
          <ns0:t>Ardılyel Dağıtım Örnek İşletme</ns0:t>
        </ns0:is>
      </ns0:c>
      <ns0:c r="B20" s="26" t="inlineStr">
        <ns0:is>
          <ns0:t>KURGUSAL ARDILYEL DAGITIM</ns0:t>
        </ns0:is>
      </ns0:c>
      <ns0:c r="C20" s="26" t="inlineStr">
        <ns0:is>
          <ns0:t>Kayseri</ns0:t>
        </ns0:is>
      </ns0:c>
    </ns0:row>
    <ns0:row r="21" ht="21" customHeight="1">
      <ns0:c r="A21" s="26" t="inlineStr">
        <ns0:is>
          <ns0:t>Günsera Ticaret Örnek İşletme</ns0:t>
        </ns0:is>
      </ns0:c>
      <ns0:c r="B21" s="26" t="inlineStr">
        <ns0:is>
          <ns0:t>KURGUSAL GUNSERA TICARET</ns0:t>
        </ns0:is>
      </ns0:c>
      <ns0:c r="C21" s="26" t="inlineStr">
        <ns0:is>
          <ns0:t>Gaziantep</ns0:t>
        </ns0:is>
      </ns0:c>
    </ns0:row>
    <ns0:row r="22" ht="21" customHeight="1">
      <ns0:c r="A22" s="26" t="inlineStr">
        <ns0:is>
          <ns0:t>Tanyuva Gıda Örnek İşletme</ns0:t>
        </ns0:is>
      </ns0:c>
      <ns0:c r="B22" s="26" t="inlineStr">
        <ns0:is>
          <ns0:t>KURGUSAL TANYUVA GIDA</ns0:t>
        </ns0:is>
      </ns0:c>
      <ns0:c r="C22" s="26" t="inlineStr">
        <ns0:is>
          <ns0:t>İstanbul</ns0:t>
        </ns0:is>
      </ns0:c>
    </ns0:row>
    <ns0:row r="23" ht="21" customHeight="1">
      <ns0:c r="A23" s="26" t="inlineStr">
        <ns0:is>
          <ns0:t>Erguven Market Örnek İşletme</ns0:t>
        </ns0:is>
      </ns0:c>
      <ns0:c r="B23" s="26" t="inlineStr">
        <ns0:is>
          <ns0:t>KURGUSAL ERGUVEN MARKET</ns0:t>
        </ns0:is>
      </ns0:c>
      <ns0:c r="C23" s="26" t="inlineStr">
        <ns0:is>
          <ns0:t>Ankara</ns0:t>
        </ns0:is>
      </ns0:c>
    </ns0:row>
    <ns0:row r="24" ht="21" customHeight="1">
      <ns0:c r="A24" s="26" t="inlineStr">
        <ns0:is>
          <ns0:t>Kumvadi Tedarik Örnek İşletme</ns0:t>
        </ns0:is>
      </ns0:c>
      <ns0:c r="B24" s="26" t="inlineStr">
        <ns0:is>
          <ns0:t>KURGUSAL KUMVADI TEDARIK</ns0:t>
        </ns0:is>
      </ns0:c>
      <ns0:c r="C24" s="26" t="inlineStr">
        <ns0:is>
          <ns0:t>İzmir</ns0:t>
        </ns0:is>
      </ns0:c>
    </ns0:row>
    <ns0:row r="25" ht="21" customHeight="1">
      <ns0:c r="A25" s="26" t="inlineStr">
        <ns0:is>
          <ns0:t>Lalrota Dağıtım Örnek İşletme</ns0:t>
        </ns0:is>
      </ns0:c>
      <ns0:c r="B25" s="26" t="inlineStr">
        <ns0:is>
          <ns0:t>KURGUSAL LALROTA DAGITIM</ns0:t>
        </ns0:is>
      </ns0:c>
      <ns0:c r="C25" s="26" t="inlineStr">
        <ns0:is>
          <ns0:t>Bursa</ns0:t>
        </ns0:is>
      </ns0:c>
    </ns0:row>
    <ns0:row r="26" ht="21" customHeight="1">
      <ns0:c r="A26" s="26" t="inlineStr">
        <ns0:is>
          <ns0:t>Çisenta Ticaret Örnek İşletme</ns0:t>
        </ns0:is>
      </ns0:c>
      <ns0:c r="B26" s="26" t="inlineStr">
        <ns0:is>
          <ns0:t>KURGUSAL CISENTA TICARET</ns0:t>
        </ns0:is>
      </ns0:c>
      <ns0:c r="C26" s="26" t="inlineStr">
        <ns0:is>
          <ns0:t>Antalya</ns0:t>
        </ns0:is>
      </ns0:c>
    </ns0:row>
    <ns0:row r="27" ht="21" customHeight="1">
      <ns0:c r="A27" s="26" t="n"/>
      <ns0:c r="B27" s="26" t="n"/>
      <ns0:c r="C27" s="26" t="n"/>
    </ns0:row>
    <ns0:row r="28" ht="21" customHeight="1">
      <ns0:c r="A28" s="26" t="n"/>
      <ns0:c r="B28" s="26" t="n"/>
      <ns0:c r="C28" s="26" t="n"/>
    </ns0:row>
    <ns0:row r="29" ht="21" customHeight="1">
      <ns0:c r="A29" s="26" t="n"/>
      <ns0:c r="B29" s="26" t="n"/>
      <ns0:c r="C29" s="26" t="n"/>
    </ns0:row>
    <ns0:row r="30" ht="21" customHeight="1">
      <ns0:c r="A30" s="26" t="n"/>
      <ns0:c r="B30" s="26" t="n"/>
      <ns0:c r="C30" s="26" t="n"/>
    </ns0:row>
    <ns0:row r="31" ht="21" customHeight="1">
      <ns0:c r="A31" s="26" t="n"/>
      <ns0:c r="B31" s="26" t="n"/>
      <ns0:c r="C31" s="26" t="n"/>
    </ns0:row>
    <ns0:row r="32" ht="21" customHeight="1">
      <ns0:c r="A32" s="26" t="n"/>
      <ns0:c r="B32" s="26" t="n"/>
      <ns0:c r="C32" s="26" t="n"/>
    </ns0:row>
    <ns0:row r="33" ht="21" customHeight="1">
      <ns0:c r="A33" s="26" t="n"/>
      <ns0:c r="B33" s="26" t="n"/>
      <ns0:c r="C33" s="26" t="n"/>
    </ns0:row>
    <ns0:row r="34" ht="21" customHeight="1">
      <ns0:c r="A34" s="26" t="n"/>
      <ns0:c r="B34" s="26" t="n"/>
      <ns0:c r="C34" s="26" t="n"/>
    </ns0:row>
    <ns0:row r="35" ht="21" customHeight="1">
      <ns0:c r="A35" s="26" t="n"/>
      <ns0:c r="B35" s="26" t="n"/>
      <ns0:c r="C35" s="26" t="n"/>
    </ns0:row>
    <ns0:row r="36" ht="21" customHeight="1">
      <ns0:c r="A36" s="26" t="n"/>
      <ns0:c r="B36" s="26" t="n"/>
      <ns0:c r="C36" s="26" t="n"/>
    </ns0:row>
    <ns0:row r="37" ht="21" customHeight="1">
      <ns0:c r="A37" s="26" t="n"/>
      <ns0:c r="B37" s="26" t="n"/>
      <ns0:c r="C37" s="26" t="n"/>
    </ns0:row>
    <ns0:row r="38" ht="21" customHeight="1">
      <ns0:c r="A38" s="26" t="n"/>
      <ns0:c r="B38" s="26" t="n"/>
      <ns0:c r="C38" s="26" t="n"/>
    </ns0:row>
    <ns0:row r="39" ht="21" customHeight="1">
      <ns0:c r="A39" s="26" t="n"/>
      <ns0:c r="B39" s="26" t="n"/>
      <ns0:c r="C39" s="26" t="n"/>
    </ns0:row>
    <ns0:row r="40" ht="21" customHeight="1">
      <ns0:c r="A40" s="26" t="n"/>
      <ns0:c r="B40" s="26" t="n"/>
      <ns0:c r="C40" s="26" t="n"/>
    </ns0:row>
    <ns0:row r="41" ht="21" customHeight="1">
      <ns0:c r="A41" s="26" t="n"/>
      <ns0:c r="B41" s="26" t="n"/>
      <ns0:c r="C41" s="26" t="n"/>
    </ns0:row>
    <ns0:row r="42" ht="21" customHeight="1">
      <ns0:c r="A42" s="26" t="n"/>
      <ns0:c r="B42" s="26" t="n"/>
      <ns0:c r="C42" s="26" t="n"/>
    </ns0:row>
    <ns0:row r="43" ht="21" customHeight="1">
      <ns0:c r="A43" s="26" t="n"/>
      <ns0:c r="B43" s="26" t="n"/>
      <ns0:c r="C43" s="26" t="n"/>
    </ns0:row>
    <ns0:row r="44" ht="21" customHeight="1">
      <ns0:c r="A44" s="26" t="n"/>
      <ns0:c r="B44" s="26" t="n"/>
      <ns0:c r="C44" s="26" t="n"/>
    </ns0:row>
    <ns0:row r="45" ht="21" customHeight="1">
      <ns0:c r="A45" s="26" t="n"/>
      <ns0:c r="B45" s="26" t="n"/>
      <ns0:c r="C45" s="26" t="n"/>
    </ns0:row>
    <ns0:row r="46" ht="21" customHeight="1">
      <ns0:c r="A46" s="26" t="n"/>
      <ns0:c r="B46" s="26" t="n"/>
      <ns0:c r="C46" s="26" t="n"/>
    </ns0:row>
    <ns0:row r="47" ht="21" customHeight="1">
      <ns0:c r="A47" s="26" t="n"/>
      <ns0:c r="B47" s="26" t="n"/>
      <ns0:c r="C47" s="26" t="n"/>
    </ns0:row>
    <ns0:row r="48" ht="21" customHeight="1">
      <ns0:c r="A48" s="26" t="n"/>
      <ns0:c r="B48" s="26" t="n"/>
      <ns0:c r="C48" s="26" t="n"/>
    </ns0:row>
    <ns0:row r="49" ht="21" customHeight="1">
      <ns0:c r="A49" s="26" t="n"/>
      <ns0:c r="B49" s="26" t="n"/>
      <ns0:c r="C49" s="26" t="n"/>
    </ns0:row>
    <ns0:row r="50" ht="21" customHeight="1">
      <ns0:c r="A50" s="26" t="n"/>
      <ns0:c r="B50" s="26" t="n"/>
      <ns0:c r="C50" s="26" t="n"/>
    </ns0:row>
    <ns0:row r="51" ht="21" customHeight="1">
      <ns0:c r="A51" s="26" t="n"/>
      <ns0:c r="B51" s="26" t="n"/>
      <ns0:c r="C51" s="26" t="n"/>
    </ns0:row>
    <ns0:row r="52" ht="21" customHeight="1">
      <ns0:c r="A52" s="26" t="n"/>
      <ns0:c r="B52" s="26" t="n"/>
      <ns0:c r="C52" s="26" t="n"/>
    </ns0:row>
    <ns0:row r="53" ht="21" customHeight="1">
      <ns0:c r="A53" s="26" t="n"/>
      <ns0:c r="B53" s="26" t="n"/>
      <ns0:c r="C53" s="26" t="n"/>
    </ns0:row>
    <ns0:row r="54" ht="21" customHeight="1">
      <ns0:c r="A54" s="26" t="n"/>
      <ns0:c r="B54" s="26" t="n"/>
      <ns0:c r="C54" s="26" t="n"/>
    </ns0:row>
    <ns0:row r="55" ht="21" customHeight="1">
      <ns0:c r="A55" s="26" t="n"/>
      <ns0:c r="B55" s="26" t="n"/>
      <ns0:c r="C55" s="26" t="n"/>
    </ns0:row>
    <ns0:row r="56" ht="21" customHeight="1">
      <ns0:c r="A56" s="26" t="n"/>
      <ns0:c r="B56" s="26" t="n"/>
      <ns0:c r="C56" s="26" t="n"/>
    </ns0:row>
    <ns0:row r="57" ht="21" customHeight="1">
      <ns0:c r="A57" s="26" t="n"/>
      <ns0:c r="B57" s="26" t="n"/>
      <ns0:c r="C57" s="26" t="n"/>
    </ns0:row>
    <ns0:row r="58" ht="21" customHeight="1">
      <ns0:c r="A58" s="26" t="n"/>
      <ns0:c r="B58" s="26" t="n"/>
      <ns0:c r="C58" s="26" t="n"/>
    </ns0:row>
    <ns0:row r="59" ht="21" customHeight="1">
      <ns0:c r="A59" s="26" t="n"/>
      <ns0:c r="B59" s="26" t="n"/>
      <ns0:c r="C59" s="26" t="n"/>
    </ns0:row>
    <ns0:row r="60" ht="21" customHeight="1">
      <ns0:c r="A60" s="26" t="n"/>
      <ns0:c r="B60" s="26" t="n"/>
      <ns0:c r="C60" s="26" t="n"/>
    </ns0:row>
    <ns0:row r="61" ht="21" customHeight="1">
      <ns0:c r="A61" s="26" t="n"/>
      <ns0:c r="B61" s="26" t="n"/>
      <ns0:c r="C61" s="26" t="n"/>
    </ns0:row>
    <ns0:row r="62" ht="21" customHeight="1">
      <ns0:c r="A62" s="26" t="n"/>
      <ns0:c r="B62" s="26" t="n"/>
      <ns0:c r="C62" s="26" t="n"/>
    </ns0:row>
    <ns0:row r="63" ht="21" customHeight="1">
      <ns0:c r="A63" s="26" t="n"/>
      <ns0:c r="B63" s="26" t="n"/>
      <ns0:c r="C63" s="26" t="n"/>
    </ns0:row>
    <ns0:row r="64" ht="21" customHeight="1">
      <ns0:c r="A64" s="26" t="n"/>
      <ns0:c r="B64" s="26" t="n"/>
      <ns0:c r="C64" s="26" t="n"/>
    </ns0:row>
    <ns0:row r="65" ht="21" customHeight="1">
      <ns0:c r="A65" s="26" t="n"/>
      <ns0:c r="B65" s="26" t="n"/>
      <ns0:c r="C65" s="26" t="n"/>
    </ns0:row>
    <ns0:row r="66" ht="21" customHeight="1">
      <ns0:c r="A66" s="26" t="n"/>
      <ns0:c r="B66" s="26" t="n"/>
      <ns0:c r="C66" s="26" t="n"/>
    </ns0:row>
    <ns0:row r="67" ht="21" customHeight="1">
      <ns0:c r="A67" s="26" t="n"/>
      <ns0:c r="B67" s="26" t="n"/>
      <ns0:c r="C67" s="26" t="n"/>
    </ns0:row>
    <ns0:row r="68" ht="21" customHeight="1">
      <ns0:c r="A68" s="26" t="n"/>
      <ns0:c r="B68" s="26" t="n"/>
      <ns0:c r="C68" s="26" t="n"/>
    </ns0:row>
    <ns0:row r="69" ht="21" customHeight="1">
      <ns0:c r="A69" s="26" t="n"/>
      <ns0:c r="B69" s="26" t="n"/>
      <ns0:c r="C69" s="26" t="n"/>
    </ns0:row>
    <ns0:row r="70" ht="21" customHeight="1">
      <ns0:c r="A70" s="26" t="n"/>
      <ns0:c r="B70" s="26" t="n"/>
      <ns0:c r="C70" s="26" t="n"/>
    </ns0:row>
    <ns0:row r="71" ht="21" customHeight="1">
      <ns0:c r="A71" s="26" t="n"/>
      <ns0:c r="B71" s="26" t="n"/>
      <ns0:c r="C71" s="26" t="n"/>
    </ns0:row>
    <ns0:row r="72" ht="21" customHeight="1">
      <ns0:c r="A72" s="26" t="n"/>
      <ns0:c r="B72" s="26" t="n"/>
      <ns0:c r="C72" s="26" t="n"/>
    </ns0:row>
    <ns0:row r="73" ht="21" customHeight="1">
      <ns0:c r="A73" s="26" t="n"/>
      <ns0:c r="B73" s="26" t="n"/>
      <ns0:c r="C73" s="26" t="n"/>
    </ns0:row>
    <ns0:row r="74" ht="21" customHeight="1">
      <ns0:c r="A74" s="26" t="n"/>
      <ns0:c r="B74" s="26" t="n"/>
      <ns0:c r="C74" s="26" t="n"/>
    </ns0:row>
    <ns0:row r="75" ht="21" customHeight="1">
      <ns0:c r="A75" s="26" t="n"/>
      <ns0:c r="B75" s="26" t="n"/>
      <ns0:c r="C75" s="26" t="n"/>
    </ns0:row>
    <ns0:row r="76" ht="21" customHeight="1">
      <ns0:c r="A76" s="26" t="n"/>
      <ns0:c r="B76" s="26" t="n"/>
      <ns0:c r="C76" s="26" t="n"/>
    </ns0:row>
    <ns0:row r="77" ht="21" customHeight="1">
      <ns0:c r="A77" s="26" t="n"/>
      <ns0:c r="B77" s="26" t="n"/>
      <ns0:c r="C77" s="26" t="n"/>
    </ns0:row>
    <ns0:row r="78" ht="21" customHeight="1">
      <ns0:c r="A78" s="26" t="n"/>
      <ns0:c r="B78" s="26" t="n"/>
      <ns0:c r="C78" s="26" t="n"/>
    </ns0:row>
    <ns0:row r="79" ht="21" customHeight="1">
      <ns0:c r="A79" s="26" t="n"/>
      <ns0:c r="B79" s="26" t="n"/>
      <ns0:c r="C79" s="26" t="n"/>
    </ns0:row>
    <ns0:row r="80" ht="21" customHeight="1">
      <ns0:c r="A80" s="26" t="n"/>
      <ns0:c r="B80" s="26" t="n"/>
      <ns0:c r="C80" s="26" t="n"/>
    </ns0:row>
    <ns0:row r="81" ht="21" customHeight="1">
      <ns0:c r="A81" s="26" t="n"/>
      <ns0:c r="B81" s="26" t="n"/>
      <ns0:c r="C81" s="26" t="n"/>
    </ns0:row>
    <ns0:row r="82" ht="21" customHeight="1">
      <ns0:c r="A82" s="26" t="n"/>
      <ns0:c r="B82" s="26" t="n"/>
      <ns0:c r="C82" s="26" t="n"/>
    </ns0:row>
    <ns0:row r="83" ht="21" customHeight="1">
      <ns0:c r="A83" s="26" t="n"/>
      <ns0:c r="B83" s="26" t="n"/>
      <ns0:c r="C83" s="26" t="n"/>
    </ns0:row>
    <ns0:row r="84" ht="21" customHeight="1">
      <ns0:c r="A84" s="26" t="n"/>
      <ns0:c r="B84" s="26" t="n"/>
      <ns0:c r="C84" s="26" t="n"/>
    </ns0:row>
    <ns0:row r="85" ht="21" customHeight="1">
      <ns0:c r="A85" s="26" t="n"/>
      <ns0:c r="B85" s="26" t="n"/>
      <ns0:c r="C85" s="26" t="n"/>
    </ns0:row>
    <ns0:row r="86" ht="21" customHeight="1">
      <ns0:c r="A86" s="26" t="n"/>
      <ns0:c r="B86" s="26" t="n"/>
      <ns0:c r="C86" s="26" t="n"/>
    </ns0:row>
    <ns0:row r="87" ht="21" customHeight="1">
      <ns0:c r="A87" s="26" t="n"/>
      <ns0:c r="B87" s="26" t="n"/>
      <ns0:c r="C87" s="26" t="n"/>
    </ns0:row>
    <ns0:row r="88" ht="21" customHeight="1">
      <ns0:c r="A88" s="26" t="n"/>
      <ns0:c r="B88" s="26" t="n"/>
      <ns0:c r="C88" s="26" t="n"/>
    </ns0:row>
    <ns0:row r="89" ht="21" customHeight="1">
      <ns0:c r="A89" s="26" t="n"/>
      <ns0:c r="B89" s="26" t="n"/>
      <ns0:c r="C89" s="26" t="n"/>
    </ns0:row>
    <ns0:row r="90" ht="21" customHeight="1">
      <ns0:c r="A90" s="26" t="n"/>
      <ns0:c r="B90" s="26" t="n"/>
      <ns0:c r="C90" s="26" t="n"/>
    </ns0:row>
    <ns0:row r="91" ht="21" customHeight="1">
      <ns0:c r="A91" s="26" t="n"/>
      <ns0:c r="B91" s="26" t="n"/>
      <ns0:c r="C91" s="26" t="n"/>
    </ns0:row>
    <ns0:row r="92" ht="21" customHeight="1">
      <ns0:c r="A92" s="26" t="n"/>
      <ns0:c r="B92" s="26" t="n"/>
      <ns0:c r="C92" s="26" t="n"/>
    </ns0:row>
    <ns0:row r="93" ht="21" customHeight="1">
      <ns0:c r="A93" s="26" t="n"/>
      <ns0:c r="B93" s="26" t="n"/>
      <ns0:c r="C93" s="26" t="n"/>
    </ns0:row>
    <ns0:row r="94" ht="21" customHeight="1">
      <ns0:c r="A94" s="26" t="n"/>
      <ns0:c r="B94" s="26" t="n"/>
      <ns0:c r="C94" s="26" t="n"/>
    </ns0:row>
    <ns0:row r="95" ht="21" customHeight="1">
      <ns0:c r="A95" s="26" t="n"/>
      <ns0:c r="B95" s="26" t="n"/>
      <ns0:c r="C95" s="26" t="n"/>
    </ns0:row>
    <ns0:row r="96" ht="21" customHeight="1">
      <ns0:c r="A96" s="26" t="n"/>
      <ns0:c r="B96" s="26" t="n"/>
      <ns0:c r="C96" s="26" t="n"/>
    </ns0:row>
    <ns0:row r="97" ht="21" customHeight="1">
      <ns0:c r="A97" s="26" t="n"/>
      <ns0:c r="B97" s="26" t="n"/>
      <ns0:c r="C97" s="26" t="n"/>
    </ns0:row>
    <ns0:row r="98" ht="21" customHeight="1">
      <ns0:c r="A98" s="26" t="n"/>
      <ns0:c r="B98" s="26" t="n"/>
      <ns0:c r="C98" s="26" t="n"/>
    </ns0:row>
    <ns0:row r="99" ht="21" customHeight="1">
      <ns0:c r="A99" s="26" t="n"/>
      <ns0:c r="B99" s="26" t="n"/>
      <ns0:c r="C99" s="26" t="n"/>
    </ns0:row>
    <ns0:row r="100" ht="21" customHeight="1">
      <ns0:c r="A100" s="26" t="n"/>
      <ns0:c r="B100" s="26" t="n"/>
      <ns0:c r="C100" s="26" t="n"/>
    </ns0:row>
    <ns0:row r="101" ht="21" customHeight="1">
      <ns0:c r="A101" s="26" t="n"/>
      <ns0:c r="B101" s="26" t="n"/>
      <ns0:c r="C101" s="26" t="n"/>
    </ns0:row>
  </ns0:sheetData>
  <ns0:dataValidations count="1">
    <ns0:dataValidation sqref="C2:C101" showDropDown="0" showInputMessage="0" showErrorMessage="1" allowBlank="1" errorTitle="Listeden seçim yapın" error="Tanımlı değerlerden birini seçin; yeni kayıt için ayarlar sayfasını güncelleyin." type="list" errorStyle="stop">
      <ns0:formula1>=Iller</ns0:formula1>
    </ns0:dataValidation>
  </ns0:dataValidations>
  <ns0:pageMargins left="0.75" right="0.75" top="1" bottom="1" header="0.5" footer="0.5"/>
  <ns0:legacyDrawing ns1:id="anysvml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0"/>
    <ns0:pageSetUpPr fitToPage="1"/>
  </ns0:sheetPr>
  <ns0:dimension ref="A1:E2004"/>
  <ns0:sheetViews>
    <ns0:sheetView showGridLines="0" zoomScale="90" workbookViewId="0">
      <ns0:pane ySplit="4" topLeftCell="A5" activePane="bottomLeft" state="frozen"/>
      <ns0:selection pane="bottomLeft"/>
      <ns0:selection pane="bottomLeft"/>
      <ns0:selection pane="bottomRight" activeCell="A1" sqref="A1"/>
    </ns0:sheetView>
  </ns0:sheetViews>
  <ns0:sheetFormatPr baseColWidth="8" defaultRowHeight="15"/>
  <ns0:cols>
    <ns0:col width="14" customWidth="1" min="1" max="1"/>
    <ns0:col width="64" customWidth="1" min="2" max="2"/>
    <ns0:col width="20" customWidth="1" min="3" max="3"/>
    <ns0:col width="56" customWidth="1" min="4" max="4"/>
    <ns0:col hidden="1" width="10" customWidth="1" min="5" max="5"/>
  </ns0:cols>
  <ns0:sheetData>
    <ns0:row r="1" ht="30" customHeight="1">
      <ns0:c r="A1" s="14" t="inlineStr">
        <ns0:is>
          <ns0:t>Tarih</ns0:t>
        </ns0:is>
      </ns0:c>
      <ns0:c r="B1" s="14" t="inlineStr">
        <ns0:is>
          <ns0:t>Açıklama</ns0:t>
        </ns0:is>
      </ns0:c>
      <ns0:c r="C1" s="14" t="inlineStr">
        <ns0:is>
          <ns0:t>Tutar</ns0:t>
        </ns0:is>
      </ns0:c>
      <ns0:c r="D1" s="14" t="inlineStr">
        <ns0:is>
          <ns0:t>Yapılacak</ns0:t>
        </ns0:is>
      </ns0:c>
      <ns0:c r="E1" s="14" t="inlineStr">
        <ns0:is>
          <ns0:t>Kaynak satır</ns0:t>
        </ns0:is>
      </ns0:c>
    </ns0:row>
    <ns0:row r="2" ht="25" customHeight="1">
      <ns0:c r="A2" s="30" t="str">
        <ns0:f>'Panel'!$B$4&amp;"  /  "&amp;'Panel'!$N$4&amp;" eşleşmeyen ödeme"</ns0:f>
        <ns0:v>2026-10  /  3 eşleşmeyen ödeme</ns0:v>
      </ns0:c>
    </ns0:row>
    <ns0:row r="3" ht="22" customHeight="1">
      <ns0:c r="A3" s="2" t="inlineStr">
        <ns0:is>
          <ns0:t>Aranacak adı Müşteriler sayfasına ekleyin/düzeltin; liste kendiliğinden güncellenir.</ns0:t>
        </ns0:is>
      </ns0:c>
    </ns0:row>
    <ns0:row r="4">
      <ns0:c r="A4" s="31" t="inlineStr">
        <ns0:is>
          <ns0:t>Tarih</ns0:t>
        </ns0:is>
      </ns0:c>
      <ns0:c r="B4" s="31" t="inlineStr">
        <ns0:is>
          <ns0:t>Açıklama</ns0:t>
        </ns0:is>
      </ns0:c>
      <ns0:c r="C4" s="31" t="inlineStr">
        <ns0:is>
          <ns0:t>Tutar</ns0:t>
        </ns0:is>
      </ns0:c>
      <ns0:c r="D4" s="31" t="inlineStr">
        <ns0:is>
          <ns0:t>Yapılacak</ns0:t>
        </ns0:is>
      </ns0:c>
    </ns0:row>
    <ns0:row r="5" ht="21" customHeight="1">
      <ns0:c r="A5" s="32">
        <ns0:f>IF($E5="","",INDEX('Banka Dökümü'!$A$2:$A$2001,$E5))</ns0:f>
        <ns0:v>46303.0</ns0:v>
      </ns0:c>
      <ns0:c r="B5" s="28" t="str">
        <ns0:f>IF($E5="","",INDEX('Banka Dökümü'!$B$2:$B$2001,$E5))</ns0:f>
        <ns0:v>FAST GELEN - BELIRSIZ GONDEREN 710</ns0:v>
      </ns0:c>
      <ns0:c r="C5" s="33">
        <ns0:f>IF($E5="","",INDEX('Banka Dökümü'!$C$2:$C$2001,$E5))</ns0:f>
        <ns0:v>5350.0</ns0:v>
      </ns0:c>
      <ns0:c r="D5" s="28" t="str">
        <ns0:f>IF(E5="","","Müşteri adı / aranacak ad / il bilgisini kontrol edin")</ns0:f>
        <ns0:v>Müşteri adı / aranacak ad / il bilgisini kontrol edin</ns0:v>
      </ns0:c>
      <ns0:c r="E5" s="28">
        <ns0:f>IFERROR(MATCH(1,'Banka Dökümü'!$I$2:$I$2001,0),"")</ns0:f>
        <ns0:v>67.0</ns0:v>
      </ns0:c>
    </ns0:row>
    <ns0:row r="6" ht="21" customHeight="1">
      <ns0:c r="A6" s="32">
        <ns0:f>IF($E6="","",INDEX('Banka Dökümü'!$A$2:$A$2001,$E6))</ns0:f>
        <ns0:v>46309.0</ns0:v>
      </ns0:c>
      <ns0:c r="B6" s="28" t="str">
        <ns0:f>IF($E6="","",INDEX('Banka Dökümü'!$B$2:$B$2001,$E6))</ns0:f>
        <ns0:v>FAST GELEN - TANIMSIZ ISLETME 820</ns0:v>
      </ns0:c>
      <ns0:c r="C6" s="33">
        <ns0:f>IF($E6="","",INDEX('Banka Dökümü'!$C$2:$C$2001,$E6))</ns0:f>
        <ns0:v>7080.5</ns0:v>
      </ns0:c>
      <ns0:c r="D6" s="28" t="str">
        <ns0:f>IF(E6="","","Müşteri adı / aranacak ad / il bilgisini kontrol edin")</ns0:f>
        <ns0:v>Müşteri adı / aranacak ad / il bilgisini kontrol edin</ns0:v>
      </ns0:c>
      <ns0:c r="E6" s="28">
        <ns0:f>IFERROR(MATCH(2,'Banka Dökümü'!$I$2:$I$2001,0),"")</ns0:f>
        <ns0:v>77.0</ns0:v>
      </ns0:c>
    </ns0:row>
    <ns0:row r="7" ht="21" customHeight="1">
      <ns0:c r="A7" s="32">
        <ns0:f>IF($E7="","",INDEX('Banka Dökümü'!$A$2:$A$2001,$E7))</ns0:f>
        <ns0:v>46315.0</ns0:v>
      </ns0:c>
      <ns0:c r="B7" s="28" t="str">
        <ns0:f>IF($E7="","",INDEX('Banka Dökümü'!$B$2:$B$2001,$E7))</ns0:f>
        <ns0:v>FAST GELEN - ACIKLAMASIZ TRANSFER 930</ns0:v>
      </ns0:c>
      <ns0:c r="C7" s="33">
        <ns0:f>IF($E7="","",INDEX('Banka Dökümü'!$C$2:$C$2001,$E7))</ns0:f>
        <ns0:v>8811.0</ns0:v>
      </ns0:c>
      <ns0:c r="D7" s="28" t="str">
        <ns0:f>IF(E7="","","Müşteri adı / aranacak ad / il bilgisini kontrol edin")</ns0:f>
        <ns0:v>Müşteri adı / aranacak ad / il bilgisini kontrol edin</ns0:v>
      </ns0:c>
      <ns0:c r="E7" s="28">
        <ns0:f>IFERROR(MATCH(3,'Banka Dökümü'!$I$2:$I$2001,0),"")</ns0:f>
        <ns0:v>88.0</ns0:v>
      </ns0:c>
    </ns0:row>
    <ns0:row r="8" ht="21" customHeight="1">
      <ns0:c r="A8" s="32" t="str">
        <ns0:f>IF($E8="","",INDEX('Banka Dökümü'!$A$2:$A$2001,$E8))</ns0:f>
        <ns0:v/>
      </ns0:c>
      <ns0:c r="B8" s="28" t="str">
        <ns0:f>IF($E8="","",INDEX('Banka Dökümü'!$B$2:$B$2001,$E8))</ns0:f>
        <ns0:v/>
      </ns0:c>
      <ns0:c r="C8" s="33" t="str">
        <ns0:f>IF($E8="","",INDEX('Banka Dökümü'!$C$2:$C$2001,$E8))</ns0:f>
        <ns0:v/>
      </ns0:c>
      <ns0:c r="D8" s="28" t="str">
        <ns0:f>IF(E8="","","Müşteri adı / aranacak ad / il bilgisini kontrol edin")</ns0:f>
        <ns0:v/>
      </ns0:c>
      <ns0:c r="E8" s="28" t="str">
        <ns0:f>IFERROR(MATCH(4,'Banka Dökümü'!$I$2:$I$2001,0),"")</ns0:f>
        <ns0:v/>
      </ns0:c>
    </ns0:row>
    <ns0:row r="9" ht="21" customHeight="1">
      <ns0:c r="A9" s="32" t="str">
        <ns0:f>IF($E9="","",INDEX('Banka Dökümü'!$A$2:$A$2001,$E9))</ns0:f>
        <ns0:v/>
      </ns0:c>
      <ns0:c r="B9" s="28" t="str">
        <ns0:f>IF($E9="","",INDEX('Banka Dökümü'!$B$2:$B$2001,$E9))</ns0:f>
        <ns0:v/>
      </ns0:c>
      <ns0:c r="C9" s="33" t="str">
        <ns0:f>IF($E9="","",INDEX('Banka Dökümü'!$C$2:$C$2001,$E9))</ns0:f>
        <ns0:v/>
      </ns0:c>
      <ns0:c r="D9" s="28" t="str">
        <ns0:f>IF(E9="","","Müşteri adı / aranacak ad / il bilgisini kontrol edin")</ns0:f>
        <ns0:v/>
      </ns0:c>
      <ns0:c r="E9" s="28" t="str">
        <ns0:f>IFERROR(MATCH(5,'Banka Dökümü'!$I$2:$I$2001,0),"")</ns0:f>
        <ns0:v/>
      </ns0:c>
    </ns0:row>
    <ns0:row r="10" ht="21" customHeight="1">
      <ns0:c r="A10" s="32" t="str">
        <ns0:f>IF($E10="","",INDEX('Banka Dökümü'!$A$2:$A$2001,$E10))</ns0:f>
        <ns0:v/>
      </ns0:c>
      <ns0:c r="B10" s="28" t="str">
        <ns0:f>IF($E10="","",INDEX('Banka Dökümü'!$B$2:$B$2001,$E10))</ns0:f>
        <ns0:v/>
      </ns0:c>
      <ns0:c r="C10" s="33" t="str">
        <ns0:f>IF($E10="","",INDEX('Banka Dökümü'!$C$2:$C$2001,$E10))</ns0:f>
        <ns0:v/>
      </ns0:c>
      <ns0:c r="D10" s="28" t="str">
        <ns0:f>IF(E10="","","Müşteri adı / aranacak ad / il bilgisini kontrol edin")</ns0:f>
        <ns0:v/>
      </ns0:c>
      <ns0:c r="E10" s="28" t="str">
        <ns0:f>IFERROR(MATCH(6,'Banka Dökümü'!$I$2:$I$2001,0),"")</ns0:f>
        <ns0:v/>
      </ns0:c>
    </ns0:row>
    <ns0:row r="11" ht="21" customHeight="1">
      <ns0:c r="A11" s="32" t="str">
        <ns0:f>IF($E11="","",INDEX('Banka Dökümü'!$A$2:$A$2001,$E11))</ns0:f>
        <ns0:v/>
      </ns0:c>
      <ns0:c r="B11" s="28" t="str">
        <ns0:f>IF($E11="","",INDEX('Banka Dökümü'!$B$2:$B$2001,$E11))</ns0:f>
        <ns0:v/>
      </ns0:c>
      <ns0:c r="C11" s="33" t="str">
        <ns0:f>IF($E11="","",INDEX('Banka Dökümü'!$C$2:$C$2001,$E11))</ns0:f>
        <ns0:v/>
      </ns0:c>
      <ns0:c r="D11" s="28" t="str">
        <ns0:f>IF(E11="","","Müşteri adı / aranacak ad / il bilgisini kontrol edin")</ns0:f>
        <ns0:v/>
      </ns0:c>
      <ns0:c r="E11" s="28" t="str">
        <ns0:f>IFERROR(MATCH(7,'Banka Dökümü'!$I$2:$I$2001,0),"")</ns0:f>
        <ns0:v/>
      </ns0:c>
    </ns0:row>
    <ns0:row r="12" ht="21" customHeight="1">
      <ns0:c r="A12" s="32" t="str">
        <ns0:f>IF($E12="","",INDEX('Banka Dökümü'!$A$2:$A$2001,$E12))</ns0:f>
        <ns0:v/>
      </ns0:c>
      <ns0:c r="B12" s="28" t="str">
        <ns0:f>IF($E12="","",INDEX('Banka Dökümü'!$B$2:$B$2001,$E12))</ns0:f>
        <ns0:v/>
      </ns0:c>
      <ns0:c r="C12" s="33" t="str">
        <ns0:f>IF($E12="","",INDEX('Banka Dökümü'!$C$2:$C$2001,$E12))</ns0:f>
        <ns0:v/>
      </ns0:c>
      <ns0:c r="D12" s="28" t="str">
        <ns0:f>IF(E12="","","Müşteri adı / aranacak ad / il bilgisini kontrol edin")</ns0:f>
        <ns0:v/>
      </ns0:c>
      <ns0:c r="E12" s="28" t="str">
        <ns0:f>IFERROR(MATCH(8,'Banka Dökümü'!$I$2:$I$2001,0),"")</ns0:f>
        <ns0:v/>
      </ns0:c>
    </ns0:row>
    <ns0:row r="13" ht="21" customHeight="1">
      <ns0:c r="A13" s="32" t="str">
        <ns0:f>IF($E13="","",INDEX('Banka Dökümü'!$A$2:$A$2001,$E13))</ns0:f>
        <ns0:v/>
      </ns0:c>
      <ns0:c r="B13" s="28" t="str">
        <ns0:f>IF($E13="","",INDEX('Banka Dökümü'!$B$2:$B$2001,$E13))</ns0:f>
        <ns0:v/>
      </ns0:c>
      <ns0:c r="C13" s="33" t="str">
        <ns0:f>IF($E13="","",INDEX('Banka Dökümü'!$C$2:$C$2001,$E13))</ns0:f>
        <ns0:v/>
      </ns0:c>
      <ns0:c r="D13" s="28" t="str">
        <ns0:f>IF(E13="","","Müşteri adı / aranacak ad / il bilgisini kontrol edin")</ns0:f>
        <ns0:v/>
      </ns0:c>
      <ns0:c r="E13" s="28" t="str">
        <ns0:f>IFERROR(MATCH(9,'Banka Dökümü'!$I$2:$I$2001,0),"")</ns0:f>
        <ns0:v/>
      </ns0:c>
    </ns0:row>
    <ns0:row r="14" ht="21" customHeight="1">
      <ns0:c r="A14" s="32" t="str">
        <ns0:f>IF($E14="","",INDEX('Banka Dökümü'!$A$2:$A$2001,$E14))</ns0:f>
        <ns0:v/>
      </ns0:c>
      <ns0:c r="B14" s="28" t="str">
        <ns0:f>IF($E14="","",INDEX('Banka Dökümü'!$B$2:$B$2001,$E14))</ns0:f>
        <ns0:v/>
      </ns0:c>
      <ns0:c r="C14" s="33" t="str">
        <ns0:f>IF($E14="","",INDEX('Banka Dökümü'!$C$2:$C$2001,$E14))</ns0:f>
        <ns0:v/>
      </ns0:c>
      <ns0:c r="D14" s="28" t="str">
        <ns0:f>IF(E14="","","Müşteri adı / aranacak ad / il bilgisini kontrol edin")</ns0:f>
        <ns0:v/>
      </ns0:c>
      <ns0:c r="E14" s="28" t="str">
        <ns0:f>IFERROR(MATCH(10,'Banka Dökümü'!$I$2:$I$2001,0),"")</ns0:f>
        <ns0:v/>
      </ns0:c>
    </ns0:row>
    <ns0:row r="15" ht="21" customHeight="1">
      <ns0:c r="A15" s="32" t="str">
        <ns0:f>IF($E15="","",INDEX('Banka Dökümü'!$A$2:$A$2001,$E15))</ns0:f>
        <ns0:v/>
      </ns0:c>
      <ns0:c r="B15" s="28" t="str">
        <ns0:f>IF($E15="","",INDEX('Banka Dökümü'!$B$2:$B$2001,$E15))</ns0:f>
        <ns0:v/>
      </ns0:c>
      <ns0:c r="C15" s="33" t="str">
        <ns0:f>IF($E15="","",INDEX('Banka Dökümü'!$C$2:$C$2001,$E15))</ns0:f>
        <ns0:v/>
      </ns0:c>
      <ns0:c r="D15" s="28" t="str">
        <ns0:f>IF(E15="","","Müşteri adı / aranacak ad / il bilgisini kontrol edin")</ns0:f>
        <ns0:v/>
      </ns0:c>
      <ns0:c r="E15" s="28" t="str">
        <ns0:f>IFERROR(MATCH(11,'Banka Dökümü'!$I$2:$I$2001,0),"")</ns0:f>
        <ns0:v/>
      </ns0:c>
    </ns0:row>
    <ns0:row r="16" ht="21" customHeight="1">
      <ns0:c r="A16" s="32" t="str">
        <ns0:f>IF($E16="","",INDEX('Banka Dökümü'!$A$2:$A$2001,$E16))</ns0:f>
        <ns0:v/>
      </ns0:c>
      <ns0:c r="B16" s="28" t="str">
        <ns0:f>IF($E16="","",INDEX('Banka Dökümü'!$B$2:$B$2001,$E16))</ns0:f>
        <ns0:v/>
      </ns0:c>
      <ns0:c r="C16" s="33" t="str">
        <ns0:f>IF($E16="","",INDEX('Banka Dökümü'!$C$2:$C$2001,$E16))</ns0:f>
        <ns0:v/>
      </ns0:c>
      <ns0:c r="D16" s="28" t="str">
        <ns0:f>IF(E16="","","Müşteri adı / aranacak ad / il bilgisini kontrol edin")</ns0:f>
        <ns0:v/>
      </ns0:c>
      <ns0:c r="E16" s="28" t="str">
        <ns0:f>IFERROR(MATCH(12,'Banka Dökümü'!$I$2:$I$2001,0),"")</ns0:f>
        <ns0:v/>
      </ns0:c>
    </ns0:row>
    <ns0:row r="17" ht="21" customHeight="1">
      <ns0:c r="A17" s="32" t="str">
        <ns0:f>IF($E17="","",INDEX('Banka Dökümü'!$A$2:$A$2001,$E17))</ns0:f>
        <ns0:v/>
      </ns0:c>
      <ns0:c r="B17" s="28" t="str">
        <ns0:f>IF($E17="","",INDEX('Banka Dökümü'!$B$2:$B$2001,$E17))</ns0:f>
        <ns0:v/>
      </ns0:c>
      <ns0:c r="C17" s="33" t="str">
        <ns0:f>IF($E17="","",INDEX('Banka Dökümü'!$C$2:$C$2001,$E17))</ns0:f>
        <ns0:v/>
      </ns0:c>
      <ns0:c r="D17" s="28" t="str">
        <ns0:f>IF(E17="","","Müşteri adı / aranacak ad / il bilgisini kontrol edin")</ns0:f>
        <ns0:v/>
      </ns0:c>
      <ns0:c r="E17" s="28" t="str">
        <ns0:f>IFERROR(MATCH(13,'Banka Dökümü'!$I$2:$I$2001,0),"")</ns0:f>
        <ns0:v/>
      </ns0:c>
    </ns0:row>
    <ns0:row r="18" ht="21" customHeight="1">
      <ns0:c r="A18" s="32" t="str">
        <ns0:f>IF($E18="","",INDEX('Banka Dökümü'!$A$2:$A$2001,$E18))</ns0:f>
        <ns0:v/>
      </ns0:c>
      <ns0:c r="B18" s="28" t="str">
        <ns0:f>IF($E18="","",INDEX('Banka Dökümü'!$B$2:$B$2001,$E18))</ns0:f>
        <ns0:v/>
      </ns0:c>
      <ns0:c r="C18" s="33" t="str">
        <ns0:f>IF($E18="","",INDEX('Banka Dökümü'!$C$2:$C$2001,$E18))</ns0:f>
        <ns0:v/>
      </ns0:c>
      <ns0:c r="D18" s="28" t="str">
        <ns0:f>IF(E18="","","Müşteri adı / aranacak ad / il bilgisini kontrol edin")</ns0:f>
        <ns0:v/>
      </ns0:c>
      <ns0:c r="E18" s="28" t="str">
        <ns0:f>IFERROR(MATCH(14,'Banka Dökümü'!$I$2:$I$2001,0),"")</ns0:f>
        <ns0:v/>
      </ns0:c>
    </ns0:row>
    <ns0:row r="19" ht="21" customHeight="1">
      <ns0:c r="A19" s="32" t="str">
        <ns0:f>IF($E19="","",INDEX('Banka Dökümü'!$A$2:$A$2001,$E19))</ns0:f>
        <ns0:v/>
      </ns0:c>
      <ns0:c r="B19" s="28" t="str">
        <ns0:f>IF($E19="","",INDEX('Banka Dökümü'!$B$2:$B$2001,$E19))</ns0:f>
        <ns0:v/>
      </ns0:c>
      <ns0:c r="C19" s="33" t="str">
        <ns0:f>IF($E19="","",INDEX('Banka Dökümü'!$C$2:$C$2001,$E19))</ns0:f>
        <ns0:v/>
      </ns0:c>
      <ns0:c r="D19" s="28" t="str">
        <ns0:f>IF(E19="","","Müşteri adı / aranacak ad / il bilgisini kontrol edin")</ns0:f>
        <ns0:v/>
      </ns0:c>
      <ns0:c r="E19" s="28" t="str">
        <ns0:f>IFERROR(MATCH(15,'Banka Dökümü'!$I$2:$I$2001,0),"")</ns0:f>
        <ns0:v/>
      </ns0:c>
    </ns0:row>
    <ns0:row r="20" ht="21" customHeight="1">
      <ns0:c r="A20" s="32" t="str">
        <ns0:f>IF($E20="","",INDEX('Banka Dökümü'!$A$2:$A$2001,$E20))</ns0:f>
        <ns0:v/>
      </ns0:c>
      <ns0:c r="B20" s="28" t="str">
        <ns0:f>IF($E20="","",INDEX('Banka Dökümü'!$B$2:$B$2001,$E20))</ns0:f>
        <ns0:v/>
      </ns0:c>
      <ns0:c r="C20" s="33" t="str">
        <ns0:f>IF($E20="","",INDEX('Banka Dökümü'!$C$2:$C$2001,$E20))</ns0:f>
        <ns0:v/>
      </ns0:c>
      <ns0:c r="D20" s="28" t="str">
        <ns0:f>IF(E20="","","Müşteri adı / aranacak ad / il bilgisini kontrol edin")</ns0:f>
        <ns0:v/>
      </ns0:c>
      <ns0:c r="E20" s="28" t="str">
        <ns0:f>IFERROR(MATCH(16,'Banka Dökümü'!$I$2:$I$2001,0),"")</ns0:f>
        <ns0:v/>
      </ns0:c>
    </ns0:row>
    <ns0:row r="21" ht="21" customHeight="1">
      <ns0:c r="A21" s="32" t="str">
        <ns0:f>IF($E21="","",INDEX('Banka Dökümü'!$A$2:$A$2001,$E21))</ns0:f>
        <ns0:v/>
      </ns0:c>
      <ns0:c r="B21" s="28" t="str">
        <ns0:f>IF($E21="","",INDEX('Banka Dökümü'!$B$2:$B$2001,$E21))</ns0:f>
        <ns0:v/>
      </ns0:c>
      <ns0:c r="C21" s="33" t="str">
        <ns0:f>IF($E21="","",INDEX('Banka Dökümü'!$C$2:$C$2001,$E21))</ns0:f>
        <ns0:v/>
      </ns0:c>
      <ns0:c r="D21" s="28" t="str">
        <ns0:f>IF(E21="","","Müşteri adı / aranacak ad / il bilgisini kontrol edin")</ns0:f>
        <ns0:v/>
      </ns0:c>
      <ns0:c r="E21" s="28" t="str">
        <ns0:f>IFERROR(MATCH(17,'Banka Dökümü'!$I$2:$I$2001,0),"")</ns0:f>
        <ns0:v/>
      </ns0:c>
    </ns0:row>
    <ns0:row r="22" ht="21" customHeight="1">
      <ns0:c r="A22" s="32" t="str">
        <ns0:f>IF($E22="","",INDEX('Banka Dökümü'!$A$2:$A$2001,$E22))</ns0:f>
        <ns0:v/>
      </ns0:c>
      <ns0:c r="B22" s="28" t="str">
        <ns0:f>IF($E22="","",INDEX('Banka Dökümü'!$B$2:$B$2001,$E22))</ns0:f>
        <ns0:v/>
      </ns0:c>
      <ns0:c r="C22" s="33" t="str">
        <ns0:f>IF($E22="","",INDEX('Banka Dökümü'!$C$2:$C$2001,$E22))</ns0:f>
        <ns0:v/>
      </ns0:c>
      <ns0:c r="D22" s="28" t="str">
        <ns0:f>IF(E22="","","Müşteri adı / aranacak ad / il bilgisini kontrol edin")</ns0:f>
        <ns0:v/>
      </ns0:c>
      <ns0:c r="E22" s="28" t="str">
        <ns0:f>IFERROR(MATCH(18,'Banka Dökümü'!$I$2:$I$2001,0),"")</ns0:f>
        <ns0:v/>
      </ns0:c>
    </ns0:row>
    <ns0:row r="23" ht="21" customHeight="1">
      <ns0:c r="A23" s="32" t="str">
        <ns0:f>IF($E23="","",INDEX('Banka Dökümü'!$A$2:$A$2001,$E23))</ns0:f>
        <ns0:v/>
      </ns0:c>
      <ns0:c r="B23" s="28" t="str">
        <ns0:f>IF($E23="","",INDEX('Banka Dökümü'!$B$2:$B$2001,$E23))</ns0:f>
        <ns0:v/>
      </ns0:c>
      <ns0:c r="C23" s="33" t="str">
        <ns0:f>IF($E23="","",INDEX('Banka Dökümü'!$C$2:$C$2001,$E23))</ns0:f>
        <ns0:v/>
      </ns0:c>
      <ns0:c r="D23" s="28" t="str">
        <ns0:f>IF(E23="","","Müşteri adı / aranacak ad / il bilgisini kontrol edin")</ns0:f>
        <ns0:v/>
      </ns0:c>
      <ns0:c r="E23" s="28" t="str">
        <ns0:f>IFERROR(MATCH(19,'Banka Dökümü'!$I$2:$I$2001,0),"")</ns0:f>
        <ns0:v/>
      </ns0:c>
    </ns0:row>
    <ns0:row r="24" ht="21" customHeight="1">
      <ns0:c r="A24" s="32" t="str">
        <ns0:f>IF($E24="","",INDEX('Banka Dökümü'!$A$2:$A$2001,$E24))</ns0:f>
        <ns0:v/>
      </ns0:c>
      <ns0:c r="B24" s="28" t="str">
        <ns0:f>IF($E24="","",INDEX('Banka Dökümü'!$B$2:$B$2001,$E24))</ns0:f>
        <ns0:v/>
      </ns0:c>
      <ns0:c r="C24" s="33" t="str">
        <ns0:f>IF($E24="","",INDEX('Banka Dökümü'!$C$2:$C$2001,$E24))</ns0:f>
        <ns0:v/>
      </ns0:c>
      <ns0:c r="D24" s="28" t="str">
        <ns0:f>IF(E24="","","Müşteri adı / aranacak ad / il bilgisini kontrol edin")</ns0:f>
        <ns0:v/>
      </ns0:c>
      <ns0:c r="E24" s="28" t="str">
        <ns0:f>IFERROR(MATCH(20,'Banka Dökümü'!$I$2:$I$2001,0),"")</ns0:f>
        <ns0:v/>
      </ns0:c>
    </ns0:row>
    <ns0:row r="25" ht="21" customHeight="1">
      <ns0:c r="A25" s="32" t="str">
        <ns0:f>IF($E25="","",INDEX('Banka Dökümü'!$A$2:$A$2001,$E25))</ns0:f>
        <ns0:v/>
      </ns0:c>
      <ns0:c r="B25" s="28" t="str">
        <ns0:f>IF($E25="","",INDEX('Banka Dökümü'!$B$2:$B$2001,$E25))</ns0:f>
        <ns0:v/>
      </ns0:c>
      <ns0:c r="C25" s="33" t="str">
        <ns0:f>IF($E25="","",INDEX('Banka Dökümü'!$C$2:$C$2001,$E25))</ns0:f>
        <ns0:v/>
      </ns0:c>
      <ns0:c r="D25" s="28" t="str">
        <ns0:f>IF(E25="","","Müşteri adı / aranacak ad / il bilgisini kontrol edin")</ns0:f>
        <ns0:v/>
      </ns0:c>
      <ns0:c r="E25" s="28" t="str">
        <ns0:f>IFERROR(MATCH(21,'Banka Dökümü'!$I$2:$I$2001,0),"")</ns0:f>
        <ns0:v/>
      </ns0:c>
    </ns0:row>
    <ns0:row r="26" ht="21" customHeight="1">
      <ns0:c r="A26" s="32" t="str">
        <ns0:f>IF($E26="","",INDEX('Banka Dökümü'!$A$2:$A$2001,$E26))</ns0:f>
        <ns0:v/>
      </ns0:c>
      <ns0:c r="B26" s="28" t="str">
        <ns0:f>IF($E26="","",INDEX('Banka Dökümü'!$B$2:$B$2001,$E26))</ns0:f>
        <ns0:v/>
      </ns0:c>
      <ns0:c r="C26" s="33" t="str">
        <ns0:f>IF($E26="","",INDEX('Banka Dökümü'!$C$2:$C$2001,$E26))</ns0:f>
        <ns0:v/>
      </ns0:c>
      <ns0:c r="D26" s="28" t="str">
        <ns0:f>IF(E26="","","Müşteri adı / aranacak ad / il bilgisini kontrol edin")</ns0:f>
        <ns0:v/>
      </ns0:c>
      <ns0:c r="E26" s="28" t="str">
        <ns0:f>IFERROR(MATCH(22,'Banka Dökümü'!$I$2:$I$2001,0),"")</ns0:f>
        <ns0:v/>
      </ns0:c>
    </ns0:row>
    <ns0:row r="27" ht="21" customHeight="1">
      <ns0:c r="A27" s="32" t="str">
        <ns0:f>IF($E27="","",INDEX('Banka Dökümü'!$A$2:$A$2001,$E27))</ns0:f>
        <ns0:v/>
      </ns0:c>
      <ns0:c r="B27" s="28" t="str">
        <ns0:f>IF($E27="","",INDEX('Banka Dökümü'!$B$2:$B$2001,$E27))</ns0:f>
        <ns0:v/>
      </ns0:c>
      <ns0:c r="C27" s="33" t="str">
        <ns0:f>IF($E27="","",INDEX('Banka Dökümü'!$C$2:$C$2001,$E27))</ns0:f>
        <ns0:v/>
      </ns0:c>
      <ns0:c r="D27" s="28" t="str">
        <ns0:f>IF(E27="","","Müşteri adı / aranacak ad / il bilgisini kontrol edin")</ns0:f>
        <ns0:v/>
      </ns0:c>
      <ns0:c r="E27" s="28" t="str">
        <ns0:f>IFERROR(MATCH(23,'Banka Dökümü'!$I$2:$I$2001,0),"")</ns0:f>
        <ns0:v/>
      </ns0:c>
    </ns0:row>
    <ns0:row r="28" ht="21" customHeight="1">
      <ns0:c r="A28" s="32" t="str">
        <ns0:f>IF($E28="","",INDEX('Banka Dökümü'!$A$2:$A$2001,$E28))</ns0:f>
        <ns0:v/>
      </ns0:c>
      <ns0:c r="B28" s="28" t="str">
        <ns0:f>IF($E28="","",INDEX('Banka Dökümü'!$B$2:$B$2001,$E28))</ns0:f>
        <ns0:v/>
      </ns0:c>
      <ns0:c r="C28" s="33" t="str">
        <ns0:f>IF($E28="","",INDEX('Banka Dökümü'!$C$2:$C$2001,$E28))</ns0:f>
        <ns0:v/>
      </ns0:c>
      <ns0:c r="D28" s="28" t="str">
        <ns0:f>IF(E28="","","Müşteri adı / aranacak ad / il bilgisini kontrol edin")</ns0:f>
        <ns0:v/>
      </ns0:c>
      <ns0:c r="E28" s="28" t="str">
        <ns0:f>IFERROR(MATCH(24,'Banka Dökümü'!$I$2:$I$2001,0),"")</ns0:f>
        <ns0:v/>
      </ns0:c>
    </ns0:row>
    <ns0:row r="29" ht="21" customHeight="1">
      <ns0:c r="A29" s="32" t="str">
        <ns0:f>IF($E29="","",INDEX('Banka Dökümü'!$A$2:$A$2001,$E29))</ns0:f>
        <ns0:v/>
      </ns0:c>
      <ns0:c r="B29" s="28" t="str">
        <ns0:f>IF($E29="","",INDEX('Banka Dökümü'!$B$2:$B$2001,$E29))</ns0:f>
        <ns0:v/>
      </ns0:c>
      <ns0:c r="C29" s="33" t="str">
        <ns0:f>IF($E29="","",INDEX('Banka Dökümü'!$C$2:$C$2001,$E29))</ns0:f>
        <ns0:v/>
      </ns0:c>
      <ns0:c r="D29" s="28" t="str">
        <ns0:f>IF(E29="","","Müşteri adı / aranacak ad / il bilgisini kontrol edin")</ns0:f>
        <ns0:v/>
      </ns0:c>
      <ns0:c r="E29" s="28" t="str">
        <ns0:f>IFERROR(MATCH(25,'Banka Dökümü'!$I$2:$I$2001,0),"")</ns0:f>
        <ns0:v/>
      </ns0:c>
    </ns0:row>
    <ns0:row r="30" ht="21" customHeight="1">
      <ns0:c r="A30" s="32" t="str">
        <ns0:f>IF($E30="","",INDEX('Banka Dökümü'!$A$2:$A$2001,$E30))</ns0:f>
        <ns0:v/>
      </ns0:c>
      <ns0:c r="B30" s="28" t="str">
        <ns0:f>IF($E30="","",INDEX('Banka Dökümü'!$B$2:$B$2001,$E30))</ns0:f>
        <ns0:v/>
      </ns0:c>
      <ns0:c r="C30" s="33" t="str">
        <ns0:f>IF($E30="","",INDEX('Banka Dökümü'!$C$2:$C$2001,$E30))</ns0:f>
        <ns0:v/>
      </ns0:c>
      <ns0:c r="D30" s="28" t="str">
        <ns0:f>IF(E30="","","Müşteri adı / aranacak ad / il bilgisini kontrol edin")</ns0:f>
        <ns0:v/>
      </ns0:c>
      <ns0:c r="E30" s="28" t="str">
        <ns0:f>IFERROR(MATCH(26,'Banka Dökümü'!$I$2:$I$2001,0),"")</ns0:f>
        <ns0:v/>
      </ns0:c>
    </ns0:row>
    <ns0:row r="31" ht="21" customHeight="1">
      <ns0:c r="A31" s="32" t="str">
        <ns0:f>IF($E31="","",INDEX('Banka Dökümü'!$A$2:$A$2001,$E31))</ns0:f>
        <ns0:v/>
      </ns0:c>
      <ns0:c r="B31" s="28" t="str">
        <ns0:f>IF($E31="","",INDEX('Banka Dökümü'!$B$2:$B$2001,$E31))</ns0:f>
        <ns0:v/>
      </ns0:c>
      <ns0:c r="C31" s="33" t="str">
        <ns0:f>IF($E31="","",INDEX('Banka Dökümü'!$C$2:$C$2001,$E31))</ns0:f>
        <ns0:v/>
      </ns0:c>
      <ns0:c r="D31" s="28" t="str">
        <ns0:f>IF(E31="","","Müşteri adı / aranacak ad / il bilgisini kontrol edin")</ns0:f>
        <ns0:v/>
      </ns0:c>
      <ns0:c r="E31" s="28" t="str">
        <ns0:f>IFERROR(MATCH(27,'Banka Dökümü'!$I$2:$I$2001,0),"")</ns0:f>
        <ns0:v/>
      </ns0:c>
    </ns0:row>
    <ns0:row r="32" ht="21" customHeight="1">
      <ns0:c r="A32" s="32" t="str">
        <ns0:f>IF($E32="","",INDEX('Banka Dökümü'!$A$2:$A$2001,$E32))</ns0:f>
        <ns0:v/>
      </ns0:c>
      <ns0:c r="B32" s="28" t="str">
        <ns0:f>IF($E32="","",INDEX('Banka Dökümü'!$B$2:$B$2001,$E32))</ns0:f>
        <ns0:v/>
      </ns0:c>
      <ns0:c r="C32" s="33" t="str">
        <ns0:f>IF($E32="","",INDEX('Banka Dökümü'!$C$2:$C$2001,$E32))</ns0:f>
        <ns0:v/>
      </ns0:c>
      <ns0:c r="D32" s="28" t="str">
        <ns0:f>IF(E32="","","Müşteri adı / aranacak ad / il bilgisini kontrol edin")</ns0:f>
        <ns0:v/>
      </ns0:c>
      <ns0:c r="E32" s="28" t="str">
        <ns0:f>IFERROR(MATCH(28,'Banka Dökümü'!$I$2:$I$2001,0),"")</ns0:f>
        <ns0:v/>
      </ns0:c>
    </ns0:row>
    <ns0:row r="33" ht="21" customHeight="1">
      <ns0:c r="A33" s="32" t="str">
        <ns0:f>IF($E33="","",INDEX('Banka Dökümü'!$A$2:$A$2001,$E33))</ns0:f>
        <ns0:v/>
      </ns0:c>
      <ns0:c r="B33" s="28" t="str">
        <ns0:f>IF($E33="","",INDEX('Banka Dökümü'!$B$2:$B$2001,$E33))</ns0:f>
        <ns0:v/>
      </ns0:c>
      <ns0:c r="C33" s="33" t="str">
        <ns0:f>IF($E33="","",INDEX('Banka Dökümü'!$C$2:$C$2001,$E33))</ns0:f>
        <ns0:v/>
      </ns0:c>
      <ns0:c r="D33" s="28" t="str">
        <ns0:f>IF(E33="","","Müşteri adı / aranacak ad / il bilgisini kontrol edin")</ns0:f>
        <ns0:v/>
      </ns0:c>
      <ns0:c r="E33" s="28" t="str">
        <ns0:f>IFERROR(MATCH(29,'Banka Dökümü'!$I$2:$I$2001,0),"")</ns0:f>
        <ns0:v/>
      </ns0:c>
    </ns0:row>
    <ns0:row r="34" ht="21" customHeight="1">
      <ns0:c r="A34" s="32" t="str">
        <ns0:f>IF($E34="","",INDEX('Banka Dökümü'!$A$2:$A$2001,$E34))</ns0:f>
        <ns0:v/>
      </ns0:c>
      <ns0:c r="B34" s="28" t="str">
        <ns0:f>IF($E34="","",INDEX('Banka Dökümü'!$B$2:$B$2001,$E34))</ns0:f>
        <ns0:v/>
      </ns0:c>
      <ns0:c r="C34" s="33" t="str">
        <ns0:f>IF($E34="","",INDEX('Banka Dökümü'!$C$2:$C$2001,$E34))</ns0:f>
        <ns0:v/>
      </ns0:c>
      <ns0:c r="D34" s="28" t="str">
        <ns0:f>IF(E34="","","Müşteri adı / aranacak ad / il bilgisini kontrol edin")</ns0:f>
        <ns0:v/>
      </ns0:c>
      <ns0:c r="E34" s="28" t="str">
        <ns0:f>IFERROR(MATCH(30,'Banka Dökümü'!$I$2:$I$2001,0),"")</ns0:f>
        <ns0:v/>
      </ns0:c>
    </ns0:row>
    <ns0:row r="35" ht="21" customHeight="1">
      <ns0:c r="A35" s="32" t="str">
        <ns0:f>IF($E35="","",INDEX('Banka Dökümü'!$A$2:$A$2001,$E35))</ns0:f>
        <ns0:v/>
      </ns0:c>
      <ns0:c r="B35" s="28" t="str">
        <ns0:f>IF($E35="","",INDEX('Banka Dökümü'!$B$2:$B$2001,$E35))</ns0:f>
        <ns0:v/>
      </ns0:c>
      <ns0:c r="C35" s="33" t="str">
        <ns0:f>IF($E35="","",INDEX('Banka Dökümü'!$C$2:$C$2001,$E35))</ns0:f>
        <ns0:v/>
      </ns0:c>
      <ns0:c r="D35" s="28" t="str">
        <ns0:f>IF(E35="","","Müşteri adı / aranacak ad / il bilgisini kontrol edin")</ns0:f>
        <ns0:v/>
      </ns0:c>
      <ns0:c r="E35" s="28" t="str">
        <ns0:f>IFERROR(MATCH(31,'Banka Dökümü'!$I$2:$I$2001,0),"")</ns0:f>
        <ns0:v/>
      </ns0:c>
    </ns0:row>
    <ns0:row r="36" ht="21" customHeight="1">
      <ns0:c r="A36" s="32" t="str">
        <ns0:f>IF($E36="","",INDEX('Banka Dökümü'!$A$2:$A$2001,$E36))</ns0:f>
        <ns0:v/>
      </ns0:c>
      <ns0:c r="B36" s="28" t="str">
        <ns0:f>IF($E36="","",INDEX('Banka Dökümü'!$B$2:$B$2001,$E36))</ns0:f>
        <ns0:v/>
      </ns0:c>
      <ns0:c r="C36" s="33" t="str">
        <ns0:f>IF($E36="","",INDEX('Banka Dökümü'!$C$2:$C$2001,$E36))</ns0:f>
        <ns0:v/>
      </ns0:c>
      <ns0:c r="D36" s="28" t="str">
        <ns0:f>IF(E36="","","Müşteri adı / aranacak ad / il bilgisini kontrol edin")</ns0:f>
        <ns0:v/>
      </ns0:c>
      <ns0:c r="E36" s="28" t="str">
        <ns0:f>IFERROR(MATCH(32,'Banka Dökümü'!$I$2:$I$2001,0),"")</ns0:f>
        <ns0:v/>
      </ns0:c>
    </ns0:row>
    <ns0:row r="37" ht="21" customHeight="1">
      <ns0:c r="A37" s="32" t="str">
        <ns0:f>IF($E37="","",INDEX('Banka Dökümü'!$A$2:$A$2001,$E37))</ns0:f>
        <ns0:v/>
      </ns0:c>
      <ns0:c r="B37" s="28" t="str">
        <ns0:f>IF($E37="","",INDEX('Banka Dökümü'!$B$2:$B$2001,$E37))</ns0:f>
        <ns0:v/>
      </ns0:c>
      <ns0:c r="C37" s="33" t="str">
        <ns0:f>IF($E37="","",INDEX('Banka Dökümü'!$C$2:$C$2001,$E37))</ns0:f>
        <ns0:v/>
      </ns0:c>
      <ns0:c r="D37" s="28" t="str">
        <ns0:f>IF(E37="","","Müşteri adı / aranacak ad / il bilgisini kontrol edin")</ns0:f>
        <ns0:v/>
      </ns0:c>
      <ns0:c r="E37" s="28" t="str">
        <ns0:f>IFERROR(MATCH(33,'Banka Dökümü'!$I$2:$I$2001,0),"")</ns0:f>
        <ns0:v/>
      </ns0:c>
    </ns0:row>
    <ns0:row r="38" ht="21" customHeight="1">
      <ns0:c r="A38" s="32" t="str">
        <ns0:f>IF($E38="","",INDEX('Banka Dökümü'!$A$2:$A$2001,$E38))</ns0:f>
        <ns0:v/>
      </ns0:c>
      <ns0:c r="B38" s="28" t="str">
        <ns0:f>IF($E38="","",INDEX('Banka Dökümü'!$B$2:$B$2001,$E38))</ns0:f>
        <ns0:v/>
      </ns0:c>
      <ns0:c r="C38" s="33" t="str">
        <ns0:f>IF($E38="","",INDEX('Banka Dökümü'!$C$2:$C$2001,$E38))</ns0:f>
        <ns0:v/>
      </ns0:c>
      <ns0:c r="D38" s="28" t="str">
        <ns0:f>IF(E38="","","Müşteri adı / aranacak ad / il bilgisini kontrol edin")</ns0:f>
        <ns0:v/>
      </ns0:c>
      <ns0:c r="E38" s="28" t="str">
        <ns0:f>IFERROR(MATCH(34,'Banka Dökümü'!$I$2:$I$2001,0),"")</ns0:f>
        <ns0:v/>
      </ns0:c>
    </ns0:row>
    <ns0:row r="39" ht="21" customHeight="1">
      <ns0:c r="A39" s="32" t="str">
        <ns0:f>IF($E39="","",INDEX('Banka Dökümü'!$A$2:$A$2001,$E39))</ns0:f>
        <ns0:v/>
      </ns0:c>
      <ns0:c r="B39" s="28" t="str">
        <ns0:f>IF($E39="","",INDEX('Banka Dökümü'!$B$2:$B$2001,$E39))</ns0:f>
        <ns0:v/>
      </ns0:c>
      <ns0:c r="C39" s="33" t="str">
        <ns0:f>IF($E39="","",INDEX('Banka Dökümü'!$C$2:$C$2001,$E39))</ns0:f>
        <ns0:v/>
      </ns0:c>
      <ns0:c r="D39" s="28" t="str">
        <ns0:f>IF(E39="","","Müşteri adı / aranacak ad / il bilgisini kontrol edin")</ns0:f>
        <ns0:v/>
      </ns0:c>
      <ns0:c r="E39" s="28" t="str">
        <ns0:f>IFERROR(MATCH(35,'Banka Dökümü'!$I$2:$I$2001,0),"")</ns0:f>
        <ns0:v/>
      </ns0:c>
    </ns0:row>
    <ns0:row r="40" ht="21" customHeight="1">
      <ns0:c r="A40" s="32" t="str">
        <ns0:f>IF($E40="","",INDEX('Banka Dökümü'!$A$2:$A$2001,$E40))</ns0:f>
        <ns0:v/>
      </ns0:c>
      <ns0:c r="B40" s="28" t="str">
        <ns0:f>IF($E40="","",INDEX('Banka Dökümü'!$B$2:$B$2001,$E40))</ns0:f>
        <ns0:v/>
      </ns0:c>
      <ns0:c r="C40" s="33" t="str">
        <ns0:f>IF($E40="","",INDEX('Banka Dökümü'!$C$2:$C$2001,$E40))</ns0:f>
        <ns0:v/>
      </ns0:c>
      <ns0:c r="D40" s="28" t="str">
        <ns0:f>IF(E40="","","Müşteri adı / aranacak ad / il bilgisini kontrol edin")</ns0:f>
        <ns0:v/>
      </ns0:c>
      <ns0:c r="E40" s="28" t="str">
        <ns0:f>IFERROR(MATCH(36,'Banka Dökümü'!$I$2:$I$2001,0),"")</ns0:f>
        <ns0:v/>
      </ns0:c>
    </ns0:row>
    <ns0:row r="41" ht="21" customHeight="1">
      <ns0:c r="A41" s="32" t="str">
        <ns0:f>IF($E41="","",INDEX('Banka Dökümü'!$A$2:$A$2001,$E41))</ns0:f>
        <ns0:v/>
      </ns0:c>
      <ns0:c r="B41" s="28" t="str">
        <ns0:f>IF($E41="","",INDEX('Banka Dökümü'!$B$2:$B$2001,$E41))</ns0:f>
        <ns0:v/>
      </ns0:c>
      <ns0:c r="C41" s="33" t="str">
        <ns0:f>IF($E41="","",INDEX('Banka Dökümü'!$C$2:$C$2001,$E41))</ns0:f>
        <ns0:v/>
      </ns0:c>
      <ns0:c r="D41" s="28" t="str">
        <ns0:f>IF(E41="","","Müşteri adı / aranacak ad / il bilgisini kontrol edin")</ns0:f>
        <ns0:v/>
      </ns0:c>
      <ns0:c r="E41" s="28" t="str">
        <ns0:f>IFERROR(MATCH(37,'Banka Dökümü'!$I$2:$I$2001,0),"")</ns0:f>
        <ns0:v/>
      </ns0:c>
    </ns0:row>
    <ns0:row r="42" ht="21" customHeight="1">
      <ns0:c r="A42" s="32" t="str">
        <ns0:f>IF($E42="","",INDEX('Banka Dökümü'!$A$2:$A$2001,$E42))</ns0:f>
        <ns0:v/>
      </ns0:c>
      <ns0:c r="B42" s="28" t="str">
        <ns0:f>IF($E42="","",INDEX('Banka Dökümü'!$B$2:$B$2001,$E42))</ns0:f>
        <ns0:v/>
      </ns0:c>
      <ns0:c r="C42" s="33" t="str">
        <ns0:f>IF($E42="","",INDEX('Banka Dökümü'!$C$2:$C$2001,$E42))</ns0:f>
        <ns0:v/>
      </ns0:c>
      <ns0:c r="D42" s="28" t="str">
        <ns0:f>IF(E42="","","Müşteri adı / aranacak ad / il bilgisini kontrol edin")</ns0:f>
        <ns0:v/>
      </ns0:c>
      <ns0:c r="E42" s="28" t="str">
        <ns0:f>IFERROR(MATCH(38,'Banka Dökümü'!$I$2:$I$2001,0),"")</ns0:f>
        <ns0:v/>
      </ns0:c>
    </ns0:row>
    <ns0:row r="43" ht="21" customHeight="1">
      <ns0:c r="A43" s="32" t="str">
        <ns0:f>IF($E43="","",INDEX('Banka Dökümü'!$A$2:$A$2001,$E43))</ns0:f>
        <ns0:v/>
      </ns0:c>
      <ns0:c r="B43" s="28" t="str">
        <ns0:f>IF($E43="","",INDEX('Banka Dökümü'!$B$2:$B$2001,$E43))</ns0:f>
        <ns0:v/>
      </ns0:c>
      <ns0:c r="C43" s="33" t="str">
        <ns0:f>IF($E43="","",INDEX('Banka Dökümü'!$C$2:$C$2001,$E43))</ns0:f>
        <ns0:v/>
      </ns0:c>
      <ns0:c r="D43" s="28" t="str">
        <ns0:f>IF(E43="","","Müşteri adı / aranacak ad / il bilgisini kontrol edin")</ns0:f>
        <ns0:v/>
      </ns0:c>
      <ns0:c r="E43" s="28" t="str">
        <ns0:f>IFERROR(MATCH(39,'Banka Dökümü'!$I$2:$I$2001,0),"")</ns0:f>
        <ns0:v/>
      </ns0:c>
    </ns0:row>
    <ns0:row r="44" ht="21" customHeight="1">
      <ns0:c r="A44" s="32" t="str">
        <ns0:f>IF($E44="","",INDEX('Banka Dökümü'!$A$2:$A$2001,$E44))</ns0:f>
        <ns0:v/>
      </ns0:c>
      <ns0:c r="B44" s="28" t="str">
        <ns0:f>IF($E44="","",INDEX('Banka Dökümü'!$B$2:$B$2001,$E44))</ns0:f>
        <ns0:v/>
      </ns0:c>
      <ns0:c r="C44" s="33" t="str">
        <ns0:f>IF($E44="","",INDEX('Banka Dökümü'!$C$2:$C$2001,$E44))</ns0:f>
        <ns0:v/>
      </ns0:c>
      <ns0:c r="D44" s="28" t="str">
        <ns0:f>IF(E44="","","Müşteri adı / aranacak ad / il bilgisini kontrol edin")</ns0:f>
        <ns0:v/>
      </ns0:c>
      <ns0:c r="E44" s="28" t="str">
        <ns0:f>IFERROR(MATCH(40,'Banka Dökümü'!$I$2:$I$2001,0),"")</ns0:f>
        <ns0:v/>
      </ns0:c>
    </ns0:row>
    <ns0:row r="45" ht="21" customHeight="1">
      <ns0:c r="A45" s="32" t="str">
        <ns0:f>IF($E45="","",INDEX('Banka Dökümü'!$A$2:$A$2001,$E45))</ns0:f>
        <ns0:v/>
      </ns0:c>
      <ns0:c r="B45" s="28" t="str">
        <ns0:f>IF($E45="","",INDEX('Banka Dökümü'!$B$2:$B$2001,$E45))</ns0:f>
        <ns0:v/>
      </ns0:c>
      <ns0:c r="C45" s="33" t="str">
        <ns0:f>IF($E45="","",INDEX('Banka Dökümü'!$C$2:$C$2001,$E45))</ns0:f>
        <ns0:v/>
      </ns0:c>
      <ns0:c r="D45" s="28" t="str">
        <ns0:f>IF(E45="","","Müşteri adı / aranacak ad / il bilgisini kontrol edin")</ns0:f>
        <ns0:v/>
      </ns0:c>
      <ns0:c r="E45" s="28" t="str">
        <ns0:f>IFERROR(MATCH(41,'Banka Dökümü'!$I$2:$I$2001,0),"")</ns0:f>
        <ns0:v/>
      </ns0:c>
    </ns0:row>
    <ns0:row r="46" ht="21" customHeight="1">
      <ns0:c r="A46" s="32" t="str">
        <ns0:f>IF($E46="","",INDEX('Banka Dökümü'!$A$2:$A$2001,$E46))</ns0:f>
        <ns0:v/>
      </ns0:c>
      <ns0:c r="B46" s="28" t="str">
        <ns0:f>IF($E46="","",INDEX('Banka Dökümü'!$B$2:$B$2001,$E46))</ns0:f>
        <ns0:v/>
      </ns0:c>
      <ns0:c r="C46" s="33" t="str">
        <ns0:f>IF($E46="","",INDEX('Banka Dökümü'!$C$2:$C$2001,$E46))</ns0:f>
        <ns0:v/>
      </ns0:c>
      <ns0:c r="D46" s="28" t="str">
        <ns0:f>IF(E46="","","Müşteri adı / aranacak ad / il bilgisini kontrol edin")</ns0:f>
        <ns0:v/>
      </ns0:c>
      <ns0:c r="E46" s="28" t="str">
        <ns0:f>IFERROR(MATCH(42,'Banka Dökümü'!$I$2:$I$2001,0),"")</ns0:f>
        <ns0:v/>
      </ns0:c>
    </ns0:row>
    <ns0:row r="47" ht="21" customHeight="1">
      <ns0:c r="A47" s="32" t="str">
        <ns0:f>IF($E47="","",INDEX('Banka Dökümü'!$A$2:$A$2001,$E47))</ns0:f>
        <ns0:v/>
      </ns0:c>
      <ns0:c r="B47" s="28" t="str">
        <ns0:f>IF($E47="","",INDEX('Banka Dökümü'!$B$2:$B$2001,$E47))</ns0:f>
        <ns0:v/>
      </ns0:c>
      <ns0:c r="C47" s="33" t="str">
        <ns0:f>IF($E47="","",INDEX('Banka Dökümü'!$C$2:$C$2001,$E47))</ns0:f>
        <ns0:v/>
      </ns0:c>
      <ns0:c r="D47" s="28" t="str">
        <ns0:f>IF(E47="","","Müşteri adı / aranacak ad / il bilgisini kontrol edin")</ns0:f>
        <ns0:v/>
      </ns0:c>
      <ns0:c r="E47" s="28" t="str">
        <ns0:f>IFERROR(MATCH(43,'Banka Dökümü'!$I$2:$I$2001,0),"")</ns0:f>
        <ns0:v/>
      </ns0:c>
    </ns0:row>
    <ns0:row r="48" ht="21" customHeight="1">
      <ns0:c r="A48" s="32" t="str">
        <ns0:f>IF($E48="","",INDEX('Banka Dökümü'!$A$2:$A$2001,$E48))</ns0:f>
        <ns0:v/>
      </ns0:c>
      <ns0:c r="B48" s="28" t="str">
        <ns0:f>IF($E48="","",INDEX('Banka Dökümü'!$B$2:$B$2001,$E48))</ns0:f>
        <ns0:v/>
      </ns0:c>
      <ns0:c r="C48" s="33" t="str">
        <ns0:f>IF($E48="","",INDEX('Banka Dökümü'!$C$2:$C$2001,$E48))</ns0:f>
        <ns0:v/>
      </ns0:c>
      <ns0:c r="D48" s="28" t="str">
        <ns0:f>IF(E48="","","Müşteri adı / aranacak ad / il bilgisini kontrol edin")</ns0:f>
        <ns0:v/>
      </ns0:c>
      <ns0:c r="E48" s="28" t="str">
        <ns0:f>IFERROR(MATCH(44,'Banka Dökümü'!$I$2:$I$2001,0),"")</ns0:f>
        <ns0:v/>
      </ns0:c>
    </ns0:row>
    <ns0:row r="49" ht="21" customHeight="1">
      <ns0:c r="A49" s="32" t="str">
        <ns0:f>IF($E49="","",INDEX('Banka Dökümü'!$A$2:$A$2001,$E49))</ns0:f>
        <ns0:v/>
      </ns0:c>
      <ns0:c r="B49" s="28" t="str">
        <ns0:f>IF($E49="","",INDEX('Banka Dökümü'!$B$2:$B$2001,$E49))</ns0:f>
        <ns0:v/>
      </ns0:c>
      <ns0:c r="C49" s="33" t="str">
        <ns0:f>IF($E49="","",INDEX('Banka Dökümü'!$C$2:$C$2001,$E49))</ns0:f>
        <ns0:v/>
      </ns0:c>
      <ns0:c r="D49" s="28" t="str">
        <ns0:f>IF(E49="","","Müşteri adı / aranacak ad / il bilgisini kontrol edin")</ns0:f>
        <ns0:v/>
      </ns0:c>
      <ns0:c r="E49" s="28" t="str">
        <ns0:f>IFERROR(MATCH(45,'Banka Dökümü'!$I$2:$I$2001,0),"")</ns0:f>
        <ns0:v/>
      </ns0:c>
    </ns0:row>
    <ns0:row r="50" ht="21" customHeight="1">
      <ns0:c r="A50" s="32" t="str">
        <ns0:f>IF($E50="","",INDEX('Banka Dökümü'!$A$2:$A$2001,$E50))</ns0:f>
        <ns0:v/>
      </ns0:c>
      <ns0:c r="B50" s="28" t="str">
        <ns0:f>IF($E50="","",INDEX('Banka Dökümü'!$B$2:$B$2001,$E50))</ns0:f>
        <ns0:v/>
      </ns0:c>
      <ns0:c r="C50" s="33" t="str">
        <ns0:f>IF($E50="","",INDEX('Banka Dökümü'!$C$2:$C$2001,$E50))</ns0:f>
        <ns0:v/>
      </ns0:c>
      <ns0:c r="D50" s="28" t="str">
        <ns0:f>IF(E50="","","Müşteri adı / aranacak ad / il bilgisini kontrol edin")</ns0:f>
        <ns0:v/>
      </ns0:c>
      <ns0:c r="E50" s="28" t="str">
        <ns0:f>IFERROR(MATCH(46,'Banka Dökümü'!$I$2:$I$2001,0),"")</ns0:f>
        <ns0:v/>
      </ns0:c>
    </ns0:row>
    <ns0:row r="51" ht="21" customHeight="1">
      <ns0:c r="A51" s="32" t="str">
        <ns0:f>IF($E51="","",INDEX('Banka Dökümü'!$A$2:$A$2001,$E51))</ns0:f>
        <ns0:v/>
      </ns0:c>
      <ns0:c r="B51" s="28" t="str">
        <ns0:f>IF($E51="","",INDEX('Banka Dökümü'!$B$2:$B$2001,$E51))</ns0:f>
        <ns0:v/>
      </ns0:c>
      <ns0:c r="C51" s="33" t="str">
        <ns0:f>IF($E51="","",INDEX('Banka Dökümü'!$C$2:$C$2001,$E51))</ns0:f>
        <ns0:v/>
      </ns0:c>
      <ns0:c r="D51" s="28" t="str">
        <ns0:f>IF(E51="","","Müşteri adı / aranacak ad / il bilgisini kontrol edin")</ns0:f>
        <ns0:v/>
      </ns0:c>
      <ns0:c r="E51" s="28" t="str">
        <ns0:f>IFERROR(MATCH(47,'Banka Dökümü'!$I$2:$I$2001,0),"")</ns0:f>
        <ns0:v/>
      </ns0:c>
    </ns0:row>
    <ns0:row r="52" ht="21" customHeight="1">
      <ns0:c r="A52" s="32" t="str">
        <ns0:f>IF($E52="","",INDEX('Banka Dökümü'!$A$2:$A$2001,$E52))</ns0:f>
        <ns0:v/>
      </ns0:c>
      <ns0:c r="B52" s="28" t="str">
        <ns0:f>IF($E52="","",INDEX('Banka Dökümü'!$B$2:$B$2001,$E52))</ns0:f>
        <ns0:v/>
      </ns0:c>
      <ns0:c r="C52" s="33" t="str">
        <ns0:f>IF($E52="","",INDEX('Banka Dökümü'!$C$2:$C$2001,$E52))</ns0:f>
        <ns0:v/>
      </ns0:c>
      <ns0:c r="D52" s="28" t="str">
        <ns0:f>IF(E52="","","Müşteri adı / aranacak ad / il bilgisini kontrol edin")</ns0:f>
        <ns0:v/>
      </ns0:c>
      <ns0:c r="E52" s="28" t="str">
        <ns0:f>IFERROR(MATCH(48,'Banka Dökümü'!$I$2:$I$2001,0),"")</ns0:f>
        <ns0:v/>
      </ns0:c>
    </ns0:row>
    <ns0:row r="53" ht="21" customHeight="1">
      <ns0:c r="A53" s="32" t="str">
        <ns0:f>IF($E53="","",INDEX('Banka Dökümü'!$A$2:$A$2001,$E53))</ns0:f>
        <ns0:v/>
      </ns0:c>
      <ns0:c r="B53" s="28" t="str">
        <ns0:f>IF($E53="","",INDEX('Banka Dökümü'!$B$2:$B$2001,$E53))</ns0:f>
        <ns0:v/>
      </ns0:c>
      <ns0:c r="C53" s="33" t="str">
        <ns0:f>IF($E53="","",INDEX('Banka Dökümü'!$C$2:$C$2001,$E53))</ns0:f>
        <ns0:v/>
      </ns0:c>
      <ns0:c r="D53" s="28" t="str">
        <ns0:f>IF(E53="","","Müşteri adı / aranacak ad / il bilgisini kontrol edin")</ns0:f>
        <ns0:v/>
      </ns0:c>
      <ns0:c r="E53" s="28" t="str">
        <ns0:f>IFERROR(MATCH(49,'Banka Dökümü'!$I$2:$I$2001,0),"")</ns0:f>
        <ns0:v/>
      </ns0:c>
    </ns0:row>
    <ns0:row r="54" ht="21" customHeight="1">
      <ns0:c r="A54" s="32" t="str">
        <ns0:f>IF($E54="","",INDEX('Banka Dökümü'!$A$2:$A$2001,$E54))</ns0:f>
        <ns0:v/>
      </ns0:c>
      <ns0:c r="B54" s="28" t="str">
        <ns0:f>IF($E54="","",INDEX('Banka Dökümü'!$B$2:$B$2001,$E54))</ns0:f>
        <ns0:v/>
      </ns0:c>
      <ns0:c r="C54" s="33" t="str">
        <ns0:f>IF($E54="","",INDEX('Banka Dökümü'!$C$2:$C$2001,$E54))</ns0:f>
        <ns0:v/>
      </ns0:c>
      <ns0:c r="D54" s="28" t="str">
        <ns0:f>IF(E54="","","Müşteri adı / aranacak ad / il bilgisini kontrol edin")</ns0:f>
        <ns0:v/>
      </ns0:c>
      <ns0:c r="E54" s="28" t="str">
        <ns0:f>IFERROR(MATCH(50,'Banka Dökümü'!$I$2:$I$2001,0),"")</ns0:f>
        <ns0:v/>
      </ns0:c>
    </ns0:row>
    <ns0:row r="55" ht="21" customHeight="1">
      <ns0:c r="A55" s="32" t="str">
        <ns0:f>IF($E55="","",INDEX('Banka Dökümü'!$A$2:$A$2001,$E55))</ns0:f>
        <ns0:v/>
      </ns0:c>
      <ns0:c r="B55" s="28" t="str">
        <ns0:f>IF($E55="","",INDEX('Banka Dökümü'!$B$2:$B$2001,$E55))</ns0:f>
        <ns0:v/>
      </ns0:c>
      <ns0:c r="C55" s="33" t="str">
        <ns0:f>IF($E55="","",INDEX('Banka Dökümü'!$C$2:$C$2001,$E55))</ns0:f>
        <ns0:v/>
      </ns0:c>
      <ns0:c r="D55" s="28" t="str">
        <ns0:f>IF(E55="","","Müşteri adı / aranacak ad / il bilgisini kontrol edin")</ns0:f>
        <ns0:v/>
      </ns0:c>
      <ns0:c r="E55" s="28" t="str">
        <ns0:f>IFERROR(MATCH(51,'Banka Dökümü'!$I$2:$I$2001,0),"")</ns0:f>
        <ns0:v/>
      </ns0:c>
    </ns0:row>
    <ns0:row r="56" ht="21" customHeight="1">
      <ns0:c r="A56" s="32" t="str">
        <ns0:f>IF($E56="","",INDEX('Banka Dökümü'!$A$2:$A$2001,$E56))</ns0:f>
        <ns0:v/>
      </ns0:c>
      <ns0:c r="B56" s="28" t="str">
        <ns0:f>IF($E56="","",INDEX('Banka Dökümü'!$B$2:$B$2001,$E56))</ns0:f>
        <ns0:v/>
      </ns0:c>
      <ns0:c r="C56" s="33" t="str">
        <ns0:f>IF($E56="","",INDEX('Banka Dökümü'!$C$2:$C$2001,$E56))</ns0:f>
        <ns0:v/>
      </ns0:c>
      <ns0:c r="D56" s="28" t="str">
        <ns0:f>IF(E56="","","Müşteri adı / aranacak ad / il bilgisini kontrol edin")</ns0:f>
        <ns0:v/>
      </ns0:c>
      <ns0:c r="E56" s="28" t="str">
        <ns0:f>IFERROR(MATCH(52,'Banka Dökümü'!$I$2:$I$2001,0),"")</ns0:f>
        <ns0:v/>
      </ns0:c>
    </ns0:row>
    <ns0:row r="57" ht="21" customHeight="1">
      <ns0:c r="A57" s="32" t="str">
        <ns0:f>IF($E57="","",INDEX('Banka Dökümü'!$A$2:$A$2001,$E57))</ns0:f>
        <ns0:v/>
      </ns0:c>
      <ns0:c r="B57" s="28" t="str">
        <ns0:f>IF($E57="","",INDEX('Banka Dökümü'!$B$2:$B$2001,$E57))</ns0:f>
        <ns0:v/>
      </ns0:c>
      <ns0:c r="C57" s="33" t="str">
        <ns0:f>IF($E57="","",INDEX('Banka Dökümü'!$C$2:$C$2001,$E57))</ns0:f>
        <ns0:v/>
      </ns0:c>
      <ns0:c r="D57" s="28" t="str">
        <ns0:f>IF(E57="","","Müşteri adı / aranacak ad / il bilgisini kontrol edin")</ns0:f>
        <ns0:v/>
      </ns0:c>
      <ns0:c r="E57" s="28" t="str">
        <ns0:f>IFERROR(MATCH(53,'Banka Dökümü'!$I$2:$I$2001,0),"")</ns0:f>
        <ns0:v/>
      </ns0:c>
    </ns0:row>
    <ns0:row r="58" ht="21" customHeight="1">
      <ns0:c r="A58" s="32" t="str">
        <ns0:f>IF($E58="","",INDEX('Banka Dökümü'!$A$2:$A$2001,$E58))</ns0:f>
        <ns0:v/>
      </ns0:c>
      <ns0:c r="B58" s="28" t="str">
        <ns0:f>IF($E58="","",INDEX('Banka Dökümü'!$B$2:$B$2001,$E58))</ns0:f>
        <ns0:v/>
      </ns0:c>
      <ns0:c r="C58" s="33" t="str">
        <ns0:f>IF($E58="","",INDEX('Banka Dökümü'!$C$2:$C$2001,$E58))</ns0:f>
        <ns0:v/>
      </ns0:c>
      <ns0:c r="D58" s="28" t="str">
        <ns0:f>IF(E58="","","Müşteri adı / aranacak ad / il bilgisini kontrol edin")</ns0:f>
        <ns0:v/>
      </ns0:c>
      <ns0:c r="E58" s="28" t="str">
        <ns0:f>IFERROR(MATCH(54,'Banka Dökümü'!$I$2:$I$2001,0),"")</ns0:f>
        <ns0:v/>
      </ns0:c>
    </ns0:row>
    <ns0:row r="59" ht="21" customHeight="1">
      <ns0:c r="A59" s="32" t="str">
        <ns0:f>IF($E59="","",INDEX('Banka Dökümü'!$A$2:$A$2001,$E59))</ns0:f>
        <ns0:v/>
      </ns0:c>
      <ns0:c r="B59" s="28" t="str">
        <ns0:f>IF($E59="","",INDEX('Banka Dökümü'!$B$2:$B$2001,$E59))</ns0:f>
        <ns0:v/>
      </ns0:c>
      <ns0:c r="C59" s="33" t="str">
        <ns0:f>IF($E59="","",INDEX('Banka Dökümü'!$C$2:$C$2001,$E59))</ns0:f>
        <ns0:v/>
      </ns0:c>
      <ns0:c r="D59" s="28" t="str">
        <ns0:f>IF(E59="","","Müşteri adı / aranacak ad / il bilgisini kontrol edin")</ns0:f>
        <ns0:v/>
      </ns0:c>
      <ns0:c r="E59" s="28" t="str">
        <ns0:f>IFERROR(MATCH(55,'Banka Dökümü'!$I$2:$I$2001,0),"")</ns0:f>
        <ns0:v/>
      </ns0:c>
    </ns0:row>
    <ns0:row r="60" ht="21" customHeight="1">
      <ns0:c r="A60" s="32" t="str">
        <ns0:f>IF($E60="","",INDEX('Banka Dökümü'!$A$2:$A$2001,$E60))</ns0:f>
        <ns0:v/>
      </ns0:c>
      <ns0:c r="B60" s="28" t="str">
        <ns0:f>IF($E60="","",INDEX('Banka Dökümü'!$B$2:$B$2001,$E60))</ns0:f>
        <ns0:v/>
      </ns0:c>
      <ns0:c r="C60" s="33" t="str">
        <ns0:f>IF($E60="","",INDEX('Banka Dökümü'!$C$2:$C$2001,$E60))</ns0:f>
        <ns0:v/>
      </ns0:c>
      <ns0:c r="D60" s="28" t="str">
        <ns0:f>IF(E60="","","Müşteri adı / aranacak ad / il bilgisini kontrol edin")</ns0:f>
        <ns0:v/>
      </ns0:c>
      <ns0:c r="E60" s="28" t="str">
        <ns0:f>IFERROR(MATCH(56,'Banka Dökümü'!$I$2:$I$2001,0),"")</ns0:f>
        <ns0:v/>
      </ns0:c>
    </ns0:row>
    <ns0:row r="61" ht="21" customHeight="1">
      <ns0:c r="A61" s="32" t="str">
        <ns0:f>IF($E61="","",INDEX('Banka Dökümü'!$A$2:$A$2001,$E61))</ns0:f>
        <ns0:v/>
      </ns0:c>
      <ns0:c r="B61" s="28" t="str">
        <ns0:f>IF($E61="","",INDEX('Banka Dökümü'!$B$2:$B$2001,$E61))</ns0:f>
        <ns0:v/>
      </ns0:c>
      <ns0:c r="C61" s="33" t="str">
        <ns0:f>IF($E61="","",INDEX('Banka Dökümü'!$C$2:$C$2001,$E61))</ns0:f>
        <ns0:v/>
      </ns0:c>
      <ns0:c r="D61" s="28" t="str">
        <ns0:f>IF(E61="","","Müşteri adı / aranacak ad / il bilgisini kontrol edin")</ns0:f>
        <ns0:v/>
      </ns0:c>
      <ns0:c r="E61" s="28" t="str">
        <ns0:f>IFERROR(MATCH(57,'Banka Dökümü'!$I$2:$I$2001,0),"")</ns0:f>
        <ns0:v/>
      </ns0:c>
    </ns0:row>
    <ns0:row r="62" ht="21" customHeight="1">
      <ns0:c r="A62" s="32" t="str">
        <ns0:f>IF($E62="","",INDEX('Banka Dökümü'!$A$2:$A$2001,$E62))</ns0:f>
        <ns0:v/>
      </ns0:c>
      <ns0:c r="B62" s="28" t="str">
        <ns0:f>IF($E62="","",INDEX('Banka Dökümü'!$B$2:$B$2001,$E62))</ns0:f>
        <ns0:v/>
      </ns0:c>
      <ns0:c r="C62" s="33" t="str">
        <ns0:f>IF($E62="","",INDEX('Banka Dökümü'!$C$2:$C$2001,$E62))</ns0:f>
        <ns0:v/>
      </ns0:c>
      <ns0:c r="D62" s="28" t="str">
        <ns0:f>IF(E62="","","Müşteri adı / aranacak ad / il bilgisini kontrol edin")</ns0:f>
        <ns0:v/>
      </ns0:c>
      <ns0:c r="E62" s="28" t="str">
        <ns0:f>IFERROR(MATCH(58,'Banka Dökümü'!$I$2:$I$2001,0),"")</ns0:f>
        <ns0:v/>
      </ns0:c>
    </ns0:row>
    <ns0:row r="63" ht="21" customHeight="1">
      <ns0:c r="A63" s="32" t="str">
        <ns0:f>IF($E63="","",INDEX('Banka Dökümü'!$A$2:$A$2001,$E63))</ns0:f>
        <ns0:v/>
      </ns0:c>
      <ns0:c r="B63" s="28" t="str">
        <ns0:f>IF($E63="","",INDEX('Banka Dökümü'!$B$2:$B$2001,$E63))</ns0:f>
        <ns0:v/>
      </ns0:c>
      <ns0:c r="C63" s="33" t="str">
        <ns0:f>IF($E63="","",INDEX('Banka Dökümü'!$C$2:$C$2001,$E63))</ns0:f>
        <ns0:v/>
      </ns0:c>
      <ns0:c r="D63" s="28" t="str">
        <ns0:f>IF(E63="","","Müşteri adı / aranacak ad / il bilgisini kontrol edin")</ns0:f>
        <ns0:v/>
      </ns0:c>
      <ns0:c r="E63" s="28" t="str">
        <ns0:f>IFERROR(MATCH(59,'Banka Dökümü'!$I$2:$I$2001,0),"")</ns0:f>
        <ns0:v/>
      </ns0:c>
    </ns0:row>
    <ns0:row r="64" ht="21" customHeight="1">
      <ns0:c r="A64" s="32" t="str">
        <ns0:f>IF($E64="","",INDEX('Banka Dökümü'!$A$2:$A$2001,$E64))</ns0:f>
        <ns0:v/>
      </ns0:c>
      <ns0:c r="B64" s="28" t="str">
        <ns0:f>IF($E64="","",INDEX('Banka Dökümü'!$B$2:$B$2001,$E64))</ns0:f>
        <ns0:v/>
      </ns0:c>
      <ns0:c r="C64" s="33" t="str">
        <ns0:f>IF($E64="","",INDEX('Banka Dökümü'!$C$2:$C$2001,$E64))</ns0:f>
        <ns0:v/>
      </ns0:c>
      <ns0:c r="D64" s="28" t="str">
        <ns0:f>IF(E64="","","Müşteri adı / aranacak ad / il bilgisini kontrol edin")</ns0:f>
        <ns0:v/>
      </ns0:c>
      <ns0:c r="E64" s="28" t="str">
        <ns0:f>IFERROR(MATCH(60,'Banka Dökümü'!$I$2:$I$2001,0),"")</ns0:f>
        <ns0:v/>
      </ns0:c>
    </ns0:row>
    <ns0:row r="65" ht="21" customHeight="1">
      <ns0:c r="A65" s="32" t="str">
        <ns0:f>IF($E65="","",INDEX('Banka Dökümü'!$A$2:$A$2001,$E65))</ns0:f>
        <ns0:v/>
      </ns0:c>
      <ns0:c r="B65" s="28" t="str">
        <ns0:f>IF($E65="","",INDEX('Banka Dökümü'!$B$2:$B$2001,$E65))</ns0:f>
        <ns0:v/>
      </ns0:c>
      <ns0:c r="C65" s="33" t="str">
        <ns0:f>IF($E65="","",INDEX('Banka Dökümü'!$C$2:$C$2001,$E65))</ns0:f>
        <ns0:v/>
      </ns0:c>
      <ns0:c r="D65" s="28" t="str">
        <ns0:f>IF(E65="","","Müşteri adı / aranacak ad / il bilgisini kontrol edin")</ns0:f>
        <ns0:v/>
      </ns0:c>
      <ns0:c r="E65" s="28" t="str">
        <ns0:f>IFERROR(MATCH(61,'Banka Dökümü'!$I$2:$I$2001,0),"")</ns0:f>
        <ns0:v/>
      </ns0:c>
    </ns0:row>
    <ns0:row r="66" ht="21" customHeight="1">
      <ns0:c r="A66" s="32" t="str">
        <ns0:f>IF($E66="","",INDEX('Banka Dökümü'!$A$2:$A$2001,$E66))</ns0:f>
        <ns0:v/>
      </ns0:c>
      <ns0:c r="B66" s="28" t="str">
        <ns0:f>IF($E66="","",INDEX('Banka Dökümü'!$B$2:$B$2001,$E66))</ns0:f>
        <ns0:v/>
      </ns0:c>
      <ns0:c r="C66" s="33" t="str">
        <ns0:f>IF($E66="","",INDEX('Banka Dökümü'!$C$2:$C$2001,$E66))</ns0:f>
        <ns0:v/>
      </ns0:c>
      <ns0:c r="D66" s="28" t="str">
        <ns0:f>IF(E66="","","Müşteri adı / aranacak ad / il bilgisini kontrol edin")</ns0:f>
        <ns0:v/>
      </ns0:c>
      <ns0:c r="E66" s="28" t="str">
        <ns0:f>IFERROR(MATCH(62,'Banka Dökümü'!$I$2:$I$2001,0),"")</ns0:f>
        <ns0:v/>
      </ns0:c>
    </ns0:row>
    <ns0:row r="67" ht="21" customHeight="1">
      <ns0:c r="A67" s="32" t="str">
        <ns0:f>IF($E67="","",INDEX('Banka Dökümü'!$A$2:$A$2001,$E67))</ns0:f>
        <ns0:v/>
      </ns0:c>
      <ns0:c r="B67" s="28" t="str">
        <ns0:f>IF($E67="","",INDEX('Banka Dökümü'!$B$2:$B$2001,$E67))</ns0:f>
        <ns0:v/>
      </ns0:c>
      <ns0:c r="C67" s="33" t="str">
        <ns0:f>IF($E67="","",INDEX('Banka Dökümü'!$C$2:$C$2001,$E67))</ns0:f>
        <ns0:v/>
      </ns0:c>
      <ns0:c r="D67" s="28" t="str">
        <ns0:f>IF(E67="","","Müşteri adı / aranacak ad / il bilgisini kontrol edin")</ns0:f>
        <ns0:v/>
      </ns0:c>
      <ns0:c r="E67" s="28" t="str">
        <ns0:f>IFERROR(MATCH(63,'Banka Dökümü'!$I$2:$I$2001,0),"")</ns0:f>
        <ns0:v/>
      </ns0:c>
    </ns0:row>
    <ns0:row r="68" ht="21" customHeight="1">
      <ns0:c r="A68" s="32" t="str">
        <ns0:f>IF($E68="","",INDEX('Banka Dökümü'!$A$2:$A$2001,$E68))</ns0:f>
        <ns0:v/>
      </ns0:c>
      <ns0:c r="B68" s="28" t="str">
        <ns0:f>IF($E68="","",INDEX('Banka Dökümü'!$B$2:$B$2001,$E68))</ns0:f>
        <ns0:v/>
      </ns0:c>
      <ns0:c r="C68" s="33" t="str">
        <ns0:f>IF($E68="","",INDEX('Banka Dökümü'!$C$2:$C$2001,$E68))</ns0:f>
        <ns0:v/>
      </ns0:c>
      <ns0:c r="D68" s="28" t="str">
        <ns0:f>IF(E68="","","Müşteri adı / aranacak ad / il bilgisini kontrol edin")</ns0:f>
        <ns0:v/>
      </ns0:c>
      <ns0:c r="E68" s="28" t="str">
        <ns0:f>IFERROR(MATCH(64,'Banka Dökümü'!$I$2:$I$2001,0),"")</ns0:f>
        <ns0:v/>
      </ns0:c>
    </ns0:row>
    <ns0:row r="69" ht="21" customHeight="1">
      <ns0:c r="A69" s="32" t="str">
        <ns0:f>IF($E69="","",INDEX('Banka Dökümü'!$A$2:$A$2001,$E69))</ns0:f>
        <ns0:v/>
      </ns0:c>
      <ns0:c r="B69" s="28" t="str">
        <ns0:f>IF($E69="","",INDEX('Banka Dökümü'!$B$2:$B$2001,$E69))</ns0:f>
        <ns0:v/>
      </ns0:c>
      <ns0:c r="C69" s="33" t="str">
        <ns0:f>IF($E69="","",INDEX('Banka Dökümü'!$C$2:$C$2001,$E69))</ns0:f>
        <ns0:v/>
      </ns0:c>
      <ns0:c r="D69" s="28" t="str">
        <ns0:f>IF(E69="","","Müşteri adı / aranacak ad / il bilgisini kontrol edin")</ns0:f>
        <ns0:v/>
      </ns0:c>
      <ns0:c r="E69" s="28" t="str">
        <ns0:f>IFERROR(MATCH(65,'Banka Dökümü'!$I$2:$I$2001,0),"")</ns0:f>
        <ns0:v/>
      </ns0:c>
    </ns0:row>
    <ns0:row r="70" ht="21" customHeight="1">
      <ns0:c r="A70" s="32" t="str">
        <ns0:f>IF($E70="","",INDEX('Banka Dökümü'!$A$2:$A$2001,$E70))</ns0:f>
        <ns0:v/>
      </ns0:c>
      <ns0:c r="B70" s="28" t="str">
        <ns0:f>IF($E70="","",INDEX('Banka Dökümü'!$B$2:$B$2001,$E70))</ns0:f>
        <ns0:v/>
      </ns0:c>
      <ns0:c r="C70" s="33" t="str">
        <ns0:f>IF($E70="","",INDEX('Banka Dökümü'!$C$2:$C$2001,$E70))</ns0:f>
        <ns0:v/>
      </ns0:c>
      <ns0:c r="D70" s="28" t="str">
        <ns0:f>IF(E70="","","Müşteri adı / aranacak ad / il bilgisini kontrol edin")</ns0:f>
        <ns0:v/>
      </ns0:c>
      <ns0:c r="E70" s="28" t="str">
        <ns0:f>IFERROR(MATCH(66,'Banka Dökümü'!$I$2:$I$2001,0),"")</ns0:f>
        <ns0:v/>
      </ns0:c>
    </ns0:row>
    <ns0:row r="71" ht="21" customHeight="1">
      <ns0:c r="A71" s="32" t="str">
        <ns0:f>IF($E71="","",INDEX('Banka Dökümü'!$A$2:$A$2001,$E71))</ns0:f>
        <ns0:v/>
      </ns0:c>
      <ns0:c r="B71" s="28" t="str">
        <ns0:f>IF($E71="","",INDEX('Banka Dökümü'!$B$2:$B$2001,$E71))</ns0:f>
        <ns0:v/>
      </ns0:c>
      <ns0:c r="C71" s="33" t="str">
        <ns0:f>IF($E71="","",INDEX('Banka Dökümü'!$C$2:$C$2001,$E71))</ns0:f>
        <ns0:v/>
      </ns0:c>
      <ns0:c r="D71" s="28" t="str">
        <ns0:f>IF(E71="","","Müşteri adı / aranacak ad / il bilgisini kontrol edin")</ns0:f>
        <ns0:v/>
      </ns0:c>
      <ns0:c r="E71" s="28" t="str">
        <ns0:f>IFERROR(MATCH(67,'Banka Dökümü'!$I$2:$I$2001,0),"")</ns0:f>
        <ns0:v/>
      </ns0:c>
    </ns0:row>
    <ns0:row r="72" ht="21" customHeight="1">
      <ns0:c r="A72" s="32" t="str">
        <ns0:f>IF($E72="","",INDEX('Banka Dökümü'!$A$2:$A$2001,$E72))</ns0:f>
        <ns0:v/>
      </ns0:c>
      <ns0:c r="B72" s="28" t="str">
        <ns0:f>IF($E72="","",INDEX('Banka Dökümü'!$B$2:$B$2001,$E72))</ns0:f>
        <ns0:v/>
      </ns0:c>
      <ns0:c r="C72" s="33" t="str">
        <ns0:f>IF($E72="","",INDEX('Banka Dökümü'!$C$2:$C$2001,$E72))</ns0:f>
        <ns0:v/>
      </ns0:c>
      <ns0:c r="D72" s="28" t="str">
        <ns0:f>IF(E72="","","Müşteri adı / aranacak ad / il bilgisini kontrol edin")</ns0:f>
        <ns0:v/>
      </ns0:c>
      <ns0:c r="E72" s="28" t="str">
        <ns0:f>IFERROR(MATCH(68,'Banka Dökümü'!$I$2:$I$2001,0),"")</ns0:f>
        <ns0:v/>
      </ns0:c>
    </ns0:row>
    <ns0:row r="73" ht="21" customHeight="1">
      <ns0:c r="A73" s="32" t="str">
        <ns0:f>IF($E73="","",INDEX('Banka Dökümü'!$A$2:$A$2001,$E73))</ns0:f>
        <ns0:v/>
      </ns0:c>
      <ns0:c r="B73" s="28" t="str">
        <ns0:f>IF($E73="","",INDEX('Banka Dökümü'!$B$2:$B$2001,$E73))</ns0:f>
        <ns0:v/>
      </ns0:c>
      <ns0:c r="C73" s="33" t="str">
        <ns0:f>IF($E73="","",INDEX('Banka Dökümü'!$C$2:$C$2001,$E73))</ns0:f>
        <ns0:v/>
      </ns0:c>
      <ns0:c r="D73" s="28" t="str">
        <ns0:f>IF(E73="","","Müşteri adı / aranacak ad / il bilgisini kontrol edin")</ns0:f>
        <ns0:v/>
      </ns0:c>
      <ns0:c r="E73" s="28" t="str">
        <ns0:f>IFERROR(MATCH(69,'Banka Dökümü'!$I$2:$I$2001,0),"")</ns0:f>
        <ns0:v/>
      </ns0:c>
    </ns0:row>
    <ns0:row r="74" ht="21" customHeight="1">
      <ns0:c r="A74" s="32" t="str">
        <ns0:f>IF($E74="","",INDEX('Banka Dökümü'!$A$2:$A$2001,$E74))</ns0:f>
        <ns0:v/>
      </ns0:c>
      <ns0:c r="B74" s="28" t="str">
        <ns0:f>IF($E74="","",INDEX('Banka Dökümü'!$B$2:$B$2001,$E74))</ns0:f>
        <ns0:v/>
      </ns0:c>
      <ns0:c r="C74" s="33" t="str">
        <ns0:f>IF($E74="","",INDEX('Banka Dökümü'!$C$2:$C$2001,$E74))</ns0:f>
        <ns0:v/>
      </ns0:c>
      <ns0:c r="D74" s="28" t="str">
        <ns0:f>IF(E74="","","Müşteri adı / aranacak ad / il bilgisini kontrol edin")</ns0:f>
        <ns0:v/>
      </ns0:c>
      <ns0:c r="E74" s="28" t="str">
        <ns0:f>IFERROR(MATCH(70,'Banka Dökümü'!$I$2:$I$2001,0),"")</ns0:f>
        <ns0:v/>
      </ns0:c>
    </ns0:row>
    <ns0:row r="75" ht="21" customHeight="1">
      <ns0:c r="A75" s="32" t="str">
        <ns0:f>IF($E75="","",INDEX('Banka Dökümü'!$A$2:$A$2001,$E75))</ns0:f>
        <ns0:v/>
      </ns0:c>
      <ns0:c r="B75" s="28" t="str">
        <ns0:f>IF($E75="","",INDEX('Banka Dökümü'!$B$2:$B$2001,$E75))</ns0:f>
        <ns0:v/>
      </ns0:c>
      <ns0:c r="C75" s="33" t="str">
        <ns0:f>IF($E75="","",INDEX('Banka Dökümü'!$C$2:$C$2001,$E75))</ns0:f>
        <ns0:v/>
      </ns0:c>
      <ns0:c r="D75" s="28" t="str">
        <ns0:f>IF(E75="","","Müşteri adı / aranacak ad / il bilgisini kontrol edin")</ns0:f>
        <ns0:v/>
      </ns0:c>
      <ns0:c r="E75" s="28" t="str">
        <ns0:f>IFERROR(MATCH(71,'Banka Dökümü'!$I$2:$I$2001,0),"")</ns0:f>
        <ns0:v/>
      </ns0:c>
    </ns0:row>
    <ns0:row r="76" ht="21" customHeight="1">
      <ns0:c r="A76" s="32" t="str">
        <ns0:f>IF($E76="","",INDEX('Banka Dökümü'!$A$2:$A$2001,$E76))</ns0:f>
        <ns0:v/>
      </ns0:c>
      <ns0:c r="B76" s="28" t="str">
        <ns0:f>IF($E76="","",INDEX('Banka Dökümü'!$B$2:$B$2001,$E76))</ns0:f>
        <ns0:v/>
      </ns0:c>
      <ns0:c r="C76" s="33" t="str">
        <ns0:f>IF($E76="","",INDEX('Banka Dökümü'!$C$2:$C$2001,$E76))</ns0:f>
        <ns0:v/>
      </ns0:c>
      <ns0:c r="D76" s="28" t="str">
        <ns0:f>IF(E76="","","Müşteri adı / aranacak ad / il bilgisini kontrol edin")</ns0:f>
        <ns0:v/>
      </ns0:c>
      <ns0:c r="E76" s="28" t="str">
        <ns0:f>IFERROR(MATCH(72,'Banka Dökümü'!$I$2:$I$2001,0),"")</ns0:f>
        <ns0:v/>
      </ns0:c>
    </ns0:row>
    <ns0:row r="77" ht="21" customHeight="1">
      <ns0:c r="A77" s="32" t="str">
        <ns0:f>IF($E77="","",INDEX('Banka Dökümü'!$A$2:$A$2001,$E77))</ns0:f>
        <ns0:v/>
      </ns0:c>
      <ns0:c r="B77" s="28" t="str">
        <ns0:f>IF($E77="","",INDEX('Banka Dökümü'!$B$2:$B$2001,$E77))</ns0:f>
        <ns0:v/>
      </ns0:c>
      <ns0:c r="C77" s="33" t="str">
        <ns0:f>IF($E77="","",INDEX('Banka Dökümü'!$C$2:$C$2001,$E77))</ns0:f>
        <ns0:v/>
      </ns0:c>
      <ns0:c r="D77" s="28" t="str">
        <ns0:f>IF(E77="","","Müşteri adı / aranacak ad / il bilgisini kontrol edin")</ns0:f>
        <ns0:v/>
      </ns0:c>
      <ns0:c r="E77" s="28" t="str">
        <ns0:f>IFERROR(MATCH(73,'Banka Dökümü'!$I$2:$I$2001,0),"")</ns0:f>
        <ns0:v/>
      </ns0:c>
    </ns0:row>
    <ns0:row r="78" ht="21" customHeight="1">
      <ns0:c r="A78" s="32" t="str">
        <ns0:f>IF($E78="","",INDEX('Banka Dökümü'!$A$2:$A$2001,$E78))</ns0:f>
        <ns0:v/>
      </ns0:c>
      <ns0:c r="B78" s="28" t="str">
        <ns0:f>IF($E78="","",INDEX('Banka Dökümü'!$B$2:$B$2001,$E78))</ns0:f>
        <ns0:v/>
      </ns0:c>
      <ns0:c r="C78" s="33" t="str">
        <ns0:f>IF($E78="","",INDEX('Banka Dökümü'!$C$2:$C$2001,$E78))</ns0:f>
        <ns0:v/>
      </ns0:c>
      <ns0:c r="D78" s="28" t="str">
        <ns0:f>IF(E78="","","Müşteri adı / aranacak ad / il bilgisini kontrol edin")</ns0:f>
        <ns0:v/>
      </ns0:c>
      <ns0:c r="E78" s="28" t="str">
        <ns0:f>IFERROR(MATCH(74,'Banka Dökümü'!$I$2:$I$2001,0),"")</ns0:f>
        <ns0:v/>
      </ns0:c>
    </ns0:row>
    <ns0:row r="79" ht="21" customHeight="1">
      <ns0:c r="A79" s="32" t="str">
        <ns0:f>IF($E79="","",INDEX('Banka Dökümü'!$A$2:$A$2001,$E79))</ns0:f>
        <ns0:v/>
      </ns0:c>
      <ns0:c r="B79" s="28" t="str">
        <ns0:f>IF($E79="","",INDEX('Banka Dökümü'!$B$2:$B$2001,$E79))</ns0:f>
        <ns0:v/>
      </ns0:c>
      <ns0:c r="C79" s="33" t="str">
        <ns0:f>IF($E79="","",INDEX('Banka Dökümü'!$C$2:$C$2001,$E79))</ns0:f>
        <ns0:v/>
      </ns0:c>
      <ns0:c r="D79" s="28" t="str">
        <ns0:f>IF(E79="","","Müşteri adı / aranacak ad / il bilgisini kontrol edin")</ns0:f>
        <ns0:v/>
      </ns0:c>
      <ns0:c r="E79" s="28" t="str">
        <ns0:f>IFERROR(MATCH(75,'Banka Dökümü'!$I$2:$I$2001,0),"")</ns0:f>
        <ns0:v/>
      </ns0:c>
    </ns0:row>
    <ns0:row r="80" ht="21" customHeight="1">
      <ns0:c r="A80" s="32" t="str">
        <ns0:f>IF($E80="","",INDEX('Banka Dökümü'!$A$2:$A$2001,$E80))</ns0:f>
        <ns0:v/>
      </ns0:c>
      <ns0:c r="B80" s="28" t="str">
        <ns0:f>IF($E80="","",INDEX('Banka Dökümü'!$B$2:$B$2001,$E80))</ns0:f>
        <ns0:v/>
      </ns0:c>
      <ns0:c r="C80" s="33" t="str">
        <ns0:f>IF($E80="","",INDEX('Banka Dökümü'!$C$2:$C$2001,$E80))</ns0:f>
        <ns0:v/>
      </ns0:c>
      <ns0:c r="D80" s="28" t="str">
        <ns0:f>IF(E80="","","Müşteri adı / aranacak ad / il bilgisini kontrol edin")</ns0:f>
        <ns0:v/>
      </ns0:c>
      <ns0:c r="E80" s="28" t="str">
        <ns0:f>IFERROR(MATCH(76,'Banka Dökümü'!$I$2:$I$2001,0),"")</ns0:f>
        <ns0:v/>
      </ns0:c>
    </ns0:row>
    <ns0:row r="81" ht="21" customHeight="1">
      <ns0:c r="A81" s="32" t="str">
        <ns0:f>IF($E81="","",INDEX('Banka Dökümü'!$A$2:$A$2001,$E81))</ns0:f>
        <ns0:v/>
      </ns0:c>
      <ns0:c r="B81" s="28" t="str">
        <ns0:f>IF($E81="","",INDEX('Banka Dökümü'!$B$2:$B$2001,$E81))</ns0:f>
        <ns0:v/>
      </ns0:c>
      <ns0:c r="C81" s="33" t="str">
        <ns0:f>IF($E81="","",INDEX('Banka Dökümü'!$C$2:$C$2001,$E81))</ns0:f>
        <ns0:v/>
      </ns0:c>
      <ns0:c r="D81" s="28" t="str">
        <ns0:f>IF(E81="","","Müşteri adı / aranacak ad / il bilgisini kontrol edin")</ns0:f>
        <ns0:v/>
      </ns0:c>
      <ns0:c r="E81" s="28" t="str">
        <ns0:f>IFERROR(MATCH(77,'Banka Dökümü'!$I$2:$I$2001,0),"")</ns0:f>
        <ns0:v/>
      </ns0:c>
    </ns0:row>
    <ns0:row r="82" ht="21" customHeight="1">
      <ns0:c r="A82" s="32" t="str">
        <ns0:f>IF($E82="","",INDEX('Banka Dökümü'!$A$2:$A$2001,$E82))</ns0:f>
        <ns0:v/>
      </ns0:c>
      <ns0:c r="B82" s="28" t="str">
        <ns0:f>IF($E82="","",INDEX('Banka Dökümü'!$B$2:$B$2001,$E82))</ns0:f>
        <ns0:v/>
      </ns0:c>
      <ns0:c r="C82" s="33" t="str">
        <ns0:f>IF($E82="","",INDEX('Banka Dökümü'!$C$2:$C$2001,$E82))</ns0:f>
        <ns0:v/>
      </ns0:c>
      <ns0:c r="D82" s="28" t="str">
        <ns0:f>IF(E82="","","Müşteri adı / aranacak ad / il bilgisini kontrol edin")</ns0:f>
        <ns0:v/>
      </ns0:c>
      <ns0:c r="E82" s="28" t="str">
        <ns0:f>IFERROR(MATCH(78,'Banka Dökümü'!$I$2:$I$2001,0),"")</ns0:f>
        <ns0:v/>
      </ns0:c>
    </ns0:row>
    <ns0:row r="83" ht="21" customHeight="1">
      <ns0:c r="A83" s="32" t="str">
        <ns0:f>IF($E83="","",INDEX('Banka Dökümü'!$A$2:$A$2001,$E83))</ns0:f>
        <ns0:v/>
      </ns0:c>
      <ns0:c r="B83" s="28" t="str">
        <ns0:f>IF($E83="","",INDEX('Banka Dökümü'!$B$2:$B$2001,$E83))</ns0:f>
        <ns0:v/>
      </ns0:c>
      <ns0:c r="C83" s="33" t="str">
        <ns0:f>IF($E83="","",INDEX('Banka Dökümü'!$C$2:$C$2001,$E83))</ns0:f>
        <ns0:v/>
      </ns0:c>
      <ns0:c r="D83" s="28" t="str">
        <ns0:f>IF(E83="","","Müşteri adı / aranacak ad / il bilgisini kontrol edin")</ns0:f>
        <ns0:v/>
      </ns0:c>
      <ns0:c r="E83" s="28" t="str">
        <ns0:f>IFERROR(MATCH(79,'Banka Dökümü'!$I$2:$I$2001,0),"")</ns0:f>
        <ns0:v/>
      </ns0:c>
    </ns0:row>
    <ns0:row r="84" ht="21" customHeight="1">
      <ns0:c r="A84" s="32" t="str">
        <ns0:f>IF($E84="","",INDEX('Banka Dökümü'!$A$2:$A$2001,$E84))</ns0:f>
        <ns0:v/>
      </ns0:c>
      <ns0:c r="B84" s="28" t="str">
        <ns0:f>IF($E84="","",INDEX('Banka Dökümü'!$B$2:$B$2001,$E84))</ns0:f>
        <ns0:v/>
      </ns0:c>
      <ns0:c r="C84" s="33" t="str">
        <ns0:f>IF($E84="","",INDEX('Banka Dökümü'!$C$2:$C$2001,$E84))</ns0:f>
        <ns0:v/>
      </ns0:c>
      <ns0:c r="D84" s="28" t="str">
        <ns0:f>IF(E84="","","Müşteri adı / aranacak ad / il bilgisini kontrol edin")</ns0:f>
        <ns0:v/>
      </ns0:c>
      <ns0:c r="E84" s="28" t="str">
        <ns0:f>IFERROR(MATCH(80,'Banka Dökümü'!$I$2:$I$2001,0),"")</ns0:f>
        <ns0:v/>
      </ns0:c>
    </ns0:row>
    <ns0:row r="85" ht="21" customHeight="1">
      <ns0:c r="A85" s="32" t="str">
        <ns0:f>IF($E85="","",INDEX('Banka Dökümü'!$A$2:$A$2001,$E85))</ns0:f>
        <ns0:v/>
      </ns0:c>
      <ns0:c r="B85" s="28" t="str">
        <ns0:f>IF($E85="","",INDEX('Banka Dökümü'!$B$2:$B$2001,$E85))</ns0:f>
        <ns0:v/>
      </ns0:c>
      <ns0:c r="C85" s="33" t="str">
        <ns0:f>IF($E85="","",INDEX('Banka Dökümü'!$C$2:$C$2001,$E85))</ns0:f>
        <ns0:v/>
      </ns0:c>
      <ns0:c r="D85" s="28" t="str">
        <ns0:f>IF(E85="","","Müşteri adı / aranacak ad / il bilgisini kontrol edin")</ns0:f>
        <ns0:v/>
      </ns0:c>
      <ns0:c r="E85" s="28" t="str">
        <ns0:f>IFERROR(MATCH(81,'Banka Dökümü'!$I$2:$I$2001,0),"")</ns0:f>
        <ns0:v/>
      </ns0:c>
    </ns0:row>
    <ns0:row r="86" ht="21" customHeight="1">
      <ns0:c r="A86" s="32" t="str">
        <ns0:f>IF($E86="","",INDEX('Banka Dökümü'!$A$2:$A$2001,$E86))</ns0:f>
        <ns0:v/>
      </ns0:c>
      <ns0:c r="B86" s="28" t="str">
        <ns0:f>IF($E86="","",INDEX('Banka Dökümü'!$B$2:$B$2001,$E86))</ns0:f>
        <ns0:v/>
      </ns0:c>
      <ns0:c r="C86" s="33" t="str">
        <ns0:f>IF($E86="","",INDEX('Banka Dökümü'!$C$2:$C$2001,$E86))</ns0:f>
        <ns0:v/>
      </ns0:c>
      <ns0:c r="D86" s="28" t="str">
        <ns0:f>IF(E86="","","Müşteri adı / aranacak ad / il bilgisini kontrol edin")</ns0:f>
        <ns0:v/>
      </ns0:c>
      <ns0:c r="E86" s="28" t="str">
        <ns0:f>IFERROR(MATCH(82,'Banka Dökümü'!$I$2:$I$2001,0),"")</ns0:f>
        <ns0:v/>
      </ns0:c>
    </ns0:row>
    <ns0:row r="87" ht="21" customHeight="1">
      <ns0:c r="A87" s="32" t="str">
        <ns0:f>IF($E87="","",INDEX('Banka Dökümü'!$A$2:$A$2001,$E87))</ns0:f>
        <ns0:v/>
      </ns0:c>
      <ns0:c r="B87" s="28" t="str">
        <ns0:f>IF($E87="","",INDEX('Banka Dökümü'!$B$2:$B$2001,$E87))</ns0:f>
        <ns0:v/>
      </ns0:c>
      <ns0:c r="C87" s="33" t="str">
        <ns0:f>IF($E87="","",INDEX('Banka Dökümü'!$C$2:$C$2001,$E87))</ns0:f>
        <ns0:v/>
      </ns0:c>
      <ns0:c r="D87" s="28" t="str">
        <ns0:f>IF(E87="","","Müşteri adı / aranacak ad / il bilgisini kontrol edin")</ns0:f>
        <ns0:v/>
      </ns0:c>
      <ns0:c r="E87" s="28" t="str">
        <ns0:f>IFERROR(MATCH(83,'Banka Dökümü'!$I$2:$I$2001,0),"")</ns0:f>
        <ns0:v/>
      </ns0:c>
    </ns0:row>
    <ns0:row r="88" ht="21" customHeight="1">
      <ns0:c r="A88" s="32" t="str">
        <ns0:f>IF($E88="","",INDEX('Banka Dökümü'!$A$2:$A$2001,$E88))</ns0:f>
        <ns0:v/>
      </ns0:c>
      <ns0:c r="B88" s="28" t="str">
        <ns0:f>IF($E88="","",INDEX('Banka Dökümü'!$B$2:$B$2001,$E88))</ns0:f>
        <ns0:v/>
      </ns0:c>
      <ns0:c r="C88" s="33" t="str">
        <ns0:f>IF($E88="","",INDEX('Banka Dökümü'!$C$2:$C$2001,$E88))</ns0:f>
        <ns0:v/>
      </ns0:c>
      <ns0:c r="D88" s="28" t="str">
        <ns0:f>IF(E88="","","Müşteri adı / aranacak ad / il bilgisini kontrol edin")</ns0:f>
        <ns0:v/>
      </ns0:c>
      <ns0:c r="E88" s="28" t="str">
        <ns0:f>IFERROR(MATCH(84,'Banka Dökümü'!$I$2:$I$2001,0),"")</ns0:f>
        <ns0:v/>
      </ns0:c>
    </ns0:row>
    <ns0:row r="89" ht="21" customHeight="1">
      <ns0:c r="A89" s="32" t="str">
        <ns0:f>IF($E89="","",INDEX('Banka Dökümü'!$A$2:$A$2001,$E89))</ns0:f>
        <ns0:v/>
      </ns0:c>
      <ns0:c r="B89" s="28" t="str">
        <ns0:f>IF($E89="","",INDEX('Banka Dökümü'!$B$2:$B$2001,$E89))</ns0:f>
        <ns0:v/>
      </ns0:c>
      <ns0:c r="C89" s="33" t="str">
        <ns0:f>IF($E89="","",INDEX('Banka Dökümü'!$C$2:$C$2001,$E89))</ns0:f>
        <ns0:v/>
      </ns0:c>
      <ns0:c r="D89" s="28" t="str">
        <ns0:f>IF(E89="","","Müşteri adı / aranacak ad / il bilgisini kontrol edin")</ns0:f>
        <ns0:v/>
      </ns0:c>
      <ns0:c r="E89" s="28" t="str">
        <ns0:f>IFERROR(MATCH(85,'Banka Dökümü'!$I$2:$I$2001,0),"")</ns0:f>
        <ns0:v/>
      </ns0:c>
    </ns0:row>
    <ns0:row r="90" ht="21" customHeight="1">
      <ns0:c r="A90" s="32" t="str">
        <ns0:f>IF($E90="","",INDEX('Banka Dökümü'!$A$2:$A$2001,$E90))</ns0:f>
        <ns0:v/>
      </ns0:c>
      <ns0:c r="B90" s="28" t="str">
        <ns0:f>IF($E90="","",INDEX('Banka Dökümü'!$B$2:$B$2001,$E90))</ns0:f>
        <ns0:v/>
      </ns0:c>
      <ns0:c r="C90" s="33" t="str">
        <ns0:f>IF($E90="","",INDEX('Banka Dökümü'!$C$2:$C$2001,$E90))</ns0:f>
        <ns0:v/>
      </ns0:c>
      <ns0:c r="D90" s="28" t="str">
        <ns0:f>IF(E90="","","Müşteri adı / aranacak ad / il bilgisini kontrol edin")</ns0:f>
        <ns0:v/>
      </ns0:c>
      <ns0:c r="E90" s="28" t="str">
        <ns0:f>IFERROR(MATCH(86,'Banka Dökümü'!$I$2:$I$2001,0),"")</ns0:f>
        <ns0:v/>
      </ns0:c>
    </ns0:row>
    <ns0:row r="91" ht="21" customHeight="1">
      <ns0:c r="A91" s="32" t="str">
        <ns0:f>IF($E91="","",INDEX('Banka Dökümü'!$A$2:$A$2001,$E91))</ns0:f>
        <ns0:v/>
      </ns0:c>
      <ns0:c r="B91" s="28" t="str">
        <ns0:f>IF($E91="","",INDEX('Banka Dökümü'!$B$2:$B$2001,$E91))</ns0:f>
        <ns0:v/>
      </ns0:c>
      <ns0:c r="C91" s="33" t="str">
        <ns0:f>IF($E91="","",INDEX('Banka Dökümü'!$C$2:$C$2001,$E91))</ns0:f>
        <ns0:v/>
      </ns0:c>
      <ns0:c r="D91" s="28" t="str">
        <ns0:f>IF(E91="","","Müşteri adı / aranacak ad / il bilgisini kontrol edin")</ns0:f>
        <ns0:v/>
      </ns0:c>
      <ns0:c r="E91" s="28" t="str">
        <ns0:f>IFERROR(MATCH(87,'Banka Dökümü'!$I$2:$I$2001,0),"")</ns0:f>
        <ns0:v/>
      </ns0:c>
    </ns0:row>
    <ns0:row r="92" ht="21" customHeight="1">
      <ns0:c r="A92" s="32" t="str">
        <ns0:f>IF($E92="","",INDEX('Banka Dökümü'!$A$2:$A$2001,$E92))</ns0:f>
        <ns0:v/>
      </ns0:c>
      <ns0:c r="B92" s="28" t="str">
        <ns0:f>IF($E92="","",INDEX('Banka Dökümü'!$B$2:$B$2001,$E92))</ns0:f>
        <ns0:v/>
      </ns0:c>
      <ns0:c r="C92" s="33" t="str">
        <ns0:f>IF($E92="","",INDEX('Banka Dökümü'!$C$2:$C$2001,$E92))</ns0:f>
        <ns0:v/>
      </ns0:c>
      <ns0:c r="D92" s="28" t="str">
        <ns0:f>IF(E92="","","Müşteri adı / aranacak ad / il bilgisini kontrol edin")</ns0:f>
        <ns0:v/>
      </ns0:c>
      <ns0:c r="E92" s="28" t="str">
        <ns0:f>IFERROR(MATCH(88,'Banka Dökümü'!$I$2:$I$2001,0),"")</ns0:f>
        <ns0:v/>
      </ns0:c>
    </ns0:row>
    <ns0:row r="93" ht="21" customHeight="1">
      <ns0:c r="A93" s="32" t="str">
        <ns0:f>IF($E93="","",INDEX('Banka Dökümü'!$A$2:$A$2001,$E93))</ns0:f>
        <ns0:v/>
      </ns0:c>
      <ns0:c r="B93" s="28" t="str">
        <ns0:f>IF($E93="","",INDEX('Banka Dökümü'!$B$2:$B$2001,$E93))</ns0:f>
        <ns0:v/>
      </ns0:c>
      <ns0:c r="C93" s="33" t="str">
        <ns0:f>IF($E93="","",INDEX('Banka Dökümü'!$C$2:$C$2001,$E93))</ns0:f>
        <ns0:v/>
      </ns0:c>
      <ns0:c r="D93" s="28" t="str">
        <ns0:f>IF(E93="","","Müşteri adı / aranacak ad / il bilgisini kontrol edin")</ns0:f>
        <ns0:v/>
      </ns0:c>
      <ns0:c r="E93" s="28" t="str">
        <ns0:f>IFERROR(MATCH(89,'Banka Dökümü'!$I$2:$I$2001,0),"")</ns0:f>
        <ns0:v/>
      </ns0:c>
    </ns0:row>
    <ns0:row r="94" ht="21" customHeight="1">
      <ns0:c r="A94" s="32" t="str">
        <ns0:f>IF($E94="","",INDEX('Banka Dökümü'!$A$2:$A$2001,$E94))</ns0:f>
        <ns0:v/>
      </ns0:c>
      <ns0:c r="B94" s="28" t="str">
        <ns0:f>IF($E94="","",INDEX('Banka Dökümü'!$B$2:$B$2001,$E94))</ns0:f>
        <ns0:v/>
      </ns0:c>
      <ns0:c r="C94" s="33" t="str">
        <ns0:f>IF($E94="","",INDEX('Banka Dökümü'!$C$2:$C$2001,$E94))</ns0:f>
        <ns0:v/>
      </ns0:c>
      <ns0:c r="D94" s="28" t="str">
        <ns0:f>IF(E94="","","Müşteri adı / aranacak ad / il bilgisini kontrol edin")</ns0:f>
        <ns0:v/>
      </ns0:c>
      <ns0:c r="E94" s="28" t="str">
        <ns0:f>IFERROR(MATCH(90,'Banka Dökümü'!$I$2:$I$2001,0),"")</ns0:f>
        <ns0:v/>
      </ns0:c>
    </ns0:row>
    <ns0:row r="95" ht="21" customHeight="1">
      <ns0:c r="A95" s="32" t="str">
        <ns0:f>IF($E95="","",INDEX('Banka Dökümü'!$A$2:$A$2001,$E95))</ns0:f>
        <ns0:v/>
      </ns0:c>
      <ns0:c r="B95" s="28" t="str">
        <ns0:f>IF($E95="","",INDEX('Banka Dökümü'!$B$2:$B$2001,$E95))</ns0:f>
        <ns0:v/>
      </ns0:c>
      <ns0:c r="C95" s="33" t="str">
        <ns0:f>IF($E95="","",INDEX('Banka Dökümü'!$C$2:$C$2001,$E95))</ns0:f>
        <ns0:v/>
      </ns0:c>
      <ns0:c r="D95" s="28" t="str">
        <ns0:f>IF(E95="","","Müşteri adı / aranacak ad / il bilgisini kontrol edin")</ns0:f>
        <ns0:v/>
      </ns0:c>
      <ns0:c r="E95" s="28" t="str">
        <ns0:f>IFERROR(MATCH(91,'Banka Dökümü'!$I$2:$I$2001,0),"")</ns0:f>
        <ns0:v/>
      </ns0:c>
    </ns0:row>
    <ns0:row r="96" ht="21" customHeight="1">
      <ns0:c r="A96" s="32" t="str">
        <ns0:f>IF($E96="","",INDEX('Banka Dökümü'!$A$2:$A$2001,$E96))</ns0:f>
        <ns0:v/>
      </ns0:c>
      <ns0:c r="B96" s="28" t="str">
        <ns0:f>IF($E96="","",INDEX('Banka Dökümü'!$B$2:$B$2001,$E96))</ns0:f>
        <ns0:v/>
      </ns0:c>
      <ns0:c r="C96" s="33" t="str">
        <ns0:f>IF($E96="","",INDEX('Banka Dökümü'!$C$2:$C$2001,$E96))</ns0:f>
        <ns0:v/>
      </ns0:c>
      <ns0:c r="D96" s="28" t="str">
        <ns0:f>IF(E96="","","Müşteri adı / aranacak ad / il bilgisini kontrol edin")</ns0:f>
        <ns0:v/>
      </ns0:c>
      <ns0:c r="E96" s="28" t="str">
        <ns0:f>IFERROR(MATCH(92,'Banka Dökümü'!$I$2:$I$2001,0),"")</ns0:f>
        <ns0:v/>
      </ns0:c>
    </ns0:row>
    <ns0:row r="97" ht="21" customHeight="1">
      <ns0:c r="A97" s="32" t="str">
        <ns0:f>IF($E97="","",INDEX('Banka Dökümü'!$A$2:$A$2001,$E97))</ns0:f>
        <ns0:v/>
      </ns0:c>
      <ns0:c r="B97" s="28" t="str">
        <ns0:f>IF($E97="","",INDEX('Banka Dökümü'!$B$2:$B$2001,$E97))</ns0:f>
        <ns0:v/>
      </ns0:c>
      <ns0:c r="C97" s="33" t="str">
        <ns0:f>IF($E97="","",INDEX('Banka Dökümü'!$C$2:$C$2001,$E97))</ns0:f>
        <ns0:v/>
      </ns0:c>
      <ns0:c r="D97" s="28" t="str">
        <ns0:f>IF(E97="","","Müşteri adı / aranacak ad / il bilgisini kontrol edin")</ns0:f>
        <ns0:v/>
      </ns0:c>
      <ns0:c r="E97" s="28" t="str">
        <ns0:f>IFERROR(MATCH(93,'Banka Dökümü'!$I$2:$I$2001,0),"")</ns0:f>
        <ns0:v/>
      </ns0:c>
    </ns0:row>
    <ns0:row r="98" ht="21" customHeight="1">
      <ns0:c r="A98" s="32" t="str">
        <ns0:f>IF($E98="","",INDEX('Banka Dökümü'!$A$2:$A$2001,$E98))</ns0:f>
        <ns0:v/>
      </ns0:c>
      <ns0:c r="B98" s="28" t="str">
        <ns0:f>IF($E98="","",INDEX('Banka Dökümü'!$B$2:$B$2001,$E98))</ns0:f>
        <ns0:v/>
      </ns0:c>
      <ns0:c r="C98" s="33" t="str">
        <ns0:f>IF($E98="","",INDEX('Banka Dökümü'!$C$2:$C$2001,$E98))</ns0:f>
        <ns0:v/>
      </ns0:c>
      <ns0:c r="D98" s="28" t="str">
        <ns0:f>IF(E98="","","Müşteri adı / aranacak ad / il bilgisini kontrol edin")</ns0:f>
        <ns0:v/>
      </ns0:c>
      <ns0:c r="E98" s="28" t="str">
        <ns0:f>IFERROR(MATCH(94,'Banka Dökümü'!$I$2:$I$2001,0),"")</ns0:f>
        <ns0:v/>
      </ns0:c>
    </ns0:row>
    <ns0:row r="99" ht="21" customHeight="1">
      <ns0:c r="A99" s="32" t="str">
        <ns0:f>IF($E99="","",INDEX('Banka Dökümü'!$A$2:$A$2001,$E99))</ns0:f>
        <ns0:v/>
      </ns0:c>
      <ns0:c r="B99" s="28" t="str">
        <ns0:f>IF($E99="","",INDEX('Banka Dökümü'!$B$2:$B$2001,$E99))</ns0:f>
        <ns0:v/>
      </ns0:c>
      <ns0:c r="C99" s="33" t="str">
        <ns0:f>IF($E99="","",INDEX('Banka Dökümü'!$C$2:$C$2001,$E99))</ns0:f>
        <ns0:v/>
      </ns0:c>
      <ns0:c r="D99" s="28" t="str">
        <ns0:f>IF(E99="","","Müşteri adı / aranacak ad / il bilgisini kontrol edin")</ns0:f>
        <ns0:v/>
      </ns0:c>
      <ns0:c r="E99" s="28" t="str">
        <ns0:f>IFERROR(MATCH(95,'Banka Dökümü'!$I$2:$I$2001,0),"")</ns0:f>
        <ns0:v/>
      </ns0:c>
    </ns0:row>
    <ns0:row r="100" ht="21" customHeight="1">
      <ns0:c r="A100" s="32" t="str">
        <ns0:f>IF($E100="","",INDEX('Banka Dökümü'!$A$2:$A$2001,$E100))</ns0:f>
        <ns0:v/>
      </ns0:c>
      <ns0:c r="B100" s="28" t="str">
        <ns0:f>IF($E100="","",INDEX('Banka Dökümü'!$B$2:$B$2001,$E100))</ns0:f>
        <ns0:v/>
      </ns0:c>
      <ns0:c r="C100" s="33" t="str">
        <ns0:f>IF($E100="","",INDEX('Banka Dökümü'!$C$2:$C$2001,$E100))</ns0:f>
        <ns0:v/>
      </ns0:c>
      <ns0:c r="D100" s="28" t="str">
        <ns0:f>IF(E100="","","Müşteri adı / aranacak ad / il bilgisini kontrol edin")</ns0:f>
        <ns0:v/>
      </ns0:c>
      <ns0:c r="E100" s="28" t="str">
        <ns0:f>IFERROR(MATCH(96,'Banka Dökümü'!$I$2:$I$2001,0),"")</ns0:f>
        <ns0:v/>
      </ns0:c>
    </ns0:row>
    <ns0:row r="101" ht="21" customHeight="1">
      <ns0:c r="A101" s="32" t="str">
        <ns0:f>IF($E101="","",INDEX('Banka Dökümü'!$A$2:$A$2001,$E101))</ns0:f>
        <ns0:v/>
      </ns0:c>
      <ns0:c r="B101" s="28" t="str">
        <ns0:f>IF($E101="","",INDEX('Banka Dökümü'!$B$2:$B$2001,$E101))</ns0:f>
        <ns0:v/>
      </ns0:c>
      <ns0:c r="C101" s="33" t="str">
        <ns0:f>IF($E101="","",INDEX('Banka Dökümü'!$C$2:$C$2001,$E101))</ns0:f>
        <ns0:v/>
      </ns0:c>
      <ns0:c r="D101" s="28" t="str">
        <ns0:f>IF(E101="","","Müşteri adı / aranacak ad / il bilgisini kontrol edin")</ns0:f>
        <ns0:v/>
      </ns0:c>
      <ns0:c r="E101" s="28" t="str">
        <ns0:f>IFERROR(MATCH(97,'Banka Dökümü'!$I$2:$I$2001,0),"")</ns0:f>
        <ns0:v/>
      </ns0:c>
    </ns0:row>
    <ns0:row r="102" ht="21" customHeight="1">
      <ns0:c r="A102" s="32" t="str">
        <ns0:f>IF($E102="","",INDEX('Banka Dökümü'!$A$2:$A$2001,$E102))</ns0:f>
        <ns0:v/>
      </ns0:c>
      <ns0:c r="B102" s="28" t="str">
        <ns0:f>IF($E102="","",INDEX('Banka Dökümü'!$B$2:$B$2001,$E102))</ns0:f>
        <ns0:v/>
      </ns0:c>
      <ns0:c r="C102" s="33" t="str">
        <ns0:f>IF($E102="","",INDEX('Banka Dökümü'!$C$2:$C$2001,$E102))</ns0:f>
        <ns0:v/>
      </ns0:c>
      <ns0:c r="D102" s="28" t="str">
        <ns0:f>IF(E102="","","Müşteri adı / aranacak ad / il bilgisini kontrol edin")</ns0:f>
        <ns0:v/>
      </ns0:c>
      <ns0:c r="E102" s="28" t="str">
        <ns0:f>IFERROR(MATCH(98,'Banka Dökümü'!$I$2:$I$2001,0),"")</ns0:f>
        <ns0:v/>
      </ns0:c>
    </ns0:row>
    <ns0:row r="103" ht="21" customHeight="1">
      <ns0:c r="A103" s="32" t="str">
        <ns0:f>IF($E103="","",INDEX('Banka Dökümü'!$A$2:$A$2001,$E103))</ns0:f>
        <ns0:v/>
      </ns0:c>
      <ns0:c r="B103" s="28" t="str">
        <ns0:f>IF($E103="","",INDEX('Banka Dökümü'!$B$2:$B$2001,$E103))</ns0:f>
        <ns0:v/>
      </ns0:c>
      <ns0:c r="C103" s="33" t="str">
        <ns0:f>IF($E103="","",INDEX('Banka Dökümü'!$C$2:$C$2001,$E103))</ns0:f>
        <ns0:v/>
      </ns0:c>
      <ns0:c r="D103" s="28" t="str">
        <ns0:f>IF(E103="","","Müşteri adı / aranacak ad / il bilgisini kontrol edin")</ns0:f>
        <ns0:v/>
      </ns0:c>
      <ns0:c r="E103" s="28" t="str">
        <ns0:f>IFERROR(MATCH(99,'Banka Dökümü'!$I$2:$I$2001,0),"")</ns0:f>
        <ns0:v/>
      </ns0:c>
    </ns0:row>
    <ns0:row r="104" ht="21" customHeight="1">
      <ns0:c r="A104" s="32" t="str">
        <ns0:f>IF($E104="","",INDEX('Banka Dökümü'!$A$2:$A$2001,$E104))</ns0:f>
        <ns0:v/>
      </ns0:c>
      <ns0:c r="B104" s="28" t="str">
        <ns0:f>IF($E104="","",INDEX('Banka Dökümü'!$B$2:$B$2001,$E104))</ns0:f>
        <ns0:v/>
      </ns0:c>
      <ns0:c r="C104" s="33" t="str">
        <ns0:f>IF($E104="","",INDEX('Banka Dökümü'!$C$2:$C$2001,$E104))</ns0:f>
        <ns0:v/>
      </ns0:c>
      <ns0:c r="D104" s="28" t="str">
        <ns0:f>IF(E104="","","Müşteri adı / aranacak ad / il bilgisini kontrol edin")</ns0:f>
        <ns0:v/>
      </ns0:c>
      <ns0:c r="E104" s="28" t="str">
        <ns0:f>IFERROR(MATCH(100,'Banka Dökümü'!$I$2:$I$2001,0),"")</ns0:f>
        <ns0:v/>
      </ns0:c>
    </ns0:row>
    <ns0:row r="105" ht="21" customHeight="1">
      <ns0:c r="A105" s="32" t="str">
        <ns0:f>IF($E105="","",INDEX('Banka Dökümü'!$A$2:$A$2001,$E105))</ns0:f>
        <ns0:v/>
      </ns0:c>
      <ns0:c r="B105" s="28" t="str">
        <ns0:f>IF($E105="","",INDEX('Banka Dökümü'!$B$2:$B$2001,$E105))</ns0:f>
        <ns0:v/>
      </ns0:c>
      <ns0:c r="C105" s="33" t="str">
        <ns0:f>IF($E105="","",INDEX('Banka Dökümü'!$C$2:$C$2001,$E105))</ns0:f>
        <ns0:v/>
      </ns0:c>
      <ns0:c r="D105" s="28" t="str">
        <ns0:f>IF(E105="","","Müşteri adı / aranacak ad / il bilgisini kontrol edin")</ns0:f>
        <ns0:v/>
      </ns0:c>
      <ns0:c r="E105" s="28" t="str">
        <ns0:f>IFERROR(MATCH(101,'Banka Dökümü'!$I$2:$I$2001,0),"")</ns0:f>
        <ns0:v/>
      </ns0:c>
    </ns0:row>
    <ns0:row r="106" ht="21" customHeight="1">
      <ns0:c r="A106" s="32" t="str">
        <ns0:f>IF($E106="","",INDEX('Banka Dökümü'!$A$2:$A$2001,$E106))</ns0:f>
        <ns0:v/>
      </ns0:c>
      <ns0:c r="B106" s="28" t="str">
        <ns0:f>IF($E106="","",INDEX('Banka Dökümü'!$B$2:$B$2001,$E106))</ns0:f>
        <ns0:v/>
      </ns0:c>
      <ns0:c r="C106" s="33" t="str">
        <ns0:f>IF($E106="","",INDEX('Banka Dökümü'!$C$2:$C$2001,$E106))</ns0:f>
        <ns0:v/>
      </ns0:c>
      <ns0:c r="D106" s="28" t="str">
        <ns0:f>IF(E106="","","Müşteri adı / aranacak ad / il bilgisini kontrol edin")</ns0:f>
        <ns0:v/>
      </ns0:c>
      <ns0:c r="E106" s="28" t="str">
        <ns0:f>IFERROR(MATCH(102,'Banka Dökümü'!$I$2:$I$2001,0),"")</ns0:f>
        <ns0:v/>
      </ns0:c>
    </ns0:row>
    <ns0:row r="107" ht="21" customHeight="1">
      <ns0:c r="A107" s="32" t="str">
        <ns0:f>IF($E107="","",INDEX('Banka Dökümü'!$A$2:$A$2001,$E107))</ns0:f>
        <ns0:v/>
      </ns0:c>
      <ns0:c r="B107" s="28" t="str">
        <ns0:f>IF($E107="","",INDEX('Banka Dökümü'!$B$2:$B$2001,$E107))</ns0:f>
        <ns0:v/>
      </ns0:c>
      <ns0:c r="C107" s="33" t="str">
        <ns0:f>IF($E107="","",INDEX('Banka Dökümü'!$C$2:$C$2001,$E107))</ns0:f>
        <ns0:v/>
      </ns0:c>
      <ns0:c r="D107" s="28" t="str">
        <ns0:f>IF(E107="","","Müşteri adı / aranacak ad / il bilgisini kontrol edin")</ns0:f>
        <ns0:v/>
      </ns0:c>
      <ns0:c r="E107" s="28" t="str">
        <ns0:f>IFERROR(MATCH(103,'Banka Dökümü'!$I$2:$I$2001,0),"")</ns0:f>
        <ns0:v/>
      </ns0:c>
    </ns0:row>
    <ns0:row r="108" ht="21" customHeight="1">
      <ns0:c r="A108" s="32" t="str">
        <ns0:f>IF($E108="","",INDEX('Banka Dökümü'!$A$2:$A$2001,$E108))</ns0:f>
        <ns0:v/>
      </ns0:c>
      <ns0:c r="B108" s="28" t="str">
        <ns0:f>IF($E108="","",INDEX('Banka Dökümü'!$B$2:$B$2001,$E108))</ns0:f>
        <ns0:v/>
      </ns0:c>
      <ns0:c r="C108" s="33" t="str">
        <ns0:f>IF($E108="","",INDEX('Banka Dökümü'!$C$2:$C$2001,$E108))</ns0:f>
        <ns0:v/>
      </ns0:c>
      <ns0:c r="D108" s="28" t="str">
        <ns0:f>IF(E108="","","Müşteri adı / aranacak ad / il bilgisini kontrol edin")</ns0:f>
        <ns0:v/>
      </ns0:c>
      <ns0:c r="E108" s="28" t="str">
        <ns0:f>IFERROR(MATCH(104,'Banka Dökümü'!$I$2:$I$2001,0),"")</ns0:f>
        <ns0:v/>
      </ns0:c>
    </ns0:row>
    <ns0:row r="109" ht="21" customHeight="1">
      <ns0:c r="A109" s="32" t="str">
        <ns0:f>IF($E109="","",INDEX('Banka Dökümü'!$A$2:$A$2001,$E109))</ns0:f>
        <ns0:v/>
      </ns0:c>
      <ns0:c r="B109" s="28" t="str">
        <ns0:f>IF($E109="","",INDEX('Banka Dökümü'!$B$2:$B$2001,$E109))</ns0:f>
        <ns0:v/>
      </ns0:c>
      <ns0:c r="C109" s="33" t="str">
        <ns0:f>IF($E109="","",INDEX('Banka Dökümü'!$C$2:$C$2001,$E109))</ns0:f>
        <ns0:v/>
      </ns0:c>
      <ns0:c r="D109" s="28" t="str">
        <ns0:f>IF(E109="","","Müşteri adı / aranacak ad / il bilgisini kontrol edin")</ns0:f>
        <ns0:v/>
      </ns0:c>
      <ns0:c r="E109" s="28" t="str">
        <ns0:f>IFERROR(MATCH(105,'Banka Dökümü'!$I$2:$I$2001,0),"")</ns0:f>
        <ns0:v/>
      </ns0:c>
    </ns0:row>
    <ns0:row r="110" ht="21" customHeight="1">
      <ns0:c r="A110" s="32" t="str">
        <ns0:f>IF($E110="","",INDEX('Banka Dökümü'!$A$2:$A$2001,$E110))</ns0:f>
        <ns0:v/>
      </ns0:c>
      <ns0:c r="B110" s="28" t="str">
        <ns0:f>IF($E110="","",INDEX('Banka Dökümü'!$B$2:$B$2001,$E110))</ns0:f>
        <ns0:v/>
      </ns0:c>
      <ns0:c r="C110" s="33" t="str">
        <ns0:f>IF($E110="","",INDEX('Banka Dökümü'!$C$2:$C$2001,$E110))</ns0:f>
        <ns0:v/>
      </ns0:c>
      <ns0:c r="D110" s="28" t="str">
        <ns0:f>IF(E110="","","Müşteri adı / aranacak ad / il bilgisini kontrol edin")</ns0:f>
        <ns0:v/>
      </ns0:c>
      <ns0:c r="E110" s="28" t="str">
        <ns0:f>IFERROR(MATCH(106,'Banka Dökümü'!$I$2:$I$2001,0),"")</ns0:f>
        <ns0:v/>
      </ns0:c>
    </ns0:row>
    <ns0:row r="111" ht="21" customHeight="1">
      <ns0:c r="A111" s="32" t="str">
        <ns0:f>IF($E111="","",INDEX('Banka Dökümü'!$A$2:$A$2001,$E111))</ns0:f>
        <ns0:v/>
      </ns0:c>
      <ns0:c r="B111" s="28" t="str">
        <ns0:f>IF($E111="","",INDEX('Banka Dökümü'!$B$2:$B$2001,$E111))</ns0:f>
        <ns0:v/>
      </ns0:c>
      <ns0:c r="C111" s="33" t="str">
        <ns0:f>IF($E111="","",INDEX('Banka Dökümü'!$C$2:$C$2001,$E111))</ns0:f>
        <ns0:v/>
      </ns0:c>
      <ns0:c r="D111" s="28" t="str">
        <ns0:f>IF(E111="","","Müşteri adı / aranacak ad / il bilgisini kontrol edin")</ns0:f>
        <ns0:v/>
      </ns0:c>
      <ns0:c r="E111" s="28" t="str">
        <ns0:f>IFERROR(MATCH(107,'Banka Dökümü'!$I$2:$I$2001,0),"")</ns0:f>
        <ns0:v/>
      </ns0:c>
    </ns0:row>
    <ns0:row r="112" ht="21" customHeight="1">
      <ns0:c r="A112" s="32" t="str">
        <ns0:f>IF($E112="","",INDEX('Banka Dökümü'!$A$2:$A$2001,$E112))</ns0:f>
        <ns0:v/>
      </ns0:c>
      <ns0:c r="B112" s="28" t="str">
        <ns0:f>IF($E112="","",INDEX('Banka Dökümü'!$B$2:$B$2001,$E112))</ns0:f>
        <ns0:v/>
      </ns0:c>
      <ns0:c r="C112" s="33" t="str">
        <ns0:f>IF($E112="","",INDEX('Banka Dökümü'!$C$2:$C$2001,$E112))</ns0:f>
        <ns0:v/>
      </ns0:c>
      <ns0:c r="D112" s="28" t="str">
        <ns0:f>IF(E112="","","Müşteri adı / aranacak ad / il bilgisini kontrol edin")</ns0:f>
        <ns0:v/>
      </ns0:c>
      <ns0:c r="E112" s="28" t="str">
        <ns0:f>IFERROR(MATCH(108,'Banka Dökümü'!$I$2:$I$2001,0),"")</ns0:f>
        <ns0:v/>
      </ns0:c>
    </ns0:row>
    <ns0:row r="113" ht="21" customHeight="1">
      <ns0:c r="A113" s="32" t="str">
        <ns0:f>IF($E113="","",INDEX('Banka Dökümü'!$A$2:$A$2001,$E113))</ns0:f>
        <ns0:v/>
      </ns0:c>
      <ns0:c r="B113" s="28" t="str">
        <ns0:f>IF($E113="","",INDEX('Banka Dökümü'!$B$2:$B$2001,$E113))</ns0:f>
        <ns0:v/>
      </ns0:c>
      <ns0:c r="C113" s="33" t="str">
        <ns0:f>IF($E113="","",INDEX('Banka Dökümü'!$C$2:$C$2001,$E113))</ns0:f>
        <ns0:v/>
      </ns0:c>
      <ns0:c r="D113" s="28" t="str">
        <ns0:f>IF(E113="","","Müşteri adı / aranacak ad / il bilgisini kontrol edin")</ns0:f>
        <ns0:v/>
      </ns0:c>
      <ns0:c r="E113" s="28" t="str">
        <ns0:f>IFERROR(MATCH(109,'Banka Dökümü'!$I$2:$I$2001,0),"")</ns0:f>
        <ns0:v/>
      </ns0:c>
    </ns0:row>
    <ns0:row r="114" ht="21" customHeight="1">
      <ns0:c r="A114" s="32" t="str">
        <ns0:f>IF($E114="","",INDEX('Banka Dökümü'!$A$2:$A$2001,$E114))</ns0:f>
        <ns0:v/>
      </ns0:c>
      <ns0:c r="B114" s="28" t="str">
        <ns0:f>IF($E114="","",INDEX('Banka Dökümü'!$B$2:$B$2001,$E114))</ns0:f>
        <ns0:v/>
      </ns0:c>
      <ns0:c r="C114" s="33" t="str">
        <ns0:f>IF($E114="","",INDEX('Banka Dökümü'!$C$2:$C$2001,$E114))</ns0:f>
        <ns0:v/>
      </ns0:c>
      <ns0:c r="D114" s="28" t="str">
        <ns0:f>IF(E114="","","Müşteri adı / aranacak ad / il bilgisini kontrol edin")</ns0:f>
        <ns0:v/>
      </ns0:c>
      <ns0:c r="E114" s="28" t="str">
        <ns0:f>IFERROR(MATCH(110,'Banka Dökümü'!$I$2:$I$2001,0),"")</ns0:f>
        <ns0:v/>
      </ns0:c>
    </ns0:row>
    <ns0:row r="115" ht="21" customHeight="1">
      <ns0:c r="A115" s="32" t="str">
        <ns0:f>IF($E115="","",INDEX('Banka Dökümü'!$A$2:$A$2001,$E115))</ns0:f>
        <ns0:v/>
      </ns0:c>
      <ns0:c r="B115" s="28" t="str">
        <ns0:f>IF($E115="","",INDEX('Banka Dökümü'!$B$2:$B$2001,$E115))</ns0:f>
        <ns0:v/>
      </ns0:c>
      <ns0:c r="C115" s="33" t="str">
        <ns0:f>IF($E115="","",INDEX('Banka Dökümü'!$C$2:$C$2001,$E115))</ns0:f>
        <ns0:v/>
      </ns0:c>
      <ns0:c r="D115" s="28" t="str">
        <ns0:f>IF(E115="","","Müşteri adı / aranacak ad / il bilgisini kontrol edin")</ns0:f>
        <ns0:v/>
      </ns0:c>
      <ns0:c r="E115" s="28" t="str">
        <ns0:f>IFERROR(MATCH(111,'Banka Dökümü'!$I$2:$I$2001,0),"")</ns0:f>
        <ns0:v/>
      </ns0:c>
    </ns0:row>
    <ns0:row r="116" ht="21" customHeight="1">
      <ns0:c r="A116" s="32" t="str">
        <ns0:f>IF($E116="","",INDEX('Banka Dökümü'!$A$2:$A$2001,$E116))</ns0:f>
        <ns0:v/>
      </ns0:c>
      <ns0:c r="B116" s="28" t="str">
        <ns0:f>IF($E116="","",INDEX('Banka Dökümü'!$B$2:$B$2001,$E116))</ns0:f>
        <ns0:v/>
      </ns0:c>
      <ns0:c r="C116" s="33" t="str">
        <ns0:f>IF($E116="","",INDEX('Banka Dökümü'!$C$2:$C$2001,$E116))</ns0:f>
        <ns0:v/>
      </ns0:c>
      <ns0:c r="D116" s="28" t="str">
        <ns0:f>IF(E116="","","Müşteri adı / aranacak ad / il bilgisini kontrol edin")</ns0:f>
        <ns0:v/>
      </ns0:c>
      <ns0:c r="E116" s="28" t="str">
        <ns0:f>IFERROR(MATCH(112,'Banka Dökümü'!$I$2:$I$2001,0),"")</ns0:f>
        <ns0:v/>
      </ns0:c>
    </ns0:row>
    <ns0:row r="117" ht="21" customHeight="1">
      <ns0:c r="A117" s="32" t="str">
        <ns0:f>IF($E117="","",INDEX('Banka Dökümü'!$A$2:$A$2001,$E117))</ns0:f>
        <ns0:v/>
      </ns0:c>
      <ns0:c r="B117" s="28" t="str">
        <ns0:f>IF($E117="","",INDEX('Banka Dökümü'!$B$2:$B$2001,$E117))</ns0:f>
        <ns0:v/>
      </ns0:c>
      <ns0:c r="C117" s="33" t="str">
        <ns0:f>IF($E117="","",INDEX('Banka Dökümü'!$C$2:$C$2001,$E117))</ns0:f>
        <ns0:v/>
      </ns0:c>
      <ns0:c r="D117" s="28" t="str">
        <ns0:f>IF(E117="","","Müşteri adı / aranacak ad / il bilgisini kontrol edin")</ns0:f>
        <ns0:v/>
      </ns0:c>
      <ns0:c r="E117" s="28" t="str">
        <ns0:f>IFERROR(MATCH(113,'Banka Dökümü'!$I$2:$I$2001,0),"")</ns0:f>
        <ns0:v/>
      </ns0:c>
    </ns0:row>
    <ns0:row r="118" ht="21" customHeight="1">
      <ns0:c r="A118" s="32" t="str">
        <ns0:f>IF($E118="","",INDEX('Banka Dökümü'!$A$2:$A$2001,$E118))</ns0:f>
        <ns0:v/>
      </ns0:c>
      <ns0:c r="B118" s="28" t="str">
        <ns0:f>IF($E118="","",INDEX('Banka Dökümü'!$B$2:$B$2001,$E118))</ns0:f>
        <ns0:v/>
      </ns0:c>
      <ns0:c r="C118" s="33" t="str">
        <ns0:f>IF($E118="","",INDEX('Banka Dökümü'!$C$2:$C$2001,$E118))</ns0:f>
        <ns0:v/>
      </ns0:c>
      <ns0:c r="D118" s="28" t="str">
        <ns0:f>IF(E118="","","Müşteri adı / aranacak ad / il bilgisini kontrol edin")</ns0:f>
        <ns0:v/>
      </ns0:c>
      <ns0:c r="E118" s="28" t="str">
        <ns0:f>IFERROR(MATCH(114,'Banka Dökümü'!$I$2:$I$2001,0),"")</ns0:f>
        <ns0:v/>
      </ns0:c>
    </ns0:row>
    <ns0:row r="119" ht="21" customHeight="1">
      <ns0:c r="A119" s="32" t="str">
        <ns0:f>IF($E119="","",INDEX('Banka Dökümü'!$A$2:$A$2001,$E119))</ns0:f>
        <ns0:v/>
      </ns0:c>
      <ns0:c r="B119" s="28" t="str">
        <ns0:f>IF($E119="","",INDEX('Banka Dökümü'!$B$2:$B$2001,$E119))</ns0:f>
        <ns0:v/>
      </ns0:c>
      <ns0:c r="C119" s="33" t="str">
        <ns0:f>IF($E119="","",INDEX('Banka Dökümü'!$C$2:$C$2001,$E119))</ns0:f>
        <ns0:v/>
      </ns0:c>
      <ns0:c r="D119" s="28" t="str">
        <ns0:f>IF(E119="","","Müşteri adı / aranacak ad / il bilgisini kontrol edin")</ns0:f>
        <ns0:v/>
      </ns0:c>
      <ns0:c r="E119" s="28" t="str">
        <ns0:f>IFERROR(MATCH(115,'Banka Dökümü'!$I$2:$I$2001,0),"")</ns0:f>
        <ns0:v/>
      </ns0:c>
    </ns0:row>
    <ns0:row r="120" ht="21" customHeight="1">
      <ns0:c r="A120" s="32" t="str">
        <ns0:f>IF($E120="","",INDEX('Banka Dökümü'!$A$2:$A$2001,$E120))</ns0:f>
        <ns0:v/>
      </ns0:c>
      <ns0:c r="B120" s="28" t="str">
        <ns0:f>IF($E120="","",INDEX('Banka Dökümü'!$B$2:$B$2001,$E120))</ns0:f>
        <ns0:v/>
      </ns0:c>
      <ns0:c r="C120" s="33" t="str">
        <ns0:f>IF($E120="","",INDEX('Banka Dökümü'!$C$2:$C$2001,$E120))</ns0:f>
        <ns0:v/>
      </ns0:c>
      <ns0:c r="D120" s="28" t="str">
        <ns0:f>IF(E120="","","Müşteri adı / aranacak ad / il bilgisini kontrol edin")</ns0:f>
        <ns0:v/>
      </ns0:c>
      <ns0:c r="E120" s="28" t="str">
        <ns0:f>IFERROR(MATCH(116,'Banka Dökümü'!$I$2:$I$2001,0),"")</ns0:f>
        <ns0:v/>
      </ns0:c>
    </ns0:row>
    <ns0:row r="121" ht="21" customHeight="1">
      <ns0:c r="A121" s="32" t="str">
        <ns0:f>IF($E121="","",INDEX('Banka Dökümü'!$A$2:$A$2001,$E121))</ns0:f>
        <ns0:v/>
      </ns0:c>
      <ns0:c r="B121" s="28" t="str">
        <ns0:f>IF($E121="","",INDEX('Banka Dökümü'!$B$2:$B$2001,$E121))</ns0:f>
        <ns0:v/>
      </ns0:c>
      <ns0:c r="C121" s="33" t="str">
        <ns0:f>IF($E121="","",INDEX('Banka Dökümü'!$C$2:$C$2001,$E121))</ns0:f>
        <ns0:v/>
      </ns0:c>
      <ns0:c r="D121" s="28" t="str">
        <ns0:f>IF(E121="","","Müşteri adı / aranacak ad / il bilgisini kontrol edin")</ns0:f>
        <ns0:v/>
      </ns0:c>
      <ns0:c r="E121" s="28" t="str">
        <ns0:f>IFERROR(MATCH(117,'Banka Dökümü'!$I$2:$I$2001,0),"")</ns0:f>
        <ns0:v/>
      </ns0:c>
    </ns0:row>
    <ns0:row r="122" ht="21" customHeight="1">
      <ns0:c r="A122" s="32" t="str">
        <ns0:f>IF($E122="","",INDEX('Banka Dökümü'!$A$2:$A$2001,$E122))</ns0:f>
        <ns0:v/>
      </ns0:c>
      <ns0:c r="B122" s="28" t="str">
        <ns0:f>IF($E122="","",INDEX('Banka Dökümü'!$B$2:$B$2001,$E122))</ns0:f>
        <ns0:v/>
      </ns0:c>
      <ns0:c r="C122" s="33" t="str">
        <ns0:f>IF($E122="","",INDEX('Banka Dökümü'!$C$2:$C$2001,$E122))</ns0:f>
        <ns0:v/>
      </ns0:c>
      <ns0:c r="D122" s="28" t="str">
        <ns0:f>IF(E122="","","Müşteri adı / aranacak ad / il bilgisini kontrol edin")</ns0:f>
        <ns0:v/>
      </ns0:c>
      <ns0:c r="E122" s="28" t="str">
        <ns0:f>IFERROR(MATCH(118,'Banka Dökümü'!$I$2:$I$2001,0),"")</ns0:f>
        <ns0:v/>
      </ns0:c>
    </ns0:row>
    <ns0:row r="123" ht="21" customHeight="1">
      <ns0:c r="A123" s="32" t="str">
        <ns0:f>IF($E123="","",INDEX('Banka Dökümü'!$A$2:$A$2001,$E123))</ns0:f>
        <ns0:v/>
      </ns0:c>
      <ns0:c r="B123" s="28" t="str">
        <ns0:f>IF($E123="","",INDEX('Banka Dökümü'!$B$2:$B$2001,$E123))</ns0:f>
        <ns0:v/>
      </ns0:c>
      <ns0:c r="C123" s="33" t="str">
        <ns0:f>IF($E123="","",INDEX('Banka Dökümü'!$C$2:$C$2001,$E123))</ns0:f>
        <ns0:v/>
      </ns0:c>
      <ns0:c r="D123" s="28" t="str">
        <ns0:f>IF(E123="","","Müşteri adı / aranacak ad / il bilgisini kontrol edin")</ns0:f>
        <ns0:v/>
      </ns0:c>
      <ns0:c r="E123" s="28" t="str">
        <ns0:f>IFERROR(MATCH(119,'Banka Dökümü'!$I$2:$I$2001,0),"")</ns0:f>
        <ns0:v/>
      </ns0:c>
    </ns0:row>
    <ns0:row r="124" ht="21" customHeight="1">
      <ns0:c r="A124" s="32" t="str">
        <ns0:f>IF($E124="","",INDEX('Banka Dökümü'!$A$2:$A$2001,$E124))</ns0:f>
        <ns0:v/>
      </ns0:c>
      <ns0:c r="B124" s="28" t="str">
        <ns0:f>IF($E124="","",INDEX('Banka Dökümü'!$B$2:$B$2001,$E124))</ns0:f>
        <ns0:v/>
      </ns0:c>
      <ns0:c r="C124" s="33" t="str">
        <ns0:f>IF($E124="","",INDEX('Banka Dökümü'!$C$2:$C$2001,$E124))</ns0:f>
        <ns0:v/>
      </ns0:c>
      <ns0:c r="D124" s="28" t="str">
        <ns0:f>IF(E124="","","Müşteri adı / aranacak ad / il bilgisini kontrol edin")</ns0:f>
        <ns0:v/>
      </ns0:c>
      <ns0:c r="E124" s="28" t="str">
        <ns0:f>IFERROR(MATCH(120,'Banka Dökümü'!$I$2:$I$2001,0),"")</ns0:f>
        <ns0:v/>
      </ns0:c>
    </ns0:row>
    <ns0:row r="125" ht="21" customHeight="1">
      <ns0:c r="A125" s="32" t="str">
        <ns0:f>IF($E125="","",INDEX('Banka Dökümü'!$A$2:$A$2001,$E125))</ns0:f>
        <ns0:v/>
      </ns0:c>
      <ns0:c r="B125" s="28" t="str">
        <ns0:f>IF($E125="","",INDEX('Banka Dökümü'!$B$2:$B$2001,$E125))</ns0:f>
        <ns0:v/>
      </ns0:c>
      <ns0:c r="C125" s="33" t="str">
        <ns0:f>IF($E125="","",INDEX('Banka Dökümü'!$C$2:$C$2001,$E125))</ns0:f>
        <ns0:v/>
      </ns0:c>
      <ns0:c r="D125" s="28" t="str">
        <ns0:f>IF(E125="","","Müşteri adı / aranacak ad / il bilgisini kontrol edin")</ns0:f>
        <ns0:v/>
      </ns0:c>
      <ns0:c r="E125" s="28" t="str">
        <ns0:f>IFERROR(MATCH(121,'Banka Dökümü'!$I$2:$I$2001,0),"")</ns0:f>
        <ns0:v/>
      </ns0:c>
    </ns0:row>
    <ns0:row r="126" ht="21" customHeight="1">
      <ns0:c r="A126" s="32" t="str">
        <ns0:f>IF($E126="","",INDEX('Banka Dökümü'!$A$2:$A$2001,$E126))</ns0:f>
        <ns0:v/>
      </ns0:c>
      <ns0:c r="B126" s="28" t="str">
        <ns0:f>IF($E126="","",INDEX('Banka Dökümü'!$B$2:$B$2001,$E126))</ns0:f>
        <ns0:v/>
      </ns0:c>
      <ns0:c r="C126" s="33" t="str">
        <ns0:f>IF($E126="","",INDEX('Banka Dökümü'!$C$2:$C$2001,$E126))</ns0:f>
        <ns0:v/>
      </ns0:c>
      <ns0:c r="D126" s="28" t="str">
        <ns0:f>IF(E126="","","Müşteri adı / aranacak ad / il bilgisini kontrol edin")</ns0:f>
        <ns0:v/>
      </ns0:c>
      <ns0:c r="E126" s="28" t="str">
        <ns0:f>IFERROR(MATCH(122,'Banka Dökümü'!$I$2:$I$2001,0),"")</ns0:f>
        <ns0:v/>
      </ns0:c>
    </ns0:row>
    <ns0:row r="127" ht="21" customHeight="1">
      <ns0:c r="A127" s="32" t="str">
        <ns0:f>IF($E127="","",INDEX('Banka Dökümü'!$A$2:$A$2001,$E127))</ns0:f>
        <ns0:v/>
      </ns0:c>
      <ns0:c r="B127" s="28" t="str">
        <ns0:f>IF($E127="","",INDEX('Banka Dökümü'!$B$2:$B$2001,$E127))</ns0:f>
        <ns0:v/>
      </ns0:c>
      <ns0:c r="C127" s="33" t="str">
        <ns0:f>IF($E127="","",INDEX('Banka Dökümü'!$C$2:$C$2001,$E127))</ns0:f>
        <ns0:v/>
      </ns0:c>
      <ns0:c r="D127" s="28" t="str">
        <ns0:f>IF(E127="","","Müşteri adı / aranacak ad / il bilgisini kontrol edin")</ns0:f>
        <ns0:v/>
      </ns0:c>
      <ns0:c r="E127" s="28" t="str">
        <ns0:f>IFERROR(MATCH(123,'Banka Dökümü'!$I$2:$I$2001,0),"")</ns0:f>
        <ns0:v/>
      </ns0:c>
    </ns0:row>
    <ns0:row r="128" ht="21" customHeight="1">
      <ns0:c r="A128" s="32" t="str">
        <ns0:f>IF($E128="","",INDEX('Banka Dökümü'!$A$2:$A$2001,$E128))</ns0:f>
        <ns0:v/>
      </ns0:c>
      <ns0:c r="B128" s="28" t="str">
        <ns0:f>IF($E128="","",INDEX('Banka Dökümü'!$B$2:$B$2001,$E128))</ns0:f>
        <ns0:v/>
      </ns0:c>
      <ns0:c r="C128" s="33" t="str">
        <ns0:f>IF($E128="","",INDEX('Banka Dökümü'!$C$2:$C$2001,$E128))</ns0:f>
        <ns0:v/>
      </ns0:c>
      <ns0:c r="D128" s="28" t="str">
        <ns0:f>IF(E128="","","Müşteri adı / aranacak ad / il bilgisini kontrol edin")</ns0:f>
        <ns0:v/>
      </ns0:c>
      <ns0:c r="E128" s="28" t="str">
        <ns0:f>IFERROR(MATCH(124,'Banka Dökümü'!$I$2:$I$2001,0),"")</ns0:f>
        <ns0:v/>
      </ns0:c>
    </ns0:row>
    <ns0:row r="129" ht="21" customHeight="1">
      <ns0:c r="A129" s="32" t="str">
        <ns0:f>IF($E129="","",INDEX('Banka Dökümü'!$A$2:$A$2001,$E129))</ns0:f>
        <ns0:v/>
      </ns0:c>
      <ns0:c r="B129" s="28" t="str">
        <ns0:f>IF($E129="","",INDEX('Banka Dökümü'!$B$2:$B$2001,$E129))</ns0:f>
        <ns0:v/>
      </ns0:c>
      <ns0:c r="C129" s="33" t="str">
        <ns0:f>IF($E129="","",INDEX('Banka Dökümü'!$C$2:$C$2001,$E129))</ns0:f>
        <ns0:v/>
      </ns0:c>
      <ns0:c r="D129" s="28" t="str">
        <ns0:f>IF(E129="","","Müşteri adı / aranacak ad / il bilgisini kontrol edin")</ns0:f>
        <ns0:v/>
      </ns0:c>
      <ns0:c r="E129" s="28" t="str">
        <ns0:f>IFERROR(MATCH(125,'Banka Dökümü'!$I$2:$I$2001,0),"")</ns0:f>
        <ns0:v/>
      </ns0:c>
    </ns0:row>
    <ns0:row r="130" ht="21" customHeight="1">
      <ns0:c r="A130" s="32" t="str">
        <ns0:f>IF($E130="","",INDEX('Banka Dökümü'!$A$2:$A$2001,$E130))</ns0:f>
        <ns0:v/>
      </ns0:c>
      <ns0:c r="B130" s="28" t="str">
        <ns0:f>IF($E130="","",INDEX('Banka Dökümü'!$B$2:$B$2001,$E130))</ns0:f>
        <ns0:v/>
      </ns0:c>
      <ns0:c r="C130" s="33" t="str">
        <ns0:f>IF($E130="","",INDEX('Banka Dökümü'!$C$2:$C$2001,$E130))</ns0:f>
        <ns0:v/>
      </ns0:c>
      <ns0:c r="D130" s="28" t="str">
        <ns0:f>IF(E130="","","Müşteri adı / aranacak ad / il bilgisini kontrol edin")</ns0:f>
        <ns0:v/>
      </ns0:c>
      <ns0:c r="E130" s="28" t="str">
        <ns0:f>IFERROR(MATCH(126,'Banka Dökümü'!$I$2:$I$2001,0),"")</ns0:f>
        <ns0:v/>
      </ns0:c>
    </ns0:row>
    <ns0:row r="131" ht="21" customHeight="1">
      <ns0:c r="A131" s="32" t="str">
        <ns0:f>IF($E131="","",INDEX('Banka Dökümü'!$A$2:$A$2001,$E131))</ns0:f>
        <ns0:v/>
      </ns0:c>
      <ns0:c r="B131" s="28" t="str">
        <ns0:f>IF($E131="","",INDEX('Banka Dökümü'!$B$2:$B$2001,$E131))</ns0:f>
        <ns0:v/>
      </ns0:c>
      <ns0:c r="C131" s="33" t="str">
        <ns0:f>IF($E131="","",INDEX('Banka Dökümü'!$C$2:$C$2001,$E131))</ns0:f>
        <ns0:v/>
      </ns0:c>
      <ns0:c r="D131" s="28" t="str">
        <ns0:f>IF(E131="","","Müşteri adı / aranacak ad / il bilgisini kontrol edin")</ns0:f>
        <ns0:v/>
      </ns0:c>
      <ns0:c r="E131" s="28" t="str">
        <ns0:f>IFERROR(MATCH(127,'Banka Dökümü'!$I$2:$I$2001,0),"")</ns0:f>
        <ns0:v/>
      </ns0:c>
    </ns0:row>
    <ns0:row r="132" ht="21" customHeight="1">
      <ns0:c r="A132" s="32" t="str">
        <ns0:f>IF($E132="","",INDEX('Banka Dökümü'!$A$2:$A$2001,$E132))</ns0:f>
        <ns0:v/>
      </ns0:c>
      <ns0:c r="B132" s="28" t="str">
        <ns0:f>IF($E132="","",INDEX('Banka Dökümü'!$B$2:$B$2001,$E132))</ns0:f>
        <ns0:v/>
      </ns0:c>
      <ns0:c r="C132" s="33" t="str">
        <ns0:f>IF($E132="","",INDEX('Banka Dökümü'!$C$2:$C$2001,$E132))</ns0:f>
        <ns0:v/>
      </ns0:c>
      <ns0:c r="D132" s="28" t="str">
        <ns0:f>IF(E132="","","Müşteri adı / aranacak ad / il bilgisini kontrol edin")</ns0:f>
        <ns0:v/>
      </ns0:c>
      <ns0:c r="E132" s="28" t="str">
        <ns0:f>IFERROR(MATCH(128,'Banka Dökümü'!$I$2:$I$2001,0),"")</ns0:f>
        <ns0:v/>
      </ns0:c>
    </ns0:row>
    <ns0:row r="133" ht="21" customHeight="1">
      <ns0:c r="A133" s="32" t="str">
        <ns0:f>IF($E133="","",INDEX('Banka Dökümü'!$A$2:$A$2001,$E133))</ns0:f>
        <ns0:v/>
      </ns0:c>
      <ns0:c r="B133" s="28" t="str">
        <ns0:f>IF($E133="","",INDEX('Banka Dökümü'!$B$2:$B$2001,$E133))</ns0:f>
        <ns0:v/>
      </ns0:c>
      <ns0:c r="C133" s="33" t="str">
        <ns0:f>IF($E133="","",INDEX('Banka Dökümü'!$C$2:$C$2001,$E133))</ns0:f>
        <ns0:v/>
      </ns0:c>
      <ns0:c r="D133" s="28" t="str">
        <ns0:f>IF(E133="","","Müşteri adı / aranacak ad / il bilgisini kontrol edin")</ns0:f>
        <ns0:v/>
      </ns0:c>
      <ns0:c r="E133" s="28" t="str">
        <ns0:f>IFERROR(MATCH(129,'Banka Dökümü'!$I$2:$I$2001,0),"")</ns0:f>
        <ns0:v/>
      </ns0:c>
    </ns0:row>
    <ns0:row r="134" ht="21" customHeight="1">
      <ns0:c r="A134" s="32" t="str">
        <ns0:f>IF($E134="","",INDEX('Banka Dökümü'!$A$2:$A$2001,$E134))</ns0:f>
        <ns0:v/>
      </ns0:c>
      <ns0:c r="B134" s="28" t="str">
        <ns0:f>IF($E134="","",INDEX('Banka Dökümü'!$B$2:$B$2001,$E134))</ns0:f>
        <ns0:v/>
      </ns0:c>
      <ns0:c r="C134" s="33" t="str">
        <ns0:f>IF($E134="","",INDEX('Banka Dökümü'!$C$2:$C$2001,$E134))</ns0:f>
        <ns0:v/>
      </ns0:c>
      <ns0:c r="D134" s="28" t="str">
        <ns0:f>IF(E134="","","Müşteri adı / aranacak ad / il bilgisini kontrol edin")</ns0:f>
        <ns0:v/>
      </ns0:c>
      <ns0:c r="E134" s="28" t="str">
        <ns0:f>IFERROR(MATCH(130,'Banka Dökümü'!$I$2:$I$2001,0),"")</ns0:f>
        <ns0:v/>
      </ns0:c>
    </ns0:row>
    <ns0:row r="135" ht="21" customHeight="1">
      <ns0:c r="A135" s="32" t="str">
        <ns0:f>IF($E135="","",INDEX('Banka Dökümü'!$A$2:$A$2001,$E135))</ns0:f>
        <ns0:v/>
      </ns0:c>
      <ns0:c r="B135" s="28" t="str">
        <ns0:f>IF($E135="","",INDEX('Banka Dökümü'!$B$2:$B$2001,$E135))</ns0:f>
        <ns0:v/>
      </ns0:c>
      <ns0:c r="C135" s="33" t="str">
        <ns0:f>IF($E135="","",INDEX('Banka Dökümü'!$C$2:$C$2001,$E135))</ns0:f>
        <ns0:v/>
      </ns0:c>
      <ns0:c r="D135" s="28" t="str">
        <ns0:f>IF(E135="","","Müşteri adı / aranacak ad / il bilgisini kontrol edin")</ns0:f>
        <ns0:v/>
      </ns0:c>
      <ns0:c r="E135" s="28" t="str">
        <ns0:f>IFERROR(MATCH(131,'Banka Dökümü'!$I$2:$I$2001,0),"")</ns0:f>
        <ns0:v/>
      </ns0:c>
    </ns0:row>
    <ns0:row r="136" ht="21" customHeight="1">
      <ns0:c r="A136" s="32" t="str">
        <ns0:f>IF($E136="","",INDEX('Banka Dökümü'!$A$2:$A$2001,$E136))</ns0:f>
        <ns0:v/>
      </ns0:c>
      <ns0:c r="B136" s="28" t="str">
        <ns0:f>IF($E136="","",INDEX('Banka Dökümü'!$B$2:$B$2001,$E136))</ns0:f>
        <ns0:v/>
      </ns0:c>
      <ns0:c r="C136" s="33" t="str">
        <ns0:f>IF($E136="","",INDEX('Banka Dökümü'!$C$2:$C$2001,$E136))</ns0:f>
        <ns0:v/>
      </ns0:c>
      <ns0:c r="D136" s="28" t="str">
        <ns0:f>IF(E136="","","Müşteri adı / aranacak ad / il bilgisini kontrol edin")</ns0:f>
        <ns0:v/>
      </ns0:c>
      <ns0:c r="E136" s="28" t="str">
        <ns0:f>IFERROR(MATCH(132,'Banka Dökümü'!$I$2:$I$2001,0),"")</ns0:f>
        <ns0:v/>
      </ns0:c>
    </ns0:row>
    <ns0:row r="137" ht="21" customHeight="1">
      <ns0:c r="A137" s="32" t="str">
        <ns0:f>IF($E137="","",INDEX('Banka Dökümü'!$A$2:$A$2001,$E137))</ns0:f>
        <ns0:v/>
      </ns0:c>
      <ns0:c r="B137" s="28" t="str">
        <ns0:f>IF($E137="","",INDEX('Banka Dökümü'!$B$2:$B$2001,$E137))</ns0:f>
        <ns0:v/>
      </ns0:c>
      <ns0:c r="C137" s="33" t="str">
        <ns0:f>IF($E137="","",INDEX('Banka Dökümü'!$C$2:$C$2001,$E137))</ns0:f>
        <ns0:v/>
      </ns0:c>
      <ns0:c r="D137" s="28" t="str">
        <ns0:f>IF(E137="","","Müşteri adı / aranacak ad / il bilgisini kontrol edin")</ns0:f>
        <ns0:v/>
      </ns0:c>
      <ns0:c r="E137" s="28" t="str">
        <ns0:f>IFERROR(MATCH(133,'Banka Dökümü'!$I$2:$I$2001,0),"")</ns0:f>
        <ns0:v/>
      </ns0:c>
    </ns0:row>
    <ns0:row r="138" ht="21" customHeight="1">
      <ns0:c r="A138" s="32" t="str">
        <ns0:f>IF($E138="","",INDEX('Banka Dökümü'!$A$2:$A$2001,$E138))</ns0:f>
        <ns0:v/>
      </ns0:c>
      <ns0:c r="B138" s="28" t="str">
        <ns0:f>IF($E138="","",INDEX('Banka Dökümü'!$B$2:$B$2001,$E138))</ns0:f>
        <ns0:v/>
      </ns0:c>
      <ns0:c r="C138" s="33" t="str">
        <ns0:f>IF($E138="","",INDEX('Banka Dökümü'!$C$2:$C$2001,$E138))</ns0:f>
        <ns0:v/>
      </ns0:c>
      <ns0:c r="D138" s="28" t="str">
        <ns0:f>IF(E138="","","Müşteri adı / aranacak ad / il bilgisini kontrol edin")</ns0:f>
        <ns0:v/>
      </ns0:c>
      <ns0:c r="E138" s="28" t="str">
        <ns0:f>IFERROR(MATCH(134,'Banka Dökümü'!$I$2:$I$2001,0),"")</ns0:f>
        <ns0:v/>
      </ns0:c>
    </ns0:row>
    <ns0:row r="139" ht="21" customHeight="1">
      <ns0:c r="A139" s="32" t="str">
        <ns0:f>IF($E139="","",INDEX('Banka Dökümü'!$A$2:$A$2001,$E139))</ns0:f>
        <ns0:v/>
      </ns0:c>
      <ns0:c r="B139" s="28" t="str">
        <ns0:f>IF($E139="","",INDEX('Banka Dökümü'!$B$2:$B$2001,$E139))</ns0:f>
        <ns0:v/>
      </ns0:c>
      <ns0:c r="C139" s="33" t="str">
        <ns0:f>IF($E139="","",INDEX('Banka Dökümü'!$C$2:$C$2001,$E139))</ns0:f>
        <ns0:v/>
      </ns0:c>
      <ns0:c r="D139" s="28" t="str">
        <ns0:f>IF(E139="","","Müşteri adı / aranacak ad / il bilgisini kontrol edin")</ns0:f>
        <ns0:v/>
      </ns0:c>
      <ns0:c r="E139" s="28" t="str">
        <ns0:f>IFERROR(MATCH(135,'Banka Dökümü'!$I$2:$I$2001,0),"")</ns0:f>
        <ns0:v/>
      </ns0:c>
    </ns0:row>
    <ns0:row r="140" ht="21" customHeight="1">
      <ns0:c r="A140" s="32" t="str">
        <ns0:f>IF($E140="","",INDEX('Banka Dökümü'!$A$2:$A$2001,$E140))</ns0:f>
        <ns0:v/>
      </ns0:c>
      <ns0:c r="B140" s="28" t="str">
        <ns0:f>IF($E140="","",INDEX('Banka Dökümü'!$B$2:$B$2001,$E140))</ns0:f>
        <ns0:v/>
      </ns0:c>
      <ns0:c r="C140" s="33" t="str">
        <ns0:f>IF($E140="","",INDEX('Banka Dökümü'!$C$2:$C$2001,$E140))</ns0:f>
        <ns0:v/>
      </ns0:c>
      <ns0:c r="D140" s="28" t="str">
        <ns0:f>IF(E140="","","Müşteri adı / aranacak ad / il bilgisini kontrol edin")</ns0:f>
        <ns0:v/>
      </ns0:c>
      <ns0:c r="E140" s="28" t="str">
        <ns0:f>IFERROR(MATCH(136,'Banka Dökümü'!$I$2:$I$2001,0),"")</ns0:f>
        <ns0:v/>
      </ns0:c>
    </ns0:row>
    <ns0:row r="141" ht="21" customHeight="1">
      <ns0:c r="A141" s="32" t="str">
        <ns0:f>IF($E141="","",INDEX('Banka Dökümü'!$A$2:$A$2001,$E141))</ns0:f>
        <ns0:v/>
      </ns0:c>
      <ns0:c r="B141" s="28" t="str">
        <ns0:f>IF($E141="","",INDEX('Banka Dökümü'!$B$2:$B$2001,$E141))</ns0:f>
        <ns0:v/>
      </ns0:c>
      <ns0:c r="C141" s="33" t="str">
        <ns0:f>IF($E141="","",INDEX('Banka Dökümü'!$C$2:$C$2001,$E141))</ns0:f>
        <ns0:v/>
      </ns0:c>
      <ns0:c r="D141" s="28" t="str">
        <ns0:f>IF(E141="","","Müşteri adı / aranacak ad / il bilgisini kontrol edin")</ns0:f>
        <ns0:v/>
      </ns0:c>
      <ns0:c r="E141" s="28" t="str">
        <ns0:f>IFERROR(MATCH(137,'Banka Dökümü'!$I$2:$I$2001,0),"")</ns0:f>
        <ns0:v/>
      </ns0:c>
    </ns0:row>
    <ns0:row r="142" ht="21" customHeight="1">
      <ns0:c r="A142" s="32" t="str">
        <ns0:f>IF($E142="","",INDEX('Banka Dökümü'!$A$2:$A$2001,$E142))</ns0:f>
        <ns0:v/>
      </ns0:c>
      <ns0:c r="B142" s="28" t="str">
        <ns0:f>IF($E142="","",INDEX('Banka Dökümü'!$B$2:$B$2001,$E142))</ns0:f>
        <ns0:v/>
      </ns0:c>
      <ns0:c r="C142" s="33" t="str">
        <ns0:f>IF($E142="","",INDEX('Banka Dökümü'!$C$2:$C$2001,$E142))</ns0:f>
        <ns0:v/>
      </ns0:c>
      <ns0:c r="D142" s="28" t="str">
        <ns0:f>IF(E142="","","Müşteri adı / aranacak ad / il bilgisini kontrol edin")</ns0:f>
        <ns0:v/>
      </ns0:c>
      <ns0:c r="E142" s="28" t="str">
        <ns0:f>IFERROR(MATCH(138,'Banka Dökümü'!$I$2:$I$2001,0),"")</ns0:f>
        <ns0:v/>
      </ns0:c>
    </ns0:row>
    <ns0:row r="143" ht="21" customHeight="1">
      <ns0:c r="A143" s="32" t="str">
        <ns0:f>IF($E143="","",INDEX('Banka Dökümü'!$A$2:$A$2001,$E143))</ns0:f>
        <ns0:v/>
      </ns0:c>
      <ns0:c r="B143" s="28" t="str">
        <ns0:f>IF($E143="","",INDEX('Banka Dökümü'!$B$2:$B$2001,$E143))</ns0:f>
        <ns0:v/>
      </ns0:c>
      <ns0:c r="C143" s="33" t="str">
        <ns0:f>IF($E143="","",INDEX('Banka Dökümü'!$C$2:$C$2001,$E143))</ns0:f>
        <ns0:v/>
      </ns0:c>
      <ns0:c r="D143" s="28" t="str">
        <ns0:f>IF(E143="","","Müşteri adı / aranacak ad / il bilgisini kontrol edin")</ns0:f>
        <ns0:v/>
      </ns0:c>
      <ns0:c r="E143" s="28" t="str">
        <ns0:f>IFERROR(MATCH(139,'Banka Dökümü'!$I$2:$I$2001,0),"")</ns0:f>
        <ns0:v/>
      </ns0:c>
    </ns0:row>
    <ns0:row r="144" ht="21" customHeight="1">
      <ns0:c r="A144" s="32" t="str">
        <ns0:f>IF($E144="","",INDEX('Banka Dökümü'!$A$2:$A$2001,$E144))</ns0:f>
        <ns0:v/>
      </ns0:c>
      <ns0:c r="B144" s="28" t="str">
        <ns0:f>IF($E144="","",INDEX('Banka Dökümü'!$B$2:$B$2001,$E144))</ns0:f>
        <ns0:v/>
      </ns0:c>
      <ns0:c r="C144" s="33" t="str">
        <ns0:f>IF($E144="","",INDEX('Banka Dökümü'!$C$2:$C$2001,$E144))</ns0:f>
        <ns0:v/>
      </ns0:c>
      <ns0:c r="D144" s="28" t="str">
        <ns0:f>IF(E144="","","Müşteri adı / aranacak ad / il bilgisini kontrol edin")</ns0:f>
        <ns0:v/>
      </ns0:c>
      <ns0:c r="E144" s="28" t="str">
        <ns0:f>IFERROR(MATCH(140,'Banka Dökümü'!$I$2:$I$2001,0),"")</ns0:f>
        <ns0:v/>
      </ns0:c>
    </ns0:row>
    <ns0:row r="145" ht="21" customHeight="1">
      <ns0:c r="A145" s="32" t="str">
        <ns0:f>IF($E145="","",INDEX('Banka Dökümü'!$A$2:$A$2001,$E145))</ns0:f>
        <ns0:v/>
      </ns0:c>
      <ns0:c r="B145" s="28" t="str">
        <ns0:f>IF($E145="","",INDEX('Banka Dökümü'!$B$2:$B$2001,$E145))</ns0:f>
        <ns0:v/>
      </ns0:c>
      <ns0:c r="C145" s="33" t="str">
        <ns0:f>IF($E145="","",INDEX('Banka Dökümü'!$C$2:$C$2001,$E145))</ns0:f>
        <ns0:v/>
      </ns0:c>
      <ns0:c r="D145" s="28" t="str">
        <ns0:f>IF(E145="","","Müşteri adı / aranacak ad / il bilgisini kontrol edin")</ns0:f>
        <ns0:v/>
      </ns0:c>
      <ns0:c r="E145" s="28" t="str">
        <ns0:f>IFERROR(MATCH(141,'Banka Dökümü'!$I$2:$I$2001,0),"")</ns0:f>
        <ns0:v/>
      </ns0:c>
    </ns0:row>
    <ns0:row r="146" ht="21" customHeight="1">
      <ns0:c r="A146" s="32" t="str">
        <ns0:f>IF($E146="","",INDEX('Banka Dökümü'!$A$2:$A$2001,$E146))</ns0:f>
        <ns0:v/>
      </ns0:c>
      <ns0:c r="B146" s="28" t="str">
        <ns0:f>IF($E146="","",INDEX('Banka Dökümü'!$B$2:$B$2001,$E146))</ns0:f>
        <ns0:v/>
      </ns0:c>
      <ns0:c r="C146" s="33" t="str">
        <ns0:f>IF($E146="","",INDEX('Banka Dökümü'!$C$2:$C$2001,$E146))</ns0:f>
        <ns0:v/>
      </ns0:c>
      <ns0:c r="D146" s="28" t="str">
        <ns0:f>IF(E146="","","Müşteri adı / aranacak ad / il bilgisini kontrol edin")</ns0:f>
        <ns0:v/>
      </ns0:c>
      <ns0:c r="E146" s="28" t="str">
        <ns0:f>IFERROR(MATCH(142,'Banka Dökümü'!$I$2:$I$2001,0),"")</ns0:f>
        <ns0:v/>
      </ns0:c>
    </ns0:row>
    <ns0:row r="147" ht="21" customHeight="1">
      <ns0:c r="A147" s="32" t="str">
        <ns0:f>IF($E147="","",INDEX('Banka Dökümü'!$A$2:$A$2001,$E147))</ns0:f>
        <ns0:v/>
      </ns0:c>
      <ns0:c r="B147" s="28" t="str">
        <ns0:f>IF($E147="","",INDEX('Banka Dökümü'!$B$2:$B$2001,$E147))</ns0:f>
        <ns0:v/>
      </ns0:c>
      <ns0:c r="C147" s="33" t="str">
        <ns0:f>IF($E147="","",INDEX('Banka Dökümü'!$C$2:$C$2001,$E147))</ns0:f>
        <ns0:v/>
      </ns0:c>
      <ns0:c r="D147" s="28" t="str">
        <ns0:f>IF(E147="","","Müşteri adı / aranacak ad / il bilgisini kontrol edin")</ns0:f>
        <ns0:v/>
      </ns0:c>
      <ns0:c r="E147" s="28" t="str">
        <ns0:f>IFERROR(MATCH(143,'Banka Dökümü'!$I$2:$I$2001,0),"")</ns0:f>
        <ns0:v/>
      </ns0:c>
    </ns0:row>
    <ns0:row r="148" ht="21" customHeight="1">
      <ns0:c r="A148" s="32" t="str">
        <ns0:f>IF($E148="","",INDEX('Banka Dökümü'!$A$2:$A$2001,$E148))</ns0:f>
        <ns0:v/>
      </ns0:c>
      <ns0:c r="B148" s="28" t="str">
        <ns0:f>IF($E148="","",INDEX('Banka Dökümü'!$B$2:$B$2001,$E148))</ns0:f>
        <ns0:v/>
      </ns0:c>
      <ns0:c r="C148" s="33" t="str">
        <ns0:f>IF($E148="","",INDEX('Banka Dökümü'!$C$2:$C$2001,$E148))</ns0:f>
        <ns0:v/>
      </ns0:c>
      <ns0:c r="D148" s="28" t="str">
        <ns0:f>IF(E148="","","Müşteri adı / aranacak ad / il bilgisini kontrol edin")</ns0:f>
        <ns0:v/>
      </ns0:c>
      <ns0:c r="E148" s="28" t="str">
        <ns0:f>IFERROR(MATCH(144,'Banka Dökümü'!$I$2:$I$2001,0),"")</ns0:f>
        <ns0:v/>
      </ns0:c>
    </ns0:row>
    <ns0:row r="149" ht="21" customHeight="1">
      <ns0:c r="A149" s="32" t="str">
        <ns0:f>IF($E149="","",INDEX('Banka Dökümü'!$A$2:$A$2001,$E149))</ns0:f>
        <ns0:v/>
      </ns0:c>
      <ns0:c r="B149" s="28" t="str">
        <ns0:f>IF($E149="","",INDEX('Banka Dökümü'!$B$2:$B$2001,$E149))</ns0:f>
        <ns0:v/>
      </ns0:c>
      <ns0:c r="C149" s="33" t="str">
        <ns0:f>IF($E149="","",INDEX('Banka Dökümü'!$C$2:$C$2001,$E149))</ns0:f>
        <ns0:v/>
      </ns0:c>
      <ns0:c r="D149" s="28" t="str">
        <ns0:f>IF(E149="","","Müşteri adı / aranacak ad / il bilgisini kontrol edin")</ns0:f>
        <ns0:v/>
      </ns0:c>
      <ns0:c r="E149" s="28" t="str">
        <ns0:f>IFERROR(MATCH(145,'Banka Dökümü'!$I$2:$I$2001,0),"")</ns0:f>
        <ns0:v/>
      </ns0:c>
    </ns0:row>
    <ns0:row r="150" ht="21" customHeight="1">
      <ns0:c r="A150" s="32" t="str">
        <ns0:f>IF($E150="","",INDEX('Banka Dökümü'!$A$2:$A$2001,$E150))</ns0:f>
        <ns0:v/>
      </ns0:c>
      <ns0:c r="B150" s="28" t="str">
        <ns0:f>IF($E150="","",INDEX('Banka Dökümü'!$B$2:$B$2001,$E150))</ns0:f>
        <ns0:v/>
      </ns0:c>
      <ns0:c r="C150" s="33" t="str">
        <ns0:f>IF($E150="","",INDEX('Banka Dökümü'!$C$2:$C$2001,$E150))</ns0:f>
        <ns0:v/>
      </ns0:c>
      <ns0:c r="D150" s="28" t="str">
        <ns0:f>IF(E150="","","Müşteri adı / aranacak ad / il bilgisini kontrol edin")</ns0:f>
        <ns0:v/>
      </ns0:c>
      <ns0:c r="E150" s="28" t="str">
        <ns0:f>IFERROR(MATCH(146,'Banka Dökümü'!$I$2:$I$2001,0),"")</ns0:f>
        <ns0:v/>
      </ns0:c>
    </ns0:row>
    <ns0:row r="151" ht="21" customHeight="1">
      <ns0:c r="A151" s="32" t="str">
        <ns0:f>IF($E151="","",INDEX('Banka Dökümü'!$A$2:$A$2001,$E151))</ns0:f>
        <ns0:v/>
      </ns0:c>
      <ns0:c r="B151" s="28" t="str">
        <ns0:f>IF($E151="","",INDEX('Banka Dökümü'!$B$2:$B$2001,$E151))</ns0:f>
        <ns0:v/>
      </ns0:c>
      <ns0:c r="C151" s="33" t="str">
        <ns0:f>IF($E151="","",INDEX('Banka Dökümü'!$C$2:$C$2001,$E151))</ns0:f>
        <ns0:v/>
      </ns0:c>
      <ns0:c r="D151" s="28" t="str">
        <ns0:f>IF(E151="","","Müşteri adı / aranacak ad / il bilgisini kontrol edin")</ns0:f>
        <ns0:v/>
      </ns0:c>
      <ns0:c r="E151" s="28" t="str">
        <ns0:f>IFERROR(MATCH(147,'Banka Dökümü'!$I$2:$I$2001,0),"")</ns0:f>
        <ns0:v/>
      </ns0:c>
    </ns0:row>
    <ns0:row r="152" ht="21" customHeight="1">
      <ns0:c r="A152" s="32" t="str">
        <ns0:f>IF($E152="","",INDEX('Banka Dökümü'!$A$2:$A$2001,$E152))</ns0:f>
        <ns0:v/>
      </ns0:c>
      <ns0:c r="B152" s="28" t="str">
        <ns0:f>IF($E152="","",INDEX('Banka Dökümü'!$B$2:$B$2001,$E152))</ns0:f>
        <ns0:v/>
      </ns0:c>
      <ns0:c r="C152" s="33" t="str">
        <ns0:f>IF($E152="","",INDEX('Banka Dökümü'!$C$2:$C$2001,$E152))</ns0:f>
        <ns0:v/>
      </ns0:c>
      <ns0:c r="D152" s="28" t="str">
        <ns0:f>IF(E152="","","Müşteri adı / aranacak ad / il bilgisini kontrol edin")</ns0:f>
        <ns0:v/>
      </ns0:c>
      <ns0:c r="E152" s="28" t="str">
        <ns0:f>IFERROR(MATCH(148,'Banka Dökümü'!$I$2:$I$2001,0),"")</ns0:f>
        <ns0:v/>
      </ns0:c>
    </ns0:row>
    <ns0:row r="153" ht="21" customHeight="1">
      <ns0:c r="A153" s="32" t="str">
        <ns0:f>IF($E153="","",INDEX('Banka Dökümü'!$A$2:$A$2001,$E153))</ns0:f>
        <ns0:v/>
      </ns0:c>
      <ns0:c r="B153" s="28" t="str">
        <ns0:f>IF($E153="","",INDEX('Banka Dökümü'!$B$2:$B$2001,$E153))</ns0:f>
        <ns0:v/>
      </ns0:c>
      <ns0:c r="C153" s="33" t="str">
        <ns0:f>IF($E153="","",INDEX('Banka Dökümü'!$C$2:$C$2001,$E153))</ns0:f>
        <ns0:v/>
      </ns0:c>
      <ns0:c r="D153" s="28" t="str">
        <ns0:f>IF(E153="","","Müşteri adı / aranacak ad / il bilgisini kontrol edin")</ns0:f>
        <ns0:v/>
      </ns0:c>
      <ns0:c r="E153" s="28" t="str">
        <ns0:f>IFERROR(MATCH(149,'Banka Dökümü'!$I$2:$I$2001,0),"")</ns0:f>
        <ns0:v/>
      </ns0:c>
    </ns0:row>
    <ns0:row r="154" ht="21" customHeight="1">
      <ns0:c r="A154" s="32" t="str">
        <ns0:f>IF($E154="","",INDEX('Banka Dökümü'!$A$2:$A$2001,$E154))</ns0:f>
        <ns0:v/>
      </ns0:c>
      <ns0:c r="B154" s="28" t="str">
        <ns0:f>IF($E154="","",INDEX('Banka Dökümü'!$B$2:$B$2001,$E154))</ns0:f>
        <ns0:v/>
      </ns0:c>
      <ns0:c r="C154" s="33" t="str">
        <ns0:f>IF($E154="","",INDEX('Banka Dökümü'!$C$2:$C$2001,$E154))</ns0:f>
        <ns0:v/>
      </ns0:c>
      <ns0:c r="D154" s="28" t="str">
        <ns0:f>IF(E154="","","Müşteri adı / aranacak ad / il bilgisini kontrol edin")</ns0:f>
        <ns0:v/>
      </ns0:c>
      <ns0:c r="E154" s="28" t="str">
        <ns0:f>IFERROR(MATCH(150,'Banka Dökümü'!$I$2:$I$2001,0),"")</ns0:f>
        <ns0:v/>
      </ns0:c>
    </ns0:row>
    <ns0:row r="155" ht="21" customHeight="1">
      <ns0:c r="A155" s="32" t="str">
        <ns0:f>IF($E155="","",INDEX('Banka Dökümü'!$A$2:$A$2001,$E155))</ns0:f>
        <ns0:v/>
      </ns0:c>
      <ns0:c r="B155" s="28" t="str">
        <ns0:f>IF($E155="","",INDEX('Banka Dökümü'!$B$2:$B$2001,$E155))</ns0:f>
        <ns0:v/>
      </ns0:c>
      <ns0:c r="C155" s="33" t="str">
        <ns0:f>IF($E155="","",INDEX('Banka Dökümü'!$C$2:$C$2001,$E155))</ns0:f>
        <ns0:v/>
      </ns0:c>
      <ns0:c r="D155" s="28" t="str">
        <ns0:f>IF(E155="","","Müşteri adı / aranacak ad / il bilgisini kontrol edin")</ns0:f>
        <ns0:v/>
      </ns0:c>
      <ns0:c r="E155" s="28" t="str">
        <ns0:f>IFERROR(MATCH(151,'Banka Dökümü'!$I$2:$I$2001,0),"")</ns0:f>
        <ns0:v/>
      </ns0:c>
    </ns0:row>
    <ns0:row r="156" ht="21" customHeight="1">
      <ns0:c r="A156" s="32" t="str">
        <ns0:f>IF($E156="","",INDEX('Banka Dökümü'!$A$2:$A$2001,$E156))</ns0:f>
        <ns0:v/>
      </ns0:c>
      <ns0:c r="B156" s="28" t="str">
        <ns0:f>IF($E156="","",INDEX('Banka Dökümü'!$B$2:$B$2001,$E156))</ns0:f>
        <ns0:v/>
      </ns0:c>
      <ns0:c r="C156" s="33" t="str">
        <ns0:f>IF($E156="","",INDEX('Banka Dökümü'!$C$2:$C$2001,$E156))</ns0:f>
        <ns0:v/>
      </ns0:c>
      <ns0:c r="D156" s="28" t="str">
        <ns0:f>IF(E156="","","Müşteri adı / aranacak ad / il bilgisini kontrol edin")</ns0:f>
        <ns0:v/>
      </ns0:c>
      <ns0:c r="E156" s="28" t="str">
        <ns0:f>IFERROR(MATCH(152,'Banka Dökümü'!$I$2:$I$2001,0),"")</ns0:f>
        <ns0:v/>
      </ns0:c>
    </ns0:row>
    <ns0:row r="157" ht="21" customHeight="1">
      <ns0:c r="A157" s="32" t="str">
        <ns0:f>IF($E157="","",INDEX('Banka Dökümü'!$A$2:$A$2001,$E157))</ns0:f>
        <ns0:v/>
      </ns0:c>
      <ns0:c r="B157" s="28" t="str">
        <ns0:f>IF($E157="","",INDEX('Banka Dökümü'!$B$2:$B$2001,$E157))</ns0:f>
        <ns0:v/>
      </ns0:c>
      <ns0:c r="C157" s="33" t="str">
        <ns0:f>IF($E157="","",INDEX('Banka Dökümü'!$C$2:$C$2001,$E157))</ns0:f>
        <ns0:v/>
      </ns0:c>
      <ns0:c r="D157" s="28" t="str">
        <ns0:f>IF(E157="","","Müşteri adı / aranacak ad / il bilgisini kontrol edin")</ns0:f>
        <ns0:v/>
      </ns0:c>
      <ns0:c r="E157" s="28" t="str">
        <ns0:f>IFERROR(MATCH(153,'Banka Dökümü'!$I$2:$I$2001,0),"")</ns0:f>
        <ns0:v/>
      </ns0:c>
    </ns0:row>
    <ns0:row r="158" ht="21" customHeight="1">
      <ns0:c r="A158" s="32" t="str">
        <ns0:f>IF($E158="","",INDEX('Banka Dökümü'!$A$2:$A$2001,$E158))</ns0:f>
        <ns0:v/>
      </ns0:c>
      <ns0:c r="B158" s="28" t="str">
        <ns0:f>IF($E158="","",INDEX('Banka Dökümü'!$B$2:$B$2001,$E158))</ns0:f>
        <ns0:v/>
      </ns0:c>
      <ns0:c r="C158" s="33" t="str">
        <ns0:f>IF($E158="","",INDEX('Banka Dökümü'!$C$2:$C$2001,$E158))</ns0:f>
        <ns0:v/>
      </ns0:c>
      <ns0:c r="D158" s="28" t="str">
        <ns0:f>IF(E158="","","Müşteri adı / aranacak ad / il bilgisini kontrol edin")</ns0:f>
        <ns0:v/>
      </ns0:c>
      <ns0:c r="E158" s="28" t="str">
        <ns0:f>IFERROR(MATCH(154,'Banka Dökümü'!$I$2:$I$2001,0),"")</ns0:f>
        <ns0:v/>
      </ns0:c>
    </ns0:row>
    <ns0:row r="159" ht="21" customHeight="1">
      <ns0:c r="A159" s="32" t="str">
        <ns0:f>IF($E159="","",INDEX('Banka Dökümü'!$A$2:$A$2001,$E159))</ns0:f>
        <ns0:v/>
      </ns0:c>
      <ns0:c r="B159" s="28" t="str">
        <ns0:f>IF($E159="","",INDEX('Banka Dökümü'!$B$2:$B$2001,$E159))</ns0:f>
        <ns0:v/>
      </ns0:c>
      <ns0:c r="C159" s="33" t="str">
        <ns0:f>IF($E159="","",INDEX('Banka Dökümü'!$C$2:$C$2001,$E159))</ns0:f>
        <ns0:v/>
      </ns0:c>
      <ns0:c r="D159" s="28" t="str">
        <ns0:f>IF(E159="","","Müşteri adı / aranacak ad / il bilgisini kontrol edin")</ns0:f>
        <ns0:v/>
      </ns0:c>
      <ns0:c r="E159" s="28" t="str">
        <ns0:f>IFERROR(MATCH(155,'Banka Dökümü'!$I$2:$I$2001,0),"")</ns0:f>
        <ns0:v/>
      </ns0:c>
    </ns0:row>
    <ns0:row r="160" ht="21" customHeight="1">
      <ns0:c r="A160" s="32" t="str">
        <ns0:f>IF($E160="","",INDEX('Banka Dökümü'!$A$2:$A$2001,$E160))</ns0:f>
        <ns0:v/>
      </ns0:c>
      <ns0:c r="B160" s="28" t="str">
        <ns0:f>IF($E160="","",INDEX('Banka Dökümü'!$B$2:$B$2001,$E160))</ns0:f>
        <ns0:v/>
      </ns0:c>
      <ns0:c r="C160" s="33" t="str">
        <ns0:f>IF($E160="","",INDEX('Banka Dökümü'!$C$2:$C$2001,$E160))</ns0:f>
        <ns0:v/>
      </ns0:c>
      <ns0:c r="D160" s="28" t="str">
        <ns0:f>IF(E160="","","Müşteri adı / aranacak ad / il bilgisini kontrol edin")</ns0:f>
        <ns0:v/>
      </ns0:c>
      <ns0:c r="E160" s="28" t="str">
        <ns0:f>IFERROR(MATCH(156,'Banka Dökümü'!$I$2:$I$2001,0),"")</ns0:f>
        <ns0:v/>
      </ns0:c>
    </ns0:row>
    <ns0:row r="161" ht="21" customHeight="1">
      <ns0:c r="A161" s="32" t="str">
        <ns0:f>IF($E161="","",INDEX('Banka Dökümü'!$A$2:$A$2001,$E161))</ns0:f>
        <ns0:v/>
      </ns0:c>
      <ns0:c r="B161" s="28" t="str">
        <ns0:f>IF($E161="","",INDEX('Banka Dökümü'!$B$2:$B$2001,$E161))</ns0:f>
        <ns0:v/>
      </ns0:c>
      <ns0:c r="C161" s="33" t="str">
        <ns0:f>IF($E161="","",INDEX('Banka Dökümü'!$C$2:$C$2001,$E161))</ns0:f>
        <ns0:v/>
      </ns0:c>
      <ns0:c r="D161" s="28" t="str">
        <ns0:f>IF(E161="","","Müşteri adı / aranacak ad / il bilgisini kontrol edin")</ns0:f>
        <ns0:v/>
      </ns0:c>
      <ns0:c r="E161" s="28" t="str">
        <ns0:f>IFERROR(MATCH(157,'Banka Dökümü'!$I$2:$I$2001,0),"")</ns0:f>
        <ns0:v/>
      </ns0:c>
    </ns0:row>
    <ns0:row r="162" ht="21" customHeight="1">
      <ns0:c r="A162" s="32" t="str">
        <ns0:f>IF($E162="","",INDEX('Banka Dökümü'!$A$2:$A$2001,$E162))</ns0:f>
        <ns0:v/>
      </ns0:c>
      <ns0:c r="B162" s="28" t="str">
        <ns0:f>IF($E162="","",INDEX('Banka Dökümü'!$B$2:$B$2001,$E162))</ns0:f>
        <ns0:v/>
      </ns0:c>
      <ns0:c r="C162" s="33" t="str">
        <ns0:f>IF($E162="","",INDEX('Banka Dökümü'!$C$2:$C$2001,$E162))</ns0:f>
        <ns0:v/>
      </ns0:c>
      <ns0:c r="D162" s="28" t="str">
        <ns0:f>IF(E162="","","Müşteri adı / aranacak ad / il bilgisini kontrol edin")</ns0:f>
        <ns0:v/>
      </ns0:c>
      <ns0:c r="E162" s="28" t="str">
        <ns0:f>IFERROR(MATCH(158,'Banka Dökümü'!$I$2:$I$2001,0),"")</ns0:f>
        <ns0:v/>
      </ns0:c>
    </ns0:row>
    <ns0:row r="163" ht="21" customHeight="1">
      <ns0:c r="A163" s="32" t="str">
        <ns0:f>IF($E163="","",INDEX('Banka Dökümü'!$A$2:$A$2001,$E163))</ns0:f>
        <ns0:v/>
      </ns0:c>
      <ns0:c r="B163" s="28" t="str">
        <ns0:f>IF($E163="","",INDEX('Banka Dökümü'!$B$2:$B$2001,$E163))</ns0:f>
        <ns0:v/>
      </ns0:c>
      <ns0:c r="C163" s="33" t="str">
        <ns0:f>IF($E163="","",INDEX('Banka Dökümü'!$C$2:$C$2001,$E163))</ns0:f>
        <ns0:v/>
      </ns0:c>
      <ns0:c r="D163" s="28" t="str">
        <ns0:f>IF(E163="","","Müşteri adı / aranacak ad / il bilgisini kontrol edin")</ns0:f>
        <ns0:v/>
      </ns0:c>
      <ns0:c r="E163" s="28" t="str">
        <ns0:f>IFERROR(MATCH(159,'Banka Dökümü'!$I$2:$I$2001,0),"")</ns0:f>
        <ns0:v/>
      </ns0:c>
    </ns0:row>
    <ns0:row r="164" ht="21" customHeight="1">
      <ns0:c r="A164" s="32" t="str">
        <ns0:f>IF($E164="","",INDEX('Banka Dökümü'!$A$2:$A$2001,$E164))</ns0:f>
        <ns0:v/>
      </ns0:c>
      <ns0:c r="B164" s="28" t="str">
        <ns0:f>IF($E164="","",INDEX('Banka Dökümü'!$B$2:$B$2001,$E164))</ns0:f>
        <ns0:v/>
      </ns0:c>
      <ns0:c r="C164" s="33" t="str">
        <ns0:f>IF($E164="","",INDEX('Banka Dökümü'!$C$2:$C$2001,$E164))</ns0:f>
        <ns0:v/>
      </ns0:c>
      <ns0:c r="D164" s="28" t="str">
        <ns0:f>IF(E164="","","Müşteri adı / aranacak ad / il bilgisini kontrol edin")</ns0:f>
        <ns0:v/>
      </ns0:c>
      <ns0:c r="E164" s="28" t="str">
        <ns0:f>IFERROR(MATCH(160,'Banka Dökümü'!$I$2:$I$2001,0),"")</ns0:f>
        <ns0:v/>
      </ns0:c>
    </ns0:row>
    <ns0:row r="165" ht="21" customHeight="1">
      <ns0:c r="A165" s="32" t="str">
        <ns0:f>IF($E165="","",INDEX('Banka Dökümü'!$A$2:$A$2001,$E165))</ns0:f>
        <ns0:v/>
      </ns0:c>
      <ns0:c r="B165" s="28" t="str">
        <ns0:f>IF($E165="","",INDEX('Banka Dökümü'!$B$2:$B$2001,$E165))</ns0:f>
        <ns0:v/>
      </ns0:c>
      <ns0:c r="C165" s="33" t="str">
        <ns0:f>IF($E165="","",INDEX('Banka Dökümü'!$C$2:$C$2001,$E165))</ns0:f>
        <ns0:v/>
      </ns0:c>
      <ns0:c r="D165" s="28" t="str">
        <ns0:f>IF(E165="","","Müşteri adı / aranacak ad / il bilgisini kontrol edin")</ns0:f>
        <ns0:v/>
      </ns0:c>
      <ns0:c r="E165" s="28" t="str">
        <ns0:f>IFERROR(MATCH(161,'Banka Dökümü'!$I$2:$I$2001,0),"")</ns0:f>
        <ns0:v/>
      </ns0:c>
    </ns0:row>
    <ns0:row r="166" ht="21" customHeight="1">
      <ns0:c r="A166" s="32" t="str">
        <ns0:f>IF($E166="","",INDEX('Banka Dökümü'!$A$2:$A$2001,$E166))</ns0:f>
        <ns0:v/>
      </ns0:c>
      <ns0:c r="B166" s="28" t="str">
        <ns0:f>IF($E166="","",INDEX('Banka Dökümü'!$B$2:$B$2001,$E166))</ns0:f>
        <ns0:v/>
      </ns0:c>
      <ns0:c r="C166" s="33" t="str">
        <ns0:f>IF($E166="","",INDEX('Banka Dökümü'!$C$2:$C$2001,$E166))</ns0:f>
        <ns0:v/>
      </ns0:c>
      <ns0:c r="D166" s="28" t="str">
        <ns0:f>IF(E166="","","Müşteri adı / aranacak ad / il bilgisini kontrol edin")</ns0:f>
        <ns0:v/>
      </ns0:c>
      <ns0:c r="E166" s="28" t="str">
        <ns0:f>IFERROR(MATCH(162,'Banka Dökümü'!$I$2:$I$2001,0),"")</ns0:f>
        <ns0:v/>
      </ns0:c>
    </ns0:row>
    <ns0:row r="167" ht="21" customHeight="1">
      <ns0:c r="A167" s="32" t="str">
        <ns0:f>IF($E167="","",INDEX('Banka Dökümü'!$A$2:$A$2001,$E167))</ns0:f>
        <ns0:v/>
      </ns0:c>
      <ns0:c r="B167" s="28" t="str">
        <ns0:f>IF($E167="","",INDEX('Banka Dökümü'!$B$2:$B$2001,$E167))</ns0:f>
        <ns0:v/>
      </ns0:c>
      <ns0:c r="C167" s="33" t="str">
        <ns0:f>IF($E167="","",INDEX('Banka Dökümü'!$C$2:$C$2001,$E167))</ns0:f>
        <ns0:v/>
      </ns0:c>
      <ns0:c r="D167" s="28" t="str">
        <ns0:f>IF(E167="","","Müşteri adı / aranacak ad / il bilgisini kontrol edin")</ns0:f>
        <ns0:v/>
      </ns0:c>
      <ns0:c r="E167" s="28" t="str">
        <ns0:f>IFERROR(MATCH(163,'Banka Dökümü'!$I$2:$I$2001,0),"")</ns0:f>
        <ns0:v/>
      </ns0:c>
    </ns0:row>
    <ns0:row r="168" ht="21" customHeight="1">
      <ns0:c r="A168" s="32" t="str">
        <ns0:f>IF($E168="","",INDEX('Banka Dökümü'!$A$2:$A$2001,$E168))</ns0:f>
        <ns0:v/>
      </ns0:c>
      <ns0:c r="B168" s="28" t="str">
        <ns0:f>IF($E168="","",INDEX('Banka Dökümü'!$B$2:$B$2001,$E168))</ns0:f>
        <ns0:v/>
      </ns0:c>
      <ns0:c r="C168" s="33" t="str">
        <ns0:f>IF($E168="","",INDEX('Banka Dökümü'!$C$2:$C$2001,$E168))</ns0:f>
        <ns0:v/>
      </ns0:c>
      <ns0:c r="D168" s="28" t="str">
        <ns0:f>IF(E168="","","Müşteri adı / aranacak ad / il bilgisini kontrol edin")</ns0:f>
        <ns0:v/>
      </ns0:c>
      <ns0:c r="E168" s="28" t="str">
        <ns0:f>IFERROR(MATCH(164,'Banka Dökümü'!$I$2:$I$2001,0),"")</ns0:f>
        <ns0:v/>
      </ns0:c>
    </ns0:row>
    <ns0:row r="169" ht="21" customHeight="1">
      <ns0:c r="A169" s="32" t="str">
        <ns0:f>IF($E169="","",INDEX('Banka Dökümü'!$A$2:$A$2001,$E169))</ns0:f>
        <ns0:v/>
      </ns0:c>
      <ns0:c r="B169" s="28" t="str">
        <ns0:f>IF($E169="","",INDEX('Banka Dökümü'!$B$2:$B$2001,$E169))</ns0:f>
        <ns0:v/>
      </ns0:c>
      <ns0:c r="C169" s="33" t="str">
        <ns0:f>IF($E169="","",INDEX('Banka Dökümü'!$C$2:$C$2001,$E169))</ns0:f>
        <ns0:v/>
      </ns0:c>
      <ns0:c r="D169" s="28" t="str">
        <ns0:f>IF(E169="","","Müşteri adı / aranacak ad / il bilgisini kontrol edin")</ns0:f>
        <ns0:v/>
      </ns0:c>
      <ns0:c r="E169" s="28" t="str">
        <ns0:f>IFERROR(MATCH(165,'Banka Dökümü'!$I$2:$I$2001,0),"")</ns0:f>
        <ns0:v/>
      </ns0:c>
    </ns0:row>
    <ns0:row r="170" ht="21" customHeight="1">
      <ns0:c r="A170" s="32" t="str">
        <ns0:f>IF($E170="","",INDEX('Banka Dökümü'!$A$2:$A$2001,$E170))</ns0:f>
        <ns0:v/>
      </ns0:c>
      <ns0:c r="B170" s="28" t="str">
        <ns0:f>IF($E170="","",INDEX('Banka Dökümü'!$B$2:$B$2001,$E170))</ns0:f>
        <ns0:v/>
      </ns0:c>
      <ns0:c r="C170" s="33" t="str">
        <ns0:f>IF($E170="","",INDEX('Banka Dökümü'!$C$2:$C$2001,$E170))</ns0:f>
        <ns0:v/>
      </ns0:c>
      <ns0:c r="D170" s="28" t="str">
        <ns0:f>IF(E170="","","Müşteri adı / aranacak ad / il bilgisini kontrol edin")</ns0:f>
        <ns0:v/>
      </ns0:c>
      <ns0:c r="E170" s="28" t="str">
        <ns0:f>IFERROR(MATCH(166,'Banka Dökümü'!$I$2:$I$2001,0),"")</ns0:f>
        <ns0:v/>
      </ns0:c>
    </ns0:row>
    <ns0:row r="171" ht="21" customHeight="1">
      <ns0:c r="A171" s="32" t="str">
        <ns0:f>IF($E171="","",INDEX('Banka Dökümü'!$A$2:$A$2001,$E171))</ns0:f>
        <ns0:v/>
      </ns0:c>
      <ns0:c r="B171" s="28" t="str">
        <ns0:f>IF($E171="","",INDEX('Banka Dökümü'!$B$2:$B$2001,$E171))</ns0:f>
        <ns0:v/>
      </ns0:c>
      <ns0:c r="C171" s="33" t="str">
        <ns0:f>IF($E171="","",INDEX('Banka Dökümü'!$C$2:$C$2001,$E171))</ns0:f>
        <ns0:v/>
      </ns0:c>
      <ns0:c r="D171" s="28" t="str">
        <ns0:f>IF(E171="","","Müşteri adı / aranacak ad / il bilgisini kontrol edin")</ns0:f>
        <ns0:v/>
      </ns0:c>
      <ns0:c r="E171" s="28" t="str">
        <ns0:f>IFERROR(MATCH(167,'Banka Dökümü'!$I$2:$I$2001,0),"")</ns0:f>
        <ns0:v/>
      </ns0:c>
    </ns0:row>
    <ns0:row r="172" ht="21" customHeight="1">
      <ns0:c r="A172" s="32" t="str">
        <ns0:f>IF($E172="","",INDEX('Banka Dökümü'!$A$2:$A$2001,$E172))</ns0:f>
        <ns0:v/>
      </ns0:c>
      <ns0:c r="B172" s="28" t="str">
        <ns0:f>IF($E172="","",INDEX('Banka Dökümü'!$B$2:$B$2001,$E172))</ns0:f>
        <ns0:v/>
      </ns0:c>
      <ns0:c r="C172" s="33" t="str">
        <ns0:f>IF($E172="","",INDEX('Banka Dökümü'!$C$2:$C$2001,$E172))</ns0:f>
        <ns0:v/>
      </ns0:c>
      <ns0:c r="D172" s="28" t="str">
        <ns0:f>IF(E172="","","Müşteri adı / aranacak ad / il bilgisini kontrol edin")</ns0:f>
        <ns0:v/>
      </ns0:c>
      <ns0:c r="E172" s="28" t="str">
        <ns0:f>IFERROR(MATCH(168,'Banka Dökümü'!$I$2:$I$2001,0),"")</ns0:f>
        <ns0:v/>
      </ns0:c>
    </ns0:row>
    <ns0:row r="173" ht="21" customHeight="1">
      <ns0:c r="A173" s="32" t="str">
        <ns0:f>IF($E173="","",INDEX('Banka Dökümü'!$A$2:$A$2001,$E173))</ns0:f>
        <ns0:v/>
      </ns0:c>
      <ns0:c r="B173" s="28" t="str">
        <ns0:f>IF($E173="","",INDEX('Banka Dökümü'!$B$2:$B$2001,$E173))</ns0:f>
        <ns0:v/>
      </ns0:c>
      <ns0:c r="C173" s="33" t="str">
        <ns0:f>IF($E173="","",INDEX('Banka Dökümü'!$C$2:$C$2001,$E173))</ns0:f>
        <ns0:v/>
      </ns0:c>
      <ns0:c r="D173" s="28" t="str">
        <ns0:f>IF(E173="","","Müşteri adı / aranacak ad / il bilgisini kontrol edin")</ns0:f>
        <ns0:v/>
      </ns0:c>
      <ns0:c r="E173" s="28" t="str">
        <ns0:f>IFERROR(MATCH(169,'Banka Dökümü'!$I$2:$I$2001,0),"")</ns0:f>
        <ns0:v/>
      </ns0:c>
    </ns0:row>
    <ns0:row r="174" ht="21" customHeight="1">
      <ns0:c r="A174" s="32" t="str">
        <ns0:f>IF($E174="","",INDEX('Banka Dökümü'!$A$2:$A$2001,$E174))</ns0:f>
        <ns0:v/>
      </ns0:c>
      <ns0:c r="B174" s="28" t="str">
        <ns0:f>IF($E174="","",INDEX('Banka Dökümü'!$B$2:$B$2001,$E174))</ns0:f>
        <ns0:v/>
      </ns0:c>
      <ns0:c r="C174" s="33" t="str">
        <ns0:f>IF($E174="","",INDEX('Banka Dökümü'!$C$2:$C$2001,$E174))</ns0:f>
        <ns0:v/>
      </ns0:c>
      <ns0:c r="D174" s="28" t="str">
        <ns0:f>IF(E174="","","Müşteri adı / aranacak ad / il bilgisini kontrol edin")</ns0:f>
        <ns0:v/>
      </ns0:c>
      <ns0:c r="E174" s="28" t="str">
        <ns0:f>IFERROR(MATCH(170,'Banka Dökümü'!$I$2:$I$2001,0),"")</ns0:f>
        <ns0:v/>
      </ns0:c>
    </ns0:row>
    <ns0:row r="175" ht="21" customHeight="1">
      <ns0:c r="A175" s="32" t="str">
        <ns0:f>IF($E175="","",INDEX('Banka Dökümü'!$A$2:$A$2001,$E175))</ns0:f>
        <ns0:v/>
      </ns0:c>
      <ns0:c r="B175" s="28" t="str">
        <ns0:f>IF($E175="","",INDEX('Banka Dökümü'!$B$2:$B$2001,$E175))</ns0:f>
        <ns0:v/>
      </ns0:c>
      <ns0:c r="C175" s="33" t="str">
        <ns0:f>IF($E175="","",INDEX('Banka Dökümü'!$C$2:$C$2001,$E175))</ns0:f>
        <ns0:v/>
      </ns0:c>
      <ns0:c r="D175" s="28" t="str">
        <ns0:f>IF(E175="","","Müşteri adı / aranacak ad / il bilgisini kontrol edin")</ns0:f>
        <ns0:v/>
      </ns0:c>
      <ns0:c r="E175" s="28" t="str">
        <ns0:f>IFERROR(MATCH(171,'Banka Dökümü'!$I$2:$I$2001,0),"")</ns0:f>
        <ns0:v/>
      </ns0:c>
    </ns0:row>
    <ns0:row r="176" ht="21" customHeight="1">
      <ns0:c r="A176" s="32" t="str">
        <ns0:f>IF($E176="","",INDEX('Banka Dökümü'!$A$2:$A$2001,$E176))</ns0:f>
        <ns0:v/>
      </ns0:c>
      <ns0:c r="B176" s="28" t="str">
        <ns0:f>IF($E176="","",INDEX('Banka Dökümü'!$B$2:$B$2001,$E176))</ns0:f>
        <ns0:v/>
      </ns0:c>
      <ns0:c r="C176" s="33" t="str">
        <ns0:f>IF($E176="","",INDEX('Banka Dökümü'!$C$2:$C$2001,$E176))</ns0:f>
        <ns0:v/>
      </ns0:c>
      <ns0:c r="D176" s="28" t="str">
        <ns0:f>IF(E176="","","Müşteri adı / aranacak ad / il bilgisini kontrol edin")</ns0:f>
        <ns0:v/>
      </ns0:c>
      <ns0:c r="E176" s="28" t="str">
        <ns0:f>IFERROR(MATCH(172,'Banka Dökümü'!$I$2:$I$2001,0),"")</ns0:f>
        <ns0:v/>
      </ns0:c>
    </ns0:row>
    <ns0:row r="177" ht="21" customHeight="1">
      <ns0:c r="A177" s="32" t="str">
        <ns0:f>IF($E177="","",INDEX('Banka Dökümü'!$A$2:$A$2001,$E177))</ns0:f>
        <ns0:v/>
      </ns0:c>
      <ns0:c r="B177" s="28" t="str">
        <ns0:f>IF($E177="","",INDEX('Banka Dökümü'!$B$2:$B$2001,$E177))</ns0:f>
        <ns0:v/>
      </ns0:c>
      <ns0:c r="C177" s="33" t="str">
        <ns0:f>IF($E177="","",INDEX('Banka Dökümü'!$C$2:$C$2001,$E177))</ns0:f>
        <ns0:v/>
      </ns0:c>
      <ns0:c r="D177" s="28" t="str">
        <ns0:f>IF(E177="","","Müşteri adı / aranacak ad / il bilgisini kontrol edin")</ns0:f>
        <ns0:v/>
      </ns0:c>
      <ns0:c r="E177" s="28" t="str">
        <ns0:f>IFERROR(MATCH(173,'Banka Dökümü'!$I$2:$I$2001,0),"")</ns0:f>
        <ns0:v/>
      </ns0:c>
    </ns0:row>
    <ns0:row r="178" ht="21" customHeight="1">
      <ns0:c r="A178" s="32" t="str">
        <ns0:f>IF($E178="","",INDEX('Banka Dökümü'!$A$2:$A$2001,$E178))</ns0:f>
        <ns0:v/>
      </ns0:c>
      <ns0:c r="B178" s="28" t="str">
        <ns0:f>IF($E178="","",INDEX('Banka Dökümü'!$B$2:$B$2001,$E178))</ns0:f>
        <ns0:v/>
      </ns0:c>
      <ns0:c r="C178" s="33" t="str">
        <ns0:f>IF($E178="","",INDEX('Banka Dökümü'!$C$2:$C$2001,$E178))</ns0:f>
        <ns0:v/>
      </ns0:c>
      <ns0:c r="D178" s="28" t="str">
        <ns0:f>IF(E178="","","Müşteri adı / aranacak ad / il bilgisini kontrol edin")</ns0:f>
        <ns0:v/>
      </ns0:c>
      <ns0:c r="E178" s="28" t="str">
        <ns0:f>IFERROR(MATCH(174,'Banka Dökümü'!$I$2:$I$2001,0),"")</ns0:f>
        <ns0:v/>
      </ns0:c>
    </ns0:row>
    <ns0:row r="179" ht="21" customHeight="1">
      <ns0:c r="A179" s="32" t="str">
        <ns0:f>IF($E179="","",INDEX('Banka Dökümü'!$A$2:$A$2001,$E179))</ns0:f>
        <ns0:v/>
      </ns0:c>
      <ns0:c r="B179" s="28" t="str">
        <ns0:f>IF($E179="","",INDEX('Banka Dökümü'!$B$2:$B$2001,$E179))</ns0:f>
        <ns0:v/>
      </ns0:c>
      <ns0:c r="C179" s="33" t="str">
        <ns0:f>IF($E179="","",INDEX('Banka Dökümü'!$C$2:$C$2001,$E179))</ns0:f>
        <ns0:v/>
      </ns0:c>
      <ns0:c r="D179" s="28" t="str">
        <ns0:f>IF(E179="","","Müşteri adı / aranacak ad / il bilgisini kontrol edin")</ns0:f>
        <ns0:v/>
      </ns0:c>
      <ns0:c r="E179" s="28" t="str">
        <ns0:f>IFERROR(MATCH(175,'Banka Dökümü'!$I$2:$I$2001,0),"")</ns0:f>
        <ns0:v/>
      </ns0:c>
    </ns0:row>
    <ns0:row r="180" ht="21" customHeight="1">
      <ns0:c r="A180" s="32" t="str">
        <ns0:f>IF($E180="","",INDEX('Banka Dökümü'!$A$2:$A$2001,$E180))</ns0:f>
        <ns0:v/>
      </ns0:c>
      <ns0:c r="B180" s="28" t="str">
        <ns0:f>IF($E180="","",INDEX('Banka Dökümü'!$B$2:$B$2001,$E180))</ns0:f>
        <ns0:v/>
      </ns0:c>
      <ns0:c r="C180" s="33" t="str">
        <ns0:f>IF($E180="","",INDEX('Banka Dökümü'!$C$2:$C$2001,$E180))</ns0:f>
        <ns0:v/>
      </ns0:c>
      <ns0:c r="D180" s="28" t="str">
        <ns0:f>IF(E180="","","Müşteri adı / aranacak ad / il bilgisini kontrol edin")</ns0:f>
        <ns0:v/>
      </ns0:c>
      <ns0:c r="E180" s="28" t="str">
        <ns0:f>IFERROR(MATCH(176,'Banka Dökümü'!$I$2:$I$2001,0),"")</ns0:f>
        <ns0:v/>
      </ns0:c>
    </ns0:row>
    <ns0:row r="181" ht="21" customHeight="1">
      <ns0:c r="A181" s="32" t="str">
        <ns0:f>IF($E181="","",INDEX('Banka Dökümü'!$A$2:$A$2001,$E181))</ns0:f>
        <ns0:v/>
      </ns0:c>
      <ns0:c r="B181" s="28" t="str">
        <ns0:f>IF($E181="","",INDEX('Banka Dökümü'!$B$2:$B$2001,$E181))</ns0:f>
        <ns0:v/>
      </ns0:c>
      <ns0:c r="C181" s="33" t="str">
        <ns0:f>IF($E181="","",INDEX('Banka Dökümü'!$C$2:$C$2001,$E181))</ns0:f>
        <ns0:v/>
      </ns0:c>
      <ns0:c r="D181" s="28" t="str">
        <ns0:f>IF(E181="","","Müşteri adı / aranacak ad / il bilgisini kontrol edin")</ns0:f>
        <ns0:v/>
      </ns0:c>
      <ns0:c r="E181" s="28" t="str">
        <ns0:f>IFERROR(MATCH(177,'Banka Dökümü'!$I$2:$I$2001,0),"")</ns0:f>
        <ns0:v/>
      </ns0:c>
    </ns0:row>
    <ns0:row r="182" ht="21" customHeight="1">
      <ns0:c r="A182" s="32" t="str">
        <ns0:f>IF($E182="","",INDEX('Banka Dökümü'!$A$2:$A$2001,$E182))</ns0:f>
        <ns0:v/>
      </ns0:c>
      <ns0:c r="B182" s="28" t="str">
        <ns0:f>IF($E182="","",INDEX('Banka Dökümü'!$B$2:$B$2001,$E182))</ns0:f>
        <ns0:v/>
      </ns0:c>
      <ns0:c r="C182" s="33" t="str">
        <ns0:f>IF($E182="","",INDEX('Banka Dökümü'!$C$2:$C$2001,$E182))</ns0:f>
        <ns0:v/>
      </ns0:c>
      <ns0:c r="D182" s="28" t="str">
        <ns0:f>IF(E182="","","Müşteri adı / aranacak ad / il bilgisini kontrol edin")</ns0:f>
        <ns0:v/>
      </ns0:c>
      <ns0:c r="E182" s="28" t="str">
        <ns0:f>IFERROR(MATCH(178,'Banka Dökümü'!$I$2:$I$2001,0),"")</ns0:f>
        <ns0:v/>
      </ns0:c>
    </ns0:row>
    <ns0:row r="183" ht="21" customHeight="1">
      <ns0:c r="A183" s="32" t="str">
        <ns0:f>IF($E183="","",INDEX('Banka Dökümü'!$A$2:$A$2001,$E183))</ns0:f>
        <ns0:v/>
      </ns0:c>
      <ns0:c r="B183" s="28" t="str">
        <ns0:f>IF($E183="","",INDEX('Banka Dökümü'!$B$2:$B$2001,$E183))</ns0:f>
        <ns0:v/>
      </ns0:c>
      <ns0:c r="C183" s="33" t="str">
        <ns0:f>IF($E183="","",INDEX('Banka Dökümü'!$C$2:$C$2001,$E183))</ns0:f>
        <ns0:v/>
      </ns0:c>
      <ns0:c r="D183" s="28" t="str">
        <ns0:f>IF(E183="","","Müşteri adı / aranacak ad / il bilgisini kontrol edin")</ns0:f>
        <ns0:v/>
      </ns0:c>
      <ns0:c r="E183" s="28" t="str">
        <ns0:f>IFERROR(MATCH(179,'Banka Dökümü'!$I$2:$I$2001,0),"")</ns0:f>
        <ns0:v/>
      </ns0:c>
    </ns0:row>
    <ns0:row r="184" ht="21" customHeight="1">
      <ns0:c r="A184" s="32" t="str">
        <ns0:f>IF($E184="","",INDEX('Banka Dökümü'!$A$2:$A$2001,$E184))</ns0:f>
        <ns0:v/>
      </ns0:c>
      <ns0:c r="B184" s="28" t="str">
        <ns0:f>IF($E184="","",INDEX('Banka Dökümü'!$B$2:$B$2001,$E184))</ns0:f>
        <ns0:v/>
      </ns0:c>
      <ns0:c r="C184" s="33" t="str">
        <ns0:f>IF($E184="","",INDEX('Banka Dökümü'!$C$2:$C$2001,$E184))</ns0:f>
        <ns0:v/>
      </ns0:c>
      <ns0:c r="D184" s="28" t="str">
        <ns0:f>IF(E184="","","Müşteri adı / aranacak ad / il bilgisini kontrol edin")</ns0:f>
        <ns0:v/>
      </ns0:c>
      <ns0:c r="E184" s="28" t="str">
        <ns0:f>IFERROR(MATCH(180,'Banka Dökümü'!$I$2:$I$2001,0),"")</ns0:f>
        <ns0:v/>
      </ns0:c>
    </ns0:row>
    <ns0:row r="185" ht="21" customHeight="1">
      <ns0:c r="A185" s="32" t="str">
        <ns0:f>IF($E185="","",INDEX('Banka Dökümü'!$A$2:$A$2001,$E185))</ns0:f>
        <ns0:v/>
      </ns0:c>
      <ns0:c r="B185" s="28" t="str">
        <ns0:f>IF($E185="","",INDEX('Banka Dökümü'!$B$2:$B$2001,$E185))</ns0:f>
        <ns0:v/>
      </ns0:c>
      <ns0:c r="C185" s="33" t="str">
        <ns0:f>IF($E185="","",INDEX('Banka Dökümü'!$C$2:$C$2001,$E185))</ns0:f>
        <ns0:v/>
      </ns0:c>
      <ns0:c r="D185" s="28" t="str">
        <ns0:f>IF(E185="","","Müşteri adı / aranacak ad / il bilgisini kontrol edin")</ns0:f>
        <ns0:v/>
      </ns0:c>
      <ns0:c r="E185" s="28" t="str">
        <ns0:f>IFERROR(MATCH(181,'Banka Dökümü'!$I$2:$I$2001,0),"")</ns0:f>
        <ns0:v/>
      </ns0:c>
    </ns0:row>
    <ns0:row r="186" ht="21" customHeight="1">
      <ns0:c r="A186" s="32" t="str">
        <ns0:f>IF($E186="","",INDEX('Banka Dökümü'!$A$2:$A$2001,$E186))</ns0:f>
        <ns0:v/>
      </ns0:c>
      <ns0:c r="B186" s="28" t="str">
        <ns0:f>IF($E186="","",INDEX('Banka Dökümü'!$B$2:$B$2001,$E186))</ns0:f>
        <ns0:v/>
      </ns0:c>
      <ns0:c r="C186" s="33" t="str">
        <ns0:f>IF($E186="","",INDEX('Banka Dökümü'!$C$2:$C$2001,$E186))</ns0:f>
        <ns0:v/>
      </ns0:c>
      <ns0:c r="D186" s="28" t="str">
        <ns0:f>IF(E186="","","Müşteri adı / aranacak ad / il bilgisini kontrol edin")</ns0:f>
        <ns0:v/>
      </ns0:c>
      <ns0:c r="E186" s="28" t="str">
        <ns0:f>IFERROR(MATCH(182,'Banka Dökümü'!$I$2:$I$2001,0),"")</ns0:f>
        <ns0:v/>
      </ns0:c>
    </ns0:row>
    <ns0:row r="187" ht="21" customHeight="1">
      <ns0:c r="A187" s="32" t="str">
        <ns0:f>IF($E187="","",INDEX('Banka Dökümü'!$A$2:$A$2001,$E187))</ns0:f>
        <ns0:v/>
      </ns0:c>
      <ns0:c r="B187" s="28" t="str">
        <ns0:f>IF($E187="","",INDEX('Banka Dökümü'!$B$2:$B$2001,$E187))</ns0:f>
        <ns0:v/>
      </ns0:c>
      <ns0:c r="C187" s="33" t="str">
        <ns0:f>IF($E187="","",INDEX('Banka Dökümü'!$C$2:$C$2001,$E187))</ns0:f>
        <ns0:v/>
      </ns0:c>
      <ns0:c r="D187" s="28" t="str">
        <ns0:f>IF(E187="","","Müşteri adı / aranacak ad / il bilgisini kontrol edin")</ns0:f>
        <ns0:v/>
      </ns0:c>
      <ns0:c r="E187" s="28" t="str">
        <ns0:f>IFERROR(MATCH(183,'Banka Dökümü'!$I$2:$I$2001,0),"")</ns0:f>
        <ns0:v/>
      </ns0:c>
    </ns0:row>
    <ns0:row r="188" ht="21" customHeight="1">
      <ns0:c r="A188" s="32" t="str">
        <ns0:f>IF($E188="","",INDEX('Banka Dökümü'!$A$2:$A$2001,$E188))</ns0:f>
        <ns0:v/>
      </ns0:c>
      <ns0:c r="B188" s="28" t="str">
        <ns0:f>IF($E188="","",INDEX('Banka Dökümü'!$B$2:$B$2001,$E188))</ns0:f>
        <ns0:v/>
      </ns0:c>
      <ns0:c r="C188" s="33" t="str">
        <ns0:f>IF($E188="","",INDEX('Banka Dökümü'!$C$2:$C$2001,$E188))</ns0:f>
        <ns0:v/>
      </ns0:c>
      <ns0:c r="D188" s="28" t="str">
        <ns0:f>IF(E188="","","Müşteri adı / aranacak ad / il bilgisini kontrol edin")</ns0:f>
        <ns0:v/>
      </ns0:c>
      <ns0:c r="E188" s="28" t="str">
        <ns0:f>IFERROR(MATCH(184,'Banka Dökümü'!$I$2:$I$2001,0),"")</ns0:f>
        <ns0:v/>
      </ns0:c>
    </ns0:row>
    <ns0:row r="189" ht="21" customHeight="1">
      <ns0:c r="A189" s="32" t="str">
        <ns0:f>IF($E189="","",INDEX('Banka Dökümü'!$A$2:$A$2001,$E189))</ns0:f>
        <ns0:v/>
      </ns0:c>
      <ns0:c r="B189" s="28" t="str">
        <ns0:f>IF($E189="","",INDEX('Banka Dökümü'!$B$2:$B$2001,$E189))</ns0:f>
        <ns0:v/>
      </ns0:c>
      <ns0:c r="C189" s="33" t="str">
        <ns0:f>IF($E189="","",INDEX('Banka Dökümü'!$C$2:$C$2001,$E189))</ns0:f>
        <ns0:v/>
      </ns0:c>
      <ns0:c r="D189" s="28" t="str">
        <ns0:f>IF(E189="","","Müşteri adı / aranacak ad / il bilgisini kontrol edin")</ns0:f>
        <ns0:v/>
      </ns0:c>
      <ns0:c r="E189" s="28" t="str">
        <ns0:f>IFERROR(MATCH(185,'Banka Dökümü'!$I$2:$I$2001,0),"")</ns0:f>
        <ns0:v/>
      </ns0:c>
    </ns0:row>
    <ns0:row r="190" ht="21" customHeight="1">
      <ns0:c r="A190" s="32" t="str">
        <ns0:f>IF($E190="","",INDEX('Banka Dökümü'!$A$2:$A$2001,$E190))</ns0:f>
        <ns0:v/>
      </ns0:c>
      <ns0:c r="B190" s="28" t="str">
        <ns0:f>IF($E190="","",INDEX('Banka Dökümü'!$B$2:$B$2001,$E190))</ns0:f>
        <ns0:v/>
      </ns0:c>
      <ns0:c r="C190" s="33" t="str">
        <ns0:f>IF($E190="","",INDEX('Banka Dökümü'!$C$2:$C$2001,$E190))</ns0:f>
        <ns0:v/>
      </ns0:c>
      <ns0:c r="D190" s="28" t="str">
        <ns0:f>IF(E190="","","Müşteri adı / aranacak ad / il bilgisini kontrol edin")</ns0:f>
        <ns0:v/>
      </ns0:c>
      <ns0:c r="E190" s="28" t="str">
        <ns0:f>IFERROR(MATCH(186,'Banka Dökümü'!$I$2:$I$2001,0),"")</ns0:f>
        <ns0:v/>
      </ns0:c>
    </ns0:row>
    <ns0:row r="191" ht="21" customHeight="1">
      <ns0:c r="A191" s="32" t="str">
        <ns0:f>IF($E191="","",INDEX('Banka Dökümü'!$A$2:$A$2001,$E191))</ns0:f>
        <ns0:v/>
      </ns0:c>
      <ns0:c r="B191" s="28" t="str">
        <ns0:f>IF($E191="","",INDEX('Banka Dökümü'!$B$2:$B$2001,$E191))</ns0:f>
        <ns0:v/>
      </ns0:c>
      <ns0:c r="C191" s="33" t="str">
        <ns0:f>IF($E191="","",INDEX('Banka Dökümü'!$C$2:$C$2001,$E191))</ns0:f>
        <ns0:v/>
      </ns0:c>
      <ns0:c r="D191" s="28" t="str">
        <ns0:f>IF(E191="","","Müşteri adı / aranacak ad / il bilgisini kontrol edin")</ns0:f>
        <ns0:v/>
      </ns0:c>
      <ns0:c r="E191" s="28" t="str">
        <ns0:f>IFERROR(MATCH(187,'Banka Dökümü'!$I$2:$I$2001,0),"")</ns0:f>
        <ns0:v/>
      </ns0:c>
    </ns0:row>
    <ns0:row r="192" ht="21" customHeight="1">
      <ns0:c r="A192" s="32" t="str">
        <ns0:f>IF($E192="","",INDEX('Banka Dökümü'!$A$2:$A$2001,$E192))</ns0:f>
        <ns0:v/>
      </ns0:c>
      <ns0:c r="B192" s="28" t="str">
        <ns0:f>IF($E192="","",INDEX('Banka Dökümü'!$B$2:$B$2001,$E192))</ns0:f>
        <ns0:v/>
      </ns0:c>
      <ns0:c r="C192" s="33" t="str">
        <ns0:f>IF($E192="","",INDEX('Banka Dökümü'!$C$2:$C$2001,$E192))</ns0:f>
        <ns0:v/>
      </ns0:c>
      <ns0:c r="D192" s="28" t="str">
        <ns0:f>IF(E192="","","Müşteri adı / aranacak ad / il bilgisini kontrol edin")</ns0:f>
        <ns0:v/>
      </ns0:c>
      <ns0:c r="E192" s="28" t="str">
        <ns0:f>IFERROR(MATCH(188,'Banka Dökümü'!$I$2:$I$2001,0),"")</ns0:f>
        <ns0:v/>
      </ns0:c>
    </ns0:row>
    <ns0:row r="193" ht="21" customHeight="1">
      <ns0:c r="A193" s="32" t="str">
        <ns0:f>IF($E193="","",INDEX('Banka Dökümü'!$A$2:$A$2001,$E193))</ns0:f>
        <ns0:v/>
      </ns0:c>
      <ns0:c r="B193" s="28" t="str">
        <ns0:f>IF($E193="","",INDEX('Banka Dökümü'!$B$2:$B$2001,$E193))</ns0:f>
        <ns0:v/>
      </ns0:c>
      <ns0:c r="C193" s="33" t="str">
        <ns0:f>IF($E193="","",INDEX('Banka Dökümü'!$C$2:$C$2001,$E193))</ns0:f>
        <ns0:v/>
      </ns0:c>
      <ns0:c r="D193" s="28" t="str">
        <ns0:f>IF(E193="","","Müşteri adı / aranacak ad / il bilgisini kontrol edin")</ns0:f>
        <ns0:v/>
      </ns0:c>
      <ns0:c r="E193" s="28" t="str">
        <ns0:f>IFERROR(MATCH(189,'Banka Dökümü'!$I$2:$I$2001,0),"")</ns0:f>
        <ns0:v/>
      </ns0:c>
    </ns0:row>
    <ns0:row r="194" ht="21" customHeight="1">
      <ns0:c r="A194" s="32" t="str">
        <ns0:f>IF($E194="","",INDEX('Banka Dökümü'!$A$2:$A$2001,$E194))</ns0:f>
        <ns0:v/>
      </ns0:c>
      <ns0:c r="B194" s="28" t="str">
        <ns0:f>IF($E194="","",INDEX('Banka Dökümü'!$B$2:$B$2001,$E194))</ns0:f>
        <ns0:v/>
      </ns0:c>
      <ns0:c r="C194" s="33" t="str">
        <ns0:f>IF($E194="","",INDEX('Banka Dökümü'!$C$2:$C$2001,$E194))</ns0:f>
        <ns0:v/>
      </ns0:c>
      <ns0:c r="D194" s="28" t="str">
        <ns0:f>IF(E194="","","Müşteri adı / aranacak ad / il bilgisini kontrol edin")</ns0:f>
        <ns0:v/>
      </ns0:c>
      <ns0:c r="E194" s="28" t="str">
        <ns0:f>IFERROR(MATCH(190,'Banka Dökümü'!$I$2:$I$2001,0),"")</ns0:f>
        <ns0:v/>
      </ns0:c>
    </ns0:row>
    <ns0:row r="195" ht="21" customHeight="1">
      <ns0:c r="A195" s="32" t="str">
        <ns0:f>IF($E195="","",INDEX('Banka Dökümü'!$A$2:$A$2001,$E195))</ns0:f>
        <ns0:v/>
      </ns0:c>
      <ns0:c r="B195" s="28" t="str">
        <ns0:f>IF($E195="","",INDEX('Banka Dökümü'!$B$2:$B$2001,$E195))</ns0:f>
        <ns0:v/>
      </ns0:c>
      <ns0:c r="C195" s="33" t="str">
        <ns0:f>IF($E195="","",INDEX('Banka Dökümü'!$C$2:$C$2001,$E195))</ns0:f>
        <ns0:v/>
      </ns0:c>
      <ns0:c r="D195" s="28" t="str">
        <ns0:f>IF(E195="","","Müşteri adı / aranacak ad / il bilgisini kontrol edin")</ns0:f>
        <ns0:v/>
      </ns0:c>
      <ns0:c r="E195" s="28" t="str">
        <ns0:f>IFERROR(MATCH(191,'Banka Dökümü'!$I$2:$I$2001,0),"")</ns0:f>
        <ns0:v/>
      </ns0:c>
    </ns0:row>
    <ns0:row r="196" ht="21" customHeight="1">
      <ns0:c r="A196" s="32" t="str">
        <ns0:f>IF($E196="","",INDEX('Banka Dökümü'!$A$2:$A$2001,$E196))</ns0:f>
        <ns0:v/>
      </ns0:c>
      <ns0:c r="B196" s="28" t="str">
        <ns0:f>IF($E196="","",INDEX('Banka Dökümü'!$B$2:$B$2001,$E196))</ns0:f>
        <ns0:v/>
      </ns0:c>
      <ns0:c r="C196" s="33" t="str">
        <ns0:f>IF($E196="","",INDEX('Banka Dökümü'!$C$2:$C$2001,$E196))</ns0:f>
        <ns0:v/>
      </ns0:c>
      <ns0:c r="D196" s="28" t="str">
        <ns0:f>IF(E196="","","Müşteri adı / aranacak ad / il bilgisini kontrol edin")</ns0:f>
        <ns0:v/>
      </ns0:c>
      <ns0:c r="E196" s="28" t="str">
        <ns0:f>IFERROR(MATCH(192,'Banka Dökümü'!$I$2:$I$2001,0),"")</ns0:f>
        <ns0:v/>
      </ns0:c>
    </ns0:row>
    <ns0:row r="197" ht="21" customHeight="1">
      <ns0:c r="A197" s="32" t="str">
        <ns0:f>IF($E197="","",INDEX('Banka Dökümü'!$A$2:$A$2001,$E197))</ns0:f>
        <ns0:v/>
      </ns0:c>
      <ns0:c r="B197" s="28" t="str">
        <ns0:f>IF($E197="","",INDEX('Banka Dökümü'!$B$2:$B$2001,$E197))</ns0:f>
        <ns0:v/>
      </ns0:c>
      <ns0:c r="C197" s="33" t="str">
        <ns0:f>IF($E197="","",INDEX('Banka Dökümü'!$C$2:$C$2001,$E197))</ns0:f>
        <ns0:v/>
      </ns0:c>
      <ns0:c r="D197" s="28" t="str">
        <ns0:f>IF(E197="","","Müşteri adı / aranacak ad / il bilgisini kontrol edin")</ns0:f>
        <ns0:v/>
      </ns0:c>
      <ns0:c r="E197" s="28" t="str">
        <ns0:f>IFERROR(MATCH(193,'Banka Dökümü'!$I$2:$I$2001,0),"")</ns0:f>
        <ns0:v/>
      </ns0:c>
    </ns0:row>
    <ns0:row r="198" ht="21" customHeight="1">
      <ns0:c r="A198" s="32" t="str">
        <ns0:f>IF($E198="","",INDEX('Banka Dökümü'!$A$2:$A$2001,$E198))</ns0:f>
        <ns0:v/>
      </ns0:c>
      <ns0:c r="B198" s="28" t="str">
        <ns0:f>IF($E198="","",INDEX('Banka Dökümü'!$B$2:$B$2001,$E198))</ns0:f>
        <ns0:v/>
      </ns0:c>
      <ns0:c r="C198" s="33" t="str">
        <ns0:f>IF($E198="","",INDEX('Banka Dökümü'!$C$2:$C$2001,$E198))</ns0:f>
        <ns0:v/>
      </ns0:c>
      <ns0:c r="D198" s="28" t="str">
        <ns0:f>IF(E198="","","Müşteri adı / aranacak ad / il bilgisini kontrol edin")</ns0:f>
        <ns0:v/>
      </ns0:c>
      <ns0:c r="E198" s="28" t="str">
        <ns0:f>IFERROR(MATCH(194,'Banka Dökümü'!$I$2:$I$2001,0),"")</ns0:f>
        <ns0:v/>
      </ns0:c>
    </ns0:row>
    <ns0:row r="199" ht="21" customHeight="1">
      <ns0:c r="A199" s="32" t="str">
        <ns0:f>IF($E199="","",INDEX('Banka Dökümü'!$A$2:$A$2001,$E199))</ns0:f>
        <ns0:v/>
      </ns0:c>
      <ns0:c r="B199" s="28" t="str">
        <ns0:f>IF($E199="","",INDEX('Banka Dökümü'!$B$2:$B$2001,$E199))</ns0:f>
        <ns0:v/>
      </ns0:c>
      <ns0:c r="C199" s="33" t="str">
        <ns0:f>IF($E199="","",INDEX('Banka Dökümü'!$C$2:$C$2001,$E199))</ns0:f>
        <ns0:v/>
      </ns0:c>
      <ns0:c r="D199" s="28" t="str">
        <ns0:f>IF(E199="","","Müşteri adı / aranacak ad / il bilgisini kontrol edin")</ns0:f>
        <ns0:v/>
      </ns0:c>
      <ns0:c r="E199" s="28" t="str">
        <ns0:f>IFERROR(MATCH(195,'Banka Dökümü'!$I$2:$I$2001,0),"")</ns0:f>
        <ns0:v/>
      </ns0:c>
    </ns0:row>
    <ns0:row r="200" ht="21" customHeight="1">
      <ns0:c r="A200" s="32" t="str">
        <ns0:f>IF($E200="","",INDEX('Banka Dökümü'!$A$2:$A$2001,$E200))</ns0:f>
        <ns0:v/>
      </ns0:c>
      <ns0:c r="B200" s="28" t="str">
        <ns0:f>IF($E200="","",INDEX('Banka Dökümü'!$B$2:$B$2001,$E200))</ns0:f>
        <ns0:v/>
      </ns0:c>
      <ns0:c r="C200" s="33" t="str">
        <ns0:f>IF($E200="","",INDEX('Banka Dökümü'!$C$2:$C$2001,$E200))</ns0:f>
        <ns0:v/>
      </ns0:c>
      <ns0:c r="D200" s="28" t="str">
        <ns0:f>IF(E200="","","Müşteri adı / aranacak ad / il bilgisini kontrol edin")</ns0:f>
        <ns0:v/>
      </ns0:c>
      <ns0:c r="E200" s="28" t="str">
        <ns0:f>IFERROR(MATCH(196,'Banka Dökümü'!$I$2:$I$2001,0),"")</ns0:f>
        <ns0:v/>
      </ns0:c>
    </ns0:row>
    <ns0:row r="201" ht="21" customHeight="1">
      <ns0:c r="A201" s="32" t="str">
        <ns0:f>IF($E201="","",INDEX('Banka Dökümü'!$A$2:$A$2001,$E201))</ns0:f>
        <ns0:v/>
      </ns0:c>
      <ns0:c r="B201" s="28" t="str">
        <ns0:f>IF($E201="","",INDEX('Banka Dökümü'!$B$2:$B$2001,$E201))</ns0:f>
        <ns0:v/>
      </ns0:c>
      <ns0:c r="C201" s="33" t="str">
        <ns0:f>IF($E201="","",INDEX('Banka Dökümü'!$C$2:$C$2001,$E201))</ns0:f>
        <ns0:v/>
      </ns0:c>
      <ns0:c r="D201" s="28" t="str">
        <ns0:f>IF(E201="","","Müşteri adı / aranacak ad / il bilgisini kontrol edin")</ns0:f>
        <ns0:v/>
      </ns0:c>
      <ns0:c r="E201" s="28" t="str">
        <ns0:f>IFERROR(MATCH(197,'Banka Dökümü'!$I$2:$I$2001,0),"")</ns0:f>
        <ns0:v/>
      </ns0:c>
    </ns0:row>
    <ns0:row r="202" ht="21" customHeight="1">
      <ns0:c r="A202" s="32" t="str">
        <ns0:f>IF($E202="","",INDEX('Banka Dökümü'!$A$2:$A$2001,$E202))</ns0:f>
        <ns0:v/>
      </ns0:c>
      <ns0:c r="B202" s="28" t="str">
        <ns0:f>IF($E202="","",INDEX('Banka Dökümü'!$B$2:$B$2001,$E202))</ns0:f>
        <ns0:v/>
      </ns0:c>
      <ns0:c r="C202" s="33" t="str">
        <ns0:f>IF($E202="","",INDEX('Banka Dökümü'!$C$2:$C$2001,$E202))</ns0:f>
        <ns0:v/>
      </ns0:c>
      <ns0:c r="D202" s="28" t="str">
        <ns0:f>IF(E202="","","Müşteri adı / aranacak ad / il bilgisini kontrol edin")</ns0:f>
        <ns0:v/>
      </ns0:c>
      <ns0:c r="E202" s="28" t="str">
        <ns0:f>IFERROR(MATCH(198,'Banka Dökümü'!$I$2:$I$2001,0),"")</ns0:f>
        <ns0:v/>
      </ns0:c>
    </ns0:row>
    <ns0:row r="203" ht="21" customHeight="1">
      <ns0:c r="A203" s="32" t="str">
        <ns0:f>IF($E203="","",INDEX('Banka Dökümü'!$A$2:$A$2001,$E203))</ns0:f>
        <ns0:v/>
      </ns0:c>
      <ns0:c r="B203" s="28" t="str">
        <ns0:f>IF($E203="","",INDEX('Banka Dökümü'!$B$2:$B$2001,$E203))</ns0:f>
        <ns0:v/>
      </ns0:c>
      <ns0:c r="C203" s="33" t="str">
        <ns0:f>IF($E203="","",INDEX('Banka Dökümü'!$C$2:$C$2001,$E203))</ns0:f>
        <ns0:v/>
      </ns0:c>
      <ns0:c r="D203" s="28" t="str">
        <ns0:f>IF(E203="","","Müşteri adı / aranacak ad / il bilgisini kontrol edin")</ns0:f>
        <ns0:v/>
      </ns0:c>
      <ns0:c r="E203" s="28" t="str">
        <ns0:f>IFERROR(MATCH(199,'Banka Dökümü'!$I$2:$I$2001,0),"")</ns0:f>
        <ns0:v/>
      </ns0:c>
    </ns0:row>
    <ns0:row r="204" ht="21" customHeight="1">
      <ns0:c r="A204" s="32" t="str">
        <ns0:f>IF($E204="","",INDEX('Banka Dökümü'!$A$2:$A$2001,$E204))</ns0:f>
        <ns0:v/>
      </ns0:c>
      <ns0:c r="B204" s="28" t="str">
        <ns0:f>IF($E204="","",INDEX('Banka Dökümü'!$B$2:$B$2001,$E204))</ns0:f>
        <ns0:v/>
      </ns0:c>
      <ns0:c r="C204" s="33" t="str">
        <ns0:f>IF($E204="","",INDEX('Banka Dökümü'!$C$2:$C$2001,$E204))</ns0:f>
        <ns0:v/>
      </ns0:c>
      <ns0:c r="D204" s="28" t="str">
        <ns0:f>IF(E204="","","Müşteri adı / aranacak ad / il bilgisini kontrol edin")</ns0:f>
        <ns0:v/>
      </ns0:c>
      <ns0:c r="E204" s="28" t="str">
        <ns0:f>IFERROR(MATCH(200,'Banka Dökümü'!$I$2:$I$2001,0),"")</ns0:f>
        <ns0:v/>
      </ns0:c>
    </ns0:row>
    <ns0:row r="205" ht="21" customHeight="1">
      <ns0:c r="A205" s="32" t="str">
        <ns0:f>IF($E205="","",INDEX('Banka Dökümü'!$A$2:$A$2001,$E205))</ns0:f>
        <ns0:v/>
      </ns0:c>
      <ns0:c r="B205" s="28" t="str">
        <ns0:f>IF($E205="","",INDEX('Banka Dökümü'!$B$2:$B$2001,$E205))</ns0:f>
        <ns0:v/>
      </ns0:c>
      <ns0:c r="C205" s="33" t="str">
        <ns0:f>IF($E205="","",INDEX('Banka Dökümü'!$C$2:$C$2001,$E205))</ns0:f>
        <ns0:v/>
      </ns0:c>
      <ns0:c r="D205" s="28" t="str">
        <ns0:f>IF(E205="","","Müşteri adı / aranacak ad / il bilgisini kontrol edin")</ns0:f>
        <ns0:v/>
      </ns0:c>
      <ns0:c r="E205" s="28" t="str">
        <ns0:f>IFERROR(MATCH(201,'Banka Dökümü'!$I$2:$I$2001,0),"")</ns0:f>
        <ns0:v/>
      </ns0:c>
    </ns0:row>
    <ns0:row r="206" ht="21" customHeight="1">
      <ns0:c r="A206" s="32" t="str">
        <ns0:f>IF($E206="","",INDEX('Banka Dökümü'!$A$2:$A$2001,$E206))</ns0:f>
        <ns0:v/>
      </ns0:c>
      <ns0:c r="B206" s="28" t="str">
        <ns0:f>IF($E206="","",INDEX('Banka Dökümü'!$B$2:$B$2001,$E206))</ns0:f>
        <ns0:v/>
      </ns0:c>
      <ns0:c r="C206" s="33" t="str">
        <ns0:f>IF($E206="","",INDEX('Banka Dökümü'!$C$2:$C$2001,$E206))</ns0:f>
        <ns0:v/>
      </ns0:c>
      <ns0:c r="D206" s="28" t="str">
        <ns0:f>IF(E206="","","Müşteri adı / aranacak ad / il bilgisini kontrol edin")</ns0:f>
        <ns0:v/>
      </ns0:c>
      <ns0:c r="E206" s="28" t="str">
        <ns0:f>IFERROR(MATCH(202,'Banka Dökümü'!$I$2:$I$2001,0),"")</ns0:f>
        <ns0:v/>
      </ns0:c>
    </ns0:row>
    <ns0:row r="207" ht="21" customHeight="1">
      <ns0:c r="A207" s="32" t="str">
        <ns0:f>IF($E207="","",INDEX('Banka Dökümü'!$A$2:$A$2001,$E207))</ns0:f>
        <ns0:v/>
      </ns0:c>
      <ns0:c r="B207" s="28" t="str">
        <ns0:f>IF($E207="","",INDEX('Banka Dökümü'!$B$2:$B$2001,$E207))</ns0:f>
        <ns0:v/>
      </ns0:c>
      <ns0:c r="C207" s="33" t="str">
        <ns0:f>IF($E207="","",INDEX('Banka Dökümü'!$C$2:$C$2001,$E207))</ns0:f>
        <ns0:v/>
      </ns0:c>
      <ns0:c r="D207" s="28" t="str">
        <ns0:f>IF(E207="","","Müşteri adı / aranacak ad / il bilgisini kontrol edin")</ns0:f>
        <ns0:v/>
      </ns0:c>
      <ns0:c r="E207" s="28" t="str">
        <ns0:f>IFERROR(MATCH(203,'Banka Dökümü'!$I$2:$I$2001,0),"")</ns0:f>
        <ns0:v/>
      </ns0:c>
    </ns0:row>
    <ns0:row r="208" ht="21" customHeight="1">
      <ns0:c r="A208" s="32" t="str">
        <ns0:f>IF($E208="","",INDEX('Banka Dökümü'!$A$2:$A$2001,$E208))</ns0:f>
        <ns0:v/>
      </ns0:c>
      <ns0:c r="B208" s="28" t="str">
        <ns0:f>IF($E208="","",INDEX('Banka Dökümü'!$B$2:$B$2001,$E208))</ns0:f>
        <ns0:v/>
      </ns0:c>
      <ns0:c r="C208" s="33" t="str">
        <ns0:f>IF($E208="","",INDEX('Banka Dökümü'!$C$2:$C$2001,$E208))</ns0:f>
        <ns0:v/>
      </ns0:c>
      <ns0:c r="D208" s="28" t="str">
        <ns0:f>IF(E208="","","Müşteri adı / aranacak ad / il bilgisini kontrol edin")</ns0:f>
        <ns0:v/>
      </ns0:c>
      <ns0:c r="E208" s="28" t="str">
        <ns0:f>IFERROR(MATCH(204,'Banka Dökümü'!$I$2:$I$2001,0),"")</ns0:f>
        <ns0:v/>
      </ns0:c>
    </ns0:row>
    <ns0:row r="209" ht="21" customHeight="1">
      <ns0:c r="A209" s="32" t="str">
        <ns0:f>IF($E209="","",INDEX('Banka Dökümü'!$A$2:$A$2001,$E209))</ns0:f>
        <ns0:v/>
      </ns0:c>
      <ns0:c r="B209" s="28" t="str">
        <ns0:f>IF($E209="","",INDEX('Banka Dökümü'!$B$2:$B$2001,$E209))</ns0:f>
        <ns0:v/>
      </ns0:c>
      <ns0:c r="C209" s="33" t="str">
        <ns0:f>IF($E209="","",INDEX('Banka Dökümü'!$C$2:$C$2001,$E209))</ns0:f>
        <ns0:v/>
      </ns0:c>
      <ns0:c r="D209" s="28" t="str">
        <ns0:f>IF(E209="","","Müşteri adı / aranacak ad / il bilgisini kontrol edin")</ns0:f>
        <ns0:v/>
      </ns0:c>
      <ns0:c r="E209" s="28" t="str">
        <ns0:f>IFERROR(MATCH(205,'Banka Dökümü'!$I$2:$I$2001,0),"")</ns0:f>
        <ns0:v/>
      </ns0:c>
    </ns0:row>
    <ns0:row r="210" ht="21" customHeight="1">
      <ns0:c r="A210" s="32" t="str">
        <ns0:f>IF($E210="","",INDEX('Banka Dökümü'!$A$2:$A$2001,$E210))</ns0:f>
        <ns0:v/>
      </ns0:c>
      <ns0:c r="B210" s="28" t="str">
        <ns0:f>IF($E210="","",INDEX('Banka Dökümü'!$B$2:$B$2001,$E210))</ns0:f>
        <ns0:v/>
      </ns0:c>
      <ns0:c r="C210" s="33" t="str">
        <ns0:f>IF($E210="","",INDEX('Banka Dökümü'!$C$2:$C$2001,$E210))</ns0:f>
        <ns0:v/>
      </ns0:c>
      <ns0:c r="D210" s="28" t="str">
        <ns0:f>IF(E210="","","Müşteri adı / aranacak ad / il bilgisini kontrol edin")</ns0:f>
        <ns0:v/>
      </ns0:c>
      <ns0:c r="E210" s="28" t="str">
        <ns0:f>IFERROR(MATCH(206,'Banka Dökümü'!$I$2:$I$2001,0),"")</ns0:f>
        <ns0:v/>
      </ns0:c>
    </ns0:row>
    <ns0:row r="211" ht="21" customHeight="1">
      <ns0:c r="A211" s="32" t="str">
        <ns0:f>IF($E211="","",INDEX('Banka Dökümü'!$A$2:$A$2001,$E211))</ns0:f>
        <ns0:v/>
      </ns0:c>
      <ns0:c r="B211" s="28" t="str">
        <ns0:f>IF($E211="","",INDEX('Banka Dökümü'!$B$2:$B$2001,$E211))</ns0:f>
        <ns0:v/>
      </ns0:c>
      <ns0:c r="C211" s="33" t="str">
        <ns0:f>IF($E211="","",INDEX('Banka Dökümü'!$C$2:$C$2001,$E211))</ns0:f>
        <ns0:v/>
      </ns0:c>
      <ns0:c r="D211" s="28" t="str">
        <ns0:f>IF(E211="","","Müşteri adı / aranacak ad / il bilgisini kontrol edin")</ns0:f>
        <ns0:v/>
      </ns0:c>
      <ns0:c r="E211" s="28" t="str">
        <ns0:f>IFERROR(MATCH(207,'Banka Dökümü'!$I$2:$I$2001,0),"")</ns0:f>
        <ns0:v/>
      </ns0:c>
    </ns0:row>
    <ns0:row r="212" ht="21" customHeight="1">
      <ns0:c r="A212" s="32" t="str">
        <ns0:f>IF($E212="","",INDEX('Banka Dökümü'!$A$2:$A$2001,$E212))</ns0:f>
        <ns0:v/>
      </ns0:c>
      <ns0:c r="B212" s="28" t="str">
        <ns0:f>IF($E212="","",INDEX('Banka Dökümü'!$B$2:$B$2001,$E212))</ns0:f>
        <ns0:v/>
      </ns0:c>
      <ns0:c r="C212" s="33" t="str">
        <ns0:f>IF($E212="","",INDEX('Banka Dökümü'!$C$2:$C$2001,$E212))</ns0:f>
        <ns0:v/>
      </ns0:c>
      <ns0:c r="D212" s="28" t="str">
        <ns0:f>IF(E212="","","Müşteri adı / aranacak ad / il bilgisini kontrol edin")</ns0:f>
        <ns0:v/>
      </ns0:c>
      <ns0:c r="E212" s="28" t="str">
        <ns0:f>IFERROR(MATCH(208,'Banka Dökümü'!$I$2:$I$2001,0),"")</ns0:f>
        <ns0:v/>
      </ns0:c>
    </ns0:row>
    <ns0:row r="213" ht="21" customHeight="1">
      <ns0:c r="A213" s="32" t="str">
        <ns0:f>IF($E213="","",INDEX('Banka Dökümü'!$A$2:$A$2001,$E213))</ns0:f>
        <ns0:v/>
      </ns0:c>
      <ns0:c r="B213" s="28" t="str">
        <ns0:f>IF($E213="","",INDEX('Banka Dökümü'!$B$2:$B$2001,$E213))</ns0:f>
        <ns0:v/>
      </ns0:c>
      <ns0:c r="C213" s="33" t="str">
        <ns0:f>IF($E213="","",INDEX('Banka Dökümü'!$C$2:$C$2001,$E213))</ns0:f>
        <ns0:v/>
      </ns0:c>
      <ns0:c r="D213" s="28" t="str">
        <ns0:f>IF(E213="","","Müşteri adı / aranacak ad / il bilgisini kontrol edin")</ns0:f>
        <ns0:v/>
      </ns0:c>
      <ns0:c r="E213" s="28" t="str">
        <ns0:f>IFERROR(MATCH(209,'Banka Dökümü'!$I$2:$I$2001,0),"")</ns0:f>
        <ns0:v/>
      </ns0:c>
    </ns0:row>
    <ns0:row r="214" ht="21" customHeight="1">
      <ns0:c r="A214" s="32" t="str">
        <ns0:f>IF($E214="","",INDEX('Banka Dökümü'!$A$2:$A$2001,$E214))</ns0:f>
        <ns0:v/>
      </ns0:c>
      <ns0:c r="B214" s="28" t="str">
        <ns0:f>IF($E214="","",INDEX('Banka Dökümü'!$B$2:$B$2001,$E214))</ns0:f>
        <ns0:v/>
      </ns0:c>
      <ns0:c r="C214" s="33" t="str">
        <ns0:f>IF($E214="","",INDEX('Banka Dökümü'!$C$2:$C$2001,$E214))</ns0:f>
        <ns0:v/>
      </ns0:c>
      <ns0:c r="D214" s="28" t="str">
        <ns0:f>IF(E214="","","Müşteri adı / aranacak ad / il bilgisini kontrol edin")</ns0:f>
        <ns0:v/>
      </ns0:c>
      <ns0:c r="E214" s="28" t="str">
        <ns0:f>IFERROR(MATCH(210,'Banka Dökümü'!$I$2:$I$2001,0),"")</ns0:f>
        <ns0:v/>
      </ns0:c>
    </ns0:row>
    <ns0:row r="215" ht="21" customHeight="1">
      <ns0:c r="A215" s="32" t="str">
        <ns0:f>IF($E215="","",INDEX('Banka Dökümü'!$A$2:$A$2001,$E215))</ns0:f>
        <ns0:v/>
      </ns0:c>
      <ns0:c r="B215" s="28" t="str">
        <ns0:f>IF($E215="","",INDEX('Banka Dökümü'!$B$2:$B$2001,$E215))</ns0:f>
        <ns0:v/>
      </ns0:c>
      <ns0:c r="C215" s="33" t="str">
        <ns0:f>IF($E215="","",INDEX('Banka Dökümü'!$C$2:$C$2001,$E215))</ns0:f>
        <ns0:v/>
      </ns0:c>
      <ns0:c r="D215" s="28" t="str">
        <ns0:f>IF(E215="","","Müşteri adı / aranacak ad / il bilgisini kontrol edin")</ns0:f>
        <ns0:v/>
      </ns0:c>
      <ns0:c r="E215" s="28" t="str">
        <ns0:f>IFERROR(MATCH(211,'Banka Dökümü'!$I$2:$I$2001,0),"")</ns0:f>
        <ns0:v/>
      </ns0:c>
    </ns0:row>
    <ns0:row r="216" ht="21" customHeight="1">
      <ns0:c r="A216" s="32" t="str">
        <ns0:f>IF($E216="","",INDEX('Banka Dökümü'!$A$2:$A$2001,$E216))</ns0:f>
        <ns0:v/>
      </ns0:c>
      <ns0:c r="B216" s="28" t="str">
        <ns0:f>IF($E216="","",INDEX('Banka Dökümü'!$B$2:$B$2001,$E216))</ns0:f>
        <ns0:v/>
      </ns0:c>
      <ns0:c r="C216" s="33" t="str">
        <ns0:f>IF($E216="","",INDEX('Banka Dökümü'!$C$2:$C$2001,$E216))</ns0:f>
        <ns0:v/>
      </ns0:c>
      <ns0:c r="D216" s="28" t="str">
        <ns0:f>IF(E216="","","Müşteri adı / aranacak ad / il bilgisini kontrol edin")</ns0:f>
        <ns0:v/>
      </ns0:c>
      <ns0:c r="E216" s="28" t="str">
        <ns0:f>IFERROR(MATCH(212,'Banka Dökümü'!$I$2:$I$2001,0),"")</ns0:f>
        <ns0:v/>
      </ns0:c>
    </ns0:row>
    <ns0:row r="217" ht="21" customHeight="1">
      <ns0:c r="A217" s="32" t="str">
        <ns0:f>IF($E217="","",INDEX('Banka Dökümü'!$A$2:$A$2001,$E217))</ns0:f>
        <ns0:v/>
      </ns0:c>
      <ns0:c r="B217" s="28" t="str">
        <ns0:f>IF($E217="","",INDEX('Banka Dökümü'!$B$2:$B$2001,$E217))</ns0:f>
        <ns0:v/>
      </ns0:c>
      <ns0:c r="C217" s="33" t="str">
        <ns0:f>IF($E217="","",INDEX('Banka Dökümü'!$C$2:$C$2001,$E217))</ns0:f>
        <ns0:v/>
      </ns0:c>
      <ns0:c r="D217" s="28" t="str">
        <ns0:f>IF(E217="","","Müşteri adı / aranacak ad / il bilgisini kontrol edin")</ns0:f>
        <ns0:v/>
      </ns0:c>
      <ns0:c r="E217" s="28" t="str">
        <ns0:f>IFERROR(MATCH(213,'Banka Dökümü'!$I$2:$I$2001,0),"")</ns0:f>
        <ns0:v/>
      </ns0:c>
    </ns0:row>
    <ns0:row r="218" ht="21" customHeight="1">
      <ns0:c r="A218" s="32" t="str">
        <ns0:f>IF($E218="","",INDEX('Banka Dökümü'!$A$2:$A$2001,$E218))</ns0:f>
        <ns0:v/>
      </ns0:c>
      <ns0:c r="B218" s="28" t="str">
        <ns0:f>IF($E218="","",INDEX('Banka Dökümü'!$B$2:$B$2001,$E218))</ns0:f>
        <ns0:v/>
      </ns0:c>
      <ns0:c r="C218" s="33" t="str">
        <ns0:f>IF($E218="","",INDEX('Banka Dökümü'!$C$2:$C$2001,$E218))</ns0:f>
        <ns0:v/>
      </ns0:c>
      <ns0:c r="D218" s="28" t="str">
        <ns0:f>IF(E218="","","Müşteri adı / aranacak ad / il bilgisini kontrol edin")</ns0:f>
        <ns0:v/>
      </ns0:c>
      <ns0:c r="E218" s="28" t="str">
        <ns0:f>IFERROR(MATCH(214,'Banka Dökümü'!$I$2:$I$2001,0),"")</ns0:f>
        <ns0:v/>
      </ns0:c>
    </ns0:row>
    <ns0:row r="219" ht="21" customHeight="1">
      <ns0:c r="A219" s="32" t="str">
        <ns0:f>IF($E219="","",INDEX('Banka Dökümü'!$A$2:$A$2001,$E219))</ns0:f>
        <ns0:v/>
      </ns0:c>
      <ns0:c r="B219" s="28" t="str">
        <ns0:f>IF($E219="","",INDEX('Banka Dökümü'!$B$2:$B$2001,$E219))</ns0:f>
        <ns0:v/>
      </ns0:c>
      <ns0:c r="C219" s="33" t="str">
        <ns0:f>IF($E219="","",INDEX('Banka Dökümü'!$C$2:$C$2001,$E219))</ns0:f>
        <ns0:v/>
      </ns0:c>
      <ns0:c r="D219" s="28" t="str">
        <ns0:f>IF(E219="","","Müşteri adı / aranacak ad / il bilgisini kontrol edin")</ns0:f>
        <ns0:v/>
      </ns0:c>
      <ns0:c r="E219" s="28" t="str">
        <ns0:f>IFERROR(MATCH(215,'Banka Dökümü'!$I$2:$I$2001,0),"")</ns0:f>
        <ns0:v/>
      </ns0:c>
    </ns0:row>
    <ns0:row r="220" ht="21" customHeight="1">
      <ns0:c r="A220" s="32" t="str">
        <ns0:f>IF($E220="","",INDEX('Banka Dökümü'!$A$2:$A$2001,$E220))</ns0:f>
        <ns0:v/>
      </ns0:c>
      <ns0:c r="B220" s="28" t="str">
        <ns0:f>IF($E220="","",INDEX('Banka Dökümü'!$B$2:$B$2001,$E220))</ns0:f>
        <ns0:v/>
      </ns0:c>
      <ns0:c r="C220" s="33" t="str">
        <ns0:f>IF($E220="","",INDEX('Banka Dökümü'!$C$2:$C$2001,$E220))</ns0:f>
        <ns0:v/>
      </ns0:c>
      <ns0:c r="D220" s="28" t="str">
        <ns0:f>IF(E220="","","Müşteri adı / aranacak ad / il bilgisini kontrol edin")</ns0:f>
        <ns0:v/>
      </ns0:c>
      <ns0:c r="E220" s="28" t="str">
        <ns0:f>IFERROR(MATCH(216,'Banka Dökümü'!$I$2:$I$2001,0),"")</ns0:f>
        <ns0:v/>
      </ns0:c>
    </ns0:row>
    <ns0:row r="221" ht="21" customHeight="1">
      <ns0:c r="A221" s="32" t="str">
        <ns0:f>IF($E221="","",INDEX('Banka Dökümü'!$A$2:$A$2001,$E221))</ns0:f>
        <ns0:v/>
      </ns0:c>
      <ns0:c r="B221" s="28" t="str">
        <ns0:f>IF($E221="","",INDEX('Banka Dökümü'!$B$2:$B$2001,$E221))</ns0:f>
        <ns0:v/>
      </ns0:c>
      <ns0:c r="C221" s="33" t="str">
        <ns0:f>IF($E221="","",INDEX('Banka Dökümü'!$C$2:$C$2001,$E221))</ns0:f>
        <ns0:v/>
      </ns0:c>
      <ns0:c r="D221" s="28" t="str">
        <ns0:f>IF(E221="","","Müşteri adı / aranacak ad / il bilgisini kontrol edin")</ns0:f>
        <ns0:v/>
      </ns0:c>
      <ns0:c r="E221" s="28" t="str">
        <ns0:f>IFERROR(MATCH(217,'Banka Dökümü'!$I$2:$I$2001,0),"")</ns0:f>
        <ns0:v/>
      </ns0:c>
    </ns0:row>
    <ns0:row r="222" ht="21" customHeight="1">
      <ns0:c r="A222" s="32" t="str">
        <ns0:f>IF($E222="","",INDEX('Banka Dökümü'!$A$2:$A$2001,$E222))</ns0:f>
        <ns0:v/>
      </ns0:c>
      <ns0:c r="B222" s="28" t="str">
        <ns0:f>IF($E222="","",INDEX('Banka Dökümü'!$B$2:$B$2001,$E222))</ns0:f>
        <ns0:v/>
      </ns0:c>
      <ns0:c r="C222" s="33" t="str">
        <ns0:f>IF($E222="","",INDEX('Banka Dökümü'!$C$2:$C$2001,$E222))</ns0:f>
        <ns0:v/>
      </ns0:c>
      <ns0:c r="D222" s="28" t="str">
        <ns0:f>IF(E222="","","Müşteri adı / aranacak ad / il bilgisini kontrol edin")</ns0:f>
        <ns0:v/>
      </ns0:c>
      <ns0:c r="E222" s="28" t="str">
        <ns0:f>IFERROR(MATCH(218,'Banka Dökümü'!$I$2:$I$2001,0),"")</ns0:f>
        <ns0:v/>
      </ns0:c>
    </ns0:row>
    <ns0:row r="223" ht="21" customHeight="1">
      <ns0:c r="A223" s="32" t="str">
        <ns0:f>IF($E223="","",INDEX('Banka Dökümü'!$A$2:$A$2001,$E223))</ns0:f>
        <ns0:v/>
      </ns0:c>
      <ns0:c r="B223" s="28" t="str">
        <ns0:f>IF($E223="","",INDEX('Banka Dökümü'!$B$2:$B$2001,$E223))</ns0:f>
        <ns0:v/>
      </ns0:c>
      <ns0:c r="C223" s="33" t="str">
        <ns0:f>IF($E223="","",INDEX('Banka Dökümü'!$C$2:$C$2001,$E223))</ns0:f>
        <ns0:v/>
      </ns0:c>
      <ns0:c r="D223" s="28" t="str">
        <ns0:f>IF(E223="","","Müşteri adı / aranacak ad / il bilgisini kontrol edin")</ns0:f>
        <ns0:v/>
      </ns0:c>
      <ns0:c r="E223" s="28" t="str">
        <ns0:f>IFERROR(MATCH(219,'Banka Dökümü'!$I$2:$I$2001,0),"")</ns0:f>
        <ns0:v/>
      </ns0:c>
    </ns0:row>
    <ns0:row r="224" ht="21" customHeight="1">
      <ns0:c r="A224" s="32" t="str">
        <ns0:f>IF($E224="","",INDEX('Banka Dökümü'!$A$2:$A$2001,$E224))</ns0:f>
        <ns0:v/>
      </ns0:c>
      <ns0:c r="B224" s="28" t="str">
        <ns0:f>IF($E224="","",INDEX('Banka Dökümü'!$B$2:$B$2001,$E224))</ns0:f>
        <ns0:v/>
      </ns0:c>
      <ns0:c r="C224" s="33" t="str">
        <ns0:f>IF($E224="","",INDEX('Banka Dökümü'!$C$2:$C$2001,$E224))</ns0:f>
        <ns0:v/>
      </ns0:c>
      <ns0:c r="D224" s="28" t="str">
        <ns0:f>IF(E224="","","Müşteri adı / aranacak ad / il bilgisini kontrol edin")</ns0:f>
        <ns0:v/>
      </ns0:c>
      <ns0:c r="E224" s="28" t="str">
        <ns0:f>IFERROR(MATCH(220,'Banka Dökümü'!$I$2:$I$2001,0),"")</ns0:f>
        <ns0:v/>
      </ns0:c>
    </ns0:row>
    <ns0:row r="225" ht="21" customHeight="1">
      <ns0:c r="A225" s="32" t="str">
        <ns0:f>IF($E225="","",INDEX('Banka Dökümü'!$A$2:$A$2001,$E225))</ns0:f>
        <ns0:v/>
      </ns0:c>
      <ns0:c r="B225" s="28" t="str">
        <ns0:f>IF($E225="","",INDEX('Banka Dökümü'!$B$2:$B$2001,$E225))</ns0:f>
        <ns0:v/>
      </ns0:c>
      <ns0:c r="C225" s="33" t="str">
        <ns0:f>IF($E225="","",INDEX('Banka Dökümü'!$C$2:$C$2001,$E225))</ns0:f>
        <ns0:v/>
      </ns0:c>
      <ns0:c r="D225" s="28" t="str">
        <ns0:f>IF(E225="","","Müşteri adı / aranacak ad / il bilgisini kontrol edin")</ns0:f>
        <ns0:v/>
      </ns0:c>
      <ns0:c r="E225" s="28" t="str">
        <ns0:f>IFERROR(MATCH(221,'Banka Dökümü'!$I$2:$I$2001,0),"")</ns0:f>
        <ns0:v/>
      </ns0:c>
    </ns0:row>
    <ns0:row r="226" ht="21" customHeight="1">
      <ns0:c r="A226" s="32" t="str">
        <ns0:f>IF($E226="","",INDEX('Banka Dökümü'!$A$2:$A$2001,$E226))</ns0:f>
        <ns0:v/>
      </ns0:c>
      <ns0:c r="B226" s="28" t="str">
        <ns0:f>IF($E226="","",INDEX('Banka Dökümü'!$B$2:$B$2001,$E226))</ns0:f>
        <ns0:v/>
      </ns0:c>
      <ns0:c r="C226" s="33" t="str">
        <ns0:f>IF($E226="","",INDEX('Banka Dökümü'!$C$2:$C$2001,$E226))</ns0:f>
        <ns0:v/>
      </ns0:c>
      <ns0:c r="D226" s="28" t="str">
        <ns0:f>IF(E226="","","Müşteri adı / aranacak ad / il bilgisini kontrol edin")</ns0:f>
        <ns0:v/>
      </ns0:c>
      <ns0:c r="E226" s="28" t="str">
        <ns0:f>IFERROR(MATCH(222,'Banka Dökümü'!$I$2:$I$2001,0),"")</ns0:f>
        <ns0:v/>
      </ns0:c>
    </ns0:row>
    <ns0:row r="227" ht="21" customHeight="1">
      <ns0:c r="A227" s="32" t="str">
        <ns0:f>IF($E227="","",INDEX('Banka Dökümü'!$A$2:$A$2001,$E227))</ns0:f>
        <ns0:v/>
      </ns0:c>
      <ns0:c r="B227" s="28" t="str">
        <ns0:f>IF($E227="","",INDEX('Banka Dökümü'!$B$2:$B$2001,$E227))</ns0:f>
        <ns0:v/>
      </ns0:c>
      <ns0:c r="C227" s="33" t="str">
        <ns0:f>IF($E227="","",INDEX('Banka Dökümü'!$C$2:$C$2001,$E227))</ns0:f>
        <ns0:v/>
      </ns0:c>
      <ns0:c r="D227" s="28" t="str">
        <ns0:f>IF(E227="","","Müşteri adı / aranacak ad / il bilgisini kontrol edin")</ns0:f>
        <ns0:v/>
      </ns0:c>
      <ns0:c r="E227" s="28" t="str">
        <ns0:f>IFERROR(MATCH(223,'Banka Dökümü'!$I$2:$I$2001,0),"")</ns0:f>
        <ns0:v/>
      </ns0:c>
    </ns0:row>
    <ns0:row r="228" ht="21" customHeight="1">
      <ns0:c r="A228" s="32" t="str">
        <ns0:f>IF($E228="","",INDEX('Banka Dökümü'!$A$2:$A$2001,$E228))</ns0:f>
        <ns0:v/>
      </ns0:c>
      <ns0:c r="B228" s="28" t="str">
        <ns0:f>IF($E228="","",INDEX('Banka Dökümü'!$B$2:$B$2001,$E228))</ns0:f>
        <ns0:v/>
      </ns0:c>
      <ns0:c r="C228" s="33" t="str">
        <ns0:f>IF($E228="","",INDEX('Banka Dökümü'!$C$2:$C$2001,$E228))</ns0:f>
        <ns0:v/>
      </ns0:c>
      <ns0:c r="D228" s="28" t="str">
        <ns0:f>IF(E228="","","Müşteri adı / aranacak ad / il bilgisini kontrol edin")</ns0:f>
        <ns0:v/>
      </ns0:c>
      <ns0:c r="E228" s="28" t="str">
        <ns0:f>IFERROR(MATCH(224,'Banka Dökümü'!$I$2:$I$2001,0),"")</ns0:f>
        <ns0:v/>
      </ns0:c>
    </ns0:row>
    <ns0:row r="229" ht="21" customHeight="1">
      <ns0:c r="A229" s="32" t="str">
        <ns0:f>IF($E229="","",INDEX('Banka Dökümü'!$A$2:$A$2001,$E229))</ns0:f>
        <ns0:v/>
      </ns0:c>
      <ns0:c r="B229" s="28" t="str">
        <ns0:f>IF($E229="","",INDEX('Banka Dökümü'!$B$2:$B$2001,$E229))</ns0:f>
        <ns0:v/>
      </ns0:c>
      <ns0:c r="C229" s="33" t="str">
        <ns0:f>IF($E229="","",INDEX('Banka Dökümü'!$C$2:$C$2001,$E229))</ns0:f>
        <ns0:v/>
      </ns0:c>
      <ns0:c r="D229" s="28" t="str">
        <ns0:f>IF(E229="","","Müşteri adı / aranacak ad / il bilgisini kontrol edin")</ns0:f>
        <ns0:v/>
      </ns0:c>
      <ns0:c r="E229" s="28" t="str">
        <ns0:f>IFERROR(MATCH(225,'Banka Dökümü'!$I$2:$I$2001,0),"")</ns0:f>
        <ns0:v/>
      </ns0:c>
    </ns0:row>
    <ns0:row r="230" ht="21" customHeight="1">
      <ns0:c r="A230" s="32" t="str">
        <ns0:f>IF($E230="","",INDEX('Banka Dökümü'!$A$2:$A$2001,$E230))</ns0:f>
        <ns0:v/>
      </ns0:c>
      <ns0:c r="B230" s="28" t="str">
        <ns0:f>IF($E230="","",INDEX('Banka Dökümü'!$B$2:$B$2001,$E230))</ns0:f>
        <ns0:v/>
      </ns0:c>
      <ns0:c r="C230" s="33" t="str">
        <ns0:f>IF($E230="","",INDEX('Banka Dökümü'!$C$2:$C$2001,$E230))</ns0:f>
        <ns0:v/>
      </ns0:c>
      <ns0:c r="D230" s="28" t="str">
        <ns0:f>IF(E230="","","Müşteri adı / aranacak ad / il bilgisini kontrol edin")</ns0:f>
        <ns0:v/>
      </ns0:c>
      <ns0:c r="E230" s="28" t="str">
        <ns0:f>IFERROR(MATCH(226,'Banka Dökümü'!$I$2:$I$2001,0),"")</ns0:f>
        <ns0:v/>
      </ns0:c>
    </ns0:row>
    <ns0:row r="231" ht="21" customHeight="1">
      <ns0:c r="A231" s="32" t="str">
        <ns0:f>IF($E231="","",INDEX('Banka Dökümü'!$A$2:$A$2001,$E231))</ns0:f>
        <ns0:v/>
      </ns0:c>
      <ns0:c r="B231" s="28" t="str">
        <ns0:f>IF($E231="","",INDEX('Banka Dökümü'!$B$2:$B$2001,$E231))</ns0:f>
        <ns0:v/>
      </ns0:c>
      <ns0:c r="C231" s="33" t="str">
        <ns0:f>IF($E231="","",INDEX('Banka Dökümü'!$C$2:$C$2001,$E231))</ns0:f>
        <ns0:v/>
      </ns0:c>
      <ns0:c r="D231" s="28" t="str">
        <ns0:f>IF(E231="","","Müşteri adı / aranacak ad / il bilgisini kontrol edin")</ns0:f>
        <ns0:v/>
      </ns0:c>
      <ns0:c r="E231" s="28" t="str">
        <ns0:f>IFERROR(MATCH(227,'Banka Dökümü'!$I$2:$I$2001,0),"")</ns0:f>
        <ns0:v/>
      </ns0:c>
    </ns0:row>
    <ns0:row r="232" ht="21" customHeight="1">
      <ns0:c r="A232" s="32" t="str">
        <ns0:f>IF($E232="","",INDEX('Banka Dökümü'!$A$2:$A$2001,$E232))</ns0:f>
        <ns0:v/>
      </ns0:c>
      <ns0:c r="B232" s="28" t="str">
        <ns0:f>IF($E232="","",INDEX('Banka Dökümü'!$B$2:$B$2001,$E232))</ns0:f>
        <ns0:v/>
      </ns0:c>
      <ns0:c r="C232" s="33" t="str">
        <ns0:f>IF($E232="","",INDEX('Banka Dökümü'!$C$2:$C$2001,$E232))</ns0:f>
        <ns0:v/>
      </ns0:c>
      <ns0:c r="D232" s="28" t="str">
        <ns0:f>IF(E232="","","Müşteri adı / aranacak ad / il bilgisini kontrol edin")</ns0:f>
        <ns0:v/>
      </ns0:c>
      <ns0:c r="E232" s="28" t="str">
        <ns0:f>IFERROR(MATCH(228,'Banka Dökümü'!$I$2:$I$2001,0),"")</ns0:f>
        <ns0:v/>
      </ns0:c>
    </ns0:row>
    <ns0:row r="233" ht="21" customHeight="1">
      <ns0:c r="A233" s="32" t="str">
        <ns0:f>IF($E233="","",INDEX('Banka Dökümü'!$A$2:$A$2001,$E233))</ns0:f>
        <ns0:v/>
      </ns0:c>
      <ns0:c r="B233" s="28" t="str">
        <ns0:f>IF($E233="","",INDEX('Banka Dökümü'!$B$2:$B$2001,$E233))</ns0:f>
        <ns0:v/>
      </ns0:c>
      <ns0:c r="C233" s="33" t="str">
        <ns0:f>IF($E233="","",INDEX('Banka Dökümü'!$C$2:$C$2001,$E233))</ns0:f>
        <ns0:v/>
      </ns0:c>
      <ns0:c r="D233" s="28" t="str">
        <ns0:f>IF(E233="","","Müşteri adı / aranacak ad / il bilgisini kontrol edin")</ns0:f>
        <ns0:v/>
      </ns0:c>
      <ns0:c r="E233" s="28" t="str">
        <ns0:f>IFERROR(MATCH(229,'Banka Dökümü'!$I$2:$I$2001,0),"")</ns0:f>
        <ns0:v/>
      </ns0:c>
    </ns0:row>
    <ns0:row r="234" ht="21" customHeight="1">
      <ns0:c r="A234" s="32" t="str">
        <ns0:f>IF($E234="","",INDEX('Banka Dökümü'!$A$2:$A$2001,$E234))</ns0:f>
        <ns0:v/>
      </ns0:c>
      <ns0:c r="B234" s="28" t="str">
        <ns0:f>IF($E234="","",INDEX('Banka Dökümü'!$B$2:$B$2001,$E234))</ns0:f>
        <ns0:v/>
      </ns0:c>
      <ns0:c r="C234" s="33" t="str">
        <ns0:f>IF($E234="","",INDEX('Banka Dökümü'!$C$2:$C$2001,$E234))</ns0:f>
        <ns0:v/>
      </ns0:c>
      <ns0:c r="D234" s="28" t="str">
        <ns0:f>IF(E234="","","Müşteri adı / aranacak ad / il bilgisini kontrol edin")</ns0:f>
        <ns0:v/>
      </ns0:c>
      <ns0:c r="E234" s="28" t="str">
        <ns0:f>IFERROR(MATCH(230,'Banka Dökümü'!$I$2:$I$2001,0),"")</ns0:f>
        <ns0:v/>
      </ns0:c>
    </ns0:row>
    <ns0:row r="235" ht="21" customHeight="1">
      <ns0:c r="A235" s="32" t="str">
        <ns0:f>IF($E235="","",INDEX('Banka Dökümü'!$A$2:$A$2001,$E235))</ns0:f>
        <ns0:v/>
      </ns0:c>
      <ns0:c r="B235" s="28" t="str">
        <ns0:f>IF($E235="","",INDEX('Banka Dökümü'!$B$2:$B$2001,$E235))</ns0:f>
        <ns0:v/>
      </ns0:c>
      <ns0:c r="C235" s="33" t="str">
        <ns0:f>IF($E235="","",INDEX('Banka Dökümü'!$C$2:$C$2001,$E235))</ns0:f>
        <ns0:v/>
      </ns0:c>
      <ns0:c r="D235" s="28" t="str">
        <ns0:f>IF(E235="","","Müşteri adı / aranacak ad / il bilgisini kontrol edin")</ns0:f>
        <ns0:v/>
      </ns0:c>
      <ns0:c r="E235" s="28" t="str">
        <ns0:f>IFERROR(MATCH(231,'Banka Dökümü'!$I$2:$I$2001,0),"")</ns0:f>
        <ns0:v/>
      </ns0:c>
    </ns0:row>
    <ns0:row r="236" ht="21" customHeight="1">
      <ns0:c r="A236" s="32" t="str">
        <ns0:f>IF($E236="","",INDEX('Banka Dökümü'!$A$2:$A$2001,$E236))</ns0:f>
        <ns0:v/>
      </ns0:c>
      <ns0:c r="B236" s="28" t="str">
        <ns0:f>IF($E236="","",INDEX('Banka Dökümü'!$B$2:$B$2001,$E236))</ns0:f>
        <ns0:v/>
      </ns0:c>
      <ns0:c r="C236" s="33" t="str">
        <ns0:f>IF($E236="","",INDEX('Banka Dökümü'!$C$2:$C$2001,$E236))</ns0:f>
        <ns0:v/>
      </ns0:c>
      <ns0:c r="D236" s="28" t="str">
        <ns0:f>IF(E236="","","Müşteri adı / aranacak ad / il bilgisini kontrol edin")</ns0:f>
        <ns0:v/>
      </ns0:c>
      <ns0:c r="E236" s="28" t="str">
        <ns0:f>IFERROR(MATCH(232,'Banka Dökümü'!$I$2:$I$2001,0),"")</ns0:f>
        <ns0:v/>
      </ns0:c>
    </ns0:row>
    <ns0:row r="237" ht="21" customHeight="1">
      <ns0:c r="A237" s="32" t="str">
        <ns0:f>IF($E237="","",INDEX('Banka Dökümü'!$A$2:$A$2001,$E237))</ns0:f>
        <ns0:v/>
      </ns0:c>
      <ns0:c r="B237" s="28" t="str">
        <ns0:f>IF($E237="","",INDEX('Banka Dökümü'!$B$2:$B$2001,$E237))</ns0:f>
        <ns0:v/>
      </ns0:c>
      <ns0:c r="C237" s="33" t="str">
        <ns0:f>IF($E237="","",INDEX('Banka Dökümü'!$C$2:$C$2001,$E237))</ns0:f>
        <ns0:v/>
      </ns0:c>
      <ns0:c r="D237" s="28" t="str">
        <ns0:f>IF(E237="","","Müşteri adı / aranacak ad / il bilgisini kontrol edin")</ns0:f>
        <ns0:v/>
      </ns0:c>
      <ns0:c r="E237" s="28" t="str">
        <ns0:f>IFERROR(MATCH(233,'Banka Dökümü'!$I$2:$I$2001,0),"")</ns0:f>
        <ns0:v/>
      </ns0:c>
    </ns0:row>
    <ns0:row r="238" ht="21" customHeight="1">
      <ns0:c r="A238" s="32" t="str">
        <ns0:f>IF($E238="","",INDEX('Banka Dökümü'!$A$2:$A$2001,$E238))</ns0:f>
        <ns0:v/>
      </ns0:c>
      <ns0:c r="B238" s="28" t="str">
        <ns0:f>IF($E238="","",INDEX('Banka Dökümü'!$B$2:$B$2001,$E238))</ns0:f>
        <ns0:v/>
      </ns0:c>
      <ns0:c r="C238" s="33" t="str">
        <ns0:f>IF($E238="","",INDEX('Banka Dökümü'!$C$2:$C$2001,$E238))</ns0:f>
        <ns0:v/>
      </ns0:c>
      <ns0:c r="D238" s="28" t="str">
        <ns0:f>IF(E238="","","Müşteri adı / aranacak ad / il bilgisini kontrol edin")</ns0:f>
        <ns0:v/>
      </ns0:c>
      <ns0:c r="E238" s="28" t="str">
        <ns0:f>IFERROR(MATCH(234,'Banka Dökümü'!$I$2:$I$2001,0),"")</ns0:f>
        <ns0:v/>
      </ns0:c>
    </ns0:row>
    <ns0:row r="239" ht="21" customHeight="1">
      <ns0:c r="A239" s="32" t="str">
        <ns0:f>IF($E239="","",INDEX('Banka Dökümü'!$A$2:$A$2001,$E239))</ns0:f>
        <ns0:v/>
      </ns0:c>
      <ns0:c r="B239" s="28" t="str">
        <ns0:f>IF($E239="","",INDEX('Banka Dökümü'!$B$2:$B$2001,$E239))</ns0:f>
        <ns0:v/>
      </ns0:c>
      <ns0:c r="C239" s="33" t="str">
        <ns0:f>IF($E239="","",INDEX('Banka Dökümü'!$C$2:$C$2001,$E239))</ns0:f>
        <ns0:v/>
      </ns0:c>
      <ns0:c r="D239" s="28" t="str">
        <ns0:f>IF(E239="","","Müşteri adı / aranacak ad / il bilgisini kontrol edin")</ns0:f>
        <ns0:v/>
      </ns0:c>
      <ns0:c r="E239" s="28" t="str">
        <ns0:f>IFERROR(MATCH(235,'Banka Dökümü'!$I$2:$I$2001,0),"")</ns0:f>
        <ns0:v/>
      </ns0:c>
    </ns0:row>
    <ns0:row r="240" ht="21" customHeight="1">
      <ns0:c r="A240" s="32" t="str">
        <ns0:f>IF($E240="","",INDEX('Banka Dökümü'!$A$2:$A$2001,$E240))</ns0:f>
        <ns0:v/>
      </ns0:c>
      <ns0:c r="B240" s="28" t="str">
        <ns0:f>IF($E240="","",INDEX('Banka Dökümü'!$B$2:$B$2001,$E240))</ns0:f>
        <ns0:v/>
      </ns0:c>
      <ns0:c r="C240" s="33" t="str">
        <ns0:f>IF($E240="","",INDEX('Banka Dökümü'!$C$2:$C$2001,$E240))</ns0:f>
        <ns0:v/>
      </ns0:c>
      <ns0:c r="D240" s="28" t="str">
        <ns0:f>IF(E240="","","Müşteri adı / aranacak ad / il bilgisini kontrol edin")</ns0:f>
        <ns0:v/>
      </ns0:c>
      <ns0:c r="E240" s="28" t="str">
        <ns0:f>IFERROR(MATCH(236,'Banka Dökümü'!$I$2:$I$2001,0),"")</ns0:f>
        <ns0:v/>
      </ns0:c>
    </ns0:row>
    <ns0:row r="241" ht="21" customHeight="1">
      <ns0:c r="A241" s="32" t="str">
        <ns0:f>IF($E241="","",INDEX('Banka Dökümü'!$A$2:$A$2001,$E241))</ns0:f>
        <ns0:v/>
      </ns0:c>
      <ns0:c r="B241" s="28" t="str">
        <ns0:f>IF($E241="","",INDEX('Banka Dökümü'!$B$2:$B$2001,$E241))</ns0:f>
        <ns0:v/>
      </ns0:c>
      <ns0:c r="C241" s="33" t="str">
        <ns0:f>IF($E241="","",INDEX('Banka Dökümü'!$C$2:$C$2001,$E241))</ns0:f>
        <ns0:v/>
      </ns0:c>
      <ns0:c r="D241" s="28" t="str">
        <ns0:f>IF(E241="","","Müşteri adı / aranacak ad / il bilgisini kontrol edin")</ns0:f>
        <ns0:v/>
      </ns0:c>
      <ns0:c r="E241" s="28" t="str">
        <ns0:f>IFERROR(MATCH(237,'Banka Dökümü'!$I$2:$I$2001,0),"")</ns0:f>
        <ns0:v/>
      </ns0:c>
    </ns0:row>
    <ns0:row r="242" ht="21" customHeight="1">
      <ns0:c r="A242" s="32" t="str">
        <ns0:f>IF($E242="","",INDEX('Banka Dökümü'!$A$2:$A$2001,$E242))</ns0:f>
        <ns0:v/>
      </ns0:c>
      <ns0:c r="B242" s="28" t="str">
        <ns0:f>IF($E242="","",INDEX('Banka Dökümü'!$B$2:$B$2001,$E242))</ns0:f>
        <ns0:v/>
      </ns0:c>
      <ns0:c r="C242" s="33" t="str">
        <ns0:f>IF($E242="","",INDEX('Banka Dökümü'!$C$2:$C$2001,$E242))</ns0:f>
        <ns0:v/>
      </ns0:c>
      <ns0:c r="D242" s="28" t="str">
        <ns0:f>IF(E242="","","Müşteri adı / aranacak ad / il bilgisini kontrol edin")</ns0:f>
        <ns0:v/>
      </ns0:c>
      <ns0:c r="E242" s="28" t="str">
        <ns0:f>IFERROR(MATCH(238,'Banka Dökümü'!$I$2:$I$2001,0),"")</ns0:f>
        <ns0:v/>
      </ns0:c>
    </ns0:row>
    <ns0:row r="243" ht="21" customHeight="1">
      <ns0:c r="A243" s="32" t="str">
        <ns0:f>IF($E243="","",INDEX('Banka Dökümü'!$A$2:$A$2001,$E243))</ns0:f>
        <ns0:v/>
      </ns0:c>
      <ns0:c r="B243" s="28" t="str">
        <ns0:f>IF($E243="","",INDEX('Banka Dökümü'!$B$2:$B$2001,$E243))</ns0:f>
        <ns0:v/>
      </ns0:c>
      <ns0:c r="C243" s="33" t="str">
        <ns0:f>IF($E243="","",INDEX('Banka Dökümü'!$C$2:$C$2001,$E243))</ns0:f>
        <ns0:v/>
      </ns0:c>
      <ns0:c r="D243" s="28" t="str">
        <ns0:f>IF(E243="","","Müşteri adı / aranacak ad / il bilgisini kontrol edin")</ns0:f>
        <ns0:v/>
      </ns0:c>
      <ns0:c r="E243" s="28" t="str">
        <ns0:f>IFERROR(MATCH(239,'Banka Dökümü'!$I$2:$I$2001,0),"")</ns0:f>
        <ns0:v/>
      </ns0:c>
    </ns0:row>
    <ns0:row r="244" ht="21" customHeight="1">
      <ns0:c r="A244" s="32" t="str">
        <ns0:f>IF($E244="","",INDEX('Banka Dökümü'!$A$2:$A$2001,$E244))</ns0:f>
        <ns0:v/>
      </ns0:c>
      <ns0:c r="B244" s="28" t="str">
        <ns0:f>IF($E244="","",INDEX('Banka Dökümü'!$B$2:$B$2001,$E244))</ns0:f>
        <ns0:v/>
      </ns0:c>
      <ns0:c r="C244" s="33" t="str">
        <ns0:f>IF($E244="","",INDEX('Banka Dökümü'!$C$2:$C$2001,$E244))</ns0:f>
        <ns0:v/>
      </ns0:c>
      <ns0:c r="D244" s="28" t="str">
        <ns0:f>IF(E244="","","Müşteri adı / aranacak ad / il bilgisini kontrol edin")</ns0:f>
        <ns0:v/>
      </ns0:c>
      <ns0:c r="E244" s="28" t="str">
        <ns0:f>IFERROR(MATCH(240,'Banka Dökümü'!$I$2:$I$2001,0),"")</ns0:f>
        <ns0:v/>
      </ns0:c>
    </ns0:row>
    <ns0:row r="245" ht="21" customHeight="1">
      <ns0:c r="A245" s="32" t="str">
        <ns0:f>IF($E245="","",INDEX('Banka Dökümü'!$A$2:$A$2001,$E245))</ns0:f>
        <ns0:v/>
      </ns0:c>
      <ns0:c r="B245" s="28" t="str">
        <ns0:f>IF($E245="","",INDEX('Banka Dökümü'!$B$2:$B$2001,$E245))</ns0:f>
        <ns0:v/>
      </ns0:c>
      <ns0:c r="C245" s="33" t="str">
        <ns0:f>IF($E245="","",INDEX('Banka Dökümü'!$C$2:$C$2001,$E245))</ns0:f>
        <ns0:v/>
      </ns0:c>
      <ns0:c r="D245" s="28" t="str">
        <ns0:f>IF(E245="","","Müşteri adı / aranacak ad / il bilgisini kontrol edin")</ns0:f>
        <ns0:v/>
      </ns0:c>
      <ns0:c r="E245" s="28" t="str">
        <ns0:f>IFERROR(MATCH(241,'Banka Dökümü'!$I$2:$I$2001,0),"")</ns0:f>
        <ns0:v/>
      </ns0:c>
    </ns0:row>
    <ns0:row r="246" ht="21" customHeight="1">
      <ns0:c r="A246" s="32" t="str">
        <ns0:f>IF($E246="","",INDEX('Banka Dökümü'!$A$2:$A$2001,$E246))</ns0:f>
        <ns0:v/>
      </ns0:c>
      <ns0:c r="B246" s="28" t="str">
        <ns0:f>IF($E246="","",INDEX('Banka Dökümü'!$B$2:$B$2001,$E246))</ns0:f>
        <ns0:v/>
      </ns0:c>
      <ns0:c r="C246" s="33" t="str">
        <ns0:f>IF($E246="","",INDEX('Banka Dökümü'!$C$2:$C$2001,$E246))</ns0:f>
        <ns0:v/>
      </ns0:c>
      <ns0:c r="D246" s="28" t="str">
        <ns0:f>IF(E246="","","Müşteri adı / aranacak ad / il bilgisini kontrol edin")</ns0:f>
        <ns0:v/>
      </ns0:c>
      <ns0:c r="E246" s="28" t="str">
        <ns0:f>IFERROR(MATCH(242,'Banka Dökümü'!$I$2:$I$2001,0),"")</ns0:f>
        <ns0:v/>
      </ns0:c>
    </ns0:row>
    <ns0:row r="247" ht="21" customHeight="1">
      <ns0:c r="A247" s="32" t="str">
        <ns0:f>IF($E247="","",INDEX('Banka Dökümü'!$A$2:$A$2001,$E247))</ns0:f>
        <ns0:v/>
      </ns0:c>
      <ns0:c r="B247" s="28" t="str">
        <ns0:f>IF($E247="","",INDEX('Banka Dökümü'!$B$2:$B$2001,$E247))</ns0:f>
        <ns0:v/>
      </ns0:c>
      <ns0:c r="C247" s="33" t="str">
        <ns0:f>IF($E247="","",INDEX('Banka Dökümü'!$C$2:$C$2001,$E247))</ns0:f>
        <ns0:v/>
      </ns0:c>
      <ns0:c r="D247" s="28" t="str">
        <ns0:f>IF(E247="","","Müşteri adı / aranacak ad / il bilgisini kontrol edin")</ns0:f>
        <ns0:v/>
      </ns0:c>
      <ns0:c r="E247" s="28" t="str">
        <ns0:f>IFERROR(MATCH(243,'Banka Dökümü'!$I$2:$I$2001,0),"")</ns0:f>
        <ns0:v/>
      </ns0:c>
    </ns0:row>
    <ns0:row r="248" ht="21" customHeight="1">
      <ns0:c r="A248" s="32" t="str">
        <ns0:f>IF($E248="","",INDEX('Banka Dökümü'!$A$2:$A$2001,$E248))</ns0:f>
        <ns0:v/>
      </ns0:c>
      <ns0:c r="B248" s="28" t="str">
        <ns0:f>IF($E248="","",INDEX('Banka Dökümü'!$B$2:$B$2001,$E248))</ns0:f>
        <ns0:v/>
      </ns0:c>
      <ns0:c r="C248" s="33" t="str">
        <ns0:f>IF($E248="","",INDEX('Banka Dökümü'!$C$2:$C$2001,$E248))</ns0:f>
        <ns0:v/>
      </ns0:c>
      <ns0:c r="D248" s="28" t="str">
        <ns0:f>IF(E248="","","Müşteri adı / aranacak ad / il bilgisini kontrol edin")</ns0:f>
        <ns0:v/>
      </ns0:c>
      <ns0:c r="E248" s="28" t="str">
        <ns0:f>IFERROR(MATCH(244,'Banka Dökümü'!$I$2:$I$2001,0),"")</ns0:f>
        <ns0:v/>
      </ns0:c>
    </ns0:row>
    <ns0:row r="249" ht="21" customHeight="1">
      <ns0:c r="A249" s="32" t="str">
        <ns0:f>IF($E249="","",INDEX('Banka Dökümü'!$A$2:$A$2001,$E249))</ns0:f>
        <ns0:v/>
      </ns0:c>
      <ns0:c r="B249" s="28" t="str">
        <ns0:f>IF($E249="","",INDEX('Banka Dökümü'!$B$2:$B$2001,$E249))</ns0:f>
        <ns0:v/>
      </ns0:c>
      <ns0:c r="C249" s="33" t="str">
        <ns0:f>IF($E249="","",INDEX('Banka Dökümü'!$C$2:$C$2001,$E249))</ns0:f>
        <ns0:v/>
      </ns0:c>
      <ns0:c r="D249" s="28" t="str">
        <ns0:f>IF(E249="","","Müşteri adı / aranacak ad / il bilgisini kontrol edin")</ns0:f>
        <ns0:v/>
      </ns0:c>
      <ns0:c r="E249" s="28" t="str">
        <ns0:f>IFERROR(MATCH(245,'Banka Dökümü'!$I$2:$I$2001,0),"")</ns0:f>
        <ns0:v/>
      </ns0:c>
    </ns0:row>
    <ns0:row r="250" ht="21" customHeight="1">
      <ns0:c r="A250" s="32" t="str">
        <ns0:f>IF($E250="","",INDEX('Banka Dökümü'!$A$2:$A$2001,$E250))</ns0:f>
        <ns0:v/>
      </ns0:c>
      <ns0:c r="B250" s="28" t="str">
        <ns0:f>IF($E250="","",INDEX('Banka Dökümü'!$B$2:$B$2001,$E250))</ns0:f>
        <ns0:v/>
      </ns0:c>
      <ns0:c r="C250" s="33" t="str">
        <ns0:f>IF($E250="","",INDEX('Banka Dökümü'!$C$2:$C$2001,$E250))</ns0:f>
        <ns0:v/>
      </ns0:c>
      <ns0:c r="D250" s="28" t="str">
        <ns0:f>IF(E250="","","Müşteri adı / aranacak ad / il bilgisini kontrol edin")</ns0:f>
        <ns0:v/>
      </ns0:c>
      <ns0:c r="E250" s="28" t="str">
        <ns0:f>IFERROR(MATCH(246,'Banka Dökümü'!$I$2:$I$2001,0),"")</ns0:f>
        <ns0:v/>
      </ns0:c>
    </ns0:row>
    <ns0:row r="251" ht="21" customHeight="1">
      <ns0:c r="A251" s="32" t="str">
        <ns0:f>IF($E251="","",INDEX('Banka Dökümü'!$A$2:$A$2001,$E251))</ns0:f>
        <ns0:v/>
      </ns0:c>
      <ns0:c r="B251" s="28" t="str">
        <ns0:f>IF($E251="","",INDEX('Banka Dökümü'!$B$2:$B$2001,$E251))</ns0:f>
        <ns0:v/>
      </ns0:c>
      <ns0:c r="C251" s="33" t="str">
        <ns0:f>IF($E251="","",INDEX('Banka Dökümü'!$C$2:$C$2001,$E251))</ns0:f>
        <ns0:v/>
      </ns0:c>
      <ns0:c r="D251" s="28" t="str">
        <ns0:f>IF(E251="","","Müşteri adı / aranacak ad / il bilgisini kontrol edin")</ns0:f>
        <ns0:v/>
      </ns0:c>
      <ns0:c r="E251" s="28" t="str">
        <ns0:f>IFERROR(MATCH(247,'Banka Dökümü'!$I$2:$I$2001,0),"")</ns0:f>
        <ns0:v/>
      </ns0:c>
    </ns0:row>
    <ns0:row r="252" ht="21" customHeight="1">
      <ns0:c r="A252" s="32" t="str">
        <ns0:f>IF($E252="","",INDEX('Banka Dökümü'!$A$2:$A$2001,$E252))</ns0:f>
        <ns0:v/>
      </ns0:c>
      <ns0:c r="B252" s="28" t="str">
        <ns0:f>IF($E252="","",INDEX('Banka Dökümü'!$B$2:$B$2001,$E252))</ns0:f>
        <ns0:v/>
      </ns0:c>
      <ns0:c r="C252" s="33" t="str">
        <ns0:f>IF($E252="","",INDEX('Banka Dökümü'!$C$2:$C$2001,$E252))</ns0:f>
        <ns0:v/>
      </ns0:c>
      <ns0:c r="D252" s="28" t="str">
        <ns0:f>IF(E252="","","Müşteri adı / aranacak ad / il bilgisini kontrol edin")</ns0:f>
        <ns0:v/>
      </ns0:c>
      <ns0:c r="E252" s="28" t="str">
        <ns0:f>IFERROR(MATCH(248,'Banka Dökümü'!$I$2:$I$2001,0),"")</ns0:f>
        <ns0:v/>
      </ns0:c>
    </ns0:row>
    <ns0:row r="253" ht="21" customHeight="1">
      <ns0:c r="A253" s="32" t="str">
        <ns0:f>IF($E253="","",INDEX('Banka Dökümü'!$A$2:$A$2001,$E253))</ns0:f>
        <ns0:v/>
      </ns0:c>
      <ns0:c r="B253" s="28" t="str">
        <ns0:f>IF($E253="","",INDEX('Banka Dökümü'!$B$2:$B$2001,$E253))</ns0:f>
        <ns0:v/>
      </ns0:c>
      <ns0:c r="C253" s="33" t="str">
        <ns0:f>IF($E253="","",INDEX('Banka Dökümü'!$C$2:$C$2001,$E253))</ns0:f>
        <ns0:v/>
      </ns0:c>
      <ns0:c r="D253" s="28" t="str">
        <ns0:f>IF(E253="","","Müşteri adı / aranacak ad / il bilgisini kontrol edin")</ns0:f>
        <ns0:v/>
      </ns0:c>
      <ns0:c r="E253" s="28" t="str">
        <ns0:f>IFERROR(MATCH(249,'Banka Dökümü'!$I$2:$I$2001,0),"")</ns0:f>
        <ns0:v/>
      </ns0:c>
    </ns0:row>
    <ns0:row r="254" ht="21" customHeight="1">
      <ns0:c r="A254" s="32" t="str">
        <ns0:f>IF($E254="","",INDEX('Banka Dökümü'!$A$2:$A$2001,$E254))</ns0:f>
        <ns0:v/>
      </ns0:c>
      <ns0:c r="B254" s="28" t="str">
        <ns0:f>IF($E254="","",INDEX('Banka Dökümü'!$B$2:$B$2001,$E254))</ns0:f>
        <ns0:v/>
      </ns0:c>
      <ns0:c r="C254" s="33" t="str">
        <ns0:f>IF($E254="","",INDEX('Banka Dökümü'!$C$2:$C$2001,$E254))</ns0:f>
        <ns0:v/>
      </ns0:c>
      <ns0:c r="D254" s="28" t="str">
        <ns0:f>IF(E254="","","Müşteri adı / aranacak ad / il bilgisini kontrol edin")</ns0:f>
        <ns0:v/>
      </ns0:c>
      <ns0:c r="E254" s="28" t="str">
        <ns0:f>IFERROR(MATCH(250,'Banka Dökümü'!$I$2:$I$2001,0),"")</ns0:f>
        <ns0:v/>
      </ns0:c>
    </ns0:row>
    <ns0:row r="255" ht="21" customHeight="1">
      <ns0:c r="A255" s="32" t="str">
        <ns0:f>IF($E255="","",INDEX('Banka Dökümü'!$A$2:$A$2001,$E255))</ns0:f>
        <ns0:v/>
      </ns0:c>
      <ns0:c r="B255" s="28" t="str">
        <ns0:f>IF($E255="","",INDEX('Banka Dökümü'!$B$2:$B$2001,$E255))</ns0:f>
        <ns0:v/>
      </ns0:c>
      <ns0:c r="C255" s="33" t="str">
        <ns0:f>IF($E255="","",INDEX('Banka Dökümü'!$C$2:$C$2001,$E255))</ns0:f>
        <ns0:v/>
      </ns0:c>
      <ns0:c r="D255" s="28" t="str">
        <ns0:f>IF(E255="","","Müşteri adı / aranacak ad / il bilgisini kontrol edin")</ns0:f>
        <ns0:v/>
      </ns0:c>
      <ns0:c r="E255" s="28" t="str">
        <ns0:f>IFERROR(MATCH(251,'Banka Dökümü'!$I$2:$I$2001,0),"")</ns0:f>
        <ns0:v/>
      </ns0:c>
    </ns0:row>
    <ns0:row r="256" ht="21" customHeight="1">
      <ns0:c r="A256" s="32" t="str">
        <ns0:f>IF($E256="","",INDEX('Banka Dökümü'!$A$2:$A$2001,$E256))</ns0:f>
        <ns0:v/>
      </ns0:c>
      <ns0:c r="B256" s="28" t="str">
        <ns0:f>IF($E256="","",INDEX('Banka Dökümü'!$B$2:$B$2001,$E256))</ns0:f>
        <ns0:v/>
      </ns0:c>
      <ns0:c r="C256" s="33" t="str">
        <ns0:f>IF($E256="","",INDEX('Banka Dökümü'!$C$2:$C$2001,$E256))</ns0:f>
        <ns0:v/>
      </ns0:c>
      <ns0:c r="D256" s="28" t="str">
        <ns0:f>IF(E256="","","Müşteri adı / aranacak ad / il bilgisini kontrol edin")</ns0:f>
        <ns0:v/>
      </ns0:c>
      <ns0:c r="E256" s="28" t="str">
        <ns0:f>IFERROR(MATCH(252,'Banka Dökümü'!$I$2:$I$2001,0),"")</ns0:f>
        <ns0:v/>
      </ns0:c>
    </ns0:row>
    <ns0:row r="257" ht="21" customHeight="1">
      <ns0:c r="A257" s="32" t="str">
        <ns0:f>IF($E257="","",INDEX('Banka Dökümü'!$A$2:$A$2001,$E257))</ns0:f>
        <ns0:v/>
      </ns0:c>
      <ns0:c r="B257" s="28" t="str">
        <ns0:f>IF($E257="","",INDEX('Banka Dökümü'!$B$2:$B$2001,$E257))</ns0:f>
        <ns0:v/>
      </ns0:c>
      <ns0:c r="C257" s="33" t="str">
        <ns0:f>IF($E257="","",INDEX('Banka Dökümü'!$C$2:$C$2001,$E257))</ns0:f>
        <ns0:v/>
      </ns0:c>
      <ns0:c r="D257" s="28" t="str">
        <ns0:f>IF(E257="","","Müşteri adı / aranacak ad / il bilgisini kontrol edin")</ns0:f>
        <ns0:v/>
      </ns0:c>
      <ns0:c r="E257" s="28" t="str">
        <ns0:f>IFERROR(MATCH(253,'Banka Dökümü'!$I$2:$I$2001,0),"")</ns0:f>
        <ns0:v/>
      </ns0:c>
    </ns0:row>
    <ns0:row r="258" ht="21" customHeight="1">
      <ns0:c r="A258" s="32" t="str">
        <ns0:f>IF($E258="","",INDEX('Banka Dökümü'!$A$2:$A$2001,$E258))</ns0:f>
        <ns0:v/>
      </ns0:c>
      <ns0:c r="B258" s="28" t="str">
        <ns0:f>IF($E258="","",INDEX('Banka Dökümü'!$B$2:$B$2001,$E258))</ns0:f>
        <ns0:v/>
      </ns0:c>
      <ns0:c r="C258" s="33" t="str">
        <ns0:f>IF($E258="","",INDEX('Banka Dökümü'!$C$2:$C$2001,$E258))</ns0:f>
        <ns0:v/>
      </ns0:c>
      <ns0:c r="D258" s="28" t="str">
        <ns0:f>IF(E258="","","Müşteri adı / aranacak ad / il bilgisini kontrol edin")</ns0:f>
        <ns0:v/>
      </ns0:c>
      <ns0:c r="E258" s="28" t="str">
        <ns0:f>IFERROR(MATCH(254,'Banka Dökümü'!$I$2:$I$2001,0),"")</ns0:f>
        <ns0:v/>
      </ns0:c>
    </ns0:row>
    <ns0:row r="259" ht="21" customHeight="1">
      <ns0:c r="A259" s="32" t="str">
        <ns0:f>IF($E259="","",INDEX('Banka Dökümü'!$A$2:$A$2001,$E259))</ns0:f>
        <ns0:v/>
      </ns0:c>
      <ns0:c r="B259" s="28" t="str">
        <ns0:f>IF($E259="","",INDEX('Banka Dökümü'!$B$2:$B$2001,$E259))</ns0:f>
        <ns0:v/>
      </ns0:c>
      <ns0:c r="C259" s="33" t="str">
        <ns0:f>IF($E259="","",INDEX('Banka Dökümü'!$C$2:$C$2001,$E259))</ns0:f>
        <ns0:v/>
      </ns0:c>
      <ns0:c r="D259" s="28" t="str">
        <ns0:f>IF(E259="","","Müşteri adı / aranacak ad / il bilgisini kontrol edin")</ns0:f>
        <ns0:v/>
      </ns0:c>
      <ns0:c r="E259" s="28" t="str">
        <ns0:f>IFERROR(MATCH(255,'Banka Dökümü'!$I$2:$I$2001,0),"")</ns0:f>
        <ns0:v/>
      </ns0:c>
    </ns0:row>
    <ns0:row r="260" ht="21" customHeight="1">
      <ns0:c r="A260" s="32" t="str">
        <ns0:f>IF($E260="","",INDEX('Banka Dökümü'!$A$2:$A$2001,$E260))</ns0:f>
        <ns0:v/>
      </ns0:c>
      <ns0:c r="B260" s="28" t="str">
        <ns0:f>IF($E260="","",INDEX('Banka Dökümü'!$B$2:$B$2001,$E260))</ns0:f>
        <ns0:v/>
      </ns0:c>
      <ns0:c r="C260" s="33" t="str">
        <ns0:f>IF($E260="","",INDEX('Banka Dökümü'!$C$2:$C$2001,$E260))</ns0:f>
        <ns0:v/>
      </ns0:c>
      <ns0:c r="D260" s="28" t="str">
        <ns0:f>IF(E260="","","Müşteri adı / aranacak ad / il bilgisini kontrol edin")</ns0:f>
        <ns0:v/>
      </ns0:c>
      <ns0:c r="E260" s="28" t="str">
        <ns0:f>IFERROR(MATCH(256,'Banka Dökümü'!$I$2:$I$2001,0),"")</ns0:f>
        <ns0:v/>
      </ns0:c>
    </ns0:row>
    <ns0:row r="261" ht="21" customHeight="1">
      <ns0:c r="A261" s="32" t="str">
        <ns0:f>IF($E261="","",INDEX('Banka Dökümü'!$A$2:$A$2001,$E261))</ns0:f>
        <ns0:v/>
      </ns0:c>
      <ns0:c r="B261" s="28" t="str">
        <ns0:f>IF($E261="","",INDEX('Banka Dökümü'!$B$2:$B$2001,$E261))</ns0:f>
        <ns0:v/>
      </ns0:c>
      <ns0:c r="C261" s="33" t="str">
        <ns0:f>IF($E261="","",INDEX('Banka Dökümü'!$C$2:$C$2001,$E261))</ns0:f>
        <ns0:v/>
      </ns0:c>
      <ns0:c r="D261" s="28" t="str">
        <ns0:f>IF(E261="","","Müşteri adı / aranacak ad / il bilgisini kontrol edin")</ns0:f>
        <ns0:v/>
      </ns0:c>
      <ns0:c r="E261" s="28" t="str">
        <ns0:f>IFERROR(MATCH(257,'Banka Dökümü'!$I$2:$I$2001,0),"")</ns0:f>
        <ns0:v/>
      </ns0:c>
    </ns0:row>
    <ns0:row r="262" ht="21" customHeight="1">
      <ns0:c r="A262" s="32" t="str">
        <ns0:f>IF($E262="","",INDEX('Banka Dökümü'!$A$2:$A$2001,$E262))</ns0:f>
        <ns0:v/>
      </ns0:c>
      <ns0:c r="B262" s="28" t="str">
        <ns0:f>IF($E262="","",INDEX('Banka Dökümü'!$B$2:$B$2001,$E262))</ns0:f>
        <ns0:v/>
      </ns0:c>
      <ns0:c r="C262" s="33" t="str">
        <ns0:f>IF($E262="","",INDEX('Banka Dökümü'!$C$2:$C$2001,$E262))</ns0:f>
        <ns0:v/>
      </ns0:c>
      <ns0:c r="D262" s="28" t="str">
        <ns0:f>IF(E262="","","Müşteri adı / aranacak ad / il bilgisini kontrol edin")</ns0:f>
        <ns0:v/>
      </ns0:c>
      <ns0:c r="E262" s="28" t="str">
        <ns0:f>IFERROR(MATCH(258,'Banka Dökümü'!$I$2:$I$2001,0),"")</ns0:f>
        <ns0:v/>
      </ns0:c>
    </ns0:row>
    <ns0:row r="263" ht="21" customHeight="1">
      <ns0:c r="A263" s="32" t="str">
        <ns0:f>IF($E263="","",INDEX('Banka Dökümü'!$A$2:$A$2001,$E263))</ns0:f>
        <ns0:v/>
      </ns0:c>
      <ns0:c r="B263" s="28" t="str">
        <ns0:f>IF($E263="","",INDEX('Banka Dökümü'!$B$2:$B$2001,$E263))</ns0:f>
        <ns0:v/>
      </ns0:c>
      <ns0:c r="C263" s="33" t="str">
        <ns0:f>IF($E263="","",INDEX('Banka Dökümü'!$C$2:$C$2001,$E263))</ns0:f>
        <ns0:v/>
      </ns0:c>
      <ns0:c r="D263" s="28" t="str">
        <ns0:f>IF(E263="","","Müşteri adı / aranacak ad / il bilgisini kontrol edin")</ns0:f>
        <ns0:v/>
      </ns0:c>
      <ns0:c r="E263" s="28" t="str">
        <ns0:f>IFERROR(MATCH(259,'Banka Dökümü'!$I$2:$I$2001,0),"")</ns0:f>
        <ns0:v/>
      </ns0:c>
    </ns0:row>
    <ns0:row r="264" ht="21" customHeight="1">
      <ns0:c r="A264" s="32" t="str">
        <ns0:f>IF($E264="","",INDEX('Banka Dökümü'!$A$2:$A$2001,$E264))</ns0:f>
        <ns0:v/>
      </ns0:c>
      <ns0:c r="B264" s="28" t="str">
        <ns0:f>IF($E264="","",INDEX('Banka Dökümü'!$B$2:$B$2001,$E264))</ns0:f>
        <ns0:v/>
      </ns0:c>
      <ns0:c r="C264" s="33" t="str">
        <ns0:f>IF($E264="","",INDEX('Banka Dökümü'!$C$2:$C$2001,$E264))</ns0:f>
        <ns0:v/>
      </ns0:c>
      <ns0:c r="D264" s="28" t="str">
        <ns0:f>IF(E264="","","Müşteri adı / aranacak ad / il bilgisini kontrol edin")</ns0:f>
        <ns0:v/>
      </ns0:c>
      <ns0:c r="E264" s="28" t="str">
        <ns0:f>IFERROR(MATCH(260,'Banka Dökümü'!$I$2:$I$2001,0),"")</ns0:f>
        <ns0:v/>
      </ns0:c>
    </ns0:row>
    <ns0:row r="265" ht="21" customHeight="1">
      <ns0:c r="A265" s="32" t="str">
        <ns0:f>IF($E265="","",INDEX('Banka Dökümü'!$A$2:$A$2001,$E265))</ns0:f>
        <ns0:v/>
      </ns0:c>
      <ns0:c r="B265" s="28" t="str">
        <ns0:f>IF($E265="","",INDEX('Banka Dökümü'!$B$2:$B$2001,$E265))</ns0:f>
        <ns0:v/>
      </ns0:c>
      <ns0:c r="C265" s="33" t="str">
        <ns0:f>IF($E265="","",INDEX('Banka Dökümü'!$C$2:$C$2001,$E265))</ns0:f>
        <ns0:v/>
      </ns0:c>
      <ns0:c r="D265" s="28" t="str">
        <ns0:f>IF(E265="","","Müşteri adı / aranacak ad / il bilgisini kontrol edin")</ns0:f>
        <ns0:v/>
      </ns0:c>
      <ns0:c r="E265" s="28" t="str">
        <ns0:f>IFERROR(MATCH(261,'Banka Dökümü'!$I$2:$I$2001,0),"")</ns0:f>
        <ns0:v/>
      </ns0:c>
    </ns0:row>
    <ns0:row r="266" ht="21" customHeight="1">
      <ns0:c r="A266" s="32" t="str">
        <ns0:f>IF($E266="","",INDEX('Banka Dökümü'!$A$2:$A$2001,$E266))</ns0:f>
        <ns0:v/>
      </ns0:c>
      <ns0:c r="B266" s="28" t="str">
        <ns0:f>IF($E266="","",INDEX('Banka Dökümü'!$B$2:$B$2001,$E266))</ns0:f>
        <ns0:v/>
      </ns0:c>
      <ns0:c r="C266" s="33" t="str">
        <ns0:f>IF($E266="","",INDEX('Banka Dökümü'!$C$2:$C$2001,$E266))</ns0:f>
        <ns0:v/>
      </ns0:c>
      <ns0:c r="D266" s="28" t="str">
        <ns0:f>IF(E266="","","Müşteri adı / aranacak ad / il bilgisini kontrol edin")</ns0:f>
        <ns0:v/>
      </ns0:c>
      <ns0:c r="E266" s="28" t="str">
        <ns0:f>IFERROR(MATCH(262,'Banka Dökümü'!$I$2:$I$2001,0),"")</ns0:f>
        <ns0:v/>
      </ns0:c>
    </ns0:row>
    <ns0:row r="267" ht="21" customHeight="1">
      <ns0:c r="A267" s="32" t="str">
        <ns0:f>IF($E267="","",INDEX('Banka Dökümü'!$A$2:$A$2001,$E267))</ns0:f>
        <ns0:v/>
      </ns0:c>
      <ns0:c r="B267" s="28" t="str">
        <ns0:f>IF($E267="","",INDEX('Banka Dökümü'!$B$2:$B$2001,$E267))</ns0:f>
        <ns0:v/>
      </ns0:c>
      <ns0:c r="C267" s="33" t="str">
        <ns0:f>IF($E267="","",INDEX('Banka Dökümü'!$C$2:$C$2001,$E267))</ns0:f>
        <ns0:v/>
      </ns0:c>
      <ns0:c r="D267" s="28" t="str">
        <ns0:f>IF(E267="","","Müşteri adı / aranacak ad / il bilgisini kontrol edin")</ns0:f>
        <ns0:v/>
      </ns0:c>
      <ns0:c r="E267" s="28" t="str">
        <ns0:f>IFERROR(MATCH(263,'Banka Dökümü'!$I$2:$I$2001,0),"")</ns0:f>
        <ns0:v/>
      </ns0:c>
    </ns0:row>
    <ns0:row r="268" ht="21" customHeight="1">
      <ns0:c r="A268" s="32" t="str">
        <ns0:f>IF($E268="","",INDEX('Banka Dökümü'!$A$2:$A$2001,$E268))</ns0:f>
        <ns0:v/>
      </ns0:c>
      <ns0:c r="B268" s="28" t="str">
        <ns0:f>IF($E268="","",INDEX('Banka Dökümü'!$B$2:$B$2001,$E268))</ns0:f>
        <ns0:v/>
      </ns0:c>
      <ns0:c r="C268" s="33" t="str">
        <ns0:f>IF($E268="","",INDEX('Banka Dökümü'!$C$2:$C$2001,$E268))</ns0:f>
        <ns0:v/>
      </ns0:c>
      <ns0:c r="D268" s="28" t="str">
        <ns0:f>IF(E268="","","Müşteri adı / aranacak ad / il bilgisini kontrol edin")</ns0:f>
        <ns0:v/>
      </ns0:c>
      <ns0:c r="E268" s="28" t="str">
        <ns0:f>IFERROR(MATCH(264,'Banka Dökümü'!$I$2:$I$2001,0),"")</ns0:f>
        <ns0:v/>
      </ns0:c>
    </ns0:row>
    <ns0:row r="269" ht="21" customHeight="1">
      <ns0:c r="A269" s="32" t="str">
        <ns0:f>IF($E269="","",INDEX('Banka Dökümü'!$A$2:$A$2001,$E269))</ns0:f>
        <ns0:v/>
      </ns0:c>
      <ns0:c r="B269" s="28" t="str">
        <ns0:f>IF($E269="","",INDEX('Banka Dökümü'!$B$2:$B$2001,$E269))</ns0:f>
        <ns0:v/>
      </ns0:c>
      <ns0:c r="C269" s="33" t="str">
        <ns0:f>IF($E269="","",INDEX('Banka Dökümü'!$C$2:$C$2001,$E269))</ns0:f>
        <ns0:v/>
      </ns0:c>
      <ns0:c r="D269" s="28" t="str">
        <ns0:f>IF(E269="","","Müşteri adı / aranacak ad / il bilgisini kontrol edin")</ns0:f>
        <ns0:v/>
      </ns0:c>
      <ns0:c r="E269" s="28" t="str">
        <ns0:f>IFERROR(MATCH(265,'Banka Dökümü'!$I$2:$I$2001,0),"")</ns0:f>
        <ns0:v/>
      </ns0:c>
    </ns0:row>
    <ns0:row r="270" ht="21" customHeight="1">
      <ns0:c r="A270" s="32" t="str">
        <ns0:f>IF($E270="","",INDEX('Banka Dökümü'!$A$2:$A$2001,$E270))</ns0:f>
        <ns0:v/>
      </ns0:c>
      <ns0:c r="B270" s="28" t="str">
        <ns0:f>IF($E270="","",INDEX('Banka Dökümü'!$B$2:$B$2001,$E270))</ns0:f>
        <ns0:v/>
      </ns0:c>
      <ns0:c r="C270" s="33" t="str">
        <ns0:f>IF($E270="","",INDEX('Banka Dökümü'!$C$2:$C$2001,$E270))</ns0:f>
        <ns0:v/>
      </ns0:c>
      <ns0:c r="D270" s="28" t="str">
        <ns0:f>IF(E270="","","Müşteri adı / aranacak ad / il bilgisini kontrol edin")</ns0:f>
        <ns0:v/>
      </ns0:c>
      <ns0:c r="E270" s="28" t="str">
        <ns0:f>IFERROR(MATCH(266,'Banka Dökümü'!$I$2:$I$2001,0),"")</ns0:f>
        <ns0:v/>
      </ns0:c>
    </ns0:row>
    <ns0:row r="271" ht="21" customHeight="1">
      <ns0:c r="A271" s="32" t="str">
        <ns0:f>IF($E271="","",INDEX('Banka Dökümü'!$A$2:$A$2001,$E271))</ns0:f>
        <ns0:v/>
      </ns0:c>
      <ns0:c r="B271" s="28" t="str">
        <ns0:f>IF($E271="","",INDEX('Banka Dökümü'!$B$2:$B$2001,$E271))</ns0:f>
        <ns0:v/>
      </ns0:c>
      <ns0:c r="C271" s="33" t="str">
        <ns0:f>IF($E271="","",INDEX('Banka Dökümü'!$C$2:$C$2001,$E271))</ns0:f>
        <ns0:v/>
      </ns0:c>
      <ns0:c r="D271" s="28" t="str">
        <ns0:f>IF(E271="","","Müşteri adı / aranacak ad / il bilgisini kontrol edin")</ns0:f>
        <ns0:v/>
      </ns0:c>
      <ns0:c r="E271" s="28" t="str">
        <ns0:f>IFERROR(MATCH(267,'Banka Dökümü'!$I$2:$I$2001,0),"")</ns0:f>
        <ns0:v/>
      </ns0:c>
    </ns0:row>
    <ns0:row r="272" ht="21" customHeight="1">
      <ns0:c r="A272" s="32" t="str">
        <ns0:f>IF($E272="","",INDEX('Banka Dökümü'!$A$2:$A$2001,$E272))</ns0:f>
        <ns0:v/>
      </ns0:c>
      <ns0:c r="B272" s="28" t="str">
        <ns0:f>IF($E272="","",INDEX('Banka Dökümü'!$B$2:$B$2001,$E272))</ns0:f>
        <ns0:v/>
      </ns0:c>
      <ns0:c r="C272" s="33" t="str">
        <ns0:f>IF($E272="","",INDEX('Banka Dökümü'!$C$2:$C$2001,$E272))</ns0:f>
        <ns0:v/>
      </ns0:c>
      <ns0:c r="D272" s="28" t="str">
        <ns0:f>IF(E272="","","Müşteri adı / aranacak ad / il bilgisini kontrol edin")</ns0:f>
        <ns0:v/>
      </ns0:c>
      <ns0:c r="E272" s="28" t="str">
        <ns0:f>IFERROR(MATCH(268,'Banka Dökümü'!$I$2:$I$2001,0),"")</ns0:f>
        <ns0:v/>
      </ns0:c>
    </ns0:row>
    <ns0:row r="273" ht="21" customHeight="1">
      <ns0:c r="A273" s="32" t="str">
        <ns0:f>IF($E273="","",INDEX('Banka Dökümü'!$A$2:$A$2001,$E273))</ns0:f>
        <ns0:v/>
      </ns0:c>
      <ns0:c r="B273" s="28" t="str">
        <ns0:f>IF($E273="","",INDEX('Banka Dökümü'!$B$2:$B$2001,$E273))</ns0:f>
        <ns0:v/>
      </ns0:c>
      <ns0:c r="C273" s="33" t="str">
        <ns0:f>IF($E273="","",INDEX('Banka Dökümü'!$C$2:$C$2001,$E273))</ns0:f>
        <ns0:v/>
      </ns0:c>
      <ns0:c r="D273" s="28" t="str">
        <ns0:f>IF(E273="","","Müşteri adı / aranacak ad / il bilgisini kontrol edin")</ns0:f>
        <ns0:v/>
      </ns0:c>
      <ns0:c r="E273" s="28" t="str">
        <ns0:f>IFERROR(MATCH(269,'Banka Dökümü'!$I$2:$I$2001,0),"")</ns0:f>
        <ns0:v/>
      </ns0:c>
    </ns0:row>
    <ns0:row r="274" ht="21" customHeight="1">
      <ns0:c r="A274" s="32" t="str">
        <ns0:f>IF($E274="","",INDEX('Banka Dökümü'!$A$2:$A$2001,$E274))</ns0:f>
        <ns0:v/>
      </ns0:c>
      <ns0:c r="B274" s="28" t="str">
        <ns0:f>IF($E274="","",INDEX('Banka Dökümü'!$B$2:$B$2001,$E274))</ns0:f>
        <ns0:v/>
      </ns0:c>
      <ns0:c r="C274" s="33" t="str">
        <ns0:f>IF($E274="","",INDEX('Banka Dökümü'!$C$2:$C$2001,$E274))</ns0:f>
        <ns0:v/>
      </ns0:c>
      <ns0:c r="D274" s="28" t="str">
        <ns0:f>IF(E274="","","Müşteri adı / aranacak ad / il bilgisini kontrol edin")</ns0:f>
        <ns0:v/>
      </ns0:c>
      <ns0:c r="E274" s="28" t="str">
        <ns0:f>IFERROR(MATCH(270,'Banka Dökümü'!$I$2:$I$2001,0),"")</ns0:f>
        <ns0:v/>
      </ns0:c>
    </ns0:row>
    <ns0:row r="275" ht="21" customHeight="1">
      <ns0:c r="A275" s="32" t="str">
        <ns0:f>IF($E275="","",INDEX('Banka Dökümü'!$A$2:$A$2001,$E275))</ns0:f>
        <ns0:v/>
      </ns0:c>
      <ns0:c r="B275" s="28" t="str">
        <ns0:f>IF($E275="","",INDEX('Banka Dökümü'!$B$2:$B$2001,$E275))</ns0:f>
        <ns0:v/>
      </ns0:c>
      <ns0:c r="C275" s="33" t="str">
        <ns0:f>IF($E275="","",INDEX('Banka Dökümü'!$C$2:$C$2001,$E275))</ns0:f>
        <ns0:v/>
      </ns0:c>
      <ns0:c r="D275" s="28" t="str">
        <ns0:f>IF(E275="","","Müşteri adı / aranacak ad / il bilgisini kontrol edin")</ns0:f>
        <ns0:v/>
      </ns0:c>
      <ns0:c r="E275" s="28" t="str">
        <ns0:f>IFERROR(MATCH(271,'Banka Dökümü'!$I$2:$I$2001,0),"")</ns0:f>
        <ns0:v/>
      </ns0:c>
    </ns0:row>
    <ns0:row r="276" ht="21" customHeight="1">
      <ns0:c r="A276" s="32" t="str">
        <ns0:f>IF($E276="","",INDEX('Banka Dökümü'!$A$2:$A$2001,$E276))</ns0:f>
        <ns0:v/>
      </ns0:c>
      <ns0:c r="B276" s="28" t="str">
        <ns0:f>IF($E276="","",INDEX('Banka Dökümü'!$B$2:$B$2001,$E276))</ns0:f>
        <ns0:v/>
      </ns0:c>
      <ns0:c r="C276" s="33" t="str">
        <ns0:f>IF($E276="","",INDEX('Banka Dökümü'!$C$2:$C$2001,$E276))</ns0:f>
        <ns0:v/>
      </ns0:c>
      <ns0:c r="D276" s="28" t="str">
        <ns0:f>IF(E276="","","Müşteri adı / aranacak ad / il bilgisini kontrol edin")</ns0:f>
        <ns0:v/>
      </ns0:c>
      <ns0:c r="E276" s="28" t="str">
        <ns0:f>IFERROR(MATCH(272,'Banka Dökümü'!$I$2:$I$2001,0),"")</ns0:f>
        <ns0:v/>
      </ns0:c>
    </ns0:row>
    <ns0:row r="277" ht="21" customHeight="1">
      <ns0:c r="A277" s="32" t="str">
        <ns0:f>IF($E277="","",INDEX('Banka Dökümü'!$A$2:$A$2001,$E277))</ns0:f>
        <ns0:v/>
      </ns0:c>
      <ns0:c r="B277" s="28" t="str">
        <ns0:f>IF($E277="","",INDEX('Banka Dökümü'!$B$2:$B$2001,$E277))</ns0:f>
        <ns0:v/>
      </ns0:c>
      <ns0:c r="C277" s="33" t="str">
        <ns0:f>IF($E277="","",INDEX('Banka Dökümü'!$C$2:$C$2001,$E277))</ns0:f>
        <ns0:v/>
      </ns0:c>
      <ns0:c r="D277" s="28" t="str">
        <ns0:f>IF(E277="","","Müşteri adı / aranacak ad / il bilgisini kontrol edin")</ns0:f>
        <ns0:v/>
      </ns0:c>
      <ns0:c r="E277" s="28" t="str">
        <ns0:f>IFERROR(MATCH(273,'Banka Dökümü'!$I$2:$I$2001,0),"")</ns0:f>
        <ns0:v/>
      </ns0:c>
    </ns0:row>
    <ns0:row r="278" ht="21" customHeight="1">
      <ns0:c r="A278" s="32" t="str">
        <ns0:f>IF($E278="","",INDEX('Banka Dökümü'!$A$2:$A$2001,$E278))</ns0:f>
        <ns0:v/>
      </ns0:c>
      <ns0:c r="B278" s="28" t="str">
        <ns0:f>IF($E278="","",INDEX('Banka Dökümü'!$B$2:$B$2001,$E278))</ns0:f>
        <ns0:v/>
      </ns0:c>
      <ns0:c r="C278" s="33" t="str">
        <ns0:f>IF($E278="","",INDEX('Banka Dökümü'!$C$2:$C$2001,$E278))</ns0:f>
        <ns0:v/>
      </ns0:c>
      <ns0:c r="D278" s="28" t="str">
        <ns0:f>IF(E278="","","Müşteri adı / aranacak ad / il bilgisini kontrol edin")</ns0:f>
        <ns0:v/>
      </ns0:c>
      <ns0:c r="E278" s="28" t="str">
        <ns0:f>IFERROR(MATCH(274,'Banka Dökümü'!$I$2:$I$2001,0),"")</ns0:f>
        <ns0:v/>
      </ns0:c>
    </ns0:row>
    <ns0:row r="279" ht="21" customHeight="1">
      <ns0:c r="A279" s="32" t="str">
        <ns0:f>IF($E279="","",INDEX('Banka Dökümü'!$A$2:$A$2001,$E279))</ns0:f>
        <ns0:v/>
      </ns0:c>
      <ns0:c r="B279" s="28" t="str">
        <ns0:f>IF($E279="","",INDEX('Banka Dökümü'!$B$2:$B$2001,$E279))</ns0:f>
        <ns0:v/>
      </ns0:c>
      <ns0:c r="C279" s="33" t="str">
        <ns0:f>IF($E279="","",INDEX('Banka Dökümü'!$C$2:$C$2001,$E279))</ns0:f>
        <ns0:v/>
      </ns0:c>
      <ns0:c r="D279" s="28" t="str">
        <ns0:f>IF(E279="","","Müşteri adı / aranacak ad / il bilgisini kontrol edin")</ns0:f>
        <ns0:v/>
      </ns0:c>
      <ns0:c r="E279" s="28" t="str">
        <ns0:f>IFERROR(MATCH(275,'Banka Dökümü'!$I$2:$I$2001,0),"")</ns0:f>
        <ns0:v/>
      </ns0:c>
    </ns0:row>
    <ns0:row r="280" ht="21" customHeight="1">
      <ns0:c r="A280" s="32" t="str">
        <ns0:f>IF($E280="","",INDEX('Banka Dökümü'!$A$2:$A$2001,$E280))</ns0:f>
        <ns0:v/>
      </ns0:c>
      <ns0:c r="B280" s="28" t="str">
        <ns0:f>IF($E280="","",INDEX('Banka Dökümü'!$B$2:$B$2001,$E280))</ns0:f>
        <ns0:v/>
      </ns0:c>
      <ns0:c r="C280" s="33" t="str">
        <ns0:f>IF($E280="","",INDEX('Banka Dökümü'!$C$2:$C$2001,$E280))</ns0:f>
        <ns0:v/>
      </ns0:c>
      <ns0:c r="D280" s="28" t="str">
        <ns0:f>IF(E280="","","Müşteri adı / aranacak ad / il bilgisini kontrol edin")</ns0:f>
        <ns0:v/>
      </ns0:c>
      <ns0:c r="E280" s="28" t="str">
        <ns0:f>IFERROR(MATCH(276,'Banka Dökümü'!$I$2:$I$2001,0),"")</ns0:f>
        <ns0:v/>
      </ns0:c>
    </ns0:row>
    <ns0:row r="281" ht="21" customHeight="1">
      <ns0:c r="A281" s="32" t="str">
        <ns0:f>IF($E281="","",INDEX('Banka Dökümü'!$A$2:$A$2001,$E281))</ns0:f>
        <ns0:v/>
      </ns0:c>
      <ns0:c r="B281" s="28" t="str">
        <ns0:f>IF($E281="","",INDEX('Banka Dökümü'!$B$2:$B$2001,$E281))</ns0:f>
        <ns0:v/>
      </ns0:c>
      <ns0:c r="C281" s="33" t="str">
        <ns0:f>IF($E281="","",INDEX('Banka Dökümü'!$C$2:$C$2001,$E281))</ns0:f>
        <ns0:v/>
      </ns0:c>
      <ns0:c r="D281" s="28" t="str">
        <ns0:f>IF(E281="","","Müşteri adı / aranacak ad / il bilgisini kontrol edin")</ns0:f>
        <ns0:v/>
      </ns0:c>
      <ns0:c r="E281" s="28" t="str">
        <ns0:f>IFERROR(MATCH(277,'Banka Dökümü'!$I$2:$I$2001,0),"")</ns0:f>
        <ns0:v/>
      </ns0:c>
    </ns0:row>
    <ns0:row r="282" ht="21" customHeight="1">
      <ns0:c r="A282" s="32" t="str">
        <ns0:f>IF($E282="","",INDEX('Banka Dökümü'!$A$2:$A$2001,$E282))</ns0:f>
        <ns0:v/>
      </ns0:c>
      <ns0:c r="B282" s="28" t="str">
        <ns0:f>IF($E282="","",INDEX('Banka Dökümü'!$B$2:$B$2001,$E282))</ns0:f>
        <ns0:v/>
      </ns0:c>
      <ns0:c r="C282" s="33" t="str">
        <ns0:f>IF($E282="","",INDEX('Banka Dökümü'!$C$2:$C$2001,$E282))</ns0:f>
        <ns0:v/>
      </ns0:c>
      <ns0:c r="D282" s="28" t="str">
        <ns0:f>IF(E282="","","Müşteri adı / aranacak ad / il bilgisini kontrol edin")</ns0:f>
        <ns0:v/>
      </ns0:c>
      <ns0:c r="E282" s="28" t="str">
        <ns0:f>IFERROR(MATCH(278,'Banka Dökümü'!$I$2:$I$2001,0),"")</ns0:f>
        <ns0:v/>
      </ns0:c>
    </ns0:row>
    <ns0:row r="283" ht="21" customHeight="1">
      <ns0:c r="A283" s="32" t="str">
        <ns0:f>IF($E283="","",INDEX('Banka Dökümü'!$A$2:$A$2001,$E283))</ns0:f>
        <ns0:v/>
      </ns0:c>
      <ns0:c r="B283" s="28" t="str">
        <ns0:f>IF($E283="","",INDEX('Banka Dökümü'!$B$2:$B$2001,$E283))</ns0:f>
        <ns0:v/>
      </ns0:c>
      <ns0:c r="C283" s="33" t="str">
        <ns0:f>IF($E283="","",INDEX('Banka Dökümü'!$C$2:$C$2001,$E283))</ns0:f>
        <ns0:v/>
      </ns0:c>
      <ns0:c r="D283" s="28" t="str">
        <ns0:f>IF(E283="","","Müşteri adı / aranacak ad / il bilgisini kontrol edin")</ns0:f>
        <ns0:v/>
      </ns0:c>
      <ns0:c r="E283" s="28" t="str">
        <ns0:f>IFERROR(MATCH(279,'Banka Dökümü'!$I$2:$I$2001,0),"")</ns0:f>
        <ns0:v/>
      </ns0:c>
    </ns0:row>
    <ns0:row r="284" ht="21" customHeight="1">
      <ns0:c r="A284" s="32" t="str">
        <ns0:f>IF($E284="","",INDEX('Banka Dökümü'!$A$2:$A$2001,$E284))</ns0:f>
        <ns0:v/>
      </ns0:c>
      <ns0:c r="B284" s="28" t="str">
        <ns0:f>IF($E284="","",INDEX('Banka Dökümü'!$B$2:$B$2001,$E284))</ns0:f>
        <ns0:v/>
      </ns0:c>
      <ns0:c r="C284" s="33" t="str">
        <ns0:f>IF($E284="","",INDEX('Banka Dökümü'!$C$2:$C$2001,$E284))</ns0:f>
        <ns0:v/>
      </ns0:c>
      <ns0:c r="D284" s="28" t="str">
        <ns0:f>IF(E284="","","Müşteri adı / aranacak ad / il bilgisini kontrol edin")</ns0:f>
        <ns0:v/>
      </ns0:c>
      <ns0:c r="E284" s="28" t="str">
        <ns0:f>IFERROR(MATCH(280,'Banka Dökümü'!$I$2:$I$2001,0),"")</ns0:f>
        <ns0:v/>
      </ns0:c>
    </ns0:row>
    <ns0:row r="285" ht="21" customHeight="1">
      <ns0:c r="A285" s="32" t="str">
        <ns0:f>IF($E285="","",INDEX('Banka Dökümü'!$A$2:$A$2001,$E285))</ns0:f>
        <ns0:v/>
      </ns0:c>
      <ns0:c r="B285" s="28" t="str">
        <ns0:f>IF($E285="","",INDEX('Banka Dökümü'!$B$2:$B$2001,$E285))</ns0:f>
        <ns0:v/>
      </ns0:c>
      <ns0:c r="C285" s="33" t="str">
        <ns0:f>IF($E285="","",INDEX('Banka Dökümü'!$C$2:$C$2001,$E285))</ns0:f>
        <ns0:v/>
      </ns0:c>
      <ns0:c r="D285" s="28" t="str">
        <ns0:f>IF(E285="","","Müşteri adı / aranacak ad / il bilgisini kontrol edin")</ns0:f>
        <ns0:v/>
      </ns0:c>
      <ns0:c r="E285" s="28" t="str">
        <ns0:f>IFERROR(MATCH(281,'Banka Dökümü'!$I$2:$I$2001,0),"")</ns0:f>
        <ns0:v/>
      </ns0:c>
    </ns0:row>
    <ns0:row r="286" ht="21" customHeight="1">
      <ns0:c r="A286" s="32" t="str">
        <ns0:f>IF($E286="","",INDEX('Banka Dökümü'!$A$2:$A$2001,$E286))</ns0:f>
        <ns0:v/>
      </ns0:c>
      <ns0:c r="B286" s="28" t="str">
        <ns0:f>IF($E286="","",INDEX('Banka Dökümü'!$B$2:$B$2001,$E286))</ns0:f>
        <ns0:v/>
      </ns0:c>
      <ns0:c r="C286" s="33" t="str">
        <ns0:f>IF($E286="","",INDEX('Banka Dökümü'!$C$2:$C$2001,$E286))</ns0:f>
        <ns0:v/>
      </ns0:c>
      <ns0:c r="D286" s="28" t="str">
        <ns0:f>IF(E286="","","Müşteri adı / aranacak ad / il bilgisini kontrol edin")</ns0:f>
        <ns0:v/>
      </ns0:c>
      <ns0:c r="E286" s="28" t="str">
        <ns0:f>IFERROR(MATCH(282,'Banka Dökümü'!$I$2:$I$2001,0),"")</ns0:f>
        <ns0:v/>
      </ns0:c>
    </ns0:row>
    <ns0:row r="287" ht="21" customHeight="1">
      <ns0:c r="A287" s="32" t="str">
        <ns0:f>IF($E287="","",INDEX('Banka Dökümü'!$A$2:$A$2001,$E287))</ns0:f>
        <ns0:v/>
      </ns0:c>
      <ns0:c r="B287" s="28" t="str">
        <ns0:f>IF($E287="","",INDEX('Banka Dökümü'!$B$2:$B$2001,$E287))</ns0:f>
        <ns0:v/>
      </ns0:c>
      <ns0:c r="C287" s="33" t="str">
        <ns0:f>IF($E287="","",INDEX('Banka Dökümü'!$C$2:$C$2001,$E287))</ns0:f>
        <ns0:v/>
      </ns0:c>
      <ns0:c r="D287" s="28" t="str">
        <ns0:f>IF(E287="","","Müşteri adı / aranacak ad / il bilgisini kontrol edin")</ns0:f>
        <ns0:v/>
      </ns0:c>
      <ns0:c r="E287" s="28" t="str">
        <ns0:f>IFERROR(MATCH(283,'Banka Dökümü'!$I$2:$I$2001,0),"")</ns0:f>
        <ns0:v/>
      </ns0:c>
    </ns0:row>
    <ns0:row r="288" ht="21" customHeight="1">
      <ns0:c r="A288" s="32" t="str">
        <ns0:f>IF($E288="","",INDEX('Banka Dökümü'!$A$2:$A$2001,$E288))</ns0:f>
        <ns0:v/>
      </ns0:c>
      <ns0:c r="B288" s="28" t="str">
        <ns0:f>IF($E288="","",INDEX('Banka Dökümü'!$B$2:$B$2001,$E288))</ns0:f>
        <ns0:v/>
      </ns0:c>
      <ns0:c r="C288" s="33" t="str">
        <ns0:f>IF($E288="","",INDEX('Banka Dökümü'!$C$2:$C$2001,$E288))</ns0:f>
        <ns0:v/>
      </ns0:c>
      <ns0:c r="D288" s="28" t="str">
        <ns0:f>IF(E288="","","Müşteri adı / aranacak ad / il bilgisini kontrol edin")</ns0:f>
        <ns0:v/>
      </ns0:c>
      <ns0:c r="E288" s="28" t="str">
        <ns0:f>IFERROR(MATCH(284,'Banka Dökümü'!$I$2:$I$2001,0),"")</ns0:f>
        <ns0:v/>
      </ns0:c>
    </ns0:row>
    <ns0:row r="289" ht="21" customHeight="1">
      <ns0:c r="A289" s="32" t="str">
        <ns0:f>IF($E289="","",INDEX('Banka Dökümü'!$A$2:$A$2001,$E289))</ns0:f>
        <ns0:v/>
      </ns0:c>
      <ns0:c r="B289" s="28" t="str">
        <ns0:f>IF($E289="","",INDEX('Banka Dökümü'!$B$2:$B$2001,$E289))</ns0:f>
        <ns0:v/>
      </ns0:c>
      <ns0:c r="C289" s="33" t="str">
        <ns0:f>IF($E289="","",INDEX('Banka Dökümü'!$C$2:$C$2001,$E289))</ns0:f>
        <ns0:v/>
      </ns0:c>
      <ns0:c r="D289" s="28" t="str">
        <ns0:f>IF(E289="","","Müşteri adı / aranacak ad / il bilgisini kontrol edin")</ns0:f>
        <ns0:v/>
      </ns0:c>
      <ns0:c r="E289" s="28" t="str">
        <ns0:f>IFERROR(MATCH(285,'Banka Dökümü'!$I$2:$I$2001,0),"")</ns0:f>
        <ns0:v/>
      </ns0:c>
    </ns0:row>
    <ns0:row r="290" ht="21" customHeight="1">
      <ns0:c r="A290" s="32" t="str">
        <ns0:f>IF($E290="","",INDEX('Banka Dökümü'!$A$2:$A$2001,$E290))</ns0:f>
        <ns0:v/>
      </ns0:c>
      <ns0:c r="B290" s="28" t="str">
        <ns0:f>IF($E290="","",INDEX('Banka Dökümü'!$B$2:$B$2001,$E290))</ns0:f>
        <ns0:v/>
      </ns0:c>
      <ns0:c r="C290" s="33" t="str">
        <ns0:f>IF($E290="","",INDEX('Banka Dökümü'!$C$2:$C$2001,$E290))</ns0:f>
        <ns0:v/>
      </ns0:c>
      <ns0:c r="D290" s="28" t="str">
        <ns0:f>IF(E290="","","Müşteri adı / aranacak ad / il bilgisini kontrol edin")</ns0:f>
        <ns0:v/>
      </ns0:c>
      <ns0:c r="E290" s="28" t="str">
        <ns0:f>IFERROR(MATCH(286,'Banka Dökümü'!$I$2:$I$2001,0),"")</ns0:f>
        <ns0:v/>
      </ns0:c>
    </ns0:row>
    <ns0:row r="291" ht="21" customHeight="1">
      <ns0:c r="A291" s="32" t="str">
        <ns0:f>IF($E291="","",INDEX('Banka Dökümü'!$A$2:$A$2001,$E291))</ns0:f>
        <ns0:v/>
      </ns0:c>
      <ns0:c r="B291" s="28" t="str">
        <ns0:f>IF($E291="","",INDEX('Banka Dökümü'!$B$2:$B$2001,$E291))</ns0:f>
        <ns0:v/>
      </ns0:c>
      <ns0:c r="C291" s="33" t="str">
        <ns0:f>IF($E291="","",INDEX('Banka Dökümü'!$C$2:$C$2001,$E291))</ns0:f>
        <ns0:v/>
      </ns0:c>
      <ns0:c r="D291" s="28" t="str">
        <ns0:f>IF(E291="","","Müşteri adı / aranacak ad / il bilgisini kontrol edin")</ns0:f>
        <ns0:v/>
      </ns0:c>
      <ns0:c r="E291" s="28" t="str">
        <ns0:f>IFERROR(MATCH(287,'Banka Dökümü'!$I$2:$I$2001,0),"")</ns0:f>
        <ns0:v/>
      </ns0:c>
    </ns0:row>
    <ns0:row r="292" ht="21" customHeight="1">
      <ns0:c r="A292" s="32" t="str">
        <ns0:f>IF($E292="","",INDEX('Banka Dökümü'!$A$2:$A$2001,$E292))</ns0:f>
        <ns0:v/>
      </ns0:c>
      <ns0:c r="B292" s="28" t="str">
        <ns0:f>IF($E292="","",INDEX('Banka Dökümü'!$B$2:$B$2001,$E292))</ns0:f>
        <ns0:v/>
      </ns0:c>
      <ns0:c r="C292" s="33" t="str">
        <ns0:f>IF($E292="","",INDEX('Banka Dökümü'!$C$2:$C$2001,$E292))</ns0:f>
        <ns0:v/>
      </ns0:c>
      <ns0:c r="D292" s="28" t="str">
        <ns0:f>IF(E292="","","Müşteri adı / aranacak ad / il bilgisini kontrol edin")</ns0:f>
        <ns0:v/>
      </ns0:c>
      <ns0:c r="E292" s="28" t="str">
        <ns0:f>IFERROR(MATCH(288,'Banka Dökümü'!$I$2:$I$2001,0),"")</ns0:f>
        <ns0:v/>
      </ns0:c>
    </ns0:row>
    <ns0:row r="293" ht="21" customHeight="1">
      <ns0:c r="A293" s="32" t="str">
        <ns0:f>IF($E293="","",INDEX('Banka Dökümü'!$A$2:$A$2001,$E293))</ns0:f>
        <ns0:v/>
      </ns0:c>
      <ns0:c r="B293" s="28" t="str">
        <ns0:f>IF($E293="","",INDEX('Banka Dökümü'!$B$2:$B$2001,$E293))</ns0:f>
        <ns0:v/>
      </ns0:c>
      <ns0:c r="C293" s="33" t="str">
        <ns0:f>IF($E293="","",INDEX('Banka Dökümü'!$C$2:$C$2001,$E293))</ns0:f>
        <ns0:v/>
      </ns0:c>
      <ns0:c r="D293" s="28" t="str">
        <ns0:f>IF(E293="","","Müşteri adı / aranacak ad / il bilgisini kontrol edin")</ns0:f>
        <ns0:v/>
      </ns0:c>
      <ns0:c r="E293" s="28" t="str">
        <ns0:f>IFERROR(MATCH(289,'Banka Dökümü'!$I$2:$I$2001,0),"")</ns0:f>
        <ns0:v/>
      </ns0:c>
    </ns0:row>
    <ns0:row r="294" ht="21" customHeight="1">
      <ns0:c r="A294" s="32" t="str">
        <ns0:f>IF($E294="","",INDEX('Banka Dökümü'!$A$2:$A$2001,$E294))</ns0:f>
        <ns0:v/>
      </ns0:c>
      <ns0:c r="B294" s="28" t="str">
        <ns0:f>IF($E294="","",INDEX('Banka Dökümü'!$B$2:$B$2001,$E294))</ns0:f>
        <ns0:v/>
      </ns0:c>
      <ns0:c r="C294" s="33" t="str">
        <ns0:f>IF($E294="","",INDEX('Banka Dökümü'!$C$2:$C$2001,$E294))</ns0:f>
        <ns0:v/>
      </ns0:c>
      <ns0:c r="D294" s="28" t="str">
        <ns0:f>IF(E294="","","Müşteri adı / aranacak ad / il bilgisini kontrol edin")</ns0:f>
        <ns0:v/>
      </ns0:c>
      <ns0:c r="E294" s="28" t="str">
        <ns0:f>IFERROR(MATCH(290,'Banka Dökümü'!$I$2:$I$2001,0),"")</ns0:f>
        <ns0:v/>
      </ns0:c>
    </ns0:row>
    <ns0:row r="295" ht="21" customHeight="1">
      <ns0:c r="A295" s="32" t="str">
        <ns0:f>IF($E295="","",INDEX('Banka Dökümü'!$A$2:$A$2001,$E295))</ns0:f>
        <ns0:v/>
      </ns0:c>
      <ns0:c r="B295" s="28" t="str">
        <ns0:f>IF($E295="","",INDEX('Banka Dökümü'!$B$2:$B$2001,$E295))</ns0:f>
        <ns0:v/>
      </ns0:c>
      <ns0:c r="C295" s="33" t="str">
        <ns0:f>IF($E295="","",INDEX('Banka Dökümü'!$C$2:$C$2001,$E295))</ns0:f>
        <ns0:v/>
      </ns0:c>
      <ns0:c r="D295" s="28" t="str">
        <ns0:f>IF(E295="","","Müşteri adı / aranacak ad / il bilgisini kontrol edin")</ns0:f>
        <ns0:v/>
      </ns0:c>
      <ns0:c r="E295" s="28" t="str">
        <ns0:f>IFERROR(MATCH(291,'Banka Dökümü'!$I$2:$I$2001,0),"")</ns0:f>
        <ns0:v/>
      </ns0:c>
    </ns0:row>
    <ns0:row r="296" ht="21" customHeight="1">
      <ns0:c r="A296" s="32" t="str">
        <ns0:f>IF($E296="","",INDEX('Banka Dökümü'!$A$2:$A$2001,$E296))</ns0:f>
        <ns0:v/>
      </ns0:c>
      <ns0:c r="B296" s="28" t="str">
        <ns0:f>IF($E296="","",INDEX('Banka Dökümü'!$B$2:$B$2001,$E296))</ns0:f>
        <ns0:v/>
      </ns0:c>
      <ns0:c r="C296" s="33" t="str">
        <ns0:f>IF($E296="","",INDEX('Banka Dökümü'!$C$2:$C$2001,$E296))</ns0:f>
        <ns0:v/>
      </ns0:c>
      <ns0:c r="D296" s="28" t="str">
        <ns0:f>IF(E296="","","Müşteri adı / aranacak ad / il bilgisini kontrol edin")</ns0:f>
        <ns0:v/>
      </ns0:c>
      <ns0:c r="E296" s="28" t="str">
        <ns0:f>IFERROR(MATCH(292,'Banka Dökümü'!$I$2:$I$2001,0),"")</ns0:f>
        <ns0:v/>
      </ns0:c>
    </ns0:row>
    <ns0:row r="297" ht="21" customHeight="1">
      <ns0:c r="A297" s="32" t="str">
        <ns0:f>IF($E297="","",INDEX('Banka Dökümü'!$A$2:$A$2001,$E297))</ns0:f>
        <ns0:v/>
      </ns0:c>
      <ns0:c r="B297" s="28" t="str">
        <ns0:f>IF($E297="","",INDEX('Banka Dökümü'!$B$2:$B$2001,$E297))</ns0:f>
        <ns0:v/>
      </ns0:c>
      <ns0:c r="C297" s="33" t="str">
        <ns0:f>IF($E297="","",INDEX('Banka Dökümü'!$C$2:$C$2001,$E297))</ns0:f>
        <ns0:v/>
      </ns0:c>
      <ns0:c r="D297" s="28" t="str">
        <ns0:f>IF(E297="","","Müşteri adı / aranacak ad / il bilgisini kontrol edin")</ns0:f>
        <ns0:v/>
      </ns0:c>
      <ns0:c r="E297" s="28" t="str">
        <ns0:f>IFERROR(MATCH(293,'Banka Dökümü'!$I$2:$I$2001,0),"")</ns0:f>
        <ns0:v/>
      </ns0:c>
    </ns0:row>
    <ns0:row r="298" ht="21" customHeight="1">
      <ns0:c r="A298" s="32" t="str">
        <ns0:f>IF($E298="","",INDEX('Banka Dökümü'!$A$2:$A$2001,$E298))</ns0:f>
        <ns0:v/>
      </ns0:c>
      <ns0:c r="B298" s="28" t="str">
        <ns0:f>IF($E298="","",INDEX('Banka Dökümü'!$B$2:$B$2001,$E298))</ns0:f>
        <ns0:v/>
      </ns0:c>
      <ns0:c r="C298" s="33" t="str">
        <ns0:f>IF($E298="","",INDEX('Banka Dökümü'!$C$2:$C$2001,$E298))</ns0:f>
        <ns0:v/>
      </ns0:c>
      <ns0:c r="D298" s="28" t="str">
        <ns0:f>IF(E298="","","Müşteri adı / aranacak ad / il bilgisini kontrol edin")</ns0:f>
        <ns0:v/>
      </ns0:c>
      <ns0:c r="E298" s="28" t="str">
        <ns0:f>IFERROR(MATCH(294,'Banka Dökümü'!$I$2:$I$2001,0),"")</ns0:f>
        <ns0:v/>
      </ns0:c>
    </ns0:row>
    <ns0:row r="299" ht="21" customHeight="1">
      <ns0:c r="A299" s="32" t="str">
        <ns0:f>IF($E299="","",INDEX('Banka Dökümü'!$A$2:$A$2001,$E299))</ns0:f>
        <ns0:v/>
      </ns0:c>
      <ns0:c r="B299" s="28" t="str">
        <ns0:f>IF($E299="","",INDEX('Banka Dökümü'!$B$2:$B$2001,$E299))</ns0:f>
        <ns0:v/>
      </ns0:c>
      <ns0:c r="C299" s="33" t="str">
        <ns0:f>IF($E299="","",INDEX('Banka Dökümü'!$C$2:$C$2001,$E299))</ns0:f>
        <ns0:v/>
      </ns0:c>
      <ns0:c r="D299" s="28" t="str">
        <ns0:f>IF(E299="","","Müşteri adı / aranacak ad / il bilgisini kontrol edin")</ns0:f>
        <ns0:v/>
      </ns0:c>
      <ns0:c r="E299" s="28" t="str">
        <ns0:f>IFERROR(MATCH(295,'Banka Dökümü'!$I$2:$I$2001,0),"")</ns0:f>
        <ns0:v/>
      </ns0:c>
    </ns0:row>
    <ns0:row r="300" ht="21" customHeight="1">
      <ns0:c r="A300" s="32" t="str">
        <ns0:f>IF($E300="","",INDEX('Banka Dökümü'!$A$2:$A$2001,$E300))</ns0:f>
        <ns0:v/>
      </ns0:c>
      <ns0:c r="B300" s="28" t="str">
        <ns0:f>IF($E300="","",INDEX('Banka Dökümü'!$B$2:$B$2001,$E300))</ns0:f>
        <ns0:v/>
      </ns0:c>
      <ns0:c r="C300" s="33" t="str">
        <ns0:f>IF($E300="","",INDEX('Banka Dökümü'!$C$2:$C$2001,$E300))</ns0:f>
        <ns0:v/>
      </ns0:c>
      <ns0:c r="D300" s="28" t="str">
        <ns0:f>IF(E300="","","Müşteri adı / aranacak ad / il bilgisini kontrol edin")</ns0:f>
        <ns0:v/>
      </ns0:c>
      <ns0:c r="E300" s="28" t="str">
        <ns0:f>IFERROR(MATCH(296,'Banka Dökümü'!$I$2:$I$2001,0),"")</ns0:f>
        <ns0:v/>
      </ns0:c>
    </ns0:row>
    <ns0:row r="301" ht="21" customHeight="1">
      <ns0:c r="A301" s="32" t="str">
        <ns0:f>IF($E301="","",INDEX('Banka Dökümü'!$A$2:$A$2001,$E301))</ns0:f>
        <ns0:v/>
      </ns0:c>
      <ns0:c r="B301" s="28" t="str">
        <ns0:f>IF($E301="","",INDEX('Banka Dökümü'!$B$2:$B$2001,$E301))</ns0:f>
        <ns0:v/>
      </ns0:c>
      <ns0:c r="C301" s="33" t="str">
        <ns0:f>IF($E301="","",INDEX('Banka Dökümü'!$C$2:$C$2001,$E301))</ns0:f>
        <ns0:v/>
      </ns0:c>
      <ns0:c r="D301" s="28" t="str">
        <ns0:f>IF(E301="","","Müşteri adı / aranacak ad / il bilgisini kontrol edin")</ns0:f>
        <ns0:v/>
      </ns0:c>
      <ns0:c r="E301" s="28" t="str">
        <ns0:f>IFERROR(MATCH(297,'Banka Dökümü'!$I$2:$I$2001,0),"")</ns0:f>
        <ns0:v/>
      </ns0:c>
    </ns0:row>
    <ns0:row r="302" ht="21" customHeight="1">
      <ns0:c r="A302" s="32" t="str">
        <ns0:f>IF($E302="","",INDEX('Banka Dökümü'!$A$2:$A$2001,$E302))</ns0:f>
        <ns0:v/>
      </ns0:c>
      <ns0:c r="B302" s="28" t="str">
        <ns0:f>IF($E302="","",INDEX('Banka Dökümü'!$B$2:$B$2001,$E302))</ns0:f>
        <ns0:v/>
      </ns0:c>
      <ns0:c r="C302" s="33" t="str">
        <ns0:f>IF($E302="","",INDEX('Banka Dökümü'!$C$2:$C$2001,$E302))</ns0:f>
        <ns0:v/>
      </ns0:c>
      <ns0:c r="D302" s="28" t="str">
        <ns0:f>IF(E302="","","Müşteri adı / aranacak ad / il bilgisini kontrol edin")</ns0:f>
        <ns0:v/>
      </ns0:c>
      <ns0:c r="E302" s="28" t="str">
        <ns0:f>IFERROR(MATCH(298,'Banka Dökümü'!$I$2:$I$2001,0),"")</ns0:f>
        <ns0:v/>
      </ns0:c>
    </ns0:row>
    <ns0:row r="303" ht="21" customHeight="1">
      <ns0:c r="A303" s="32" t="str">
        <ns0:f>IF($E303="","",INDEX('Banka Dökümü'!$A$2:$A$2001,$E303))</ns0:f>
        <ns0:v/>
      </ns0:c>
      <ns0:c r="B303" s="28" t="str">
        <ns0:f>IF($E303="","",INDEX('Banka Dökümü'!$B$2:$B$2001,$E303))</ns0:f>
        <ns0:v/>
      </ns0:c>
      <ns0:c r="C303" s="33" t="str">
        <ns0:f>IF($E303="","",INDEX('Banka Dökümü'!$C$2:$C$2001,$E303))</ns0:f>
        <ns0:v/>
      </ns0:c>
      <ns0:c r="D303" s="28" t="str">
        <ns0:f>IF(E303="","","Müşteri adı / aranacak ad / il bilgisini kontrol edin")</ns0:f>
        <ns0:v/>
      </ns0:c>
      <ns0:c r="E303" s="28" t="str">
        <ns0:f>IFERROR(MATCH(299,'Banka Dökümü'!$I$2:$I$2001,0),"")</ns0:f>
        <ns0:v/>
      </ns0:c>
    </ns0:row>
    <ns0:row r="304" ht="21" customHeight="1">
      <ns0:c r="A304" s="32" t="str">
        <ns0:f>IF($E304="","",INDEX('Banka Dökümü'!$A$2:$A$2001,$E304))</ns0:f>
        <ns0:v/>
      </ns0:c>
      <ns0:c r="B304" s="28" t="str">
        <ns0:f>IF($E304="","",INDEX('Banka Dökümü'!$B$2:$B$2001,$E304))</ns0:f>
        <ns0:v/>
      </ns0:c>
      <ns0:c r="C304" s="33" t="str">
        <ns0:f>IF($E304="","",INDEX('Banka Dökümü'!$C$2:$C$2001,$E304))</ns0:f>
        <ns0:v/>
      </ns0:c>
      <ns0:c r="D304" s="28" t="str">
        <ns0:f>IF(E304="","","Müşteri adı / aranacak ad / il bilgisini kontrol edin")</ns0:f>
        <ns0:v/>
      </ns0:c>
      <ns0:c r="E304" s="28" t="str">
        <ns0:f>IFERROR(MATCH(300,'Banka Dökümü'!$I$2:$I$2001,0),"")</ns0:f>
        <ns0:v/>
      </ns0:c>
    </ns0:row>
    <ns0:row r="305" ht="21" customHeight="1">
      <ns0:c r="A305" s="32" t="str">
        <ns0:f>IF($E305="","",INDEX('Banka Dökümü'!$A$2:$A$2001,$E305))</ns0:f>
        <ns0:v/>
      </ns0:c>
      <ns0:c r="B305" s="28" t="str">
        <ns0:f>IF($E305="","",INDEX('Banka Dökümü'!$B$2:$B$2001,$E305))</ns0:f>
        <ns0:v/>
      </ns0:c>
      <ns0:c r="C305" s="33" t="str">
        <ns0:f>IF($E305="","",INDEX('Banka Dökümü'!$C$2:$C$2001,$E305))</ns0:f>
        <ns0:v/>
      </ns0:c>
      <ns0:c r="D305" s="28" t="str">
        <ns0:f>IF(E305="","","Müşteri adı / aranacak ad / il bilgisini kontrol edin")</ns0:f>
        <ns0:v/>
      </ns0:c>
      <ns0:c r="E305" s="28" t="str">
        <ns0:f>IFERROR(MATCH(301,'Banka Dökümü'!$I$2:$I$2001,0),"")</ns0:f>
        <ns0:v/>
      </ns0:c>
    </ns0:row>
    <ns0:row r="306" ht="21" customHeight="1">
      <ns0:c r="A306" s="32" t="str">
        <ns0:f>IF($E306="","",INDEX('Banka Dökümü'!$A$2:$A$2001,$E306))</ns0:f>
        <ns0:v/>
      </ns0:c>
      <ns0:c r="B306" s="28" t="str">
        <ns0:f>IF($E306="","",INDEX('Banka Dökümü'!$B$2:$B$2001,$E306))</ns0:f>
        <ns0:v/>
      </ns0:c>
      <ns0:c r="C306" s="33" t="str">
        <ns0:f>IF($E306="","",INDEX('Banka Dökümü'!$C$2:$C$2001,$E306))</ns0:f>
        <ns0:v/>
      </ns0:c>
      <ns0:c r="D306" s="28" t="str">
        <ns0:f>IF(E306="","","Müşteri adı / aranacak ad / il bilgisini kontrol edin")</ns0:f>
        <ns0:v/>
      </ns0:c>
      <ns0:c r="E306" s="28" t="str">
        <ns0:f>IFERROR(MATCH(302,'Banka Dökümü'!$I$2:$I$2001,0),"")</ns0:f>
        <ns0:v/>
      </ns0:c>
    </ns0:row>
    <ns0:row r="307" ht="21" customHeight="1">
      <ns0:c r="A307" s="32" t="str">
        <ns0:f>IF($E307="","",INDEX('Banka Dökümü'!$A$2:$A$2001,$E307))</ns0:f>
        <ns0:v/>
      </ns0:c>
      <ns0:c r="B307" s="28" t="str">
        <ns0:f>IF($E307="","",INDEX('Banka Dökümü'!$B$2:$B$2001,$E307))</ns0:f>
        <ns0:v/>
      </ns0:c>
      <ns0:c r="C307" s="33" t="str">
        <ns0:f>IF($E307="","",INDEX('Banka Dökümü'!$C$2:$C$2001,$E307))</ns0:f>
        <ns0:v/>
      </ns0:c>
      <ns0:c r="D307" s="28" t="str">
        <ns0:f>IF(E307="","","Müşteri adı / aranacak ad / il bilgisini kontrol edin")</ns0:f>
        <ns0:v/>
      </ns0:c>
      <ns0:c r="E307" s="28" t="str">
        <ns0:f>IFERROR(MATCH(303,'Banka Dökümü'!$I$2:$I$2001,0),"")</ns0:f>
        <ns0:v/>
      </ns0:c>
    </ns0:row>
    <ns0:row r="308" ht="21" customHeight="1">
      <ns0:c r="A308" s="32" t="str">
        <ns0:f>IF($E308="","",INDEX('Banka Dökümü'!$A$2:$A$2001,$E308))</ns0:f>
        <ns0:v/>
      </ns0:c>
      <ns0:c r="B308" s="28" t="str">
        <ns0:f>IF($E308="","",INDEX('Banka Dökümü'!$B$2:$B$2001,$E308))</ns0:f>
        <ns0:v/>
      </ns0:c>
      <ns0:c r="C308" s="33" t="str">
        <ns0:f>IF($E308="","",INDEX('Banka Dökümü'!$C$2:$C$2001,$E308))</ns0:f>
        <ns0:v/>
      </ns0:c>
      <ns0:c r="D308" s="28" t="str">
        <ns0:f>IF(E308="","","Müşteri adı / aranacak ad / il bilgisini kontrol edin")</ns0:f>
        <ns0:v/>
      </ns0:c>
      <ns0:c r="E308" s="28" t="str">
        <ns0:f>IFERROR(MATCH(304,'Banka Dökümü'!$I$2:$I$2001,0),"")</ns0:f>
        <ns0:v/>
      </ns0:c>
    </ns0:row>
    <ns0:row r="309" ht="21" customHeight="1">
      <ns0:c r="A309" s="32" t="str">
        <ns0:f>IF($E309="","",INDEX('Banka Dökümü'!$A$2:$A$2001,$E309))</ns0:f>
        <ns0:v/>
      </ns0:c>
      <ns0:c r="B309" s="28" t="str">
        <ns0:f>IF($E309="","",INDEX('Banka Dökümü'!$B$2:$B$2001,$E309))</ns0:f>
        <ns0:v/>
      </ns0:c>
      <ns0:c r="C309" s="33" t="str">
        <ns0:f>IF($E309="","",INDEX('Banka Dökümü'!$C$2:$C$2001,$E309))</ns0:f>
        <ns0:v/>
      </ns0:c>
      <ns0:c r="D309" s="28" t="str">
        <ns0:f>IF(E309="","","Müşteri adı / aranacak ad / il bilgisini kontrol edin")</ns0:f>
        <ns0:v/>
      </ns0:c>
      <ns0:c r="E309" s="28" t="str">
        <ns0:f>IFERROR(MATCH(305,'Banka Dökümü'!$I$2:$I$2001,0),"")</ns0:f>
        <ns0:v/>
      </ns0:c>
    </ns0:row>
    <ns0:row r="310" ht="21" customHeight="1">
      <ns0:c r="A310" s="32" t="str">
        <ns0:f>IF($E310="","",INDEX('Banka Dökümü'!$A$2:$A$2001,$E310))</ns0:f>
        <ns0:v/>
      </ns0:c>
      <ns0:c r="B310" s="28" t="str">
        <ns0:f>IF($E310="","",INDEX('Banka Dökümü'!$B$2:$B$2001,$E310))</ns0:f>
        <ns0:v/>
      </ns0:c>
      <ns0:c r="C310" s="33" t="str">
        <ns0:f>IF($E310="","",INDEX('Banka Dökümü'!$C$2:$C$2001,$E310))</ns0:f>
        <ns0:v/>
      </ns0:c>
      <ns0:c r="D310" s="28" t="str">
        <ns0:f>IF(E310="","","Müşteri adı / aranacak ad / il bilgisini kontrol edin")</ns0:f>
        <ns0:v/>
      </ns0:c>
      <ns0:c r="E310" s="28" t="str">
        <ns0:f>IFERROR(MATCH(306,'Banka Dökümü'!$I$2:$I$2001,0),"")</ns0:f>
        <ns0:v/>
      </ns0:c>
    </ns0:row>
    <ns0:row r="311" ht="21" customHeight="1">
      <ns0:c r="A311" s="32" t="str">
        <ns0:f>IF($E311="","",INDEX('Banka Dökümü'!$A$2:$A$2001,$E311))</ns0:f>
        <ns0:v/>
      </ns0:c>
      <ns0:c r="B311" s="28" t="str">
        <ns0:f>IF($E311="","",INDEX('Banka Dökümü'!$B$2:$B$2001,$E311))</ns0:f>
        <ns0:v/>
      </ns0:c>
      <ns0:c r="C311" s="33" t="str">
        <ns0:f>IF($E311="","",INDEX('Banka Dökümü'!$C$2:$C$2001,$E311))</ns0:f>
        <ns0:v/>
      </ns0:c>
      <ns0:c r="D311" s="28" t="str">
        <ns0:f>IF(E311="","","Müşteri adı / aranacak ad / il bilgisini kontrol edin")</ns0:f>
        <ns0:v/>
      </ns0:c>
      <ns0:c r="E311" s="28" t="str">
        <ns0:f>IFERROR(MATCH(307,'Banka Dökümü'!$I$2:$I$2001,0),"")</ns0:f>
        <ns0:v/>
      </ns0:c>
    </ns0:row>
    <ns0:row r="312" ht="21" customHeight="1">
      <ns0:c r="A312" s="32" t="str">
        <ns0:f>IF($E312="","",INDEX('Banka Dökümü'!$A$2:$A$2001,$E312))</ns0:f>
        <ns0:v/>
      </ns0:c>
      <ns0:c r="B312" s="28" t="str">
        <ns0:f>IF($E312="","",INDEX('Banka Dökümü'!$B$2:$B$2001,$E312))</ns0:f>
        <ns0:v/>
      </ns0:c>
      <ns0:c r="C312" s="33" t="str">
        <ns0:f>IF($E312="","",INDEX('Banka Dökümü'!$C$2:$C$2001,$E312))</ns0:f>
        <ns0:v/>
      </ns0:c>
      <ns0:c r="D312" s="28" t="str">
        <ns0:f>IF(E312="","","Müşteri adı / aranacak ad / il bilgisini kontrol edin")</ns0:f>
        <ns0:v/>
      </ns0:c>
      <ns0:c r="E312" s="28" t="str">
        <ns0:f>IFERROR(MATCH(308,'Banka Dökümü'!$I$2:$I$2001,0),"")</ns0:f>
        <ns0:v/>
      </ns0:c>
    </ns0:row>
    <ns0:row r="313" ht="21" customHeight="1">
      <ns0:c r="A313" s="32" t="str">
        <ns0:f>IF($E313="","",INDEX('Banka Dökümü'!$A$2:$A$2001,$E313))</ns0:f>
        <ns0:v/>
      </ns0:c>
      <ns0:c r="B313" s="28" t="str">
        <ns0:f>IF($E313="","",INDEX('Banka Dökümü'!$B$2:$B$2001,$E313))</ns0:f>
        <ns0:v/>
      </ns0:c>
      <ns0:c r="C313" s="33" t="str">
        <ns0:f>IF($E313="","",INDEX('Banka Dökümü'!$C$2:$C$2001,$E313))</ns0:f>
        <ns0:v/>
      </ns0:c>
      <ns0:c r="D313" s="28" t="str">
        <ns0:f>IF(E313="","","Müşteri adı / aranacak ad / il bilgisini kontrol edin")</ns0:f>
        <ns0:v/>
      </ns0:c>
      <ns0:c r="E313" s="28" t="str">
        <ns0:f>IFERROR(MATCH(309,'Banka Dökümü'!$I$2:$I$2001,0),"")</ns0:f>
        <ns0:v/>
      </ns0:c>
    </ns0:row>
    <ns0:row r="314" ht="21" customHeight="1">
      <ns0:c r="A314" s="32" t="str">
        <ns0:f>IF($E314="","",INDEX('Banka Dökümü'!$A$2:$A$2001,$E314))</ns0:f>
        <ns0:v/>
      </ns0:c>
      <ns0:c r="B314" s="28" t="str">
        <ns0:f>IF($E314="","",INDEX('Banka Dökümü'!$B$2:$B$2001,$E314))</ns0:f>
        <ns0:v/>
      </ns0:c>
      <ns0:c r="C314" s="33" t="str">
        <ns0:f>IF($E314="","",INDEX('Banka Dökümü'!$C$2:$C$2001,$E314))</ns0:f>
        <ns0:v/>
      </ns0:c>
      <ns0:c r="D314" s="28" t="str">
        <ns0:f>IF(E314="","","Müşteri adı / aranacak ad / il bilgisini kontrol edin")</ns0:f>
        <ns0:v/>
      </ns0:c>
      <ns0:c r="E314" s="28" t="str">
        <ns0:f>IFERROR(MATCH(310,'Banka Dökümü'!$I$2:$I$2001,0),"")</ns0:f>
        <ns0:v/>
      </ns0:c>
    </ns0:row>
    <ns0:row r="315" ht="21" customHeight="1">
      <ns0:c r="A315" s="32" t="str">
        <ns0:f>IF($E315="","",INDEX('Banka Dökümü'!$A$2:$A$2001,$E315))</ns0:f>
        <ns0:v/>
      </ns0:c>
      <ns0:c r="B315" s="28" t="str">
        <ns0:f>IF($E315="","",INDEX('Banka Dökümü'!$B$2:$B$2001,$E315))</ns0:f>
        <ns0:v/>
      </ns0:c>
      <ns0:c r="C315" s="33" t="str">
        <ns0:f>IF($E315="","",INDEX('Banka Dökümü'!$C$2:$C$2001,$E315))</ns0:f>
        <ns0:v/>
      </ns0:c>
      <ns0:c r="D315" s="28" t="str">
        <ns0:f>IF(E315="","","Müşteri adı / aranacak ad / il bilgisini kontrol edin")</ns0:f>
        <ns0:v/>
      </ns0:c>
      <ns0:c r="E315" s="28" t="str">
        <ns0:f>IFERROR(MATCH(311,'Banka Dökümü'!$I$2:$I$2001,0),"")</ns0:f>
        <ns0:v/>
      </ns0:c>
    </ns0:row>
    <ns0:row r="316" ht="21" customHeight="1">
      <ns0:c r="A316" s="32" t="str">
        <ns0:f>IF($E316="","",INDEX('Banka Dökümü'!$A$2:$A$2001,$E316))</ns0:f>
        <ns0:v/>
      </ns0:c>
      <ns0:c r="B316" s="28" t="str">
        <ns0:f>IF($E316="","",INDEX('Banka Dökümü'!$B$2:$B$2001,$E316))</ns0:f>
        <ns0:v/>
      </ns0:c>
      <ns0:c r="C316" s="33" t="str">
        <ns0:f>IF($E316="","",INDEX('Banka Dökümü'!$C$2:$C$2001,$E316))</ns0:f>
        <ns0:v/>
      </ns0:c>
      <ns0:c r="D316" s="28" t="str">
        <ns0:f>IF(E316="","","Müşteri adı / aranacak ad / il bilgisini kontrol edin")</ns0:f>
        <ns0:v/>
      </ns0:c>
      <ns0:c r="E316" s="28" t="str">
        <ns0:f>IFERROR(MATCH(312,'Banka Dökümü'!$I$2:$I$2001,0),"")</ns0:f>
        <ns0:v/>
      </ns0:c>
    </ns0:row>
    <ns0:row r="317" ht="21" customHeight="1">
      <ns0:c r="A317" s="32" t="str">
        <ns0:f>IF($E317="","",INDEX('Banka Dökümü'!$A$2:$A$2001,$E317))</ns0:f>
        <ns0:v/>
      </ns0:c>
      <ns0:c r="B317" s="28" t="str">
        <ns0:f>IF($E317="","",INDEX('Banka Dökümü'!$B$2:$B$2001,$E317))</ns0:f>
        <ns0:v/>
      </ns0:c>
      <ns0:c r="C317" s="33" t="str">
        <ns0:f>IF($E317="","",INDEX('Banka Dökümü'!$C$2:$C$2001,$E317))</ns0:f>
        <ns0:v/>
      </ns0:c>
      <ns0:c r="D317" s="28" t="str">
        <ns0:f>IF(E317="","","Müşteri adı / aranacak ad / il bilgisini kontrol edin")</ns0:f>
        <ns0:v/>
      </ns0:c>
      <ns0:c r="E317" s="28" t="str">
        <ns0:f>IFERROR(MATCH(313,'Banka Dökümü'!$I$2:$I$2001,0),"")</ns0:f>
        <ns0:v/>
      </ns0:c>
    </ns0:row>
    <ns0:row r="318" ht="21" customHeight="1">
      <ns0:c r="A318" s="32" t="str">
        <ns0:f>IF($E318="","",INDEX('Banka Dökümü'!$A$2:$A$2001,$E318))</ns0:f>
        <ns0:v/>
      </ns0:c>
      <ns0:c r="B318" s="28" t="str">
        <ns0:f>IF($E318="","",INDEX('Banka Dökümü'!$B$2:$B$2001,$E318))</ns0:f>
        <ns0:v/>
      </ns0:c>
      <ns0:c r="C318" s="33" t="str">
        <ns0:f>IF($E318="","",INDEX('Banka Dökümü'!$C$2:$C$2001,$E318))</ns0:f>
        <ns0:v/>
      </ns0:c>
      <ns0:c r="D318" s="28" t="str">
        <ns0:f>IF(E318="","","Müşteri adı / aranacak ad / il bilgisini kontrol edin")</ns0:f>
        <ns0:v/>
      </ns0:c>
      <ns0:c r="E318" s="28" t="str">
        <ns0:f>IFERROR(MATCH(314,'Banka Dökümü'!$I$2:$I$2001,0),"")</ns0:f>
        <ns0:v/>
      </ns0:c>
    </ns0:row>
    <ns0:row r="319" ht="21" customHeight="1">
      <ns0:c r="A319" s="32" t="str">
        <ns0:f>IF($E319="","",INDEX('Banka Dökümü'!$A$2:$A$2001,$E319))</ns0:f>
        <ns0:v/>
      </ns0:c>
      <ns0:c r="B319" s="28" t="str">
        <ns0:f>IF($E319="","",INDEX('Banka Dökümü'!$B$2:$B$2001,$E319))</ns0:f>
        <ns0:v/>
      </ns0:c>
      <ns0:c r="C319" s="33" t="str">
        <ns0:f>IF($E319="","",INDEX('Banka Dökümü'!$C$2:$C$2001,$E319))</ns0:f>
        <ns0:v/>
      </ns0:c>
      <ns0:c r="D319" s="28" t="str">
        <ns0:f>IF(E319="","","Müşteri adı / aranacak ad / il bilgisini kontrol edin")</ns0:f>
        <ns0:v/>
      </ns0:c>
      <ns0:c r="E319" s="28" t="str">
        <ns0:f>IFERROR(MATCH(315,'Banka Dökümü'!$I$2:$I$2001,0),"")</ns0:f>
        <ns0:v/>
      </ns0:c>
    </ns0:row>
    <ns0:row r="320" ht="21" customHeight="1">
      <ns0:c r="A320" s="32" t="str">
        <ns0:f>IF($E320="","",INDEX('Banka Dökümü'!$A$2:$A$2001,$E320))</ns0:f>
        <ns0:v/>
      </ns0:c>
      <ns0:c r="B320" s="28" t="str">
        <ns0:f>IF($E320="","",INDEX('Banka Dökümü'!$B$2:$B$2001,$E320))</ns0:f>
        <ns0:v/>
      </ns0:c>
      <ns0:c r="C320" s="33" t="str">
        <ns0:f>IF($E320="","",INDEX('Banka Dökümü'!$C$2:$C$2001,$E320))</ns0:f>
        <ns0:v/>
      </ns0:c>
      <ns0:c r="D320" s="28" t="str">
        <ns0:f>IF(E320="","","Müşteri adı / aranacak ad / il bilgisini kontrol edin")</ns0:f>
        <ns0:v/>
      </ns0:c>
      <ns0:c r="E320" s="28" t="str">
        <ns0:f>IFERROR(MATCH(316,'Banka Dökümü'!$I$2:$I$2001,0),"")</ns0:f>
        <ns0:v/>
      </ns0:c>
    </ns0:row>
    <ns0:row r="321" ht="21" customHeight="1">
      <ns0:c r="A321" s="32" t="str">
        <ns0:f>IF($E321="","",INDEX('Banka Dökümü'!$A$2:$A$2001,$E321))</ns0:f>
        <ns0:v/>
      </ns0:c>
      <ns0:c r="B321" s="28" t="str">
        <ns0:f>IF($E321="","",INDEX('Banka Dökümü'!$B$2:$B$2001,$E321))</ns0:f>
        <ns0:v/>
      </ns0:c>
      <ns0:c r="C321" s="33" t="str">
        <ns0:f>IF($E321="","",INDEX('Banka Dökümü'!$C$2:$C$2001,$E321))</ns0:f>
        <ns0:v/>
      </ns0:c>
      <ns0:c r="D321" s="28" t="str">
        <ns0:f>IF(E321="","","Müşteri adı / aranacak ad / il bilgisini kontrol edin")</ns0:f>
        <ns0:v/>
      </ns0:c>
      <ns0:c r="E321" s="28" t="str">
        <ns0:f>IFERROR(MATCH(317,'Banka Dökümü'!$I$2:$I$2001,0),"")</ns0:f>
        <ns0:v/>
      </ns0:c>
    </ns0:row>
    <ns0:row r="322" ht="21" customHeight="1">
      <ns0:c r="A322" s="32" t="str">
        <ns0:f>IF($E322="","",INDEX('Banka Dökümü'!$A$2:$A$2001,$E322))</ns0:f>
        <ns0:v/>
      </ns0:c>
      <ns0:c r="B322" s="28" t="str">
        <ns0:f>IF($E322="","",INDEX('Banka Dökümü'!$B$2:$B$2001,$E322))</ns0:f>
        <ns0:v/>
      </ns0:c>
      <ns0:c r="C322" s="33" t="str">
        <ns0:f>IF($E322="","",INDEX('Banka Dökümü'!$C$2:$C$2001,$E322))</ns0:f>
        <ns0:v/>
      </ns0:c>
      <ns0:c r="D322" s="28" t="str">
        <ns0:f>IF(E322="","","Müşteri adı / aranacak ad / il bilgisini kontrol edin")</ns0:f>
        <ns0:v/>
      </ns0:c>
      <ns0:c r="E322" s="28" t="str">
        <ns0:f>IFERROR(MATCH(318,'Banka Dökümü'!$I$2:$I$2001,0),"")</ns0:f>
        <ns0:v/>
      </ns0:c>
    </ns0:row>
    <ns0:row r="323" ht="21" customHeight="1">
      <ns0:c r="A323" s="32" t="str">
        <ns0:f>IF($E323="","",INDEX('Banka Dökümü'!$A$2:$A$2001,$E323))</ns0:f>
        <ns0:v/>
      </ns0:c>
      <ns0:c r="B323" s="28" t="str">
        <ns0:f>IF($E323="","",INDEX('Banka Dökümü'!$B$2:$B$2001,$E323))</ns0:f>
        <ns0:v/>
      </ns0:c>
      <ns0:c r="C323" s="33" t="str">
        <ns0:f>IF($E323="","",INDEX('Banka Dökümü'!$C$2:$C$2001,$E323))</ns0:f>
        <ns0:v/>
      </ns0:c>
      <ns0:c r="D323" s="28" t="str">
        <ns0:f>IF(E323="","","Müşteri adı / aranacak ad / il bilgisini kontrol edin")</ns0:f>
        <ns0:v/>
      </ns0:c>
      <ns0:c r="E323" s="28" t="str">
        <ns0:f>IFERROR(MATCH(319,'Banka Dökümü'!$I$2:$I$2001,0),"")</ns0:f>
        <ns0:v/>
      </ns0:c>
    </ns0:row>
    <ns0:row r="324" ht="21" customHeight="1">
      <ns0:c r="A324" s="32" t="str">
        <ns0:f>IF($E324="","",INDEX('Banka Dökümü'!$A$2:$A$2001,$E324))</ns0:f>
        <ns0:v/>
      </ns0:c>
      <ns0:c r="B324" s="28" t="str">
        <ns0:f>IF($E324="","",INDEX('Banka Dökümü'!$B$2:$B$2001,$E324))</ns0:f>
        <ns0:v/>
      </ns0:c>
      <ns0:c r="C324" s="33" t="str">
        <ns0:f>IF($E324="","",INDEX('Banka Dökümü'!$C$2:$C$2001,$E324))</ns0:f>
        <ns0:v/>
      </ns0:c>
      <ns0:c r="D324" s="28" t="str">
        <ns0:f>IF(E324="","","Müşteri adı / aranacak ad / il bilgisini kontrol edin")</ns0:f>
        <ns0:v/>
      </ns0:c>
      <ns0:c r="E324" s="28" t="str">
        <ns0:f>IFERROR(MATCH(320,'Banka Dökümü'!$I$2:$I$2001,0),"")</ns0:f>
        <ns0:v/>
      </ns0:c>
    </ns0:row>
    <ns0:row r="325" ht="21" customHeight="1">
      <ns0:c r="A325" s="32" t="str">
        <ns0:f>IF($E325="","",INDEX('Banka Dökümü'!$A$2:$A$2001,$E325))</ns0:f>
        <ns0:v/>
      </ns0:c>
      <ns0:c r="B325" s="28" t="str">
        <ns0:f>IF($E325="","",INDEX('Banka Dökümü'!$B$2:$B$2001,$E325))</ns0:f>
        <ns0:v/>
      </ns0:c>
      <ns0:c r="C325" s="33" t="str">
        <ns0:f>IF($E325="","",INDEX('Banka Dökümü'!$C$2:$C$2001,$E325))</ns0:f>
        <ns0:v/>
      </ns0:c>
      <ns0:c r="D325" s="28" t="str">
        <ns0:f>IF(E325="","","Müşteri adı / aranacak ad / il bilgisini kontrol edin")</ns0:f>
        <ns0:v/>
      </ns0:c>
      <ns0:c r="E325" s="28" t="str">
        <ns0:f>IFERROR(MATCH(321,'Banka Dökümü'!$I$2:$I$2001,0),"")</ns0:f>
        <ns0:v/>
      </ns0:c>
    </ns0:row>
    <ns0:row r="326" ht="21" customHeight="1">
      <ns0:c r="A326" s="32" t="str">
        <ns0:f>IF($E326="","",INDEX('Banka Dökümü'!$A$2:$A$2001,$E326))</ns0:f>
        <ns0:v/>
      </ns0:c>
      <ns0:c r="B326" s="28" t="str">
        <ns0:f>IF($E326="","",INDEX('Banka Dökümü'!$B$2:$B$2001,$E326))</ns0:f>
        <ns0:v/>
      </ns0:c>
      <ns0:c r="C326" s="33" t="str">
        <ns0:f>IF($E326="","",INDEX('Banka Dökümü'!$C$2:$C$2001,$E326))</ns0:f>
        <ns0:v/>
      </ns0:c>
      <ns0:c r="D326" s="28" t="str">
        <ns0:f>IF(E326="","","Müşteri adı / aranacak ad / il bilgisini kontrol edin")</ns0:f>
        <ns0:v/>
      </ns0:c>
      <ns0:c r="E326" s="28" t="str">
        <ns0:f>IFERROR(MATCH(322,'Banka Dökümü'!$I$2:$I$2001,0),"")</ns0:f>
        <ns0:v/>
      </ns0:c>
    </ns0:row>
    <ns0:row r="327" ht="21" customHeight="1">
      <ns0:c r="A327" s="32" t="str">
        <ns0:f>IF($E327="","",INDEX('Banka Dökümü'!$A$2:$A$2001,$E327))</ns0:f>
        <ns0:v/>
      </ns0:c>
      <ns0:c r="B327" s="28" t="str">
        <ns0:f>IF($E327="","",INDEX('Banka Dökümü'!$B$2:$B$2001,$E327))</ns0:f>
        <ns0:v/>
      </ns0:c>
      <ns0:c r="C327" s="33" t="str">
        <ns0:f>IF($E327="","",INDEX('Banka Dökümü'!$C$2:$C$2001,$E327))</ns0:f>
        <ns0:v/>
      </ns0:c>
      <ns0:c r="D327" s="28" t="str">
        <ns0:f>IF(E327="","","Müşteri adı / aranacak ad / il bilgisini kontrol edin")</ns0:f>
        <ns0:v/>
      </ns0:c>
      <ns0:c r="E327" s="28" t="str">
        <ns0:f>IFERROR(MATCH(323,'Banka Dökümü'!$I$2:$I$2001,0),"")</ns0:f>
        <ns0:v/>
      </ns0:c>
    </ns0:row>
    <ns0:row r="328" ht="21" customHeight="1">
      <ns0:c r="A328" s="32" t="str">
        <ns0:f>IF($E328="","",INDEX('Banka Dökümü'!$A$2:$A$2001,$E328))</ns0:f>
        <ns0:v/>
      </ns0:c>
      <ns0:c r="B328" s="28" t="str">
        <ns0:f>IF($E328="","",INDEX('Banka Dökümü'!$B$2:$B$2001,$E328))</ns0:f>
        <ns0:v/>
      </ns0:c>
      <ns0:c r="C328" s="33" t="str">
        <ns0:f>IF($E328="","",INDEX('Banka Dökümü'!$C$2:$C$2001,$E328))</ns0:f>
        <ns0:v/>
      </ns0:c>
      <ns0:c r="D328" s="28" t="str">
        <ns0:f>IF(E328="","","Müşteri adı / aranacak ad / il bilgisini kontrol edin")</ns0:f>
        <ns0:v/>
      </ns0:c>
      <ns0:c r="E328" s="28" t="str">
        <ns0:f>IFERROR(MATCH(324,'Banka Dökümü'!$I$2:$I$2001,0),"")</ns0:f>
        <ns0:v/>
      </ns0:c>
    </ns0:row>
    <ns0:row r="329" ht="21" customHeight="1">
      <ns0:c r="A329" s="32" t="str">
        <ns0:f>IF($E329="","",INDEX('Banka Dökümü'!$A$2:$A$2001,$E329))</ns0:f>
        <ns0:v/>
      </ns0:c>
      <ns0:c r="B329" s="28" t="str">
        <ns0:f>IF($E329="","",INDEX('Banka Dökümü'!$B$2:$B$2001,$E329))</ns0:f>
        <ns0:v/>
      </ns0:c>
      <ns0:c r="C329" s="33" t="str">
        <ns0:f>IF($E329="","",INDEX('Banka Dökümü'!$C$2:$C$2001,$E329))</ns0:f>
        <ns0:v/>
      </ns0:c>
      <ns0:c r="D329" s="28" t="str">
        <ns0:f>IF(E329="","","Müşteri adı / aranacak ad / il bilgisini kontrol edin")</ns0:f>
        <ns0:v/>
      </ns0:c>
      <ns0:c r="E329" s="28" t="str">
        <ns0:f>IFERROR(MATCH(325,'Banka Dökümü'!$I$2:$I$2001,0),"")</ns0:f>
        <ns0:v/>
      </ns0:c>
    </ns0:row>
    <ns0:row r="330" ht="21" customHeight="1">
      <ns0:c r="A330" s="32" t="str">
        <ns0:f>IF($E330="","",INDEX('Banka Dökümü'!$A$2:$A$2001,$E330))</ns0:f>
        <ns0:v/>
      </ns0:c>
      <ns0:c r="B330" s="28" t="str">
        <ns0:f>IF($E330="","",INDEX('Banka Dökümü'!$B$2:$B$2001,$E330))</ns0:f>
        <ns0:v/>
      </ns0:c>
      <ns0:c r="C330" s="33" t="str">
        <ns0:f>IF($E330="","",INDEX('Banka Dökümü'!$C$2:$C$2001,$E330))</ns0:f>
        <ns0:v/>
      </ns0:c>
      <ns0:c r="D330" s="28" t="str">
        <ns0:f>IF(E330="","","Müşteri adı / aranacak ad / il bilgisini kontrol edin")</ns0:f>
        <ns0:v/>
      </ns0:c>
      <ns0:c r="E330" s="28" t="str">
        <ns0:f>IFERROR(MATCH(326,'Banka Dökümü'!$I$2:$I$2001,0),"")</ns0:f>
        <ns0:v/>
      </ns0:c>
    </ns0:row>
    <ns0:row r="331" ht="21" customHeight="1">
      <ns0:c r="A331" s="32" t="str">
        <ns0:f>IF($E331="","",INDEX('Banka Dökümü'!$A$2:$A$2001,$E331))</ns0:f>
        <ns0:v/>
      </ns0:c>
      <ns0:c r="B331" s="28" t="str">
        <ns0:f>IF($E331="","",INDEX('Banka Dökümü'!$B$2:$B$2001,$E331))</ns0:f>
        <ns0:v/>
      </ns0:c>
      <ns0:c r="C331" s="33" t="str">
        <ns0:f>IF($E331="","",INDEX('Banka Dökümü'!$C$2:$C$2001,$E331))</ns0:f>
        <ns0:v/>
      </ns0:c>
      <ns0:c r="D331" s="28" t="str">
        <ns0:f>IF(E331="","","Müşteri adı / aranacak ad / il bilgisini kontrol edin")</ns0:f>
        <ns0:v/>
      </ns0:c>
      <ns0:c r="E331" s="28" t="str">
        <ns0:f>IFERROR(MATCH(327,'Banka Dökümü'!$I$2:$I$2001,0),"")</ns0:f>
        <ns0:v/>
      </ns0:c>
    </ns0:row>
    <ns0:row r="332" ht="21" customHeight="1">
      <ns0:c r="A332" s="32" t="str">
        <ns0:f>IF($E332="","",INDEX('Banka Dökümü'!$A$2:$A$2001,$E332))</ns0:f>
        <ns0:v/>
      </ns0:c>
      <ns0:c r="B332" s="28" t="str">
        <ns0:f>IF($E332="","",INDEX('Banka Dökümü'!$B$2:$B$2001,$E332))</ns0:f>
        <ns0:v/>
      </ns0:c>
      <ns0:c r="C332" s="33" t="str">
        <ns0:f>IF($E332="","",INDEX('Banka Dökümü'!$C$2:$C$2001,$E332))</ns0:f>
        <ns0:v/>
      </ns0:c>
      <ns0:c r="D332" s="28" t="str">
        <ns0:f>IF(E332="","","Müşteri adı / aranacak ad / il bilgisini kontrol edin")</ns0:f>
        <ns0:v/>
      </ns0:c>
      <ns0:c r="E332" s="28" t="str">
        <ns0:f>IFERROR(MATCH(328,'Banka Dökümü'!$I$2:$I$2001,0),"")</ns0:f>
        <ns0:v/>
      </ns0:c>
    </ns0:row>
    <ns0:row r="333" ht="21" customHeight="1">
      <ns0:c r="A333" s="32" t="str">
        <ns0:f>IF($E333="","",INDEX('Banka Dökümü'!$A$2:$A$2001,$E333))</ns0:f>
        <ns0:v/>
      </ns0:c>
      <ns0:c r="B333" s="28" t="str">
        <ns0:f>IF($E333="","",INDEX('Banka Dökümü'!$B$2:$B$2001,$E333))</ns0:f>
        <ns0:v/>
      </ns0:c>
      <ns0:c r="C333" s="33" t="str">
        <ns0:f>IF($E333="","",INDEX('Banka Dökümü'!$C$2:$C$2001,$E333))</ns0:f>
        <ns0:v/>
      </ns0:c>
      <ns0:c r="D333" s="28" t="str">
        <ns0:f>IF(E333="","","Müşteri adı / aranacak ad / il bilgisini kontrol edin")</ns0:f>
        <ns0:v/>
      </ns0:c>
      <ns0:c r="E333" s="28" t="str">
        <ns0:f>IFERROR(MATCH(329,'Banka Dökümü'!$I$2:$I$2001,0),"")</ns0:f>
        <ns0:v/>
      </ns0:c>
    </ns0:row>
    <ns0:row r="334" ht="21" customHeight="1">
      <ns0:c r="A334" s="32" t="str">
        <ns0:f>IF($E334="","",INDEX('Banka Dökümü'!$A$2:$A$2001,$E334))</ns0:f>
        <ns0:v/>
      </ns0:c>
      <ns0:c r="B334" s="28" t="str">
        <ns0:f>IF($E334="","",INDEX('Banka Dökümü'!$B$2:$B$2001,$E334))</ns0:f>
        <ns0:v/>
      </ns0:c>
      <ns0:c r="C334" s="33" t="str">
        <ns0:f>IF($E334="","",INDEX('Banka Dökümü'!$C$2:$C$2001,$E334))</ns0:f>
        <ns0:v/>
      </ns0:c>
      <ns0:c r="D334" s="28" t="str">
        <ns0:f>IF(E334="","","Müşteri adı / aranacak ad / il bilgisini kontrol edin")</ns0:f>
        <ns0:v/>
      </ns0:c>
      <ns0:c r="E334" s="28" t="str">
        <ns0:f>IFERROR(MATCH(330,'Banka Dökümü'!$I$2:$I$2001,0),"")</ns0:f>
        <ns0:v/>
      </ns0:c>
    </ns0:row>
    <ns0:row r="335" ht="21" customHeight="1">
      <ns0:c r="A335" s="32" t="str">
        <ns0:f>IF($E335="","",INDEX('Banka Dökümü'!$A$2:$A$2001,$E335))</ns0:f>
        <ns0:v/>
      </ns0:c>
      <ns0:c r="B335" s="28" t="str">
        <ns0:f>IF($E335="","",INDEX('Banka Dökümü'!$B$2:$B$2001,$E335))</ns0:f>
        <ns0:v/>
      </ns0:c>
      <ns0:c r="C335" s="33" t="str">
        <ns0:f>IF($E335="","",INDEX('Banka Dökümü'!$C$2:$C$2001,$E335))</ns0:f>
        <ns0:v/>
      </ns0:c>
      <ns0:c r="D335" s="28" t="str">
        <ns0:f>IF(E335="","","Müşteri adı / aranacak ad / il bilgisini kontrol edin")</ns0:f>
        <ns0:v/>
      </ns0:c>
      <ns0:c r="E335" s="28" t="str">
        <ns0:f>IFERROR(MATCH(331,'Banka Dökümü'!$I$2:$I$2001,0),"")</ns0:f>
        <ns0:v/>
      </ns0:c>
    </ns0:row>
    <ns0:row r="336" ht="21" customHeight="1">
      <ns0:c r="A336" s="32" t="str">
        <ns0:f>IF($E336="","",INDEX('Banka Dökümü'!$A$2:$A$2001,$E336))</ns0:f>
        <ns0:v/>
      </ns0:c>
      <ns0:c r="B336" s="28" t="str">
        <ns0:f>IF($E336="","",INDEX('Banka Dökümü'!$B$2:$B$2001,$E336))</ns0:f>
        <ns0:v/>
      </ns0:c>
      <ns0:c r="C336" s="33" t="str">
        <ns0:f>IF($E336="","",INDEX('Banka Dökümü'!$C$2:$C$2001,$E336))</ns0:f>
        <ns0:v/>
      </ns0:c>
      <ns0:c r="D336" s="28" t="str">
        <ns0:f>IF(E336="","","Müşteri adı / aranacak ad / il bilgisini kontrol edin")</ns0:f>
        <ns0:v/>
      </ns0:c>
      <ns0:c r="E336" s="28" t="str">
        <ns0:f>IFERROR(MATCH(332,'Banka Dökümü'!$I$2:$I$2001,0),"")</ns0:f>
        <ns0:v/>
      </ns0:c>
    </ns0:row>
    <ns0:row r="337" ht="21" customHeight="1">
      <ns0:c r="A337" s="32" t="str">
        <ns0:f>IF($E337="","",INDEX('Banka Dökümü'!$A$2:$A$2001,$E337))</ns0:f>
        <ns0:v/>
      </ns0:c>
      <ns0:c r="B337" s="28" t="str">
        <ns0:f>IF($E337="","",INDEX('Banka Dökümü'!$B$2:$B$2001,$E337))</ns0:f>
        <ns0:v/>
      </ns0:c>
      <ns0:c r="C337" s="33" t="str">
        <ns0:f>IF($E337="","",INDEX('Banka Dökümü'!$C$2:$C$2001,$E337))</ns0:f>
        <ns0:v/>
      </ns0:c>
      <ns0:c r="D337" s="28" t="str">
        <ns0:f>IF(E337="","","Müşteri adı / aranacak ad / il bilgisini kontrol edin")</ns0:f>
        <ns0:v/>
      </ns0:c>
      <ns0:c r="E337" s="28" t="str">
        <ns0:f>IFERROR(MATCH(333,'Banka Dökümü'!$I$2:$I$2001,0),"")</ns0:f>
        <ns0:v/>
      </ns0:c>
    </ns0:row>
    <ns0:row r="338" ht="21" customHeight="1">
      <ns0:c r="A338" s="32" t="str">
        <ns0:f>IF($E338="","",INDEX('Banka Dökümü'!$A$2:$A$2001,$E338))</ns0:f>
        <ns0:v/>
      </ns0:c>
      <ns0:c r="B338" s="28" t="str">
        <ns0:f>IF($E338="","",INDEX('Banka Dökümü'!$B$2:$B$2001,$E338))</ns0:f>
        <ns0:v/>
      </ns0:c>
      <ns0:c r="C338" s="33" t="str">
        <ns0:f>IF($E338="","",INDEX('Banka Dökümü'!$C$2:$C$2001,$E338))</ns0:f>
        <ns0:v/>
      </ns0:c>
      <ns0:c r="D338" s="28" t="str">
        <ns0:f>IF(E338="","","Müşteri adı / aranacak ad / il bilgisini kontrol edin")</ns0:f>
        <ns0:v/>
      </ns0:c>
      <ns0:c r="E338" s="28" t="str">
        <ns0:f>IFERROR(MATCH(334,'Banka Dökümü'!$I$2:$I$2001,0),"")</ns0:f>
        <ns0:v/>
      </ns0:c>
    </ns0:row>
    <ns0:row r="339" ht="21" customHeight="1">
      <ns0:c r="A339" s="32" t="str">
        <ns0:f>IF($E339="","",INDEX('Banka Dökümü'!$A$2:$A$2001,$E339))</ns0:f>
        <ns0:v/>
      </ns0:c>
      <ns0:c r="B339" s="28" t="str">
        <ns0:f>IF($E339="","",INDEX('Banka Dökümü'!$B$2:$B$2001,$E339))</ns0:f>
        <ns0:v/>
      </ns0:c>
      <ns0:c r="C339" s="33" t="str">
        <ns0:f>IF($E339="","",INDEX('Banka Dökümü'!$C$2:$C$2001,$E339))</ns0:f>
        <ns0:v/>
      </ns0:c>
      <ns0:c r="D339" s="28" t="str">
        <ns0:f>IF(E339="","","Müşteri adı / aranacak ad / il bilgisini kontrol edin")</ns0:f>
        <ns0:v/>
      </ns0:c>
      <ns0:c r="E339" s="28" t="str">
        <ns0:f>IFERROR(MATCH(335,'Banka Dökümü'!$I$2:$I$2001,0),"")</ns0:f>
        <ns0:v/>
      </ns0:c>
    </ns0:row>
    <ns0:row r="340" ht="21" customHeight="1">
      <ns0:c r="A340" s="32" t="str">
        <ns0:f>IF($E340="","",INDEX('Banka Dökümü'!$A$2:$A$2001,$E340))</ns0:f>
        <ns0:v/>
      </ns0:c>
      <ns0:c r="B340" s="28" t="str">
        <ns0:f>IF($E340="","",INDEX('Banka Dökümü'!$B$2:$B$2001,$E340))</ns0:f>
        <ns0:v/>
      </ns0:c>
      <ns0:c r="C340" s="33" t="str">
        <ns0:f>IF($E340="","",INDEX('Banka Dökümü'!$C$2:$C$2001,$E340))</ns0:f>
        <ns0:v/>
      </ns0:c>
      <ns0:c r="D340" s="28" t="str">
        <ns0:f>IF(E340="","","Müşteri adı / aranacak ad / il bilgisini kontrol edin")</ns0:f>
        <ns0:v/>
      </ns0:c>
      <ns0:c r="E340" s="28" t="str">
        <ns0:f>IFERROR(MATCH(336,'Banka Dökümü'!$I$2:$I$2001,0),"")</ns0:f>
        <ns0:v/>
      </ns0:c>
    </ns0:row>
    <ns0:row r="341" ht="21" customHeight="1">
      <ns0:c r="A341" s="32" t="str">
        <ns0:f>IF($E341="","",INDEX('Banka Dökümü'!$A$2:$A$2001,$E341))</ns0:f>
        <ns0:v/>
      </ns0:c>
      <ns0:c r="B341" s="28" t="str">
        <ns0:f>IF($E341="","",INDEX('Banka Dökümü'!$B$2:$B$2001,$E341))</ns0:f>
        <ns0:v/>
      </ns0:c>
      <ns0:c r="C341" s="33" t="str">
        <ns0:f>IF($E341="","",INDEX('Banka Dökümü'!$C$2:$C$2001,$E341))</ns0:f>
        <ns0:v/>
      </ns0:c>
      <ns0:c r="D341" s="28" t="str">
        <ns0:f>IF(E341="","","Müşteri adı / aranacak ad / il bilgisini kontrol edin")</ns0:f>
        <ns0:v/>
      </ns0:c>
      <ns0:c r="E341" s="28" t="str">
        <ns0:f>IFERROR(MATCH(337,'Banka Dökümü'!$I$2:$I$2001,0),"")</ns0:f>
        <ns0:v/>
      </ns0:c>
    </ns0:row>
    <ns0:row r="342" ht="21" customHeight="1">
      <ns0:c r="A342" s="32" t="str">
        <ns0:f>IF($E342="","",INDEX('Banka Dökümü'!$A$2:$A$2001,$E342))</ns0:f>
        <ns0:v/>
      </ns0:c>
      <ns0:c r="B342" s="28" t="str">
        <ns0:f>IF($E342="","",INDEX('Banka Dökümü'!$B$2:$B$2001,$E342))</ns0:f>
        <ns0:v/>
      </ns0:c>
      <ns0:c r="C342" s="33" t="str">
        <ns0:f>IF($E342="","",INDEX('Banka Dökümü'!$C$2:$C$2001,$E342))</ns0:f>
        <ns0:v/>
      </ns0:c>
      <ns0:c r="D342" s="28" t="str">
        <ns0:f>IF(E342="","","Müşteri adı / aranacak ad / il bilgisini kontrol edin")</ns0:f>
        <ns0:v/>
      </ns0:c>
      <ns0:c r="E342" s="28" t="str">
        <ns0:f>IFERROR(MATCH(338,'Banka Dökümü'!$I$2:$I$2001,0),"")</ns0:f>
        <ns0:v/>
      </ns0:c>
    </ns0:row>
    <ns0:row r="343" ht="21" customHeight="1">
      <ns0:c r="A343" s="32" t="str">
        <ns0:f>IF($E343="","",INDEX('Banka Dökümü'!$A$2:$A$2001,$E343))</ns0:f>
        <ns0:v/>
      </ns0:c>
      <ns0:c r="B343" s="28" t="str">
        <ns0:f>IF($E343="","",INDEX('Banka Dökümü'!$B$2:$B$2001,$E343))</ns0:f>
        <ns0:v/>
      </ns0:c>
      <ns0:c r="C343" s="33" t="str">
        <ns0:f>IF($E343="","",INDEX('Banka Dökümü'!$C$2:$C$2001,$E343))</ns0:f>
        <ns0:v/>
      </ns0:c>
      <ns0:c r="D343" s="28" t="str">
        <ns0:f>IF(E343="","","Müşteri adı / aranacak ad / il bilgisini kontrol edin")</ns0:f>
        <ns0:v/>
      </ns0:c>
      <ns0:c r="E343" s="28" t="str">
        <ns0:f>IFERROR(MATCH(339,'Banka Dökümü'!$I$2:$I$2001,0),"")</ns0:f>
        <ns0:v/>
      </ns0:c>
    </ns0:row>
    <ns0:row r="344" ht="21" customHeight="1">
      <ns0:c r="A344" s="32" t="str">
        <ns0:f>IF($E344="","",INDEX('Banka Dökümü'!$A$2:$A$2001,$E344))</ns0:f>
        <ns0:v/>
      </ns0:c>
      <ns0:c r="B344" s="28" t="str">
        <ns0:f>IF($E344="","",INDEX('Banka Dökümü'!$B$2:$B$2001,$E344))</ns0:f>
        <ns0:v/>
      </ns0:c>
      <ns0:c r="C344" s="33" t="str">
        <ns0:f>IF($E344="","",INDEX('Banka Dökümü'!$C$2:$C$2001,$E344))</ns0:f>
        <ns0:v/>
      </ns0:c>
      <ns0:c r="D344" s="28" t="str">
        <ns0:f>IF(E344="","","Müşteri adı / aranacak ad / il bilgisini kontrol edin")</ns0:f>
        <ns0:v/>
      </ns0:c>
      <ns0:c r="E344" s="28" t="str">
        <ns0:f>IFERROR(MATCH(340,'Banka Dökümü'!$I$2:$I$2001,0),"")</ns0:f>
        <ns0:v/>
      </ns0:c>
    </ns0:row>
    <ns0:row r="345" ht="21" customHeight="1">
      <ns0:c r="A345" s="32" t="str">
        <ns0:f>IF($E345="","",INDEX('Banka Dökümü'!$A$2:$A$2001,$E345))</ns0:f>
        <ns0:v/>
      </ns0:c>
      <ns0:c r="B345" s="28" t="str">
        <ns0:f>IF($E345="","",INDEX('Banka Dökümü'!$B$2:$B$2001,$E345))</ns0:f>
        <ns0:v/>
      </ns0:c>
      <ns0:c r="C345" s="33" t="str">
        <ns0:f>IF($E345="","",INDEX('Banka Dökümü'!$C$2:$C$2001,$E345))</ns0:f>
        <ns0:v/>
      </ns0:c>
      <ns0:c r="D345" s="28" t="str">
        <ns0:f>IF(E345="","","Müşteri adı / aranacak ad / il bilgisini kontrol edin")</ns0:f>
        <ns0:v/>
      </ns0:c>
      <ns0:c r="E345" s="28" t="str">
        <ns0:f>IFERROR(MATCH(341,'Banka Dökümü'!$I$2:$I$2001,0),"")</ns0:f>
        <ns0:v/>
      </ns0:c>
    </ns0:row>
    <ns0:row r="346" ht="21" customHeight="1">
      <ns0:c r="A346" s="32" t="str">
        <ns0:f>IF($E346="","",INDEX('Banka Dökümü'!$A$2:$A$2001,$E346))</ns0:f>
        <ns0:v/>
      </ns0:c>
      <ns0:c r="B346" s="28" t="str">
        <ns0:f>IF($E346="","",INDEX('Banka Dökümü'!$B$2:$B$2001,$E346))</ns0:f>
        <ns0:v/>
      </ns0:c>
      <ns0:c r="C346" s="33" t="str">
        <ns0:f>IF($E346="","",INDEX('Banka Dökümü'!$C$2:$C$2001,$E346))</ns0:f>
        <ns0:v/>
      </ns0:c>
      <ns0:c r="D346" s="28" t="str">
        <ns0:f>IF(E346="","","Müşteri adı / aranacak ad / il bilgisini kontrol edin")</ns0:f>
        <ns0:v/>
      </ns0:c>
      <ns0:c r="E346" s="28" t="str">
        <ns0:f>IFERROR(MATCH(342,'Banka Dökümü'!$I$2:$I$2001,0),"")</ns0:f>
        <ns0:v/>
      </ns0:c>
    </ns0:row>
    <ns0:row r="347" ht="21" customHeight="1">
      <ns0:c r="A347" s="32" t="str">
        <ns0:f>IF($E347="","",INDEX('Banka Dökümü'!$A$2:$A$2001,$E347))</ns0:f>
        <ns0:v/>
      </ns0:c>
      <ns0:c r="B347" s="28" t="str">
        <ns0:f>IF($E347="","",INDEX('Banka Dökümü'!$B$2:$B$2001,$E347))</ns0:f>
        <ns0:v/>
      </ns0:c>
      <ns0:c r="C347" s="33" t="str">
        <ns0:f>IF($E347="","",INDEX('Banka Dökümü'!$C$2:$C$2001,$E347))</ns0:f>
        <ns0:v/>
      </ns0:c>
      <ns0:c r="D347" s="28" t="str">
        <ns0:f>IF(E347="","","Müşteri adı / aranacak ad / il bilgisini kontrol edin")</ns0:f>
        <ns0:v/>
      </ns0:c>
      <ns0:c r="E347" s="28" t="str">
        <ns0:f>IFERROR(MATCH(343,'Banka Dökümü'!$I$2:$I$2001,0),"")</ns0:f>
        <ns0:v/>
      </ns0:c>
    </ns0:row>
    <ns0:row r="348" ht="21" customHeight="1">
      <ns0:c r="A348" s="32" t="str">
        <ns0:f>IF($E348="","",INDEX('Banka Dökümü'!$A$2:$A$2001,$E348))</ns0:f>
        <ns0:v/>
      </ns0:c>
      <ns0:c r="B348" s="28" t="str">
        <ns0:f>IF($E348="","",INDEX('Banka Dökümü'!$B$2:$B$2001,$E348))</ns0:f>
        <ns0:v/>
      </ns0:c>
      <ns0:c r="C348" s="33" t="str">
        <ns0:f>IF($E348="","",INDEX('Banka Dökümü'!$C$2:$C$2001,$E348))</ns0:f>
        <ns0:v/>
      </ns0:c>
      <ns0:c r="D348" s="28" t="str">
        <ns0:f>IF(E348="","","Müşteri adı / aranacak ad / il bilgisini kontrol edin")</ns0:f>
        <ns0:v/>
      </ns0:c>
      <ns0:c r="E348" s="28" t="str">
        <ns0:f>IFERROR(MATCH(344,'Banka Dökümü'!$I$2:$I$2001,0),"")</ns0:f>
        <ns0:v/>
      </ns0:c>
    </ns0:row>
    <ns0:row r="349" ht="21" customHeight="1">
      <ns0:c r="A349" s="32" t="str">
        <ns0:f>IF($E349="","",INDEX('Banka Dökümü'!$A$2:$A$2001,$E349))</ns0:f>
        <ns0:v/>
      </ns0:c>
      <ns0:c r="B349" s="28" t="str">
        <ns0:f>IF($E349="","",INDEX('Banka Dökümü'!$B$2:$B$2001,$E349))</ns0:f>
        <ns0:v/>
      </ns0:c>
      <ns0:c r="C349" s="33" t="str">
        <ns0:f>IF($E349="","",INDEX('Banka Dökümü'!$C$2:$C$2001,$E349))</ns0:f>
        <ns0:v/>
      </ns0:c>
      <ns0:c r="D349" s="28" t="str">
        <ns0:f>IF(E349="","","Müşteri adı / aranacak ad / il bilgisini kontrol edin")</ns0:f>
        <ns0:v/>
      </ns0:c>
      <ns0:c r="E349" s="28" t="str">
        <ns0:f>IFERROR(MATCH(345,'Banka Dökümü'!$I$2:$I$2001,0),"")</ns0:f>
        <ns0:v/>
      </ns0:c>
    </ns0:row>
    <ns0:row r="350" ht="21" customHeight="1">
      <ns0:c r="A350" s="32" t="str">
        <ns0:f>IF($E350="","",INDEX('Banka Dökümü'!$A$2:$A$2001,$E350))</ns0:f>
        <ns0:v/>
      </ns0:c>
      <ns0:c r="B350" s="28" t="str">
        <ns0:f>IF($E350="","",INDEX('Banka Dökümü'!$B$2:$B$2001,$E350))</ns0:f>
        <ns0:v/>
      </ns0:c>
      <ns0:c r="C350" s="33" t="str">
        <ns0:f>IF($E350="","",INDEX('Banka Dökümü'!$C$2:$C$2001,$E350))</ns0:f>
        <ns0:v/>
      </ns0:c>
      <ns0:c r="D350" s="28" t="str">
        <ns0:f>IF(E350="","","Müşteri adı / aranacak ad / il bilgisini kontrol edin")</ns0:f>
        <ns0:v/>
      </ns0:c>
      <ns0:c r="E350" s="28" t="str">
        <ns0:f>IFERROR(MATCH(346,'Banka Dökümü'!$I$2:$I$2001,0),"")</ns0:f>
        <ns0:v/>
      </ns0:c>
    </ns0:row>
    <ns0:row r="351" ht="21" customHeight="1">
      <ns0:c r="A351" s="32" t="str">
        <ns0:f>IF($E351="","",INDEX('Banka Dökümü'!$A$2:$A$2001,$E351))</ns0:f>
        <ns0:v/>
      </ns0:c>
      <ns0:c r="B351" s="28" t="str">
        <ns0:f>IF($E351="","",INDEX('Banka Dökümü'!$B$2:$B$2001,$E351))</ns0:f>
        <ns0:v/>
      </ns0:c>
      <ns0:c r="C351" s="33" t="str">
        <ns0:f>IF($E351="","",INDEX('Banka Dökümü'!$C$2:$C$2001,$E351))</ns0:f>
        <ns0:v/>
      </ns0:c>
      <ns0:c r="D351" s="28" t="str">
        <ns0:f>IF(E351="","","Müşteri adı / aranacak ad / il bilgisini kontrol edin")</ns0:f>
        <ns0:v/>
      </ns0:c>
      <ns0:c r="E351" s="28" t="str">
        <ns0:f>IFERROR(MATCH(347,'Banka Dökümü'!$I$2:$I$2001,0),"")</ns0:f>
        <ns0:v/>
      </ns0:c>
    </ns0:row>
    <ns0:row r="352" ht="21" customHeight="1">
      <ns0:c r="A352" s="32" t="str">
        <ns0:f>IF($E352="","",INDEX('Banka Dökümü'!$A$2:$A$2001,$E352))</ns0:f>
        <ns0:v/>
      </ns0:c>
      <ns0:c r="B352" s="28" t="str">
        <ns0:f>IF($E352="","",INDEX('Banka Dökümü'!$B$2:$B$2001,$E352))</ns0:f>
        <ns0:v/>
      </ns0:c>
      <ns0:c r="C352" s="33" t="str">
        <ns0:f>IF($E352="","",INDEX('Banka Dökümü'!$C$2:$C$2001,$E352))</ns0:f>
        <ns0:v/>
      </ns0:c>
      <ns0:c r="D352" s="28" t="str">
        <ns0:f>IF(E352="","","Müşteri adı / aranacak ad / il bilgisini kontrol edin")</ns0:f>
        <ns0:v/>
      </ns0:c>
      <ns0:c r="E352" s="28" t="str">
        <ns0:f>IFERROR(MATCH(348,'Banka Dökümü'!$I$2:$I$2001,0),"")</ns0:f>
        <ns0:v/>
      </ns0:c>
    </ns0:row>
    <ns0:row r="353" ht="21" customHeight="1">
      <ns0:c r="A353" s="32" t="str">
        <ns0:f>IF($E353="","",INDEX('Banka Dökümü'!$A$2:$A$2001,$E353))</ns0:f>
        <ns0:v/>
      </ns0:c>
      <ns0:c r="B353" s="28" t="str">
        <ns0:f>IF($E353="","",INDEX('Banka Dökümü'!$B$2:$B$2001,$E353))</ns0:f>
        <ns0:v/>
      </ns0:c>
      <ns0:c r="C353" s="33" t="str">
        <ns0:f>IF($E353="","",INDEX('Banka Dökümü'!$C$2:$C$2001,$E353))</ns0:f>
        <ns0:v/>
      </ns0:c>
      <ns0:c r="D353" s="28" t="str">
        <ns0:f>IF(E353="","","Müşteri adı / aranacak ad / il bilgisini kontrol edin")</ns0:f>
        <ns0:v/>
      </ns0:c>
      <ns0:c r="E353" s="28" t="str">
        <ns0:f>IFERROR(MATCH(349,'Banka Dökümü'!$I$2:$I$2001,0),"")</ns0:f>
        <ns0:v/>
      </ns0:c>
    </ns0:row>
    <ns0:row r="354" ht="21" customHeight="1">
      <ns0:c r="A354" s="32" t="str">
        <ns0:f>IF($E354="","",INDEX('Banka Dökümü'!$A$2:$A$2001,$E354))</ns0:f>
        <ns0:v/>
      </ns0:c>
      <ns0:c r="B354" s="28" t="str">
        <ns0:f>IF($E354="","",INDEX('Banka Dökümü'!$B$2:$B$2001,$E354))</ns0:f>
        <ns0:v/>
      </ns0:c>
      <ns0:c r="C354" s="33" t="str">
        <ns0:f>IF($E354="","",INDEX('Banka Dökümü'!$C$2:$C$2001,$E354))</ns0:f>
        <ns0:v/>
      </ns0:c>
      <ns0:c r="D354" s="28" t="str">
        <ns0:f>IF(E354="","","Müşteri adı / aranacak ad / il bilgisini kontrol edin")</ns0:f>
        <ns0:v/>
      </ns0:c>
      <ns0:c r="E354" s="28" t="str">
        <ns0:f>IFERROR(MATCH(350,'Banka Dökümü'!$I$2:$I$2001,0),"")</ns0:f>
        <ns0:v/>
      </ns0:c>
    </ns0:row>
    <ns0:row r="355" ht="21" customHeight="1">
      <ns0:c r="A355" s="32" t="str">
        <ns0:f>IF($E355="","",INDEX('Banka Dökümü'!$A$2:$A$2001,$E355))</ns0:f>
        <ns0:v/>
      </ns0:c>
      <ns0:c r="B355" s="28" t="str">
        <ns0:f>IF($E355="","",INDEX('Banka Dökümü'!$B$2:$B$2001,$E355))</ns0:f>
        <ns0:v/>
      </ns0:c>
      <ns0:c r="C355" s="33" t="str">
        <ns0:f>IF($E355="","",INDEX('Banka Dökümü'!$C$2:$C$2001,$E355))</ns0:f>
        <ns0:v/>
      </ns0:c>
      <ns0:c r="D355" s="28" t="str">
        <ns0:f>IF(E355="","","Müşteri adı / aranacak ad / il bilgisini kontrol edin")</ns0:f>
        <ns0:v/>
      </ns0:c>
      <ns0:c r="E355" s="28" t="str">
        <ns0:f>IFERROR(MATCH(351,'Banka Dökümü'!$I$2:$I$2001,0),"")</ns0:f>
        <ns0:v/>
      </ns0:c>
    </ns0:row>
    <ns0:row r="356" ht="21" customHeight="1">
      <ns0:c r="A356" s="32" t="str">
        <ns0:f>IF($E356="","",INDEX('Banka Dökümü'!$A$2:$A$2001,$E356))</ns0:f>
        <ns0:v/>
      </ns0:c>
      <ns0:c r="B356" s="28" t="str">
        <ns0:f>IF($E356="","",INDEX('Banka Dökümü'!$B$2:$B$2001,$E356))</ns0:f>
        <ns0:v/>
      </ns0:c>
      <ns0:c r="C356" s="33" t="str">
        <ns0:f>IF($E356="","",INDEX('Banka Dökümü'!$C$2:$C$2001,$E356))</ns0:f>
        <ns0:v/>
      </ns0:c>
      <ns0:c r="D356" s="28" t="str">
        <ns0:f>IF(E356="","","Müşteri adı / aranacak ad / il bilgisini kontrol edin")</ns0:f>
        <ns0:v/>
      </ns0:c>
      <ns0:c r="E356" s="28" t="str">
        <ns0:f>IFERROR(MATCH(352,'Banka Dökümü'!$I$2:$I$2001,0),"")</ns0:f>
        <ns0:v/>
      </ns0:c>
    </ns0:row>
    <ns0:row r="357" ht="21" customHeight="1">
      <ns0:c r="A357" s="32" t="str">
        <ns0:f>IF($E357="","",INDEX('Banka Dökümü'!$A$2:$A$2001,$E357))</ns0:f>
        <ns0:v/>
      </ns0:c>
      <ns0:c r="B357" s="28" t="str">
        <ns0:f>IF($E357="","",INDEX('Banka Dökümü'!$B$2:$B$2001,$E357))</ns0:f>
        <ns0:v/>
      </ns0:c>
      <ns0:c r="C357" s="33" t="str">
        <ns0:f>IF($E357="","",INDEX('Banka Dökümü'!$C$2:$C$2001,$E357))</ns0:f>
        <ns0:v/>
      </ns0:c>
      <ns0:c r="D357" s="28" t="str">
        <ns0:f>IF(E357="","","Müşteri adı / aranacak ad / il bilgisini kontrol edin")</ns0:f>
        <ns0:v/>
      </ns0:c>
      <ns0:c r="E357" s="28" t="str">
        <ns0:f>IFERROR(MATCH(353,'Banka Dökümü'!$I$2:$I$2001,0),"")</ns0:f>
        <ns0:v/>
      </ns0:c>
    </ns0:row>
    <ns0:row r="358" ht="21" customHeight="1">
      <ns0:c r="A358" s="32" t="str">
        <ns0:f>IF($E358="","",INDEX('Banka Dökümü'!$A$2:$A$2001,$E358))</ns0:f>
        <ns0:v/>
      </ns0:c>
      <ns0:c r="B358" s="28" t="str">
        <ns0:f>IF($E358="","",INDEX('Banka Dökümü'!$B$2:$B$2001,$E358))</ns0:f>
        <ns0:v/>
      </ns0:c>
      <ns0:c r="C358" s="33" t="str">
        <ns0:f>IF($E358="","",INDEX('Banka Dökümü'!$C$2:$C$2001,$E358))</ns0:f>
        <ns0:v/>
      </ns0:c>
      <ns0:c r="D358" s="28" t="str">
        <ns0:f>IF(E358="","","Müşteri adı / aranacak ad / il bilgisini kontrol edin")</ns0:f>
        <ns0:v/>
      </ns0:c>
      <ns0:c r="E358" s="28" t="str">
        <ns0:f>IFERROR(MATCH(354,'Banka Dökümü'!$I$2:$I$2001,0),"")</ns0:f>
        <ns0:v/>
      </ns0:c>
    </ns0:row>
    <ns0:row r="359" ht="21" customHeight="1">
      <ns0:c r="A359" s="32" t="str">
        <ns0:f>IF($E359="","",INDEX('Banka Dökümü'!$A$2:$A$2001,$E359))</ns0:f>
        <ns0:v/>
      </ns0:c>
      <ns0:c r="B359" s="28" t="str">
        <ns0:f>IF($E359="","",INDEX('Banka Dökümü'!$B$2:$B$2001,$E359))</ns0:f>
        <ns0:v/>
      </ns0:c>
      <ns0:c r="C359" s="33" t="str">
        <ns0:f>IF($E359="","",INDEX('Banka Dökümü'!$C$2:$C$2001,$E359))</ns0:f>
        <ns0:v/>
      </ns0:c>
      <ns0:c r="D359" s="28" t="str">
        <ns0:f>IF(E359="","","Müşteri adı / aranacak ad / il bilgisini kontrol edin")</ns0:f>
        <ns0:v/>
      </ns0:c>
      <ns0:c r="E359" s="28" t="str">
        <ns0:f>IFERROR(MATCH(355,'Banka Dökümü'!$I$2:$I$2001,0),"")</ns0:f>
        <ns0:v/>
      </ns0:c>
    </ns0:row>
    <ns0:row r="360" ht="21" customHeight="1">
      <ns0:c r="A360" s="32" t="str">
        <ns0:f>IF($E360="","",INDEX('Banka Dökümü'!$A$2:$A$2001,$E360))</ns0:f>
        <ns0:v/>
      </ns0:c>
      <ns0:c r="B360" s="28" t="str">
        <ns0:f>IF($E360="","",INDEX('Banka Dökümü'!$B$2:$B$2001,$E360))</ns0:f>
        <ns0:v/>
      </ns0:c>
      <ns0:c r="C360" s="33" t="str">
        <ns0:f>IF($E360="","",INDEX('Banka Dökümü'!$C$2:$C$2001,$E360))</ns0:f>
        <ns0:v/>
      </ns0:c>
      <ns0:c r="D360" s="28" t="str">
        <ns0:f>IF(E360="","","Müşteri adı / aranacak ad / il bilgisini kontrol edin")</ns0:f>
        <ns0:v/>
      </ns0:c>
      <ns0:c r="E360" s="28" t="str">
        <ns0:f>IFERROR(MATCH(356,'Banka Dökümü'!$I$2:$I$2001,0),"")</ns0:f>
        <ns0:v/>
      </ns0:c>
    </ns0:row>
    <ns0:row r="361" ht="21" customHeight="1">
      <ns0:c r="A361" s="32" t="str">
        <ns0:f>IF($E361="","",INDEX('Banka Dökümü'!$A$2:$A$2001,$E361))</ns0:f>
        <ns0:v/>
      </ns0:c>
      <ns0:c r="B361" s="28" t="str">
        <ns0:f>IF($E361="","",INDEX('Banka Dökümü'!$B$2:$B$2001,$E361))</ns0:f>
        <ns0:v/>
      </ns0:c>
      <ns0:c r="C361" s="33" t="str">
        <ns0:f>IF($E361="","",INDEX('Banka Dökümü'!$C$2:$C$2001,$E361))</ns0:f>
        <ns0:v/>
      </ns0:c>
      <ns0:c r="D361" s="28" t="str">
        <ns0:f>IF(E361="","","Müşteri adı / aranacak ad / il bilgisini kontrol edin")</ns0:f>
        <ns0:v/>
      </ns0:c>
      <ns0:c r="E361" s="28" t="str">
        <ns0:f>IFERROR(MATCH(357,'Banka Dökümü'!$I$2:$I$2001,0),"")</ns0:f>
        <ns0:v/>
      </ns0:c>
    </ns0:row>
    <ns0:row r="362" ht="21" customHeight="1">
      <ns0:c r="A362" s="32" t="str">
        <ns0:f>IF($E362="","",INDEX('Banka Dökümü'!$A$2:$A$2001,$E362))</ns0:f>
        <ns0:v/>
      </ns0:c>
      <ns0:c r="B362" s="28" t="str">
        <ns0:f>IF($E362="","",INDEX('Banka Dökümü'!$B$2:$B$2001,$E362))</ns0:f>
        <ns0:v/>
      </ns0:c>
      <ns0:c r="C362" s="33" t="str">
        <ns0:f>IF($E362="","",INDEX('Banka Dökümü'!$C$2:$C$2001,$E362))</ns0:f>
        <ns0:v/>
      </ns0:c>
      <ns0:c r="D362" s="28" t="str">
        <ns0:f>IF(E362="","","Müşteri adı / aranacak ad / il bilgisini kontrol edin")</ns0:f>
        <ns0:v/>
      </ns0:c>
      <ns0:c r="E362" s="28" t="str">
        <ns0:f>IFERROR(MATCH(358,'Banka Dökümü'!$I$2:$I$2001,0),"")</ns0:f>
        <ns0:v/>
      </ns0:c>
    </ns0:row>
    <ns0:row r="363" ht="21" customHeight="1">
      <ns0:c r="A363" s="32" t="str">
        <ns0:f>IF($E363="","",INDEX('Banka Dökümü'!$A$2:$A$2001,$E363))</ns0:f>
        <ns0:v/>
      </ns0:c>
      <ns0:c r="B363" s="28" t="str">
        <ns0:f>IF($E363="","",INDEX('Banka Dökümü'!$B$2:$B$2001,$E363))</ns0:f>
        <ns0:v/>
      </ns0:c>
      <ns0:c r="C363" s="33" t="str">
        <ns0:f>IF($E363="","",INDEX('Banka Dökümü'!$C$2:$C$2001,$E363))</ns0:f>
        <ns0:v/>
      </ns0:c>
      <ns0:c r="D363" s="28" t="str">
        <ns0:f>IF(E363="","","Müşteri adı / aranacak ad / il bilgisini kontrol edin")</ns0:f>
        <ns0:v/>
      </ns0:c>
      <ns0:c r="E363" s="28" t="str">
        <ns0:f>IFERROR(MATCH(359,'Banka Dökümü'!$I$2:$I$2001,0),"")</ns0:f>
        <ns0:v/>
      </ns0:c>
    </ns0:row>
    <ns0:row r="364" ht="21" customHeight="1">
      <ns0:c r="A364" s="32" t="str">
        <ns0:f>IF($E364="","",INDEX('Banka Dökümü'!$A$2:$A$2001,$E364))</ns0:f>
        <ns0:v/>
      </ns0:c>
      <ns0:c r="B364" s="28" t="str">
        <ns0:f>IF($E364="","",INDEX('Banka Dökümü'!$B$2:$B$2001,$E364))</ns0:f>
        <ns0:v/>
      </ns0:c>
      <ns0:c r="C364" s="33" t="str">
        <ns0:f>IF($E364="","",INDEX('Banka Dökümü'!$C$2:$C$2001,$E364))</ns0:f>
        <ns0:v/>
      </ns0:c>
      <ns0:c r="D364" s="28" t="str">
        <ns0:f>IF(E364="","","Müşteri adı / aranacak ad / il bilgisini kontrol edin")</ns0:f>
        <ns0:v/>
      </ns0:c>
      <ns0:c r="E364" s="28" t="str">
        <ns0:f>IFERROR(MATCH(360,'Banka Dökümü'!$I$2:$I$2001,0),"")</ns0:f>
        <ns0:v/>
      </ns0:c>
    </ns0:row>
    <ns0:row r="365" ht="21" customHeight="1">
      <ns0:c r="A365" s="32" t="str">
        <ns0:f>IF($E365="","",INDEX('Banka Dökümü'!$A$2:$A$2001,$E365))</ns0:f>
        <ns0:v/>
      </ns0:c>
      <ns0:c r="B365" s="28" t="str">
        <ns0:f>IF($E365="","",INDEX('Banka Dökümü'!$B$2:$B$2001,$E365))</ns0:f>
        <ns0:v/>
      </ns0:c>
      <ns0:c r="C365" s="33" t="str">
        <ns0:f>IF($E365="","",INDEX('Banka Dökümü'!$C$2:$C$2001,$E365))</ns0:f>
        <ns0:v/>
      </ns0:c>
      <ns0:c r="D365" s="28" t="str">
        <ns0:f>IF(E365="","","Müşteri adı / aranacak ad / il bilgisini kontrol edin")</ns0:f>
        <ns0:v/>
      </ns0:c>
      <ns0:c r="E365" s="28" t="str">
        <ns0:f>IFERROR(MATCH(361,'Banka Dökümü'!$I$2:$I$2001,0),"")</ns0:f>
        <ns0:v/>
      </ns0:c>
    </ns0:row>
    <ns0:row r="366" ht="21" customHeight="1">
      <ns0:c r="A366" s="32" t="str">
        <ns0:f>IF($E366="","",INDEX('Banka Dökümü'!$A$2:$A$2001,$E366))</ns0:f>
        <ns0:v/>
      </ns0:c>
      <ns0:c r="B366" s="28" t="str">
        <ns0:f>IF($E366="","",INDEX('Banka Dökümü'!$B$2:$B$2001,$E366))</ns0:f>
        <ns0:v/>
      </ns0:c>
      <ns0:c r="C366" s="33" t="str">
        <ns0:f>IF($E366="","",INDEX('Banka Dökümü'!$C$2:$C$2001,$E366))</ns0:f>
        <ns0:v/>
      </ns0:c>
      <ns0:c r="D366" s="28" t="str">
        <ns0:f>IF(E366="","","Müşteri adı / aranacak ad / il bilgisini kontrol edin")</ns0:f>
        <ns0:v/>
      </ns0:c>
      <ns0:c r="E366" s="28" t="str">
        <ns0:f>IFERROR(MATCH(362,'Banka Dökümü'!$I$2:$I$2001,0),"")</ns0:f>
        <ns0:v/>
      </ns0:c>
    </ns0:row>
    <ns0:row r="367" ht="21" customHeight="1">
      <ns0:c r="A367" s="32" t="str">
        <ns0:f>IF($E367="","",INDEX('Banka Dökümü'!$A$2:$A$2001,$E367))</ns0:f>
        <ns0:v/>
      </ns0:c>
      <ns0:c r="B367" s="28" t="str">
        <ns0:f>IF($E367="","",INDEX('Banka Dökümü'!$B$2:$B$2001,$E367))</ns0:f>
        <ns0:v/>
      </ns0:c>
      <ns0:c r="C367" s="33" t="str">
        <ns0:f>IF($E367="","",INDEX('Banka Dökümü'!$C$2:$C$2001,$E367))</ns0:f>
        <ns0:v/>
      </ns0:c>
      <ns0:c r="D367" s="28" t="str">
        <ns0:f>IF(E367="","","Müşteri adı / aranacak ad / il bilgisini kontrol edin")</ns0:f>
        <ns0:v/>
      </ns0:c>
      <ns0:c r="E367" s="28" t="str">
        <ns0:f>IFERROR(MATCH(363,'Banka Dökümü'!$I$2:$I$2001,0),"")</ns0:f>
        <ns0:v/>
      </ns0:c>
    </ns0:row>
    <ns0:row r="368" ht="21" customHeight="1">
      <ns0:c r="A368" s="32" t="str">
        <ns0:f>IF($E368="","",INDEX('Banka Dökümü'!$A$2:$A$2001,$E368))</ns0:f>
        <ns0:v/>
      </ns0:c>
      <ns0:c r="B368" s="28" t="str">
        <ns0:f>IF($E368="","",INDEX('Banka Dökümü'!$B$2:$B$2001,$E368))</ns0:f>
        <ns0:v/>
      </ns0:c>
      <ns0:c r="C368" s="33" t="str">
        <ns0:f>IF($E368="","",INDEX('Banka Dökümü'!$C$2:$C$2001,$E368))</ns0:f>
        <ns0:v/>
      </ns0:c>
      <ns0:c r="D368" s="28" t="str">
        <ns0:f>IF(E368="","","Müşteri adı / aranacak ad / il bilgisini kontrol edin")</ns0:f>
        <ns0:v/>
      </ns0:c>
      <ns0:c r="E368" s="28" t="str">
        <ns0:f>IFERROR(MATCH(364,'Banka Dökümü'!$I$2:$I$2001,0),"")</ns0:f>
        <ns0:v/>
      </ns0:c>
    </ns0:row>
    <ns0:row r="369" ht="21" customHeight="1">
      <ns0:c r="A369" s="32" t="str">
        <ns0:f>IF($E369="","",INDEX('Banka Dökümü'!$A$2:$A$2001,$E369))</ns0:f>
        <ns0:v/>
      </ns0:c>
      <ns0:c r="B369" s="28" t="str">
        <ns0:f>IF($E369="","",INDEX('Banka Dökümü'!$B$2:$B$2001,$E369))</ns0:f>
        <ns0:v/>
      </ns0:c>
      <ns0:c r="C369" s="33" t="str">
        <ns0:f>IF($E369="","",INDEX('Banka Dökümü'!$C$2:$C$2001,$E369))</ns0:f>
        <ns0:v/>
      </ns0:c>
      <ns0:c r="D369" s="28" t="str">
        <ns0:f>IF(E369="","","Müşteri adı / aranacak ad / il bilgisini kontrol edin")</ns0:f>
        <ns0:v/>
      </ns0:c>
      <ns0:c r="E369" s="28" t="str">
        <ns0:f>IFERROR(MATCH(365,'Banka Dökümü'!$I$2:$I$2001,0),"")</ns0:f>
        <ns0:v/>
      </ns0:c>
    </ns0:row>
    <ns0:row r="370" ht="21" customHeight="1">
      <ns0:c r="A370" s="32" t="str">
        <ns0:f>IF($E370="","",INDEX('Banka Dökümü'!$A$2:$A$2001,$E370))</ns0:f>
        <ns0:v/>
      </ns0:c>
      <ns0:c r="B370" s="28" t="str">
        <ns0:f>IF($E370="","",INDEX('Banka Dökümü'!$B$2:$B$2001,$E370))</ns0:f>
        <ns0:v/>
      </ns0:c>
      <ns0:c r="C370" s="33" t="str">
        <ns0:f>IF($E370="","",INDEX('Banka Dökümü'!$C$2:$C$2001,$E370))</ns0:f>
        <ns0:v/>
      </ns0:c>
      <ns0:c r="D370" s="28" t="str">
        <ns0:f>IF(E370="","","Müşteri adı / aranacak ad / il bilgisini kontrol edin")</ns0:f>
        <ns0:v/>
      </ns0:c>
      <ns0:c r="E370" s="28" t="str">
        <ns0:f>IFERROR(MATCH(366,'Banka Dökümü'!$I$2:$I$2001,0),"")</ns0:f>
        <ns0:v/>
      </ns0:c>
    </ns0:row>
    <ns0:row r="371" ht="21" customHeight="1">
      <ns0:c r="A371" s="32" t="str">
        <ns0:f>IF($E371="","",INDEX('Banka Dökümü'!$A$2:$A$2001,$E371))</ns0:f>
        <ns0:v/>
      </ns0:c>
      <ns0:c r="B371" s="28" t="str">
        <ns0:f>IF($E371="","",INDEX('Banka Dökümü'!$B$2:$B$2001,$E371))</ns0:f>
        <ns0:v/>
      </ns0:c>
      <ns0:c r="C371" s="33" t="str">
        <ns0:f>IF($E371="","",INDEX('Banka Dökümü'!$C$2:$C$2001,$E371))</ns0:f>
        <ns0:v/>
      </ns0:c>
      <ns0:c r="D371" s="28" t="str">
        <ns0:f>IF(E371="","","Müşteri adı / aranacak ad / il bilgisini kontrol edin")</ns0:f>
        <ns0:v/>
      </ns0:c>
      <ns0:c r="E371" s="28" t="str">
        <ns0:f>IFERROR(MATCH(367,'Banka Dökümü'!$I$2:$I$2001,0),"")</ns0:f>
        <ns0:v/>
      </ns0:c>
    </ns0:row>
    <ns0:row r="372" ht="21" customHeight="1">
      <ns0:c r="A372" s="32" t="str">
        <ns0:f>IF($E372="","",INDEX('Banka Dökümü'!$A$2:$A$2001,$E372))</ns0:f>
        <ns0:v/>
      </ns0:c>
      <ns0:c r="B372" s="28" t="str">
        <ns0:f>IF($E372="","",INDEX('Banka Dökümü'!$B$2:$B$2001,$E372))</ns0:f>
        <ns0:v/>
      </ns0:c>
      <ns0:c r="C372" s="33" t="str">
        <ns0:f>IF($E372="","",INDEX('Banka Dökümü'!$C$2:$C$2001,$E372))</ns0:f>
        <ns0:v/>
      </ns0:c>
      <ns0:c r="D372" s="28" t="str">
        <ns0:f>IF(E372="","","Müşteri adı / aranacak ad / il bilgisini kontrol edin")</ns0:f>
        <ns0:v/>
      </ns0:c>
      <ns0:c r="E372" s="28" t="str">
        <ns0:f>IFERROR(MATCH(368,'Banka Dökümü'!$I$2:$I$2001,0),"")</ns0:f>
        <ns0:v/>
      </ns0:c>
    </ns0:row>
    <ns0:row r="373" ht="21" customHeight="1">
      <ns0:c r="A373" s="32" t="str">
        <ns0:f>IF($E373="","",INDEX('Banka Dökümü'!$A$2:$A$2001,$E373))</ns0:f>
        <ns0:v/>
      </ns0:c>
      <ns0:c r="B373" s="28" t="str">
        <ns0:f>IF($E373="","",INDEX('Banka Dökümü'!$B$2:$B$2001,$E373))</ns0:f>
        <ns0:v/>
      </ns0:c>
      <ns0:c r="C373" s="33" t="str">
        <ns0:f>IF($E373="","",INDEX('Banka Dökümü'!$C$2:$C$2001,$E373))</ns0:f>
        <ns0:v/>
      </ns0:c>
      <ns0:c r="D373" s="28" t="str">
        <ns0:f>IF(E373="","","Müşteri adı / aranacak ad / il bilgisini kontrol edin")</ns0:f>
        <ns0:v/>
      </ns0:c>
      <ns0:c r="E373" s="28" t="str">
        <ns0:f>IFERROR(MATCH(369,'Banka Dökümü'!$I$2:$I$2001,0),"")</ns0:f>
        <ns0:v/>
      </ns0:c>
    </ns0:row>
    <ns0:row r="374" ht="21" customHeight="1">
      <ns0:c r="A374" s="32" t="str">
        <ns0:f>IF($E374="","",INDEX('Banka Dökümü'!$A$2:$A$2001,$E374))</ns0:f>
        <ns0:v/>
      </ns0:c>
      <ns0:c r="B374" s="28" t="str">
        <ns0:f>IF($E374="","",INDEX('Banka Dökümü'!$B$2:$B$2001,$E374))</ns0:f>
        <ns0:v/>
      </ns0:c>
      <ns0:c r="C374" s="33" t="str">
        <ns0:f>IF($E374="","",INDEX('Banka Dökümü'!$C$2:$C$2001,$E374))</ns0:f>
        <ns0:v/>
      </ns0:c>
      <ns0:c r="D374" s="28" t="str">
        <ns0:f>IF(E374="","","Müşteri adı / aranacak ad / il bilgisini kontrol edin")</ns0:f>
        <ns0:v/>
      </ns0:c>
      <ns0:c r="E374" s="28" t="str">
        <ns0:f>IFERROR(MATCH(370,'Banka Dökümü'!$I$2:$I$2001,0),"")</ns0:f>
        <ns0:v/>
      </ns0:c>
    </ns0:row>
    <ns0:row r="375" ht="21" customHeight="1">
      <ns0:c r="A375" s="32" t="str">
        <ns0:f>IF($E375="","",INDEX('Banka Dökümü'!$A$2:$A$2001,$E375))</ns0:f>
        <ns0:v/>
      </ns0:c>
      <ns0:c r="B375" s="28" t="str">
        <ns0:f>IF($E375="","",INDEX('Banka Dökümü'!$B$2:$B$2001,$E375))</ns0:f>
        <ns0:v/>
      </ns0:c>
      <ns0:c r="C375" s="33" t="str">
        <ns0:f>IF($E375="","",INDEX('Banka Dökümü'!$C$2:$C$2001,$E375))</ns0:f>
        <ns0:v/>
      </ns0:c>
      <ns0:c r="D375" s="28" t="str">
        <ns0:f>IF(E375="","","Müşteri adı / aranacak ad / il bilgisini kontrol edin")</ns0:f>
        <ns0:v/>
      </ns0:c>
      <ns0:c r="E375" s="28" t="str">
        <ns0:f>IFERROR(MATCH(371,'Banka Dökümü'!$I$2:$I$2001,0),"")</ns0:f>
        <ns0:v/>
      </ns0:c>
    </ns0:row>
    <ns0:row r="376" ht="21" customHeight="1">
      <ns0:c r="A376" s="32" t="str">
        <ns0:f>IF($E376="","",INDEX('Banka Dökümü'!$A$2:$A$2001,$E376))</ns0:f>
        <ns0:v/>
      </ns0:c>
      <ns0:c r="B376" s="28" t="str">
        <ns0:f>IF($E376="","",INDEX('Banka Dökümü'!$B$2:$B$2001,$E376))</ns0:f>
        <ns0:v/>
      </ns0:c>
      <ns0:c r="C376" s="33" t="str">
        <ns0:f>IF($E376="","",INDEX('Banka Dökümü'!$C$2:$C$2001,$E376))</ns0:f>
        <ns0:v/>
      </ns0:c>
      <ns0:c r="D376" s="28" t="str">
        <ns0:f>IF(E376="","","Müşteri adı / aranacak ad / il bilgisini kontrol edin")</ns0:f>
        <ns0:v/>
      </ns0:c>
      <ns0:c r="E376" s="28" t="str">
        <ns0:f>IFERROR(MATCH(372,'Banka Dökümü'!$I$2:$I$2001,0),"")</ns0:f>
        <ns0:v/>
      </ns0:c>
    </ns0:row>
    <ns0:row r="377" ht="21" customHeight="1">
      <ns0:c r="A377" s="32" t="str">
        <ns0:f>IF($E377="","",INDEX('Banka Dökümü'!$A$2:$A$2001,$E377))</ns0:f>
        <ns0:v/>
      </ns0:c>
      <ns0:c r="B377" s="28" t="str">
        <ns0:f>IF($E377="","",INDEX('Banka Dökümü'!$B$2:$B$2001,$E377))</ns0:f>
        <ns0:v/>
      </ns0:c>
      <ns0:c r="C377" s="33" t="str">
        <ns0:f>IF($E377="","",INDEX('Banka Dökümü'!$C$2:$C$2001,$E377))</ns0:f>
        <ns0:v/>
      </ns0:c>
      <ns0:c r="D377" s="28" t="str">
        <ns0:f>IF(E377="","","Müşteri adı / aranacak ad / il bilgisini kontrol edin")</ns0:f>
        <ns0:v/>
      </ns0:c>
      <ns0:c r="E377" s="28" t="str">
        <ns0:f>IFERROR(MATCH(373,'Banka Dökümü'!$I$2:$I$2001,0),"")</ns0:f>
        <ns0:v/>
      </ns0:c>
    </ns0:row>
    <ns0:row r="378" ht="21" customHeight="1">
      <ns0:c r="A378" s="32" t="str">
        <ns0:f>IF($E378="","",INDEX('Banka Dökümü'!$A$2:$A$2001,$E378))</ns0:f>
        <ns0:v/>
      </ns0:c>
      <ns0:c r="B378" s="28" t="str">
        <ns0:f>IF($E378="","",INDEX('Banka Dökümü'!$B$2:$B$2001,$E378))</ns0:f>
        <ns0:v/>
      </ns0:c>
      <ns0:c r="C378" s="33" t="str">
        <ns0:f>IF($E378="","",INDEX('Banka Dökümü'!$C$2:$C$2001,$E378))</ns0:f>
        <ns0:v/>
      </ns0:c>
      <ns0:c r="D378" s="28" t="str">
        <ns0:f>IF(E378="","","Müşteri adı / aranacak ad / il bilgisini kontrol edin")</ns0:f>
        <ns0:v/>
      </ns0:c>
      <ns0:c r="E378" s="28" t="str">
        <ns0:f>IFERROR(MATCH(374,'Banka Dökümü'!$I$2:$I$2001,0),"")</ns0:f>
        <ns0:v/>
      </ns0:c>
    </ns0:row>
    <ns0:row r="379" ht="21" customHeight="1">
      <ns0:c r="A379" s="32" t="str">
        <ns0:f>IF($E379="","",INDEX('Banka Dökümü'!$A$2:$A$2001,$E379))</ns0:f>
        <ns0:v/>
      </ns0:c>
      <ns0:c r="B379" s="28" t="str">
        <ns0:f>IF($E379="","",INDEX('Banka Dökümü'!$B$2:$B$2001,$E379))</ns0:f>
        <ns0:v/>
      </ns0:c>
      <ns0:c r="C379" s="33" t="str">
        <ns0:f>IF($E379="","",INDEX('Banka Dökümü'!$C$2:$C$2001,$E379))</ns0:f>
        <ns0:v/>
      </ns0:c>
      <ns0:c r="D379" s="28" t="str">
        <ns0:f>IF(E379="","","Müşteri adı / aranacak ad / il bilgisini kontrol edin")</ns0:f>
        <ns0:v/>
      </ns0:c>
      <ns0:c r="E379" s="28" t="str">
        <ns0:f>IFERROR(MATCH(375,'Banka Dökümü'!$I$2:$I$2001,0),"")</ns0:f>
        <ns0:v/>
      </ns0:c>
    </ns0:row>
    <ns0:row r="380" ht="21" customHeight="1">
      <ns0:c r="A380" s="32" t="str">
        <ns0:f>IF($E380="","",INDEX('Banka Dökümü'!$A$2:$A$2001,$E380))</ns0:f>
        <ns0:v/>
      </ns0:c>
      <ns0:c r="B380" s="28" t="str">
        <ns0:f>IF($E380="","",INDEX('Banka Dökümü'!$B$2:$B$2001,$E380))</ns0:f>
        <ns0:v/>
      </ns0:c>
      <ns0:c r="C380" s="33" t="str">
        <ns0:f>IF($E380="","",INDEX('Banka Dökümü'!$C$2:$C$2001,$E380))</ns0:f>
        <ns0:v/>
      </ns0:c>
      <ns0:c r="D380" s="28" t="str">
        <ns0:f>IF(E380="","","Müşteri adı / aranacak ad / il bilgisini kontrol edin")</ns0:f>
        <ns0:v/>
      </ns0:c>
      <ns0:c r="E380" s="28" t="str">
        <ns0:f>IFERROR(MATCH(376,'Banka Dökümü'!$I$2:$I$2001,0),"")</ns0:f>
        <ns0:v/>
      </ns0:c>
    </ns0:row>
    <ns0:row r="381" ht="21" customHeight="1">
      <ns0:c r="A381" s="32" t="str">
        <ns0:f>IF($E381="","",INDEX('Banka Dökümü'!$A$2:$A$2001,$E381))</ns0:f>
        <ns0:v/>
      </ns0:c>
      <ns0:c r="B381" s="28" t="str">
        <ns0:f>IF($E381="","",INDEX('Banka Dökümü'!$B$2:$B$2001,$E381))</ns0:f>
        <ns0:v/>
      </ns0:c>
      <ns0:c r="C381" s="33" t="str">
        <ns0:f>IF($E381="","",INDEX('Banka Dökümü'!$C$2:$C$2001,$E381))</ns0:f>
        <ns0:v/>
      </ns0:c>
      <ns0:c r="D381" s="28" t="str">
        <ns0:f>IF(E381="","","Müşteri adı / aranacak ad / il bilgisini kontrol edin")</ns0:f>
        <ns0:v/>
      </ns0:c>
      <ns0:c r="E381" s="28" t="str">
        <ns0:f>IFERROR(MATCH(377,'Banka Dökümü'!$I$2:$I$2001,0),"")</ns0:f>
        <ns0:v/>
      </ns0:c>
    </ns0:row>
    <ns0:row r="382" ht="21" customHeight="1">
      <ns0:c r="A382" s="32" t="str">
        <ns0:f>IF($E382="","",INDEX('Banka Dökümü'!$A$2:$A$2001,$E382))</ns0:f>
        <ns0:v/>
      </ns0:c>
      <ns0:c r="B382" s="28" t="str">
        <ns0:f>IF($E382="","",INDEX('Banka Dökümü'!$B$2:$B$2001,$E382))</ns0:f>
        <ns0:v/>
      </ns0:c>
      <ns0:c r="C382" s="33" t="str">
        <ns0:f>IF($E382="","",INDEX('Banka Dökümü'!$C$2:$C$2001,$E382))</ns0:f>
        <ns0:v/>
      </ns0:c>
      <ns0:c r="D382" s="28" t="str">
        <ns0:f>IF(E382="","","Müşteri adı / aranacak ad / il bilgisini kontrol edin")</ns0:f>
        <ns0:v/>
      </ns0:c>
      <ns0:c r="E382" s="28" t="str">
        <ns0:f>IFERROR(MATCH(378,'Banka Dökümü'!$I$2:$I$2001,0),"")</ns0:f>
        <ns0:v/>
      </ns0:c>
    </ns0:row>
    <ns0:row r="383" ht="21" customHeight="1">
      <ns0:c r="A383" s="32" t="str">
        <ns0:f>IF($E383="","",INDEX('Banka Dökümü'!$A$2:$A$2001,$E383))</ns0:f>
        <ns0:v/>
      </ns0:c>
      <ns0:c r="B383" s="28" t="str">
        <ns0:f>IF($E383="","",INDEX('Banka Dökümü'!$B$2:$B$2001,$E383))</ns0:f>
        <ns0:v/>
      </ns0:c>
      <ns0:c r="C383" s="33" t="str">
        <ns0:f>IF($E383="","",INDEX('Banka Dökümü'!$C$2:$C$2001,$E383))</ns0:f>
        <ns0:v/>
      </ns0:c>
      <ns0:c r="D383" s="28" t="str">
        <ns0:f>IF(E383="","","Müşteri adı / aranacak ad / il bilgisini kontrol edin")</ns0:f>
        <ns0:v/>
      </ns0:c>
      <ns0:c r="E383" s="28" t="str">
        <ns0:f>IFERROR(MATCH(379,'Banka Dökümü'!$I$2:$I$2001,0),"")</ns0:f>
        <ns0:v/>
      </ns0:c>
    </ns0:row>
    <ns0:row r="384" ht="21" customHeight="1">
      <ns0:c r="A384" s="32" t="str">
        <ns0:f>IF($E384="","",INDEX('Banka Dökümü'!$A$2:$A$2001,$E384))</ns0:f>
        <ns0:v/>
      </ns0:c>
      <ns0:c r="B384" s="28" t="str">
        <ns0:f>IF($E384="","",INDEX('Banka Dökümü'!$B$2:$B$2001,$E384))</ns0:f>
        <ns0:v/>
      </ns0:c>
      <ns0:c r="C384" s="33" t="str">
        <ns0:f>IF($E384="","",INDEX('Banka Dökümü'!$C$2:$C$2001,$E384))</ns0:f>
        <ns0:v/>
      </ns0:c>
      <ns0:c r="D384" s="28" t="str">
        <ns0:f>IF(E384="","","Müşteri adı / aranacak ad / il bilgisini kontrol edin")</ns0:f>
        <ns0:v/>
      </ns0:c>
      <ns0:c r="E384" s="28" t="str">
        <ns0:f>IFERROR(MATCH(380,'Banka Dökümü'!$I$2:$I$2001,0),"")</ns0:f>
        <ns0:v/>
      </ns0:c>
    </ns0:row>
    <ns0:row r="385" ht="21" customHeight="1">
      <ns0:c r="A385" s="32" t="str">
        <ns0:f>IF($E385="","",INDEX('Banka Dökümü'!$A$2:$A$2001,$E385))</ns0:f>
        <ns0:v/>
      </ns0:c>
      <ns0:c r="B385" s="28" t="str">
        <ns0:f>IF($E385="","",INDEX('Banka Dökümü'!$B$2:$B$2001,$E385))</ns0:f>
        <ns0:v/>
      </ns0:c>
      <ns0:c r="C385" s="33" t="str">
        <ns0:f>IF($E385="","",INDEX('Banka Dökümü'!$C$2:$C$2001,$E385))</ns0:f>
        <ns0:v/>
      </ns0:c>
      <ns0:c r="D385" s="28" t="str">
        <ns0:f>IF(E385="","","Müşteri adı / aranacak ad / il bilgisini kontrol edin")</ns0:f>
        <ns0:v/>
      </ns0:c>
      <ns0:c r="E385" s="28" t="str">
        <ns0:f>IFERROR(MATCH(381,'Banka Dökümü'!$I$2:$I$2001,0),"")</ns0:f>
        <ns0:v/>
      </ns0:c>
    </ns0:row>
    <ns0:row r="386" ht="21" customHeight="1">
      <ns0:c r="A386" s="32" t="str">
        <ns0:f>IF($E386="","",INDEX('Banka Dökümü'!$A$2:$A$2001,$E386))</ns0:f>
        <ns0:v/>
      </ns0:c>
      <ns0:c r="B386" s="28" t="str">
        <ns0:f>IF($E386="","",INDEX('Banka Dökümü'!$B$2:$B$2001,$E386))</ns0:f>
        <ns0:v/>
      </ns0:c>
      <ns0:c r="C386" s="33" t="str">
        <ns0:f>IF($E386="","",INDEX('Banka Dökümü'!$C$2:$C$2001,$E386))</ns0:f>
        <ns0:v/>
      </ns0:c>
      <ns0:c r="D386" s="28" t="str">
        <ns0:f>IF(E386="","","Müşteri adı / aranacak ad / il bilgisini kontrol edin")</ns0:f>
        <ns0:v/>
      </ns0:c>
      <ns0:c r="E386" s="28" t="str">
        <ns0:f>IFERROR(MATCH(382,'Banka Dökümü'!$I$2:$I$2001,0),"")</ns0:f>
        <ns0:v/>
      </ns0:c>
    </ns0:row>
    <ns0:row r="387" ht="21" customHeight="1">
      <ns0:c r="A387" s="32" t="str">
        <ns0:f>IF($E387="","",INDEX('Banka Dökümü'!$A$2:$A$2001,$E387))</ns0:f>
        <ns0:v/>
      </ns0:c>
      <ns0:c r="B387" s="28" t="str">
        <ns0:f>IF($E387="","",INDEX('Banka Dökümü'!$B$2:$B$2001,$E387))</ns0:f>
        <ns0:v/>
      </ns0:c>
      <ns0:c r="C387" s="33" t="str">
        <ns0:f>IF($E387="","",INDEX('Banka Dökümü'!$C$2:$C$2001,$E387))</ns0:f>
        <ns0:v/>
      </ns0:c>
      <ns0:c r="D387" s="28" t="str">
        <ns0:f>IF(E387="","","Müşteri adı / aranacak ad / il bilgisini kontrol edin")</ns0:f>
        <ns0:v/>
      </ns0:c>
      <ns0:c r="E387" s="28" t="str">
        <ns0:f>IFERROR(MATCH(383,'Banka Dökümü'!$I$2:$I$2001,0),"")</ns0:f>
        <ns0:v/>
      </ns0:c>
    </ns0:row>
    <ns0:row r="388" ht="21" customHeight="1">
      <ns0:c r="A388" s="32" t="str">
        <ns0:f>IF($E388="","",INDEX('Banka Dökümü'!$A$2:$A$2001,$E388))</ns0:f>
        <ns0:v/>
      </ns0:c>
      <ns0:c r="B388" s="28" t="str">
        <ns0:f>IF($E388="","",INDEX('Banka Dökümü'!$B$2:$B$2001,$E388))</ns0:f>
        <ns0:v/>
      </ns0:c>
      <ns0:c r="C388" s="33" t="str">
        <ns0:f>IF($E388="","",INDEX('Banka Dökümü'!$C$2:$C$2001,$E388))</ns0:f>
        <ns0:v/>
      </ns0:c>
      <ns0:c r="D388" s="28" t="str">
        <ns0:f>IF(E388="","","Müşteri adı / aranacak ad / il bilgisini kontrol edin")</ns0:f>
        <ns0:v/>
      </ns0:c>
      <ns0:c r="E388" s="28" t="str">
        <ns0:f>IFERROR(MATCH(384,'Banka Dökümü'!$I$2:$I$2001,0),"")</ns0:f>
        <ns0:v/>
      </ns0:c>
    </ns0:row>
    <ns0:row r="389" ht="21" customHeight="1">
      <ns0:c r="A389" s="32" t="str">
        <ns0:f>IF($E389="","",INDEX('Banka Dökümü'!$A$2:$A$2001,$E389))</ns0:f>
        <ns0:v/>
      </ns0:c>
      <ns0:c r="B389" s="28" t="str">
        <ns0:f>IF($E389="","",INDEX('Banka Dökümü'!$B$2:$B$2001,$E389))</ns0:f>
        <ns0:v/>
      </ns0:c>
      <ns0:c r="C389" s="33" t="str">
        <ns0:f>IF($E389="","",INDEX('Banka Dökümü'!$C$2:$C$2001,$E389))</ns0:f>
        <ns0:v/>
      </ns0:c>
      <ns0:c r="D389" s="28" t="str">
        <ns0:f>IF(E389="","","Müşteri adı / aranacak ad / il bilgisini kontrol edin")</ns0:f>
        <ns0:v/>
      </ns0:c>
      <ns0:c r="E389" s="28" t="str">
        <ns0:f>IFERROR(MATCH(385,'Banka Dökümü'!$I$2:$I$2001,0),"")</ns0:f>
        <ns0:v/>
      </ns0:c>
    </ns0:row>
    <ns0:row r="390" ht="21" customHeight="1">
      <ns0:c r="A390" s="32" t="str">
        <ns0:f>IF($E390="","",INDEX('Banka Dökümü'!$A$2:$A$2001,$E390))</ns0:f>
        <ns0:v/>
      </ns0:c>
      <ns0:c r="B390" s="28" t="str">
        <ns0:f>IF($E390="","",INDEX('Banka Dökümü'!$B$2:$B$2001,$E390))</ns0:f>
        <ns0:v/>
      </ns0:c>
      <ns0:c r="C390" s="33" t="str">
        <ns0:f>IF($E390="","",INDEX('Banka Dökümü'!$C$2:$C$2001,$E390))</ns0:f>
        <ns0:v/>
      </ns0:c>
      <ns0:c r="D390" s="28" t="str">
        <ns0:f>IF(E390="","","Müşteri adı / aranacak ad / il bilgisini kontrol edin")</ns0:f>
        <ns0:v/>
      </ns0:c>
      <ns0:c r="E390" s="28" t="str">
        <ns0:f>IFERROR(MATCH(386,'Banka Dökümü'!$I$2:$I$2001,0),"")</ns0:f>
        <ns0:v/>
      </ns0:c>
    </ns0:row>
    <ns0:row r="391" ht="21" customHeight="1">
      <ns0:c r="A391" s="32" t="str">
        <ns0:f>IF($E391="","",INDEX('Banka Dökümü'!$A$2:$A$2001,$E391))</ns0:f>
        <ns0:v/>
      </ns0:c>
      <ns0:c r="B391" s="28" t="str">
        <ns0:f>IF($E391="","",INDEX('Banka Dökümü'!$B$2:$B$2001,$E391))</ns0:f>
        <ns0:v/>
      </ns0:c>
      <ns0:c r="C391" s="33" t="str">
        <ns0:f>IF($E391="","",INDEX('Banka Dökümü'!$C$2:$C$2001,$E391))</ns0:f>
        <ns0:v/>
      </ns0:c>
      <ns0:c r="D391" s="28" t="str">
        <ns0:f>IF(E391="","","Müşteri adı / aranacak ad / il bilgisini kontrol edin")</ns0:f>
        <ns0:v/>
      </ns0:c>
      <ns0:c r="E391" s="28" t="str">
        <ns0:f>IFERROR(MATCH(387,'Banka Dökümü'!$I$2:$I$2001,0),"")</ns0:f>
        <ns0:v/>
      </ns0:c>
    </ns0:row>
    <ns0:row r="392" ht="21" customHeight="1">
      <ns0:c r="A392" s="32" t="str">
        <ns0:f>IF($E392="","",INDEX('Banka Dökümü'!$A$2:$A$2001,$E392))</ns0:f>
        <ns0:v/>
      </ns0:c>
      <ns0:c r="B392" s="28" t="str">
        <ns0:f>IF($E392="","",INDEX('Banka Dökümü'!$B$2:$B$2001,$E392))</ns0:f>
        <ns0:v/>
      </ns0:c>
      <ns0:c r="C392" s="33" t="str">
        <ns0:f>IF($E392="","",INDEX('Banka Dökümü'!$C$2:$C$2001,$E392))</ns0:f>
        <ns0:v/>
      </ns0:c>
      <ns0:c r="D392" s="28" t="str">
        <ns0:f>IF(E392="","","Müşteri adı / aranacak ad / il bilgisini kontrol edin")</ns0:f>
        <ns0:v/>
      </ns0:c>
      <ns0:c r="E392" s="28" t="str">
        <ns0:f>IFERROR(MATCH(388,'Banka Dökümü'!$I$2:$I$2001,0),"")</ns0:f>
        <ns0:v/>
      </ns0:c>
    </ns0:row>
    <ns0:row r="393" ht="21" customHeight="1">
      <ns0:c r="A393" s="32" t="str">
        <ns0:f>IF($E393="","",INDEX('Banka Dökümü'!$A$2:$A$2001,$E393))</ns0:f>
        <ns0:v/>
      </ns0:c>
      <ns0:c r="B393" s="28" t="str">
        <ns0:f>IF($E393="","",INDEX('Banka Dökümü'!$B$2:$B$2001,$E393))</ns0:f>
        <ns0:v/>
      </ns0:c>
      <ns0:c r="C393" s="33" t="str">
        <ns0:f>IF($E393="","",INDEX('Banka Dökümü'!$C$2:$C$2001,$E393))</ns0:f>
        <ns0:v/>
      </ns0:c>
      <ns0:c r="D393" s="28" t="str">
        <ns0:f>IF(E393="","","Müşteri adı / aranacak ad / il bilgisini kontrol edin")</ns0:f>
        <ns0:v/>
      </ns0:c>
      <ns0:c r="E393" s="28" t="str">
        <ns0:f>IFERROR(MATCH(389,'Banka Dökümü'!$I$2:$I$2001,0),"")</ns0:f>
        <ns0:v/>
      </ns0:c>
    </ns0:row>
    <ns0:row r="394" ht="21" customHeight="1">
      <ns0:c r="A394" s="32" t="str">
        <ns0:f>IF($E394="","",INDEX('Banka Dökümü'!$A$2:$A$2001,$E394))</ns0:f>
        <ns0:v/>
      </ns0:c>
      <ns0:c r="B394" s="28" t="str">
        <ns0:f>IF($E394="","",INDEX('Banka Dökümü'!$B$2:$B$2001,$E394))</ns0:f>
        <ns0:v/>
      </ns0:c>
      <ns0:c r="C394" s="33" t="str">
        <ns0:f>IF($E394="","",INDEX('Banka Dökümü'!$C$2:$C$2001,$E394))</ns0:f>
        <ns0:v/>
      </ns0:c>
      <ns0:c r="D394" s="28" t="str">
        <ns0:f>IF(E394="","","Müşteri adı / aranacak ad / il bilgisini kontrol edin")</ns0:f>
        <ns0:v/>
      </ns0:c>
      <ns0:c r="E394" s="28" t="str">
        <ns0:f>IFERROR(MATCH(390,'Banka Dökümü'!$I$2:$I$2001,0),"")</ns0:f>
        <ns0:v/>
      </ns0:c>
    </ns0:row>
    <ns0:row r="395" ht="21" customHeight="1">
      <ns0:c r="A395" s="32" t="str">
        <ns0:f>IF($E395="","",INDEX('Banka Dökümü'!$A$2:$A$2001,$E395))</ns0:f>
        <ns0:v/>
      </ns0:c>
      <ns0:c r="B395" s="28" t="str">
        <ns0:f>IF($E395="","",INDEX('Banka Dökümü'!$B$2:$B$2001,$E395))</ns0:f>
        <ns0:v/>
      </ns0:c>
      <ns0:c r="C395" s="33" t="str">
        <ns0:f>IF($E395="","",INDEX('Banka Dökümü'!$C$2:$C$2001,$E395))</ns0:f>
        <ns0:v/>
      </ns0:c>
      <ns0:c r="D395" s="28" t="str">
        <ns0:f>IF(E395="","","Müşteri adı / aranacak ad / il bilgisini kontrol edin")</ns0:f>
        <ns0:v/>
      </ns0:c>
      <ns0:c r="E395" s="28" t="str">
        <ns0:f>IFERROR(MATCH(391,'Banka Dökümü'!$I$2:$I$2001,0),"")</ns0:f>
        <ns0:v/>
      </ns0:c>
    </ns0:row>
    <ns0:row r="396" ht="21" customHeight="1">
      <ns0:c r="A396" s="32" t="str">
        <ns0:f>IF($E396="","",INDEX('Banka Dökümü'!$A$2:$A$2001,$E396))</ns0:f>
        <ns0:v/>
      </ns0:c>
      <ns0:c r="B396" s="28" t="str">
        <ns0:f>IF($E396="","",INDEX('Banka Dökümü'!$B$2:$B$2001,$E396))</ns0:f>
        <ns0:v/>
      </ns0:c>
      <ns0:c r="C396" s="33" t="str">
        <ns0:f>IF($E396="","",INDEX('Banka Dökümü'!$C$2:$C$2001,$E396))</ns0:f>
        <ns0:v/>
      </ns0:c>
      <ns0:c r="D396" s="28" t="str">
        <ns0:f>IF(E396="","","Müşteri adı / aranacak ad / il bilgisini kontrol edin")</ns0:f>
        <ns0:v/>
      </ns0:c>
      <ns0:c r="E396" s="28" t="str">
        <ns0:f>IFERROR(MATCH(392,'Banka Dökümü'!$I$2:$I$2001,0),"")</ns0:f>
        <ns0:v/>
      </ns0:c>
    </ns0:row>
    <ns0:row r="397" ht="21" customHeight="1">
      <ns0:c r="A397" s="32" t="str">
        <ns0:f>IF($E397="","",INDEX('Banka Dökümü'!$A$2:$A$2001,$E397))</ns0:f>
        <ns0:v/>
      </ns0:c>
      <ns0:c r="B397" s="28" t="str">
        <ns0:f>IF($E397="","",INDEX('Banka Dökümü'!$B$2:$B$2001,$E397))</ns0:f>
        <ns0:v/>
      </ns0:c>
      <ns0:c r="C397" s="33" t="str">
        <ns0:f>IF($E397="","",INDEX('Banka Dökümü'!$C$2:$C$2001,$E397))</ns0:f>
        <ns0:v/>
      </ns0:c>
      <ns0:c r="D397" s="28" t="str">
        <ns0:f>IF(E397="","","Müşteri adı / aranacak ad / il bilgisini kontrol edin")</ns0:f>
        <ns0:v/>
      </ns0:c>
      <ns0:c r="E397" s="28" t="str">
        <ns0:f>IFERROR(MATCH(393,'Banka Dökümü'!$I$2:$I$2001,0),"")</ns0:f>
        <ns0:v/>
      </ns0:c>
    </ns0:row>
    <ns0:row r="398" ht="21" customHeight="1">
      <ns0:c r="A398" s="32" t="str">
        <ns0:f>IF($E398="","",INDEX('Banka Dökümü'!$A$2:$A$2001,$E398))</ns0:f>
        <ns0:v/>
      </ns0:c>
      <ns0:c r="B398" s="28" t="str">
        <ns0:f>IF($E398="","",INDEX('Banka Dökümü'!$B$2:$B$2001,$E398))</ns0:f>
        <ns0:v/>
      </ns0:c>
      <ns0:c r="C398" s="33" t="str">
        <ns0:f>IF($E398="","",INDEX('Banka Dökümü'!$C$2:$C$2001,$E398))</ns0:f>
        <ns0:v/>
      </ns0:c>
      <ns0:c r="D398" s="28" t="str">
        <ns0:f>IF(E398="","","Müşteri adı / aranacak ad / il bilgisini kontrol edin")</ns0:f>
        <ns0:v/>
      </ns0:c>
      <ns0:c r="E398" s="28" t="str">
        <ns0:f>IFERROR(MATCH(394,'Banka Dökümü'!$I$2:$I$2001,0),"")</ns0:f>
        <ns0:v/>
      </ns0:c>
    </ns0:row>
    <ns0:row r="399" ht="21" customHeight="1">
      <ns0:c r="A399" s="32" t="str">
        <ns0:f>IF($E399="","",INDEX('Banka Dökümü'!$A$2:$A$2001,$E399))</ns0:f>
        <ns0:v/>
      </ns0:c>
      <ns0:c r="B399" s="28" t="str">
        <ns0:f>IF($E399="","",INDEX('Banka Dökümü'!$B$2:$B$2001,$E399))</ns0:f>
        <ns0:v/>
      </ns0:c>
      <ns0:c r="C399" s="33" t="str">
        <ns0:f>IF($E399="","",INDEX('Banka Dökümü'!$C$2:$C$2001,$E399))</ns0:f>
        <ns0:v/>
      </ns0:c>
      <ns0:c r="D399" s="28" t="str">
        <ns0:f>IF(E399="","","Müşteri adı / aranacak ad / il bilgisini kontrol edin")</ns0:f>
        <ns0:v/>
      </ns0:c>
      <ns0:c r="E399" s="28" t="str">
        <ns0:f>IFERROR(MATCH(395,'Banka Dökümü'!$I$2:$I$2001,0),"")</ns0:f>
        <ns0:v/>
      </ns0:c>
    </ns0:row>
    <ns0:row r="400" ht="21" customHeight="1">
      <ns0:c r="A400" s="32" t="str">
        <ns0:f>IF($E400="","",INDEX('Banka Dökümü'!$A$2:$A$2001,$E400))</ns0:f>
        <ns0:v/>
      </ns0:c>
      <ns0:c r="B400" s="28" t="str">
        <ns0:f>IF($E400="","",INDEX('Banka Dökümü'!$B$2:$B$2001,$E400))</ns0:f>
        <ns0:v/>
      </ns0:c>
      <ns0:c r="C400" s="33" t="str">
        <ns0:f>IF($E400="","",INDEX('Banka Dökümü'!$C$2:$C$2001,$E400))</ns0:f>
        <ns0:v/>
      </ns0:c>
      <ns0:c r="D400" s="28" t="str">
        <ns0:f>IF(E400="","","Müşteri adı / aranacak ad / il bilgisini kontrol edin")</ns0:f>
        <ns0:v/>
      </ns0:c>
      <ns0:c r="E400" s="28" t="str">
        <ns0:f>IFERROR(MATCH(396,'Banka Dökümü'!$I$2:$I$2001,0),"")</ns0:f>
        <ns0:v/>
      </ns0:c>
    </ns0:row>
    <ns0:row r="401" ht="21" customHeight="1">
      <ns0:c r="A401" s="32" t="str">
        <ns0:f>IF($E401="","",INDEX('Banka Dökümü'!$A$2:$A$2001,$E401))</ns0:f>
        <ns0:v/>
      </ns0:c>
      <ns0:c r="B401" s="28" t="str">
        <ns0:f>IF($E401="","",INDEX('Banka Dökümü'!$B$2:$B$2001,$E401))</ns0:f>
        <ns0:v/>
      </ns0:c>
      <ns0:c r="C401" s="33" t="str">
        <ns0:f>IF($E401="","",INDEX('Banka Dökümü'!$C$2:$C$2001,$E401))</ns0:f>
        <ns0:v/>
      </ns0:c>
      <ns0:c r="D401" s="28" t="str">
        <ns0:f>IF(E401="","","Müşteri adı / aranacak ad / il bilgisini kontrol edin")</ns0:f>
        <ns0:v/>
      </ns0:c>
      <ns0:c r="E401" s="28" t="str">
        <ns0:f>IFERROR(MATCH(397,'Banka Dökümü'!$I$2:$I$2001,0),"")</ns0:f>
        <ns0:v/>
      </ns0:c>
    </ns0:row>
    <ns0:row r="402" ht="21" customHeight="1">
      <ns0:c r="A402" s="32" t="str">
        <ns0:f>IF($E402="","",INDEX('Banka Dökümü'!$A$2:$A$2001,$E402))</ns0:f>
        <ns0:v/>
      </ns0:c>
      <ns0:c r="B402" s="28" t="str">
        <ns0:f>IF($E402="","",INDEX('Banka Dökümü'!$B$2:$B$2001,$E402))</ns0:f>
        <ns0:v/>
      </ns0:c>
      <ns0:c r="C402" s="33" t="str">
        <ns0:f>IF($E402="","",INDEX('Banka Dökümü'!$C$2:$C$2001,$E402))</ns0:f>
        <ns0:v/>
      </ns0:c>
      <ns0:c r="D402" s="28" t="str">
        <ns0:f>IF(E402="","","Müşteri adı / aranacak ad / il bilgisini kontrol edin")</ns0:f>
        <ns0:v/>
      </ns0:c>
      <ns0:c r="E402" s="28" t="str">
        <ns0:f>IFERROR(MATCH(398,'Banka Dökümü'!$I$2:$I$2001,0),"")</ns0:f>
        <ns0:v/>
      </ns0:c>
    </ns0:row>
    <ns0:row r="403" ht="21" customHeight="1">
      <ns0:c r="A403" s="32" t="str">
        <ns0:f>IF($E403="","",INDEX('Banka Dökümü'!$A$2:$A$2001,$E403))</ns0:f>
        <ns0:v/>
      </ns0:c>
      <ns0:c r="B403" s="28" t="str">
        <ns0:f>IF($E403="","",INDEX('Banka Dökümü'!$B$2:$B$2001,$E403))</ns0:f>
        <ns0:v/>
      </ns0:c>
      <ns0:c r="C403" s="33" t="str">
        <ns0:f>IF($E403="","",INDEX('Banka Dökümü'!$C$2:$C$2001,$E403))</ns0:f>
        <ns0:v/>
      </ns0:c>
      <ns0:c r="D403" s="28" t="str">
        <ns0:f>IF(E403="","","Müşteri adı / aranacak ad / il bilgisini kontrol edin")</ns0:f>
        <ns0:v/>
      </ns0:c>
      <ns0:c r="E403" s="28" t="str">
        <ns0:f>IFERROR(MATCH(399,'Banka Dökümü'!$I$2:$I$2001,0),"")</ns0:f>
        <ns0:v/>
      </ns0:c>
    </ns0:row>
    <ns0:row r="404" ht="21" customHeight="1">
      <ns0:c r="A404" s="32" t="str">
        <ns0:f>IF($E404="","",INDEX('Banka Dökümü'!$A$2:$A$2001,$E404))</ns0:f>
        <ns0:v/>
      </ns0:c>
      <ns0:c r="B404" s="28" t="str">
        <ns0:f>IF($E404="","",INDEX('Banka Dökümü'!$B$2:$B$2001,$E404))</ns0:f>
        <ns0:v/>
      </ns0:c>
      <ns0:c r="C404" s="33" t="str">
        <ns0:f>IF($E404="","",INDEX('Banka Dökümü'!$C$2:$C$2001,$E404))</ns0:f>
        <ns0:v/>
      </ns0:c>
      <ns0:c r="D404" s="28" t="str">
        <ns0:f>IF(E404="","","Müşteri adı / aranacak ad / il bilgisini kontrol edin")</ns0:f>
        <ns0:v/>
      </ns0:c>
      <ns0:c r="E404" s="28" t="str">
        <ns0:f>IFERROR(MATCH(400,'Banka Dökümü'!$I$2:$I$2001,0),"")</ns0:f>
        <ns0:v/>
      </ns0:c>
    </ns0:row>
    <ns0:row r="405" ht="21" customHeight="1">
      <ns0:c r="A405" s="32" t="str">
        <ns0:f>IF($E405="","",INDEX('Banka Dökümü'!$A$2:$A$2001,$E405))</ns0:f>
        <ns0:v/>
      </ns0:c>
      <ns0:c r="B405" s="28" t="str">
        <ns0:f>IF($E405="","",INDEX('Banka Dökümü'!$B$2:$B$2001,$E405))</ns0:f>
        <ns0:v/>
      </ns0:c>
      <ns0:c r="C405" s="33" t="str">
        <ns0:f>IF($E405="","",INDEX('Banka Dökümü'!$C$2:$C$2001,$E405))</ns0:f>
        <ns0:v/>
      </ns0:c>
      <ns0:c r="D405" s="28" t="str">
        <ns0:f>IF(E405="","","Müşteri adı / aranacak ad / il bilgisini kontrol edin")</ns0:f>
        <ns0:v/>
      </ns0:c>
      <ns0:c r="E405" s="28" t="str">
        <ns0:f>IFERROR(MATCH(401,'Banka Dökümü'!$I$2:$I$2001,0),"")</ns0:f>
        <ns0:v/>
      </ns0:c>
    </ns0:row>
    <ns0:row r="406" ht="21" customHeight="1">
      <ns0:c r="A406" s="32" t="str">
        <ns0:f>IF($E406="","",INDEX('Banka Dökümü'!$A$2:$A$2001,$E406))</ns0:f>
        <ns0:v/>
      </ns0:c>
      <ns0:c r="B406" s="28" t="str">
        <ns0:f>IF($E406="","",INDEX('Banka Dökümü'!$B$2:$B$2001,$E406))</ns0:f>
        <ns0:v/>
      </ns0:c>
      <ns0:c r="C406" s="33" t="str">
        <ns0:f>IF($E406="","",INDEX('Banka Dökümü'!$C$2:$C$2001,$E406))</ns0:f>
        <ns0:v/>
      </ns0:c>
      <ns0:c r="D406" s="28" t="str">
        <ns0:f>IF(E406="","","Müşteri adı / aranacak ad / il bilgisini kontrol edin")</ns0:f>
        <ns0:v/>
      </ns0:c>
      <ns0:c r="E406" s="28" t="str">
        <ns0:f>IFERROR(MATCH(402,'Banka Dökümü'!$I$2:$I$2001,0),"")</ns0:f>
        <ns0:v/>
      </ns0:c>
    </ns0:row>
    <ns0:row r="407" ht="21" customHeight="1">
      <ns0:c r="A407" s="32" t="str">
        <ns0:f>IF($E407="","",INDEX('Banka Dökümü'!$A$2:$A$2001,$E407))</ns0:f>
        <ns0:v/>
      </ns0:c>
      <ns0:c r="B407" s="28" t="str">
        <ns0:f>IF($E407="","",INDEX('Banka Dökümü'!$B$2:$B$2001,$E407))</ns0:f>
        <ns0:v/>
      </ns0:c>
      <ns0:c r="C407" s="33" t="str">
        <ns0:f>IF($E407="","",INDEX('Banka Dökümü'!$C$2:$C$2001,$E407))</ns0:f>
        <ns0:v/>
      </ns0:c>
      <ns0:c r="D407" s="28" t="str">
        <ns0:f>IF(E407="","","Müşteri adı / aranacak ad / il bilgisini kontrol edin")</ns0:f>
        <ns0:v/>
      </ns0:c>
      <ns0:c r="E407" s="28" t="str">
        <ns0:f>IFERROR(MATCH(403,'Banka Dökümü'!$I$2:$I$2001,0),"")</ns0:f>
        <ns0:v/>
      </ns0:c>
    </ns0:row>
    <ns0:row r="408" ht="21" customHeight="1">
      <ns0:c r="A408" s="32" t="str">
        <ns0:f>IF($E408="","",INDEX('Banka Dökümü'!$A$2:$A$2001,$E408))</ns0:f>
        <ns0:v/>
      </ns0:c>
      <ns0:c r="B408" s="28" t="str">
        <ns0:f>IF($E408="","",INDEX('Banka Dökümü'!$B$2:$B$2001,$E408))</ns0:f>
        <ns0:v/>
      </ns0:c>
      <ns0:c r="C408" s="33" t="str">
        <ns0:f>IF($E408="","",INDEX('Banka Dökümü'!$C$2:$C$2001,$E408))</ns0:f>
        <ns0:v/>
      </ns0:c>
      <ns0:c r="D408" s="28" t="str">
        <ns0:f>IF(E408="","","Müşteri adı / aranacak ad / il bilgisini kontrol edin")</ns0:f>
        <ns0:v/>
      </ns0:c>
      <ns0:c r="E408" s="28" t="str">
        <ns0:f>IFERROR(MATCH(404,'Banka Dökümü'!$I$2:$I$2001,0),"")</ns0:f>
        <ns0:v/>
      </ns0:c>
    </ns0:row>
    <ns0:row r="409" ht="21" customHeight="1">
      <ns0:c r="A409" s="32" t="str">
        <ns0:f>IF($E409="","",INDEX('Banka Dökümü'!$A$2:$A$2001,$E409))</ns0:f>
        <ns0:v/>
      </ns0:c>
      <ns0:c r="B409" s="28" t="str">
        <ns0:f>IF($E409="","",INDEX('Banka Dökümü'!$B$2:$B$2001,$E409))</ns0:f>
        <ns0:v/>
      </ns0:c>
      <ns0:c r="C409" s="33" t="str">
        <ns0:f>IF($E409="","",INDEX('Banka Dökümü'!$C$2:$C$2001,$E409))</ns0:f>
        <ns0:v/>
      </ns0:c>
      <ns0:c r="D409" s="28" t="str">
        <ns0:f>IF(E409="","","Müşteri adı / aranacak ad / il bilgisini kontrol edin")</ns0:f>
        <ns0:v/>
      </ns0:c>
      <ns0:c r="E409" s="28" t="str">
        <ns0:f>IFERROR(MATCH(405,'Banka Dökümü'!$I$2:$I$2001,0),"")</ns0:f>
        <ns0:v/>
      </ns0:c>
    </ns0:row>
    <ns0:row r="410" ht="21" customHeight="1">
      <ns0:c r="A410" s="32" t="str">
        <ns0:f>IF($E410="","",INDEX('Banka Dökümü'!$A$2:$A$2001,$E410))</ns0:f>
        <ns0:v/>
      </ns0:c>
      <ns0:c r="B410" s="28" t="str">
        <ns0:f>IF($E410="","",INDEX('Banka Dökümü'!$B$2:$B$2001,$E410))</ns0:f>
        <ns0:v/>
      </ns0:c>
      <ns0:c r="C410" s="33" t="str">
        <ns0:f>IF($E410="","",INDEX('Banka Dökümü'!$C$2:$C$2001,$E410))</ns0:f>
        <ns0:v/>
      </ns0:c>
      <ns0:c r="D410" s="28" t="str">
        <ns0:f>IF(E410="","","Müşteri adı / aranacak ad / il bilgisini kontrol edin")</ns0:f>
        <ns0:v/>
      </ns0:c>
      <ns0:c r="E410" s="28" t="str">
        <ns0:f>IFERROR(MATCH(406,'Banka Dökümü'!$I$2:$I$2001,0),"")</ns0:f>
        <ns0:v/>
      </ns0:c>
    </ns0:row>
    <ns0:row r="411" ht="21" customHeight="1">
      <ns0:c r="A411" s="32" t="str">
        <ns0:f>IF($E411="","",INDEX('Banka Dökümü'!$A$2:$A$2001,$E411))</ns0:f>
        <ns0:v/>
      </ns0:c>
      <ns0:c r="B411" s="28" t="str">
        <ns0:f>IF($E411="","",INDEX('Banka Dökümü'!$B$2:$B$2001,$E411))</ns0:f>
        <ns0:v/>
      </ns0:c>
      <ns0:c r="C411" s="33" t="str">
        <ns0:f>IF($E411="","",INDEX('Banka Dökümü'!$C$2:$C$2001,$E411))</ns0:f>
        <ns0:v/>
      </ns0:c>
      <ns0:c r="D411" s="28" t="str">
        <ns0:f>IF(E411="","","Müşteri adı / aranacak ad / il bilgisini kontrol edin")</ns0:f>
        <ns0:v/>
      </ns0:c>
      <ns0:c r="E411" s="28" t="str">
        <ns0:f>IFERROR(MATCH(407,'Banka Dökümü'!$I$2:$I$2001,0),"")</ns0:f>
        <ns0:v/>
      </ns0:c>
    </ns0:row>
    <ns0:row r="412" ht="21" customHeight="1">
      <ns0:c r="A412" s="32" t="str">
        <ns0:f>IF($E412="","",INDEX('Banka Dökümü'!$A$2:$A$2001,$E412))</ns0:f>
        <ns0:v/>
      </ns0:c>
      <ns0:c r="B412" s="28" t="str">
        <ns0:f>IF($E412="","",INDEX('Banka Dökümü'!$B$2:$B$2001,$E412))</ns0:f>
        <ns0:v/>
      </ns0:c>
      <ns0:c r="C412" s="33" t="str">
        <ns0:f>IF($E412="","",INDEX('Banka Dökümü'!$C$2:$C$2001,$E412))</ns0:f>
        <ns0:v/>
      </ns0:c>
      <ns0:c r="D412" s="28" t="str">
        <ns0:f>IF(E412="","","Müşteri adı / aranacak ad / il bilgisini kontrol edin")</ns0:f>
        <ns0:v/>
      </ns0:c>
      <ns0:c r="E412" s="28" t="str">
        <ns0:f>IFERROR(MATCH(408,'Banka Dökümü'!$I$2:$I$2001,0),"")</ns0:f>
        <ns0:v/>
      </ns0:c>
    </ns0:row>
    <ns0:row r="413" ht="21" customHeight="1">
      <ns0:c r="A413" s="32" t="str">
        <ns0:f>IF($E413="","",INDEX('Banka Dökümü'!$A$2:$A$2001,$E413))</ns0:f>
        <ns0:v/>
      </ns0:c>
      <ns0:c r="B413" s="28" t="str">
        <ns0:f>IF($E413="","",INDEX('Banka Dökümü'!$B$2:$B$2001,$E413))</ns0:f>
        <ns0:v/>
      </ns0:c>
      <ns0:c r="C413" s="33" t="str">
        <ns0:f>IF($E413="","",INDEX('Banka Dökümü'!$C$2:$C$2001,$E413))</ns0:f>
        <ns0:v/>
      </ns0:c>
      <ns0:c r="D413" s="28" t="str">
        <ns0:f>IF(E413="","","Müşteri adı / aranacak ad / il bilgisini kontrol edin")</ns0:f>
        <ns0:v/>
      </ns0:c>
      <ns0:c r="E413" s="28" t="str">
        <ns0:f>IFERROR(MATCH(409,'Banka Dökümü'!$I$2:$I$2001,0),"")</ns0:f>
        <ns0:v/>
      </ns0:c>
    </ns0:row>
    <ns0:row r="414" ht="21" customHeight="1">
      <ns0:c r="A414" s="32" t="str">
        <ns0:f>IF($E414="","",INDEX('Banka Dökümü'!$A$2:$A$2001,$E414))</ns0:f>
        <ns0:v/>
      </ns0:c>
      <ns0:c r="B414" s="28" t="str">
        <ns0:f>IF($E414="","",INDEX('Banka Dökümü'!$B$2:$B$2001,$E414))</ns0:f>
        <ns0:v/>
      </ns0:c>
      <ns0:c r="C414" s="33" t="str">
        <ns0:f>IF($E414="","",INDEX('Banka Dökümü'!$C$2:$C$2001,$E414))</ns0:f>
        <ns0:v/>
      </ns0:c>
      <ns0:c r="D414" s="28" t="str">
        <ns0:f>IF(E414="","","Müşteri adı / aranacak ad / il bilgisini kontrol edin")</ns0:f>
        <ns0:v/>
      </ns0:c>
      <ns0:c r="E414" s="28" t="str">
        <ns0:f>IFERROR(MATCH(410,'Banka Dökümü'!$I$2:$I$2001,0),"")</ns0:f>
        <ns0:v/>
      </ns0:c>
    </ns0:row>
    <ns0:row r="415" ht="21" customHeight="1">
      <ns0:c r="A415" s="32" t="str">
        <ns0:f>IF($E415="","",INDEX('Banka Dökümü'!$A$2:$A$2001,$E415))</ns0:f>
        <ns0:v/>
      </ns0:c>
      <ns0:c r="B415" s="28" t="str">
        <ns0:f>IF($E415="","",INDEX('Banka Dökümü'!$B$2:$B$2001,$E415))</ns0:f>
        <ns0:v/>
      </ns0:c>
      <ns0:c r="C415" s="33" t="str">
        <ns0:f>IF($E415="","",INDEX('Banka Dökümü'!$C$2:$C$2001,$E415))</ns0:f>
        <ns0:v/>
      </ns0:c>
      <ns0:c r="D415" s="28" t="str">
        <ns0:f>IF(E415="","","Müşteri adı / aranacak ad / il bilgisini kontrol edin")</ns0:f>
        <ns0:v/>
      </ns0:c>
      <ns0:c r="E415" s="28" t="str">
        <ns0:f>IFERROR(MATCH(411,'Banka Dökümü'!$I$2:$I$2001,0),"")</ns0:f>
        <ns0:v/>
      </ns0:c>
    </ns0:row>
    <ns0:row r="416" ht="21" customHeight="1">
      <ns0:c r="A416" s="32" t="str">
        <ns0:f>IF($E416="","",INDEX('Banka Dökümü'!$A$2:$A$2001,$E416))</ns0:f>
        <ns0:v/>
      </ns0:c>
      <ns0:c r="B416" s="28" t="str">
        <ns0:f>IF($E416="","",INDEX('Banka Dökümü'!$B$2:$B$2001,$E416))</ns0:f>
        <ns0:v/>
      </ns0:c>
      <ns0:c r="C416" s="33" t="str">
        <ns0:f>IF($E416="","",INDEX('Banka Dökümü'!$C$2:$C$2001,$E416))</ns0:f>
        <ns0:v/>
      </ns0:c>
      <ns0:c r="D416" s="28" t="str">
        <ns0:f>IF(E416="","","Müşteri adı / aranacak ad / il bilgisini kontrol edin")</ns0:f>
        <ns0:v/>
      </ns0:c>
      <ns0:c r="E416" s="28" t="str">
        <ns0:f>IFERROR(MATCH(412,'Banka Dökümü'!$I$2:$I$2001,0),"")</ns0:f>
        <ns0:v/>
      </ns0:c>
    </ns0:row>
    <ns0:row r="417" ht="21" customHeight="1">
      <ns0:c r="A417" s="32" t="str">
        <ns0:f>IF($E417="","",INDEX('Banka Dökümü'!$A$2:$A$2001,$E417))</ns0:f>
        <ns0:v/>
      </ns0:c>
      <ns0:c r="B417" s="28" t="str">
        <ns0:f>IF($E417="","",INDEX('Banka Dökümü'!$B$2:$B$2001,$E417))</ns0:f>
        <ns0:v/>
      </ns0:c>
      <ns0:c r="C417" s="33" t="str">
        <ns0:f>IF($E417="","",INDEX('Banka Dökümü'!$C$2:$C$2001,$E417))</ns0:f>
        <ns0:v/>
      </ns0:c>
      <ns0:c r="D417" s="28" t="str">
        <ns0:f>IF(E417="","","Müşteri adı / aranacak ad / il bilgisini kontrol edin")</ns0:f>
        <ns0:v/>
      </ns0:c>
      <ns0:c r="E417" s="28" t="str">
        <ns0:f>IFERROR(MATCH(413,'Banka Dökümü'!$I$2:$I$2001,0),"")</ns0:f>
        <ns0:v/>
      </ns0:c>
    </ns0:row>
    <ns0:row r="418" ht="21" customHeight="1">
      <ns0:c r="A418" s="32" t="str">
        <ns0:f>IF($E418="","",INDEX('Banka Dökümü'!$A$2:$A$2001,$E418))</ns0:f>
        <ns0:v/>
      </ns0:c>
      <ns0:c r="B418" s="28" t="str">
        <ns0:f>IF($E418="","",INDEX('Banka Dökümü'!$B$2:$B$2001,$E418))</ns0:f>
        <ns0:v/>
      </ns0:c>
      <ns0:c r="C418" s="33" t="str">
        <ns0:f>IF($E418="","",INDEX('Banka Dökümü'!$C$2:$C$2001,$E418))</ns0:f>
        <ns0:v/>
      </ns0:c>
      <ns0:c r="D418" s="28" t="str">
        <ns0:f>IF(E418="","","Müşteri adı / aranacak ad / il bilgisini kontrol edin")</ns0:f>
        <ns0:v/>
      </ns0:c>
      <ns0:c r="E418" s="28" t="str">
        <ns0:f>IFERROR(MATCH(414,'Banka Dökümü'!$I$2:$I$2001,0),"")</ns0:f>
        <ns0:v/>
      </ns0:c>
    </ns0:row>
    <ns0:row r="419" ht="21" customHeight="1">
      <ns0:c r="A419" s="32" t="str">
        <ns0:f>IF($E419="","",INDEX('Banka Dökümü'!$A$2:$A$2001,$E419))</ns0:f>
        <ns0:v/>
      </ns0:c>
      <ns0:c r="B419" s="28" t="str">
        <ns0:f>IF($E419="","",INDEX('Banka Dökümü'!$B$2:$B$2001,$E419))</ns0:f>
        <ns0:v/>
      </ns0:c>
      <ns0:c r="C419" s="33" t="str">
        <ns0:f>IF($E419="","",INDEX('Banka Dökümü'!$C$2:$C$2001,$E419))</ns0:f>
        <ns0:v/>
      </ns0:c>
      <ns0:c r="D419" s="28" t="str">
        <ns0:f>IF(E419="","","Müşteri adı / aranacak ad / il bilgisini kontrol edin")</ns0:f>
        <ns0:v/>
      </ns0:c>
      <ns0:c r="E419" s="28" t="str">
        <ns0:f>IFERROR(MATCH(415,'Banka Dökümü'!$I$2:$I$2001,0),"")</ns0:f>
        <ns0:v/>
      </ns0:c>
    </ns0:row>
    <ns0:row r="420" ht="21" customHeight="1">
      <ns0:c r="A420" s="32" t="str">
        <ns0:f>IF($E420="","",INDEX('Banka Dökümü'!$A$2:$A$2001,$E420))</ns0:f>
        <ns0:v/>
      </ns0:c>
      <ns0:c r="B420" s="28" t="str">
        <ns0:f>IF($E420="","",INDEX('Banka Dökümü'!$B$2:$B$2001,$E420))</ns0:f>
        <ns0:v/>
      </ns0:c>
      <ns0:c r="C420" s="33" t="str">
        <ns0:f>IF($E420="","",INDEX('Banka Dökümü'!$C$2:$C$2001,$E420))</ns0:f>
        <ns0:v/>
      </ns0:c>
      <ns0:c r="D420" s="28" t="str">
        <ns0:f>IF(E420="","","Müşteri adı / aranacak ad / il bilgisini kontrol edin")</ns0:f>
        <ns0:v/>
      </ns0:c>
      <ns0:c r="E420" s="28" t="str">
        <ns0:f>IFERROR(MATCH(416,'Banka Dökümü'!$I$2:$I$2001,0),"")</ns0:f>
        <ns0:v/>
      </ns0:c>
    </ns0:row>
    <ns0:row r="421" ht="21" customHeight="1">
      <ns0:c r="A421" s="32" t="str">
        <ns0:f>IF($E421="","",INDEX('Banka Dökümü'!$A$2:$A$2001,$E421))</ns0:f>
        <ns0:v/>
      </ns0:c>
      <ns0:c r="B421" s="28" t="str">
        <ns0:f>IF($E421="","",INDEX('Banka Dökümü'!$B$2:$B$2001,$E421))</ns0:f>
        <ns0:v/>
      </ns0:c>
      <ns0:c r="C421" s="33" t="str">
        <ns0:f>IF($E421="","",INDEX('Banka Dökümü'!$C$2:$C$2001,$E421))</ns0:f>
        <ns0:v/>
      </ns0:c>
      <ns0:c r="D421" s="28" t="str">
        <ns0:f>IF(E421="","","Müşteri adı / aranacak ad / il bilgisini kontrol edin")</ns0:f>
        <ns0:v/>
      </ns0:c>
      <ns0:c r="E421" s="28" t="str">
        <ns0:f>IFERROR(MATCH(417,'Banka Dökümü'!$I$2:$I$2001,0),"")</ns0:f>
        <ns0:v/>
      </ns0:c>
    </ns0:row>
    <ns0:row r="422" ht="21" customHeight="1">
      <ns0:c r="A422" s="32" t="str">
        <ns0:f>IF($E422="","",INDEX('Banka Dökümü'!$A$2:$A$2001,$E422))</ns0:f>
        <ns0:v/>
      </ns0:c>
      <ns0:c r="B422" s="28" t="str">
        <ns0:f>IF($E422="","",INDEX('Banka Dökümü'!$B$2:$B$2001,$E422))</ns0:f>
        <ns0:v/>
      </ns0:c>
      <ns0:c r="C422" s="33" t="str">
        <ns0:f>IF($E422="","",INDEX('Banka Dökümü'!$C$2:$C$2001,$E422))</ns0:f>
        <ns0:v/>
      </ns0:c>
      <ns0:c r="D422" s="28" t="str">
        <ns0:f>IF(E422="","","Müşteri adı / aranacak ad / il bilgisini kontrol edin")</ns0:f>
        <ns0:v/>
      </ns0:c>
      <ns0:c r="E422" s="28" t="str">
        <ns0:f>IFERROR(MATCH(418,'Banka Dökümü'!$I$2:$I$2001,0),"")</ns0:f>
        <ns0:v/>
      </ns0:c>
    </ns0:row>
    <ns0:row r="423" ht="21" customHeight="1">
      <ns0:c r="A423" s="32" t="str">
        <ns0:f>IF($E423="","",INDEX('Banka Dökümü'!$A$2:$A$2001,$E423))</ns0:f>
        <ns0:v/>
      </ns0:c>
      <ns0:c r="B423" s="28" t="str">
        <ns0:f>IF($E423="","",INDEX('Banka Dökümü'!$B$2:$B$2001,$E423))</ns0:f>
        <ns0:v/>
      </ns0:c>
      <ns0:c r="C423" s="33" t="str">
        <ns0:f>IF($E423="","",INDEX('Banka Dökümü'!$C$2:$C$2001,$E423))</ns0:f>
        <ns0:v/>
      </ns0:c>
      <ns0:c r="D423" s="28" t="str">
        <ns0:f>IF(E423="","","Müşteri adı / aranacak ad / il bilgisini kontrol edin")</ns0:f>
        <ns0:v/>
      </ns0:c>
      <ns0:c r="E423" s="28" t="str">
        <ns0:f>IFERROR(MATCH(419,'Banka Dökümü'!$I$2:$I$2001,0),"")</ns0:f>
        <ns0:v/>
      </ns0:c>
    </ns0:row>
    <ns0:row r="424" ht="21" customHeight="1">
      <ns0:c r="A424" s="32" t="str">
        <ns0:f>IF($E424="","",INDEX('Banka Dökümü'!$A$2:$A$2001,$E424))</ns0:f>
        <ns0:v/>
      </ns0:c>
      <ns0:c r="B424" s="28" t="str">
        <ns0:f>IF($E424="","",INDEX('Banka Dökümü'!$B$2:$B$2001,$E424))</ns0:f>
        <ns0:v/>
      </ns0:c>
      <ns0:c r="C424" s="33" t="str">
        <ns0:f>IF($E424="","",INDEX('Banka Dökümü'!$C$2:$C$2001,$E424))</ns0:f>
        <ns0:v/>
      </ns0:c>
      <ns0:c r="D424" s="28" t="str">
        <ns0:f>IF(E424="","","Müşteri adı / aranacak ad / il bilgisini kontrol edin")</ns0:f>
        <ns0:v/>
      </ns0:c>
      <ns0:c r="E424" s="28" t="str">
        <ns0:f>IFERROR(MATCH(420,'Banka Dökümü'!$I$2:$I$2001,0),"")</ns0:f>
        <ns0:v/>
      </ns0:c>
    </ns0:row>
    <ns0:row r="425" ht="21" customHeight="1">
      <ns0:c r="A425" s="32" t="str">
        <ns0:f>IF($E425="","",INDEX('Banka Dökümü'!$A$2:$A$2001,$E425))</ns0:f>
        <ns0:v/>
      </ns0:c>
      <ns0:c r="B425" s="28" t="str">
        <ns0:f>IF($E425="","",INDEX('Banka Dökümü'!$B$2:$B$2001,$E425))</ns0:f>
        <ns0:v/>
      </ns0:c>
      <ns0:c r="C425" s="33" t="str">
        <ns0:f>IF($E425="","",INDEX('Banka Dökümü'!$C$2:$C$2001,$E425))</ns0:f>
        <ns0:v/>
      </ns0:c>
      <ns0:c r="D425" s="28" t="str">
        <ns0:f>IF(E425="","","Müşteri adı / aranacak ad / il bilgisini kontrol edin")</ns0:f>
        <ns0:v/>
      </ns0:c>
      <ns0:c r="E425" s="28" t="str">
        <ns0:f>IFERROR(MATCH(421,'Banka Dökümü'!$I$2:$I$2001,0),"")</ns0:f>
        <ns0:v/>
      </ns0:c>
    </ns0:row>
    <ns0:row r="426" ht="21" customHeight="1">
      <ns0:c r="A426" s="32" t="str">
        <ns0:f>IF($E426="","",INDEX('Banka Dökümü'!$A$2:$A$2001,$E426))</ns0:f>
        <ns0:v/>
      </ns0:c>
      <ns0:c r="B426" s="28" t="str">
        <ns0:f>IF($E426="","",INDEX('Banka Dökümü'!$B$2:$B$2001,$E426))</ns0:f>
        <ns0:v/>
      </ns0:c>
      <ns0:c r="C426" s="33" t="str">
        <ns0:f>IF($E426="","",INDEX('Banka Dökümü'!$C$2:$C$2001,$E426))</ns0:f>
        <ns0:v/>
      </ns0:c>
      <ns0:c r="D426" s="28" t="str">
        <ns0:f>IF(E426="","","Müşteri adı / aranacak ad / il bilgisini kontrol edin")</ns0:f>
        <ns0:v/>
      </ns0:c>
      <ns0:c r="E426" s="28" t="str">
        <ns0:f>IFERROR(MATCH(422,'Banka Dökümü'!$I$2:$I$2001,0),"")</ns0:f>
        <ns0:v/>
      </ns0:c>
    </ns0:row>
    <ns0:row r="427" ht="21" customHeight="1">
      <ns0:c r="A427" s="32" t="str">
        <ns0:f>IF($E427="","",INDEX('Banka Dökümü'!$A$2:$A$2001,$E427))</ns0:f>
        <ns0:v/>
      </ns0:c>
      <ns0:c r="B427" s="28" t="str">
        <ns0:f>IF($E427="","",INDEX('Banka Dökümü'!$B$2:$B$2001,$E427))</ns0:f>
        <ns0:v/>
      </ns0:c>
      <ns0:c r="C427" s="33" t="str">
        <ns0:f>IF($E427="","",INDEX('Banka Dökümü'!$C$2:$C$2001,$E427))</ns0:f>
        <ns0:v/>
      </ns0:c>
      <ns0:c r="D427" s="28" t="str">
        <ns0:f>IF(E427="","","Müşteri adı / aranacak ad / il bilgisini kontrol edin")</ns0:f>
        <ns0:v/>
      </ns0:c>
      <ns0:c r="E427" s="28" t="str">
        <ns0:f>IFERROR(MATCH(423,'Banka Dökümü'!$I$2:$I$2001,0),"")</ns0:f>
        <ns0:v/>
      </ns0:c>
    </ns0:row>
    <ns0:row r="428" ht="21" customHeight="1">
      <ns0:c r="A428" s="32" t="str">
        <ns0:f>IF($E428="","",INDEX('Banka Dökümü'!$A$2:$A$2001,$E428))</ns0:f>
        <ns0:v/>
      </ns0:c>
      <ns0:c r="B428" s="28" t="str">
        <ns0:f>IF($E428="","",INDEX('Banka Dökümü'!$B$2:$B$2001,$E428))</ns0:f>
        <ns0:v/>
      </ns0:c>
      <ns0:c r="C428" s="33" t="str">
        <ns0:f>IF($E428="","",INDEX('Banka Dökümü'!$C$2:$C$2001,$E428))</ns0:f>
        <ns0:v/>
      </ns0:c>
      <ns0:c r="D428" s="28" t="str">
        <ns0:f>IF(E428="","","Müşteri adı / aranacak ad / il bilgisini kontrol edin")</ns0:f>
        <ns0:v/>
      </ns0:c>
      <ns0:c r="E428" s="28" t="str">
        <ns0:f>IFERROR(MATCH(424,'Banka Dökümü'!$I$2:$I$2001,0),"")</ns0:f>
        <ns0:v/>
      </ns0:c>
    </ns0:row>
    <ns0:row r="429" ht="21" customHeight="1">
      <ns0:c r="A429" s="32" t="str">
        <ns0:f>IF($E429="","",INDEX('Banka Dökümü'!$A$2:$A$2001,$E429))</ns0:f>
        <ns0:v/>
      </ns0:c>
      <ns0:c r="B429" s="28" t="str">
        <ns0:f>IF($E429="","",INDEX('Banka Dökümü'!$B$2:$B$2001,$E429))</ns0:f>
        <ns0:v/>
      </ns0:c>
      <ns0:c r="C429" s="33" t="str">
        <ns0:f>IF($E429="","",INDEX('Banka Dökümü'!$C$2:$C$2001,$E429))</ns0:f>
        <ns0:v/>
      </ns0:c>
      <ns0:c r="D429" s="28" t="str">
        <ns0:f>IF(E429="","","Müşteri adı / aranacak ad / il bilgisini kontrol edin")</ns0:f>
        <ns0:v/>
      </ns0:c>
      <ns0:c r="E429" s="28" t="str">
        <ns0:f>IFERROR(MATCH(425,'Banka Dökümü'!$I$2:$I$2001,0),"")</ns0:f>
        <ns0:v/>
      </ns0:c>
    </ns0:row>
    <ns0:row r="430" ht="21" customHeight="1">
      <ns0:c r="A430" s="32" t="str">
        <ns0:f>IF($E430="","",INDEX('Banka Dökümü'!$A$2:$A$2001,$E430))</ns0:f>
        <ns0:v/>
      </ns0:c>
      <ns0:c r="B430" s="28" t="str">
        <ns0:f>IF($E430="","",INDEX('Banka Dökümü'!$B$2:$B$2001,$E430))</ns0:f>
        <ns0:v/>
      </ns0:c>
      <ns0:c r="C430" s="33" t="str">
        <ns0:f>IF($E430="","",INDEX('Banka Dökümü'!$C$2:$C$2001,$E430))</ns0:f>
        <ns0:v/>
      </ns0:c>
      <ns0:c r="D430" s="28" t="str">
        <ns0:f>IF(E430="","","Müşteri adı / aranacak ad / il bilgisini kontrol edin")</ns0:f>
        <ns0:v/>
      </ns0:c>
      <ns0:c r="E430" s="28" t="str">
        <ns0:f>IFERROR(MATCH(426,'Banka Dökümü'!$I$2:$I$2001,0),"")</ns0:f>
        <ns0:v/>
      </ns0:c>
    </ns0:row>
    <ns0:row r="431" ht="21" customHeight="1">
      <ns0:c r="A431" s="32" t="str">
        <ns0:f>IF($E431="","",INDEX('Banka Dökümü'!$A$2:$A$2001,$E431))</ns0:f>
        <ns0:v/>
      </ns0:c>
      <ns0:c r="B431" s="28" t="str">
        <ns0:f>IF($E431="","",INDEX('Banka Dökümü'!$B$2:$B$2001,$E431))</ns0:f>
        <ns0:v/>
      </ns0:c>
      <ns0:c r="C431" s="33" t="str">
        <ns0:f>IF($E431="","",INDEX('Banka Dökümü'!$C$2:$C$2001,$E431))</ns0:f>
        <ns0:v/>
      </ns0:c>
      <ns0:c r="D431" s="28" t="str">
        <ns0:f>IF(E431="","","Müşteri adı / aranacak ad / il bilgisini kontrol edin")</ns0:f>
        <ns0:v/>
      </ns0:c>
      <ns0:c r="E431" s="28" t="str">
        <ns0:f>IFERROR(MATCH(427,'Banka Dökümü'!$I$2:$I$2001,0),"")</ns0:f>
        <ns0:v/>
      </ns0:c>
    </ns0:row>
    <ns0:row r="432" ht="21" customHeight="1">
      <ns0:c r="A432" s="32" t="str">
        <ns0:f>IF($E432="","",INDEX('Banka Dökümü'!$A$2:$A$2001,$E432))</ns0:f>
        <ns0:v/>
      </ns0:c>
      <ns0:c r="B432" s="28" t="str">
        <ns0:f>IF($E432="","",INDEX('Banka Dökümü'!$B$2:$B$2001,$E432))</ns0:f>
        <ns0:v/>
      </ns0:c>
      <ns0:c r="C432" s="33" t="str">
        <ns0:f>IF($E432="","",INDEX('Banka Dökümü'!$C$2:$C$2001,$E432))</ns0:f>
        <ns0:v/>
      </ns0:c>
      <ns0:c r="D432" s="28" t="str">
        <ns0:f>IF(E432="","","Müşteri adı / aranacak ad / il bilgisini kontrol edin")</ns0:f>
        <ns0:v/>
      </ns0:c>
      <ns0:c r="E432" s="28" t="str">
        <ns0:f>IFERROR(MATCH(428,'Banka Dökümü'!$I$2:$I$2001,0),"")</ns0:f>
        <ns0:v/>
      </ns0:c>
    </ns0:row>
    <ns0:row r="433" ht="21" customHeight="1">
      <ns0:c r="A433" s="32" t="str">
        <ns0:f>IF($E433="","",INDEX('Banka Dökümü'!$A$2:$A$2001,$E433))</ns0:f>
        <ns0:v/>
      </ns0:c>
      <ns0:c r="B433" s="28" t="str">
        <ns0:f>IF($E433="","",INDEX('Banka Dökümü'!$B$2:$B$2001,$E433))</ns0:f>
        <ns0:v/>
      </ns0:c>
      <ns0:c r="C433" s="33" t="str">
        <ns0:f>IF($E433="","",INDEX('Banka Dökümü'!$C$2:$C$2001,$E433))</ns0:f>
        <ns0:v/>
      </ns0:c>
      <ns0:c r="D433" s="28" t="str">
        <ns0:f>IF(E433="","","Müşteri adı / aranacak ad / il bilgisini kontrol edin")</ns0:f>
        <ns0:v/>
      </ns0:c>
      <ns0:c r="E433" s="28" t="str">
        <ns0:f>IFERROR(MATCH(429,'Banka Dökümü'!$I$2:$I$2001,0),"")</ns0:f>
        <ns0:v/>
      </ns0:c>
    </ns0:row>
    <ns0:row r="434" ht="21" customHeight="1">
      <ns0:c r="A434" s="32" t="str">
        <ns0:f>IF($E434="","",INDEX('Banka Dökümü'!$A$2:$A$2001,$E434))</ns0:f>
        <ns0:v/>
      </ns0:c>
      <ns0:c r="B434" s="28" t="str">
        <ns0:f>IF($E434="","",INDEX('Banka Dökümü'!$B$2:$B$2001,$E434))</ns0:f>
        <ns0:v/>
      </ns0:c>
      <ns0:c r="C434" s="33" t="str">
        <ns0:f>IF($E434="","",INDEX('Banka Dökümü'!$C$2:$C$2001,$E434))</ns0:f>
        <ns0:v/>
      </ns0:c>
      <ns0:c r="D434" s="28" t="str">
        <ns0:f>IF(E434="","","Müşteri adı / aranacak ad / il bilgisini kontrol edin")</ns0:f>
        <ns0:v/>
      </ns0:c>
      <ns0:c r="E434" s="28" t="str">
        <ns0:f>IFERROR(MATCH(430,'Banka Dökümü'!$I$2:$I$2001,0),"")</ns0:f>
        <ns0:v/>
      </ns0:c>
    </ns0:row>
    <ns0:row r="435" ht="21" customHeight="1">
      <ns0:c r="A435" s="32" t="str">
        <ns0:f>IF($E435="","",INDEX('Banka Dökümü'!$A$2:$A$2001,$E435))</ns0:f>
        <ns0:v/>
      </ns0:c>
      <ns0:c r="B435" s="28" t="str">
        <ns0:f>IF($E435="","",INDEX('Banka Dökümü'!$B$2:$B$2001,$E435))</ns0:f>
        <ns0:v/>
      </ns0:c>
      <ns0:c r="C435" s="33" t="str">
        <ns0:f>IF($E435="","",INDEX('Banka Dökümü'!$C$2:$C$2001,$E435))</ns0:f>
        <ns0:v/>
      </ns0:c>
      <ns0:c r="D435" s="28" t="str">
        <ns0:f>IF(E435="","","Müşteri adı / aranacak ad / il bilgisini kontrol edin")</ns0:f>
        <ns0:v/>
      </ns0:c>
      <ns0:c r="E435" s="28" t="str">
        <ns0:f>IFERROR(MATCH(431,'Banka Dökümü'!$I$2:$I$2001,0),"")</ns0:f>
        <ns0:v/>
      </ns0:c>
    </ns0:row>
    <ns0:row r="436" ht="21" customHeight="1">
      <ns0:c r="A436" s="32" t="str">
        <ns0:f>IF($E436="","",INDEX('Banka Dökümü'!$A$2:$A$2001,$E436))</ns0:f>
        <ns0:v/>
      </ns0:c>
      <ns0:c r="B436" s="28" t="str">
        <ns0:f>IF($E436="","",INDEX('Banka Dökümü'!$B$2:$B$2001,$E436))</ns0:f>
        <ns0:v/>
      </ns0:c>
      <ns0:c r="C436" s="33" t="str">
        <ns0:f>IF($E436="","",INDEX('Banka Dökümü'!$C$2:$C$2001,$E436))</ns0:f>
        <ns0:v/>
      </ns0:c>
      <ns0:c r="D436" s="28" t="str">
        <ns0:f>IF(E436="","","Müşteri adı / aranacak ad / il bilgisini kontrol edin")</ns0:f>
        <ns0:v/>
      </ns0:c>
      <ns0:c r="E436" s="28" t="str">
        <ns0:f>IFERROR(MATCH(432,'Banka Dökümü'!$I$2:$I$2001,0),"")</ns0:f>
        <ns0:v/>
      </ns0:c>
    </ns0:row>
    <ns0:row r="437" ht="21" customHeight="1">
      <ns0:c r="A437" s="32" t="str">
        <ns0:f>IF($E437="","",INDEX('Banka Dökümü'!$A$2:$A$2001,$E437))</ns0:f>
        <ns0:v/>
      </ns0:c>
      <ns0:c r="B437" s="28" t="str">
        <ns0:f>IF($E437="","",INDEX('Banka Dökümü'!$B$2:$B$2001,$E437))</ns0:f>
        <ns0:v/>
      </ns0:c>
      <ns0:c r="C437" s="33" t="str">
        <ns0:f>IF($E437="","",INDEX('Banka Dökümü'!$C$2:$C$2001,$E437))</ns0:f>
        <ns0:v/>
      </ns0:c>
      <ns0:c r="D437" s="28" t="str">
        <ns0:f>IF(E437="","","Müşteri adı / aranacak ad / il bilgisini kontrol edin")</ns0:f>
        <ns0:v/>
      </ns0:c>
      <ns0:c r="E437" s="28" t="str">
        <ns0:f>IFERROR(MATCH(433,'Banka Dökümü'!$I$2:$I$2001,0),"")</ns0:f>
        <ns0:v/>
      </ns0:c>
    </ns0:row>
    <ns0:row r="438" ht="21" customHeight="1">
      <ns0:c r="A438" s="32" t="str">
        <ns0:f>IF($E438="","",INDEX('Banka Dökümü'!$A$2:$A$2001,$E438))</ns0:f>
        <ns0:v/>
      </ns0:c>
      <ns0:c r="B438" s="28" t="str">
        <ns0:f>IF($E438="","",INDEX('Banka Dökümü'!$B$2:$B$2001,$E438))</ns0:f>
        <ns0:v/>
      </ns0:c>
      <ns0:c r="C438" s="33" t="str">
        <ns0:f>IF($E438="","",INDEX('Banka Dökümü'!$C$2:$C$2001,$E438))</ns0:f>
        <ns0:v/>
      </ns0:c>
      <ns0:c r="D438" s="28" t="str">
        <ns0:f>IF(E438="","","Müşteri adı / aranacak ad / il bilgisini kontrol edin")</ns0:f>
        <ns0:v/>
      </ns0:c>
      <ns0:c r="E438" s="28" t="str">
        <ns0:f>IFERROR(MATCH(434,'Banka Dökümü'!$I$2:$I$2001,0),"")</ns0:f>
        <ns0:v/>
      </ns0:c>
    </ns0:row>
    <ns0:row r="439" ht="21" customHeight="1">
      <ns0:c r="A439" s="32" t="str">
        <ns0:f>IF($E439="","",INDEX('Banka Dökümü'!$A$2:$A$2001,$E439))</ns0:f>
        <ns0:v/>
      </ns0:c>
      <ns0:c r="B439" s="28" t="str">
        <ns0:f>IF($E439="","",INDEX('Banka Dökümü'!$B$2:$B$2001,$E439))</ns0:f>
        <ns0:v/>
      </ns0:c>
      <ns0:c r="C439" s="33" t="str">
        <ns0:f>IF($E439="","",INDEX('Banka Dökümü'!$C$2:$C$2001,$E439))</ns0:f>
        <ns0:v/>
      </ns0:c>
      <ns0:c r="D439" s="28" t="str">
        <ns0:f>IF(E439="","","Müşteri adı / aranacak ad / il bilgisini kontrol edin")</ns0:f>
        <ns0:v/>
      </ns0:c>
      <ns0:c r="E439" s="28" t="str">
        <ns0:f>IFERROR(MATCH(435,'Banka Dökümü'!$I$2:$I$2001,0),"")</ns0:f>
        <ns0:v/>
      </ns0:c>
    </ns0:row>
    <ns0:row r="440" ht="21" customHeight="1">
      <ns0:c r="A440" s="32" t="str">
        <ns0:f>IF($E440="","",INDEX('Banka Dökümü'!$A$2:$A$2001,$E440))</ns0:f>
        <ns0:v/>
      </ns0:c>
      <ns0:c r="B440" s="28" t="str">
        <ns0:f>IF($E440="","",INDEX('Banka Dökümü'!$B$2:$B$2001,$E440))</ns0:f>
        <ns0:v/>
      </ns0:c>
      <ns0:c r="C440" s="33" t="str">
        <ns0:f>IF($E440="","",INDEX('Banka Dökümü'!$C$2:$C$2001,$E440))</ns0:f>
        <ns0:v/>
      </ns0:c>
      <ns0:c r="D440" s="28" t="str">
        <ns0:f>IF(E440="","","Müşteri adı / aranacak ad / il bilgisini kontrol edin")</ns0:f>
        <ns0:v/>
      </ns0:c>
      <ns0:c r="E440" s="28" t="str">
        <ns0:f>IFERROR(MATCH(436,'Banka Dökümü'!$I$2:$I$2001,0),"")</ns0:f>
        <ns0:v/>
      </ns0:c>
    </ns0:row>
    <ns0:row r="441" ht="21" customHeight="1">
      <ns0:c r="A441" s="32" t="str">
        <ns0:f>IF($E441="","",INDEX('Banka Dökümü'!$A$2:$A$2001,$E441))</ns0:f>
        <ns0:v/>
      </ns0:c>
      <ns0:c r="B441" s="28" t="str">
        <ns0:f>IF($E441="","",INDEX('Banka Dökümü'!$B$2:$B$2001,$E441))</ns0:f>
        <ns0:v/>
      </ns0:c>
      <ns0:c r="C441" s="33" t="str">
        <ns0:f>IF($E441="","",INDEX('Banka Dökümü'!$C$2:$C$2001,$E441))</ns0:f>
        <ns0:v/>
      </ns0:c>
      <ns0:c r="D441" s="28" t="str">
        <ns0:f>IF(E441="","","Müşteri adı / aranacak ad / il bilgisini kontrol edin")</ns0:f>
        <ns0:v/>
      </ns0:c>
      <ns0:c r="E441" s="28" t="str">
        <ns0:f>IFERROR(MATCH(437,'Banka Dökümü'!$I$2:$I$2001,0),"")</ns0:f>
        <ns0:v/>
      </ns0:c>
    </ns0:row>
    <ns0:row r="442" ht="21" customHeight="1">
      <ns0:c r="A442" s="32" t="str">
        <ns0:f>IF($E442="","",INDEX('Banka Dökümü'!$A$2:$A$2001,$E442))</ns0:f>
        <ns0:v/>
      </ns0:c>
      <ns0:c r="B442" s="28" t="str">
        <ns0:f>IF($E442="","",INDEX('Banka Dökümü'!$B$2:$B$2001,$E442))</ns0:f>
        <ns0:v/>
      </ns0:c>
      <ns0:c r="C442" s="33" t="str">
        <ns0:f>IF($E442="","",INDEX('Banka Dökümü'!$C$2:$C$2001,$E442))</ns0:f>
        <ns0:v/>
      </ns0:c>
      <ns0:c r="D442" s="28" t="str">
        <ns0:f>IF(E442="","","Müşteri adı / aranacak ad / il bilgisini kontrol edin")</ns0:f>
        <ns0:v/>
      </ns0:c>
      <ns0:c r="E442" s="28" t="str">
        <ns0:f>IFERROR(MATCH(438,'Banka Dökümü'!$I$2:$I$2001,0),"")</ns0:f>
        <ns0:v/>
      </ns0:c>
    </ns0:row>
    <ns0:row r="443" ht="21" customHeight="1">
      <ns0:c r="A443" s="32" t="str">
        <ns0:f>IF($E443="","",INDEX('Banka Dökümü'!$A$2:$A$2001,$E443))</ns0:f>
        <ns0:v/>
      </ns0:c>
      <ns0:c r="B443" s="28" t="str">
        <ns0:f>IF($E443="","",INDEX('Banka Dökümü'!$B$2:$B$2001,$E443))</ns0:f>
        <ns0:v/>
      </ns0:c>
      <ns0:c r="C443" s="33" t="str">
        <ns0:f>IF($E443="","",INDEX('Banka Dökümü'!$C$2:$C$2001,$E443))</ns0:f>
        <ns0:v/>
      </ns0:c>
      <ns0:c r="D443" s="28" t="str">
        <ns0:f>IF(E443="","","Müşteri adı / aranacak ad / il bilgisini kontrol edin")</ns0:f>
        <ns0:v/>
      </ns0:c>
      <ns0:c r="E443" s="28" t="str">
        <ns0:f>IFERROR(MATCH(439,'Banka Dökümü'!$I$2:$I$2001,0),"")</ns0:f>
        <ns0:v/>
      </ns0:c>
    </ns0:row>
    <ns0:row r="444" ht="21" customHeight="1">
      <ns0:c r="A444" s="32" t="str">
        <ns0:f>IF($E444="","",INDEX('Banka Dökümü'!$A$2:$A$2001,$E444))</ns0:f>
        <ns0:v/>
      </ns0:c>
      <ns0:c r="B444" s="28" t="str">
        <ns0:f>IF($E444="","",INDEX('Banka Dökümü'!$B$2:$B$2001,$E444))</ns0:f>
        <ns0:v/>
      </ns0:c>
      <ns0:c r="C444" s="33" t="str">
        <ns0:f>IF($E444="","",INDEX('Banka Dökümü'!$C$2:$C$2001,$E444))</ns0:f>
        <ns0:v/>
      </ns0:c>
      <ns0:c r="D444" s="28" t="str">
        <ns0:f>IF(E444="","","Müşteri adı / aranacak ad / il bilgisini kontrol edin")</ns0:f>
        <ns0:v/>
      </ns0:c>
      <ns0:c r="E444" s="28" t="str">
        <ns0:f>IFERROR(MATCH(440,'Banka Dökümü'!$I$2:$I$2001,0),"")</ns0:f>
        <ns0:v/>
      </ns0:c>
    </ns0:row>
    <ns0:row r="445" ht="21" customHeight="1">
      <ns0:c r="A445" s="32" t="str">
        <ns0:f>IF($E445="","",INDEX('Banka Dökümü'!$A$2:$A$2001,$E445))</ns0:f>
        <ns0:v/>
      </ns0:c>
      <ns0:c r="B445" s="28" t="str">
        <ns0:f>IF($E445="","",INDEX('Banka Dökümü'!$B$2:$B$2001,$E445))</ns0:f>
        <ns0:v/>
      </ns0:c>
      <ns0:c r="C445" s="33" t="str">
        <ns0:f>IF($E445="","",INDEX('Banka Dökümü'!$C$2:$C$2001,$E445))</ns0:f>
        <ns0:v/>
      </ns0:c>
      <ns0:c r="D445" s="28" t="str">
        <ns0:f>IF(E445="","","Müşteri adı / aranacak ad / il bilgisini kontrol edin")</ns0:f>
        <ns0:v/>
      </ns0:c>
      <ns0:c r="E445" s="28" t="str">
        <ns0:f>IFERROR(MATCH(441,'Banka Dökümü'!$I$2:$I$2001,0),"")</ns0:f>
        <ns0:v/>
      </ns0:c>
    </ns0:row>
    <ns0:row r="446" ht="21" customHeight="1">
      <ns0:c r="A446" s="32" t="str">
        <ns0:f>IF($E446="","",INDEX('Banka Dökümü'!$A$2:$A$2001,$E446))</ns0:f>
        <ns0:v/>
      </ns0:c>
      <ns0:c r="B446" s="28" t="str">
        <ns0:f>IF($E446="","",INDEX('Banka Dökümü'!$B$2:$B$2001,$E446))</ns0:f>
        <ns0:v/>
      </ns0:c>
      <ns0:c r="C446" s="33" t="str">
        <ns0:f>IF($E446="","",INDEX('Banka Dökümü'!$C$2:$C$2001,$E446))</ns0:f>
        <ns0:v/>
      </ns0:c>
      <ns0:c r="D446" s="28" t="str">
        <ns0:f>IF(E446="","","Müşteri adı / aranacak ad / il bilgisini kontrol edin")</ns0:f>
        <ns0:v/>
      </ns0:c>
      <ns0:c r="E446" s="28" t="str">
        <ns0:f>IFERROR(MATCH(442,'Banka Dökümü'!$I$2:$I$2001,0),"")</ns0:f>
        <ns0:v/>
      </ns0:c>
    </ns0:row>
    <ns0:row r="447" ht="21" customHeight="1">
      <ns0:c r="A447" s="32" t="str">
        <ns0:f>IF($E447="","",INDEX('Banka Dökümü'!$A$2:$A$2001,$E447))</ns0:f>
        <ns0:v/>
      </ns0:c>
      <ns0:c r="B447" s="28" t="str">
        <ns0:f>IF($E447="","",INDEX('Banka Dökümü'!$B$2:$B$2001,$E447))</ns0:f>
        <ns0:v/>
      </ns0:c>
      <ns0:c r="C447" s="33" t="str">
        <ns0:f>IF($E447="","",INDEX('Banka Dökümü'!$C$2:$C$2001,$E447))</ns0:f>
        <ns0:v/>
      </ns0:c>
      <ns0:c r="D447" s="28" t="str">
        <ns0:f>IF(E447="","","Müşteri adı / aranacak ad / il bilgisini kontrol edin")</ns0:f>
        <ns0:v/>
      </ns0:c>
      <ns0:c r="E447" s="28" t="str">
        <ns0:f>IFERROR(MATCH(443,'Banka Dökümü'!$I$2:$I$2001,0),"")</ns0:f>
        <ns0:v/>
      </ns0:c>
    </ns0:row>
    <ns0:row r="448" ht="21" customHeight="1">
      <ns0:c r="A448" s="32" t="str">
        <ns0:f>IF($E448="","",INDEX('Banka Dökümü'!$A$2:$A$2001,$E448))</ns0:f>
        <ns0:v/>
      </ns0:c>
      <ns0:c r="B448" s="28" t="str">
        <ns0:f>IF($E448="","",INDEX('Banka Dökümü'!$B$2:$B$2001,$E448))</ns0:f>
        <ns0:v/>
      </ns0:c>
      <ns0:c r="C448" s="33" t="str">
        <ns0:f>IF($E448="","",INDEX('Banka Dökümü'!$C$2:$C$2001,$E448))</ns0:f>
        <ns0:v/>
      </ns0:c>
      <ns0:c r="D448" s="28" t="str">
        <ns0:f>IF(E448="","","Müşteri adı / aranacak ad / il bilgisini kontrol edin")</ns0:f>
        <ns0:v/>
      </ns0:c>
      <ns0:c r="E448" s="28" t="str">
        <ns0:f>IFERROR(MATCH(444,'Banka Dökümü'!$I$2:$I$2001,0),"")</ns0:f>
        <ns0:v/>
      </ns0:c>
    </ns0:row>
    <ns0:row r="449" ht="21" customHeight="1">
      <ns0:c r="A449" s="32" t="str">
        <ns0:f>IF($E449="","",INDEX('Banka Dökümü'!$A$2:$A$2001,$E449))</ns0:f>
        <ns0:v/>
      </ns0:c>
      <ns0:c r="B449" s="28" t="str">
        <ns0:f>IF($E449="","",INDEX('Banka Dökümü'!$B$2:$B$2001,$E449))</ns0:f>
        <ns0:v/>
      </ns0:c>
      <ns0:c r="C449" s="33" t="str">
        <ns0:f>IF($E449="","",INDEX('Banka Dökümü'!$C$2:$C$2001,$E449))</ns0:f>
        <ns0:v/>
      </ns0:c>
      <ns0:c r="D449" s="28" t="str">
        <ns0:f>IF(E449="","","Müşteri adı / aranacak ad / il bilgisini kontrol edin")</ns0:f>
        <ns0:v/>
      </ns0:c>
      <ns0:c r="E449" s="28" t="str">
        <ns0:f>IFERROR(MATCH(445,'Banka Dökümü'!$I$2:$I$2001,0),"")</ns0:f>
        <ns0:v/>
      </ns0:c>
    </ns0:row>
    <ns0:row r="450" ht="21" customHeight="1">
      <ns0:c r="A450" s="32" t="str">
        <ns0:f>IF($E450="","",INDEX('Banka Dökümü'!$A$2:$A$2001,$E450))</ns0:f>
        <ns0:v/>
      </ns0:c>
      <ns0:c r="B450" s="28" t="str">
        <ns0:f>IF($E450="","",INDEX('Banka Dökümü'!$B$2:$B$2001,$E450))</ns0:f>
        <ns0:v/>
      </ns0:c>
      <ns0:c r="C450" s="33" t="str">
        <ns0:f>IF($E450="","",INDEX('Banka Dökümü'!$C$2:$C$2001,$E450))</ns0:f>
        <ns0:v/>
      </ns0:c>
      <ns0:c r="D450" s="28" t="str">
        <ns0:f>IF(E450="","","Müşteri adı / aranacak ad / il bilgisini kontrol edin")</ns0:f>
        <ns0:v/>
      </ns0:c>
      <ns0:c r="E450" s="28" t="str">
        <ns0:f>IFERROR(MATCH(446,'Banka Dökümü'!$I$2:$I$2001,0),"")</ns0:f>
        <ns0:v/>
      </ns0:c>
    </ns0:row>
    <ns0:row r="451" ht="21" customHeight="1">
      <ns0:c r="A451" s="32" t="str">
        <ns0:f>IF($E451="","",INDEX('Banka Dökümü'!$A$2:$A$2001,$E451))</ns0:f>
        <ns0:v/>
      </ns0:c>
      <ns0:c r="B451" s="28" t="str">
        <ns0:f>IF($E451="","",INDEX('Banka Dökümü'!$B$2:$B$2001,$E451))</ns0:f>
        <ns0:v/>
      </ns0:c>
      <ns0:c r="C451" s="33" t="str">
        <ns0:f>IF($E451="","",INDEX('Banka Dökümü'!$C$2:$C$2001,$E451))</ns0:f>
        <ns0:v/>
      </ns0:c>
      <ns0:c r="D451" s="28" t="str">
        <ns0:f>IF(E451="","","Müşteri adı / aranacak ad / il bilgisini kontrol edin")</ns0:f>
        <ns0:v/>
      </ns0:c>
      <ns0:c r="E451" s="28" t="str">
        <ns0:f>IFERROR(MATCH(447,'Banka Dökümü'!$I$2:$I$2001,0),"")</ns0:f>
        <ns0:v/>
      </ns0:c>
    </ns0:row>
    <ns0:row r="452" ht="21" customHeight="1">
      <ns0:c r="A452" s="32" t="str">
        <ns0:f>IF($E452="","",INDEX('Banka Dökümü'!$A$2:$A$2001,$E452))</ns0:f>
        <ns0:v/>
      </ns0:c>
      <ns0:c r="B452" s="28" t="str">
        <ns0:f>IF($E452="","",INDEX('Banka Dökümü'!$B$2:$B$2001,$E452))</ns0:f>
        <ns0:v/>
      </ns0:c>
      <ns0:c r="C452" s="33" t="str">
        <ns0:f>IF($E452="","",INDEX('Banka Dökümü'!$C$2:$C$2001,$E452))</ns0:f>
        <ns0:v/>
      </ns0:c>
      <ns0:c r="D452" s="28" t="str">
        <ns0:f>IF(E452="","","Müşteri adı / aranacak ad / il bilgisini kontrol edin")</ns0:f>
        <ns0:v/>
      </ns0:c>
      <ns0:c r="E452" s="28" t="str">
        <ns0:f>IFERROR(MATCH(448,'Banka Dökümü'!$I$2:$I$2001,0),"")</ns0:f>
        <ns0:v/>
      </ns0:c>
    </ns0:row>
    <ns0:row r="453" ht="21" customHeight="1">
      <ns0:c r="A453" s="32" t="str">
        <ns0:f>IF($E453="","",INDEX('Banka Dökümü'!$A$2:$A$2001,$E453))</ns0:f>
        <ns0:v/>
      </ns0:c>
      <ns0:c r="B453" s="28" t="str">
        <ns0:f>IF($E453="","",INDEX('Banka Dökümü'!$B$2:$B$2001,$E453))</ns0:f>
        <ns0:v/>
      </ns0:c>
      <ns0:c r="C453" s="33" t="str">
        <ns0:f>IF($E453="","",INDEX('Banka Dökümü'!$C$2:$C$2001,$E453))</ns0:f>
        <ns0:v/>
      </ns0:c>
      <ns0:c r="D453" s="28" t="str">
        <ns0:f>IF(E453="","","Müşteri adı / aranacak ad / il bilgisini kontrol edin")</ns0:f>
        <ns0:v/>
      </ns0:c>
      <ns0:c r="E453" s="28" t="str">
        <ns0:f>IFERROR(MATCH(449,'Banka Dökümü'!$I$2:$I$2001,0),"")</ns0:f>
        <ns0:v/>
      </ns0:c>
    </ns0:row>
    <ns0:row r="454" ht="21" customHeight="1">
      <ns0:c r="A454" s="32" t="str">
        <ns0:f>IF($E454="","",INDEX('Banka Dökümü'!$A$2:$A$2001,$E454))</ns0:f>
        <ns0:v/>
      </ns0:c>
      <ns0:c r="B454" s="28" t="str">
        <ns0:f>IF($E454="","",INDEX('Banka Dökümü'!$B$2:$B$2001,$E454))</ns0:f>
        <ns0:v/>
      </ns0:c>
      <ns0:c r="C454" s="33" t="str">
        <ns0:f>IF($E454="","",INDEX('Banka Dökümü'!$C$2:$C$2001,$E454))</ns0:f>
        <ns0:v/>
      </ns0:c>
      <ns0:c r="D454" s="28" t="str">
        <ns0:f>IF(E454="","","Müşteri adı / aranacak ad / il bilgisini kontrol edin")</ns0:f>
        <ns0:v/>
      </ns0:c>
      <ns0:c r="E454" s="28" t="str">
        <ns0:f>IFERROR(MATCH(450,'Banka Dökümü'!$I$2:$I$2001,0),"")</ns0:f>
        <ns0:v/>
      </ns0:c>
    </ns0:row>
    <ns0:row r="455" ht="21" customHeight="1">
      <ns0:c r="A455" s="32" t="str">
        <ns0:f>IF($E455="","",INDEX('Banka Dökümü'!$A$2:$A$2001,$E455))</ns0:f>
        <ns0:v/>
      </ns0:c>
      <ns0:c r="B455" s="28" t="str">
        <ns0:f>IF($E455="","",INDEX('Banka Dökümü'!$B$2:$B$2001,$E455))</ns0:f>
        <ns0:v/>
      </ns0:c>
      <ns0:c r="C455" s="33" t="str">
        <ns0:f>IF($E455="","",INDEX('Banka Dökümü'!$C$2:$C$2001,$E455))</ns0:f>
        <ns0:v/>
      </ns0:c>
      <ns0:c r="D455" s="28" t="str">
        <ns0:f>IF(E455="","","Müşteri adı / aranacak ad / il bilgisini kontrol edin")</ns0:f>
        <ns0:v/>
      </ns0:c>
      <ns0:c r="E455" s="28" t="str">
        <ns0:f>IFERROR(MATCH(451,'Banka Dökümü'!$I$2:$I$2001,0),"")</ns0:f>
        <ns0:v/>
      </ns0:c>
    </ns0:row>
    <ns0:row r="456" ht="21" customHeight="1">
      <ns0:c r="A456" s="32" t="str">
        <ns0:f>IF($E456="","",INDEX('Banka Dökümü'!$A$2:$A$2001,$E456))</ns0:f>
        <ns0:v/>
      </ns0:c>
      <ns0:c r="B456" s="28" t="str">
        <ns0:f>IF($E456="","",INDEX('Banka Dökümü'!$B$2:$B$2001,$E456))</ns0:f>
        <ns0:v/>
      </ns0:c>
      <ns0:c r="C456" s="33" t="str">
        <ns0:f>IF($E456="","",INDEX('Banka Dökümü'!$C$2:$C$2001,$E456))</ns0:f>
        <ns0:v/>
      </ns0:c>
      <ns0:c r="D456" s="28" t="str">
        <ns0:f>IF(E456="","","Müşteri adı / aranacak ad / il bilgisini kontrol edin")</ns0:f>
        <ns0:v/>
      </ns0:c>
      <ns0:c r="E456" s="28" t="str">
        <ns0:f>IFERROR(MATCH(452,'Banka Dökümü'!$I$2:$I$2001,0),"")</ns0:f>
        <ns0:v/>
      </ns0:c>
    </ns0:row>
    <ns0:row r="457" ht="21" customHeight="1">
      <ns0:c r="A457" s="32" t="str">
        <ns0:f>IF($E457="","",INDEX('Banka Dökümü'!$A$2:$A$2001,$E457))</ns0:f>
        <ns0:v/>
      </ns0:c>
      <ns0:c r="B457" s="28" t="str">
        <ns0:f>IF($E457="","",INDEX('Banka Dökümü'!$B$2:$B$2001,$E457))</ns0:f>
        <ns0:v/>
      </ns0:c>
      <ns0:c r="C457" s="33" t="str">
        <ns0:f>IF($E457="","",INDEX('Banka Dökümü'!$C$2:$C$2001,$E457))</ns0:f>
        <ns0:v/>
      </ns0:c>
      <ns0:c r="D457" s="28" t="str">
        <ns0:f>IF(E457="","","Müşteri adı / aranacak ad / il bilgisini kontrol edin")</ns0:f>
        <ns0:v/>
      </ns0:c>
      <ns0:c r="E457" s="28" t="str">
        <ns0:f>IFERROR(MATCH(453,'Banka Dökümü'!$I$2:$I$2001,0),"")</ns0:f>
        <ns0:v/>
      </ns0:c>
    </ns0:row>
    <ns0:row r="458" ht="21" customHeight="1">
      <ns0:c r="A458" s="32" t="str">
        <ns0:f>IF($E458="","",INDEX('Banka Dökümü'!$A$2:$A$2001,$E458))</ns0:f>
        <ns0:v/>
      </ns0:c>
      <ns0:c r="B458" s="28" t="str">
        <ns0:f>IF($E458="","",INDEX('Banka Dökümü'!$B$2:$B$2001,$E458))</ns0:f>
        <ns0:v/>
      </ns0:c>
      <ns0:c r="C458" s="33" t="str">
        <ns0:f>IF($E458="","",INDEX('Banka Dökümü'!$C$2:$C$2001,$E458))</ns0:f>
        <ns0:v/>
      </ns0:c>
      <ns0:c r="D458" s="28" t="str">
        <ns0:f>IF(E458="","","Müşteri adı / aranacak ad / il bilgisini kontrol edin")</ns0:f>
        <ns0:v/>
      </ns0:c>
      <ns0:c r="E458" s="28" t="str">
        <ns0:f>IFERROR(MATCH(454,'Banka Dökümü'!$I$2:$I$2001,0),"")</ns0:f>
        <ns0:v/>
      </ns0:c>
    </ns0:row>
    <ns0:row r="459" ht="21" customHeight="1">
      <ns0:c r="A459" s="32" t="str">
        <ns0:f>IF($E459="","",INDEX('Banka Dökümü'!$A$2:$A$2001,$E459))</ns0:f>
        <ns0:v/>
      </ns0:c>
      <ns0:c r="B459" s="28" t="str">
        <ns0:f>IF($E459="","",INDEX('Banka Dökümü'!$B$2:$B$2001,$E459))</ns0:f>
        <ns0:v/>
      </ns0:c>
      <ns0:c r="C459" s="33" t="str">
        <ns0:f>IF($E459="","",INDEX('Banka Dökümü'!$C$2:$C$2001,$E459))</ns0:f>
        <ns0:v/>
      </ns0:c>
      <ns0:c r="D459" s="28" t="str">
        <ns0:f>IF(E459="","","Müşteri adı / aranacak ad / il bilgisini kontrol edin")</ns0:f>
        <ns0:v/>
      </ns0:c>
      <ns0:c r="E459" s="28" t="str">
        <ns0:f>IFERROR(MATCH(455,'Banka Dökümü'!$I$2:$I$2001,0),"")</ns0:f>
        <ns0:v/>
      </ns0:c>
    </ns0:row>
    <ns0:row r="460" ht="21" customHeight="1">
      <ns0:c r="A460" s="32" t="str">
        <ns0:f>IF($E460="","",INDEX('Banka Dökümü'!$A$2:$A$2001,$E460))</ns0:f>
        <ns0:v/>
      </ns0:c>
      <ns0:c r="B460" s="28" t="str">
        <ns0:f>IF($E460="","",INDEX('Banka Dökümü'!$B$2:$B$2001,$E460))</ns0:f>
        <ns0:v/>
      </ns0:c>
      <ns0:c r="C460" s="33" t="str">
        <ns0:f>IF($E460="","",INDEX('Banka Dökümü'!$C$2:$C$2001,$E460))</ns0:f>
        <ns0:v/>
      </ns0:c>
      <ns0:c r="D460" s="28" t="str">
        <ns0:f>IF(E460="","","Müşteri adı / aranacak ad / il bilgisini kontrol edin")</ns0:f>
        <ns0:v/>
      </ns0:c>
      <ns0:c r="E460" s="28" t="str">
        <ns0:f>IFERROR(MATCH(456,'Banka Dökümü'!$I$2:$I$2001,0),"")</ns0:f>
        <ns0:v/>
      </ns0:c>
    </ns0:row>
    <ns0:row r="461" ht="21" customHeight="1">
      <ns0:c r="A461" s="32" t="str">
        <ns0:f>IF($E461="","",INDEX('Banka Dökümü'!$A$2:$A$2001,$E461))</ns0:f>
        <ns0:v/>
      </ns0:c>
      <ns0:c r="B461" s="28" t="str">
        <ns0:f>IF($E461="","",INDEX('Banka Dökümü'!$B$2:$B$2001,$E461))</ns0:f>
        <ns0:v/>
      </ns0:c>
      <ns0:c r="C461" s="33" t="str">
        <ns0:f>IF($E461="","",INDEX('Banka Dökümü'!$C$2:$C$2001,$E461))</ns0:f>
        <ns0:v/>
      </ns0:c>
      <ns0:c r="D461" s="28" t="str">
        <ns0:f>IF(E461="","","Müşteri adı / aranacak ad / il bilgisini kontrol edin")</ns0:f>
        <ns0:v/>
      </ns0:c>
      <ns0:c r="E461" s="28" t="str">
        <ns0:f>IFERROR(MATCH(457,'Banka Dökümü'!$I$2:$I$2001,0),"")</ns0:f>
        <ns0:v/>
      </ns0:c>
    </ns0:row>
    <ns0:row r="462" ht="21" customHeight="1">
      <ns0:c r="A462" s="32" t="str">
        <ns0:f>IF($E462="","",INDEX('Banka Dökümü'!$A$2:$A$2001,$E462))</ns0:f>
        <ns0:v/>
      </ns0:c>
      <ns0:c r="B462" s="28" t="str">
        <ns0:f>IF($E462="","",INDEX('Banka Dökümü'!$B$2:$B$2001,$E462))</ns0:f>
        <ns0:v/>
      </ns0:c>
      <ns0:c r="C462" s="33" t="str">
        <ns0:f>IF($E462="","",INDEX('Banka Dökümü'!$C$2:$C$2001,$E462))</ns0:f>
        <ns0:v/>
      </ns0:c>
      <ns0:c r="D462" s="28" t="str">
        <ns0:f>IF(E462="","","Müşteri adı / aranacak ad / il bilgisini kontrol edin")</ns0:f>
        <ns0:v/>
      </ns0:c>
      <ns0:c r="E462" s="28" t="str">
        <ns0:f>IFERROR(MATCH(458,'Banka Dökümü'!$I$2:$I$2001,0),"")</ns0:f>
        <ns0:v/>
      </ns0:c>
    </ns0:row>
    <ns0:row r="463" ht="21" customHeight="1">
      <ns0:c r="A463" s="32" t="str">
        <ns0:f>IF($E463="","",INDEX('Banka Dökümü'!$A$2:$A$2001,$E463))</ns0:f>
        <ns0:v/>
      </ns0:c>
      <ns0:c r="B463" s="28" t="str">
        <ns0:f>IF($E463="","",INDEX('Banka Dökümü'!$B$2:$B$2001,$E463))</ns0:f>
        <ns0:v/>
      </ns0:c>
      <ns0:c r="C463" s="33" t="str">
        <ns0:f>IF($E463="","",INDEX('Banka Dökümü'!$C$2:$C$2001,$E463))</ns0:f>
        <ns0:v/>
      </ns0:c>
      <ns0:c r="D463" s="28" t="str">
        <ns0:f>IF(E463="","","Müşteri adı / aranacak ad / il bilgisini kontrol edin")</ns0:f>
        <ns0:v/>
      </ns0:c>
      <ns0:c r="E463" s="28" t="str">
        <ns0:f>IFERROR(MATCH(459,'Banka Dökümü'!$I$2:$I$2001,0),"")</ns0:f>
        <ns0:v/>
      </ns0:c>
    </ns0:row>
    <ns0:row r="464" ht="21" customHeight="1">
      <ns0:c r="A464" s="32" t="str">
        <ns0:f>IF($E464="","",INDEX('Banka Dökümü'!$A$2:$A$2001,$E464))</ns0:f>
        <ns0:v/>
      </ns0:c>
      <ns0:c r="B464" s="28" t="str">
        <ns0:f>IF($E464="","",INDEX('Banka Dökümü'!$B$2:$B$2001,$E464))</ns0:f>
        <ns0:v/>
      </ns0:c>
      <ns0:c r="C464" s="33" t="str">
        <ns0:f>IF($E464="","",INDEX('Banka Dökümü'!$C$2:$C$2001,$E464))</ns0:f>
        <ns0:v/>
      </ns0:c>
      <ns0:c r="D464" s="28" t="str">
        <ns0:f>IF(E464="","","Müşteri adı / aranacak ad / il bilgisini kontrol edin")</ns0:f>
        <ns0:v/>
      </ns0:c>
      <ns0:c r="E464" s="28" t="str">
        <ns0:f>IFERROR(MATCH(460,'Banka Dökümü'!$I$2:$I$2001,0),"")</ns0:f>
        <ns0:v/>
      </ns0:c>
    </ns0:row>
    <ns0:row r="465" ht="21" customHeight="1">
      <ns0:c r="A465" s="32" t="str">
        <ns0:f>IF($E465="","",INDEX('Banka Dökümü'!$A$2:$A$2001,$E465))</ns0:f>
        <ns0:v/>
      </ns0:c>
      <ns0:c r="B465" s="28" t="str">
        <ns0:f>IF($E465="","",INDEX('Banka Dökümü'!$B$2:$B$2001,$E465))</ns0:f>
        <ns0:v/>
      </ns0:c>
      <ns0:c r="C465" s="33" t="str">
        <ns0:f>IF($E465="","",INDEX('Banka Dökümü'!$C$2:$C$2001,$E465))</ns0:f>
        <ns0:v/>
      </ns0:c>
      <ns0:c r="D465" s="28" t="str">
        <ns0:f>IF(E465="","","Müşteri adı / aranacak ad / il bilgisini kontrol edin")</ns0:f>
        <ns0:v/>
      </ns0:c>
      <ns0:c r="E465" s="28" t="str">
        <ns0:f>IFERROR(MATCH(461,'Banka Dökümü'!$I$2:$I$2001,0),"")</ns0:f>
        <ns0:v/>
      </ns0:c>
    </ns0:row>
    <ns0:row r="466" ht="21" customHeight="1">
      <ns0:c r="A466" s="32" t="str">
        <ns0:f>IF($E466="","",INDEX('Banka Dökümü'!$A$2:$A$2001,$E466))</ns0:f>
        <ns0:v/>
      </ns0:c>
      <ns0:c r="B466" s="28" t="str">
        <ns0:f>IF($E466="","",INDEX('Banka Dökümü'!$B$2:$B$2001,$E466))</ns0:f>
        <ns0:v/>
      </ns0:c>
      <ns0:c r="C466" s="33" t="str">
        <ns0:f>IF($E466="","",INDEX('Banka Dökümü'!$C$2:$C$2001,$E466))</ns0:f>
        <ns0:v/>
      </ns0:c>
      <ns0:c r="D466" s="28" t="str">
        <ns0:f>IF(E466="","","Müşteri adı / aranacak ad / il bilgisini kontrol edin")</ns0:f>
        <ns0:v/>
      </ns0:c>
      <ns0:c r="E466" s="28" t="str">
        <ns0:f>IFERROR(MATCH(462,'Banka Dökümü'!$I$2:$I$2001,0),"")</ns0:f>
        <ns0:v/>
      </ns0:c>
    </ns0:row>
    <ns0:row r="467" ht="21" customHeight="1">
      <ns0:c r="A467" s="32" t="str">
        <ns0:f>IF($E467="","",INDEX('Banka Dökümü'!$A$2:$A$2001,$E467))</ns0:f>
        <ns0:v/>
      </ns0:c>
      <ns0:c r="B467" s="28" t="str">
        <ns0:f>IF($E467="","",INDEX('Banka Dökümü'!$B$2:$B$2001,$E467))</ns0:f>
        <ns0:v/>
      </ns0:c>
      <ns0:c r="C467" s="33" t="str">
        <ns0:f>IF($E467="","",INDEX('Banka Dökümü'!$C$2:$C$2001,$E467))</ns0:f>
        <ns0:v/>
      </ns0:c>
      <ns0:c r="D467" s="28" t="str">
        <ns0:f>IF(E467="","","Müşteri adı / aranacak ad / il bilgisini kontrol edin")</ns0:f>
        <ns0:v/>
      </ns0:c>
      <ns0:c r="E467" s="28" t="str">
        <ns0:f>IFERROR(MATCH(463,'Banka Dökümü'!$I$2:$I$2001,0),"")</ns0:f>
        <ns0:v/>
      </ns0:c>
    </ns0:row>
    <ns0:row r="468" ht="21" customHeight="1">
      <ns0:c r="A468" s="32" t="str">
        <ns0:f>IF($E468="","",INDEX('Banka Dökümü'!$A$2:$A$2001,$E468))</ns0:f>
        <ns0:v/>
      </ns0:c>
      <ns0:c r="B468" s="28" t="str">
        <ns0:f>IF($E468="","",INDEX('Banka Dökümü'!$B$2:$B$2001,$E468))</ns0:f>
        <ns0:v/>
      </ns0:c>
      <ns0:c r="C468" s="33" t="str">
        <ns0:f>IF($E468="","",INDEX('Banka Dökümü'!$C$2:$C$2001,$E468))</ns0:f>
        <ns0:v/>
      </ns0:c>
      <ns0:c r="D468" s="28" t="str">
        <ns0:f>IF(E468="","","Müşteri adı / aranacak ad / il bilgisini kontrol edin")</ns0:f>
        <ns0:v/>
      </ns0:c>
      <ns0:c r="E468" s="28" t="str">
        <ns0:f>IFERROR(MATCH(464,'Banka Dökümü'!$I$2:$I$2001,0),"")</ns0:f>
        <ns0:v/>
      </ns0:c>
    </ns0:row>
    <ns0:row r="469" ht="21" customHeight="1">
      <ns0:c r="A469" s="32" t="str">
        <ns0:f>IF($E469="","",INDEX('Banka Dökümü'!$A$2:$A$2001,$E469))</ns0:f>
        <ns0:v/>
      </ns0:c>
      <ns0:c r="B469" s="28" t="str">
        <ns0:f>IF($E469="","",INDEX('Banka Dökümü'!$B$2:$B$2001,$E469))</ns0:f>
        <ns0:v/>
      </ns0:c>
      <ns0:c r="C469" s="33" t="str">
        <ns0:f>IF($E469="","",INDEX('Banka Dökümü'!$C$2:$C$2001,$E469))</ns0:f>
        <ns0:v/>
      </ns0:c>
      <ns0:c r="D469" s="28" t="str">
        <ns0:f>IF(E469="","","Müşteri adı / aranacak ad / il bilgisini kontrol edin")</ns0:f>
        <ns0:v/>
      </ns0:c>
      <ns0:c r="E469" s="28" t="str">
        <ns0:f>IFERROR(MATCH(465,'Banka Dökümü'!$I$2:$I$2001,0),"")</ns0:f>
        <ns0:v/>
      </ns0:c>
    </ns0:row>
    <ns0:row r="470" ht="21" customHeight="1">
      <ns0:c r="A470" s="32" t="str">
        <ns0:f>IF($E470="","",INDEX('Banka Dökümü'!$A$2:$A$2001,$E470))</ns0:f>
        <ns0:v/>
      </ns0:c>
      <ns0:c r="B470" s="28" t="str">
        <ns0:f>IF($E470="","",INDEX('Banka Dökümü'!$B$2:$B$2001,$E470))</ns0:f>
        <ns0:v/>
      </ns0:c>
      <ns0:c r="C470" s="33" t="str">
        <ns0:f>IF($E470="","",INDEX('Banka Dökümü'!$C$2:$C$2001,$E470))</ns0:f>
        <ns0:v/>
      </ns0:c>
      <ns0:c r="D470" s="28" t="str">
        <ns0:f>IF(E470="","","Müşteri adı / aranacak ad / il bilgisini kontrol edin")</ns0:f>
        <ns0:v/>
      </ns0:c>
      <ns0:c r="E470" s="28" t="str">
        <ns0:f>IFERROR(MATCH(466,'Banka Dökümü'!$I$2:$I$2001,0),"")</ns0:f>
        <ns0:v/>
      </ns0:c>
    </ns0:row>
    <ns0:row r="471" ht="21" customHeight="1">
      <ns0:c r="A471" s="32" t="str">
        <ns0:f>IF($E471="","",INDEX('Banka Dökümü'!$A$2:$A$2001,$E471))</ns0:f>
        <ns0:v/>
      </ns0:c>
      <ns0:c r="B471" s="28" t="str">
        <ns0:f>IF($E471="","",INDEX('Banka Dökümü'!$B$2:$B$2001,$E471))</ns0:f>
        <ns0:v/>
      </ns0:c>
      <ns0:c r="C471" s="33" t="str">
        <ns0:f>IF($E471="","",INDEX('Banka Dökümü'!$C$2:$C$2001,$E471))</ns0:f>
        <ns0:v/>
      </ns0:c>
      <ns0:c r="D471" s="28" t="str">
        <ns0:f>IF(E471="","","Müşteri adı / aranacak ad / il bilgisini kontrol edin")</ns0:f>
        <ns0:v/>
      </ns0:c>
      <ns0:c r="E471" s="28" t="str">
        <ns0:f>IFERROR(MATCH(467,'Banka Dökümü'!$I$2:$I$2001,0),"")</ns0:f>
        <ns0:v/>
      </ns0:c>
    </ns0:row>
    <ns0:row r="472" ht="21" customHeight="1">
      <ns0:c r="A472" s="32" t="str">
        <ns0:f>IF($E472="","",INDEX('Banka Dökümü'!$A$2:$A$2001,$E472))</ns0:f>
        <ns0:v/>
      </ns0:c>
      <ns0:c r="B472" s="28" t="str">
        <ns0:f>IF($E472="","",INDEX('Banka Dökümü'!$B$2:$B$2001,$E472))</ns0:f>
        <ns0:v/>
      </ns0:c>
      <ns0:c r="C472" s="33" t="str">
        <ns0:f>IF($E472="","",INDEX('Banka Dökümü'!$C$2:$C$2001,$E472))</ns0:f>
        <ns0:v/>
      </ns0:c>
      <ns0:c r="D472" s="28" t="str">
        <ns0:f>IF(E472="","","Müşteri adı / aranacak ad / il bilgisini kontrol edin")</ns0:f>
        <ns0:v/>
      </ns0:c>
      <ns0:c r="E472" s="28" t="str">
        <ns0:f>IFERROR(MATCH(468,'Banka Dökümü'!$I$2:$I$2001,0),"")</ns0:f>
        <ns0:v/>
      </ns0:c>
    </ns0:row>
    <ns0:row r="473" ht="21" customHeight="1">
      <ns0:c r="A473" s="32" t="str">
        <ns0:f>IF($E473="","",INDEX('Banka Dökümü'!$A$2:$A$2001,$E473))</ns0:f>
        <ns0:v/>
      </ns0:c>
      <ns0:c r="B473" s="28" t="str">
        <ns0:f>IF($E473="","",INDEX('Banka Dökümü'!$B$2:$B$2001,$E473))</ns0:f>
        <ns0:v/>
      </ns0:c>
      <ns0:c r="C473" s="33" t="str">
        <ns0:f>IF($E473="","",INDEX('Banka Dökümü'!$C$2:$C$2001,$E473))</ns0:f>
        <ns0:v/>
      </ns0:c>
      <ns0:c r="D473" s="28" t="str">
        <ns0:f>IF(E473="","","Müşteri adı / aranacak ad / il bilgisini kontrol edin")</ns0:f>
        <ns0:v/>
      </ns0:c>
      <ns0:c r="E473" s="28" t="str">
        <ns0:f>IFERROR(MATCH(469,'Banka Dökümü'!$I$2:$I$2001,0),"")</ns0:f>
        <ns0:v/>
      </ns0:c>
    </ns0:row>
    <ns0:row r="474" ht="21" customHeight="1">
      <ns0:c r="A474" s="32" t="str">
        <ns0:f>IF($E474="","",INDEX('Banka Dökümü'!$A$2:$A$2001,$E474))</ns0:f>
        <ns0:v/>
      </ns0:c>
      <ns0:c r="B474" s="28" t="str">
        <ns0:f>IF($E474="","",INDEX('Banka Dökümü'!$B$2:$B$2001,$E474))</ns0:f>
        <ns0:v/>
      </ns0:c>
      <ns0:c r="C474" s="33" t="str">
        <ns0:f>IF($E474="","",INDEX('Banka Dökümü'!$C$2:$C$2001,$E474))</ns0:f>
        <ns0:v/>
      </ns0:c>
      <ns0:c r="D474" s="28" t="str">
        <ns0:f>IF(E474="","","Müşteri adı / aranacak ad / il bilgisini kontrol edin")</ns0:f>
        <ns0:v/>
      </ns0:c>
      <ns0:c r="E474" s="28" t="str">
        <ns0:f>IFERROR(MATCH(470,'Banka Dökümü'!$I$2:$I$2001,0),"")</ns0:f>
        <ns0:v/>
      </ns0:c>
    </ns0:row>
    <ns0:row r="475" ht="21" customHeight="1">
      <ns0:c r="A475" s="32" t="str">
        <ns0:f>IF($E475="","",INDEX('Banka Dökümü'!$A$2:$A$2001,$E475))</ns0:f>
        <ns0:v/>
      </ns0:c>
      <ns0:c r="B475" s="28" t="str">
        <ns0:f>IF($E475="","",INDEX('Banka Dökümü'!$B$2:$B$2001,$E475))</ns0:f>
        <ns0:v/>
      </ns0:c>
      <ns0:c r="C475" s="33" t="str">
        <ns0:f>IF($E475="","",INDEX('Banka Dökümü'!$C$2:$C$2001,$E475))</ns0:f>
        <ns0:v/>
      </ns0:c>
      <ns0:c r="D475" s="28" t="str">
        <ns0:f>IF(E475="","","Müşteri adı / aranacak ad / il bilgisini kontrol edin")</ns0:f>
        <ns0:v/>
      </ns0:c>
      <ns0:c r="E475" s="28" t="str">
        <ns0:f>IFERROR(MATCH(471,'Banka Dökümü'!$I$2:$I$2001,0),"")</ns0:f>
        <ns0:v/>
      </ns0:c>
    </ns0:row>
    <ns0:row r="476" ht="21" customHeight="1">
      <ns0:c r="A476" s="32" t="str">
        <ns0:f>IF($E476="","",INDEX('Banka Dökümü'!$A$2:$A$2001,$E476))</ns0:f>
        <ns0:v/>
      </ns0:c>
      <ns0:c r="B476" s="28" t="str">
        <ns0:f>IF($E476="","",INDEX('Banka Dökümü'!$B$2:$B$2001,$E476))</ns0:f>
        <ns0:v/>
      </ns0:c>
      <ns0:c r="C476" s="33" t="str">
        <ns0:f>IF($E476="","",INDEX('Banka Dökümü'!$C$2:$C$2001,$E476))</ns0:f>
        <ns0:v/>
      </ns0:c>
      <ns0:c r="D476" s="28" t="str">
        <ns0:f>IF(E476="","","Müşteri adı / aranacak ad / il bilgisini kontrol edin")</ns0:f>
        <ns0:v/>
      </ns0:c>
      <ns0:c r="E476" s="28" t="str">
        <ns0:f>IFERROR(MATCH(472,'Banka Dökümü'!$I$2:$I$2001,0),"")</ns0:f>
        <ns0:v/>
      </ns0:c>
    </ns0:row>
    <ns0:row r="477" ht="21" customHeight="1">
      <ns0:c r="A477" s="32" t="str">
        <ns0:f>IF($E477="","",INDEX('Banka Dökümü'!$A$2:$A$2001,$E477))</ns0:f>
        <ns0:v/>
      </ns0:c>
      <ns0:c r="B477" s="28" t="str">
        <ns0:f>IF($E477="","",INDEX('Banka Dökümü'!$B$2:$B$2001,$E477))</ns0:f>
        <ns0:v/>
      </ns0:c>
      <ns0:c r="C477" s="33" t="str">
        <ns0:f>IF($E477="","",INDEX('Banka Dökümü'!$C$2:$C$2001,$E477))</ns0:f>
        <ns0:v/>
      </ns0:c>
      <ns0:c r="D477" s="28" t="str">
        <ns0:f>IF(E477="","","Müşteri adı / aranacak ad / il bilgisini kontrol edin")</ns0:f>
        <ns0:v/>
      </ns0:c>
      <ns0:c r="E477" s="28" t="str">
        <ns0:f>IFERROR(MATCH(473,'Banka Dökümü'!$I$2:$I$2001,0),"")</ns0:f>
        <ns0:v/>
      </ns0:c>
    </ns0:row>
    <ns0:row r="478" ht="21" customHeight="1">
      <ns0:c r="A478" s="32" t="str">
        <ns0:f>IF($E478="","",INDEX('Banka Dökümü'!$A$2:$A$2001,$E478))</ns0:f>
        <ns0:v/>
      </ns0:c>
      <ns0:c r="B478" s="28" t="str">
        <ns0:f>IF($E478="","",INDEX('Banka Dökümü'!$B$2:$B$2001,$E478))</ns0:f>
        <ns0:v/>
      </ns0:c>
      <ns0:c r="C478" s="33" t="str">
        <ns0:f>IF($E478="","",INDEX('Banka Dökümü'!$C$2:$C$2001,$E478))</ns0:f>
        <ns0:v/>
      </ns0:c>
      <ns0:c r="D478" s="28" t="str">
        <ns0:f>IF(E478="","","Müşteri adı / aranacak ad / il bilgisini kontrol edin")</ns0:f>
        <ns0:v/>
      </ns0:c>
      <ns0:c r="E478" s="28" t="str">
        <ns0:f>IFERROR(MATCH(474,'Banka Dökümü'!$I$2:$I$2001,0),"")</ns0:f>
        <ns0:v/>
      </ns0:c>
    </ns0:row>
    <ns0:row r="479" ht="21" customHeight="1">
      <ns0:c r="A479" s="32" t="str">
        <ns0:f>IF($E479="","",INDEX('Banka Dökümü'!$A$2:$A$2001,$E479))</ns0:f>
        <ns0:v/>
      </ns0:c>
      <ns0:c r="B479" s="28" t="str">
        <ns0:f>IF($E479="","",INDEX('Banka Dökümü'!$B$2:$B$2001,$E479))</ns0:f>
        <ns0:v/>
      </ns0:c>
      <ns0:c r="C479" s="33" t="str">
        <ns0:f>IF($E479="","",INDEX('Banka Dökümü'!$C$2:$C$2001,$E479))</ns0:f>
        <ns0:v/>
      </ns0:c>
      <ns0:c r="D479" s="28" t="str">
        <ns0:f>IF(E479="","","Müşteri adı / aranacak ad / il bilgisini kontrol edin")</ns0:f>
        <ns0:v/>
      </ns0:c>
      <ns0:c r="E479" s="28" t="str">
        <ns0:f>IFERROR(MATCH(475,'Banka Dökümü'!$I$2:$I$2001,0),"")</ns0:f>
        <ns0:v/>
      </ns0:c>
    </ns0:row>
    <ns0:row r="480" ht="21" customHeight="1">
      <ns0:c r="A480" s="32" t="str">
        <ns0:f>IF($E480="","",INDEX('Banka Dökümü'!$A$2:$A$2001,$E480))</ns0:f>
        <ns0:v/>
      </ns0:c>
      <ns0:c r="B480" s="28" t="str">
        <ns0:f>IF($E480="","",INDEX('Banka Dökümü'!$B$2:$B$2001,$E480))</ns0:f>
        <ns0:v/>
      </ns0:c>
      <ns0:c r="C480" s="33" t="str">
        <ns0:f>IF($E480="","",INDEX('Banka Dökümü'!$C$2:$C$2001,$E480))</ns0:f>
        <ns0:v/>
      </ns0:c>
      <ns0:c r="D480" s="28" t="str">
        <ns0:f>IF(E480="","","Müşteri adı / aranacak ad / il bilgisini kontrol edin")</ns0:f>
        <ns0:v/>
      </ns0:c>
      <ns0:c r="E480" s="28" t="str">
        <ns0:f>IFERROR(MATCH(476,'Banka Dökümü'!$I$2:$I$2001,0),"")</ns0:f>
        <ns0:v/>
      </ns0:c>
    </ns0:row>
    <ns0:row r="481" ht="21" customHeight="1">
      <ns0:c r="A481" s="32" t="str">
        <ns0:f>IF($E481="","",INDEX('Banka Dökümü'!$A$2:$A$2001,$E481))</ns0:f>
        <ns0:v/>
      </ns0:c>
      <ns0:c r="B481" s="28" t="str">
        <ns0:f>IF($E481="","",INDEX('Banka Dökümü'!$B$2:$B$2001,$E481))</ns0:f>
        <ns0:v/>
      </ns0:c>
      <ns0:c r="C481" s="33" t="str">
        <ns0:f>IF($E481="","",INDEX('Banka Dökümü'!$C$2:$C$2001,$E481))</ns0:f>
        <ns0:v/>
      </ns0:c>
      <ns0:c r="D481" s="28" t="str">
        <ns0:f>IF(E481="","","Müşteri adı / aranacak ad / il bilgisini kontrol edin")</ns0:f>
        <ns0:v/>
      </ns0:c>
      <ns0:c r="E481" s="28" t="str">
        <ns0:f>IFERROR(MATCH(477,'Banka Dökümü'!$I$2:$I$2001,0),"")</ns0:f>
        <ns0:v/>
      </ns0:c>
    </ns0:row>
    <ns0:row r="482" ht="21" customHeight="1">
      <ns0:c r="A482" s="32" t="str">
        <ns0:f>IF($E482="","",INDEX('Banka Dökümü'!$A$2:$A$2001,$E482))</ns0:f>
        <ns0:v/>
      </ns0:c>
      <ns0:c r="B482" s="28" t="str">
        <ns0:f>IF($E482="","",INDEX('Banka Dökümü'!$B$2:$B$2001,$E482))</ns0:f>
        <ns0:v/>
      </ns0:c>
      <ns0:c r="C482" s="33" t="str">
        <ns0:f>IF($E482="","",INDEX('Banka Dökümü'!$C$2:$C$2001,$E482))</ns0:f>
        <ns0:v/>
      </ns0:c>
      <ns0:c r="D482" s="28" t="str">
        <ns0:f>IF(E482="","","Müşteri adı / aranacak ad / il bilgisini kontrol edin")</ns0:f>
        <ns0:v/>
      </ns0:c>
      <ns0:c r="E482" s="28" t="str">
        <ns0:f>IFERROR(MATCH(478,'Banka Dökümü'!$I$2:$I$2001,0),"")</ns0:f>
        <ns0:v/>
      </ns0:c>
    </ns0:row>
    <ns0:row r="483" ht="21" customHeight="1">
      <ns0:c r="A483" s="32" t="str">
        <ns0:f>IF($E483="","",INDEX('Banka Dökümü'!$A$2:$A$2001,$E483))</ns0:f>
        <ns0:v/>
      </ns0:c>
      <ns0:c r="B483" s="28" t="str">
        <ns0:f>IF($E483="","",INDEX('Banka Dökümü'!$B$2:$B$2001,$E483))</ns0:f>
        <ns0:v/>
      </ns0:c>
      <ns0:c r="C483" s="33" t="str">
        <ns0:f>IF($E483="","",INDEX('Banka Dökümü'!$C$2:$C$2001,$E483))</ns0:f>
        <ns0:v/>
      </ns0:c>
      <ns0:c r="D483" s="28" t="str">
        <ns0:f>IF(E483="","","Müşteri adı / aranacak ad / il bilgisini kontrol edin")</ns0:f>
        <ns0:v/>
      </ns0:c>
      <ns0:c r="E483" s="28" t="str">
        <ns0:f>IFERROR(MATCH(479,'Banka Dökümü'!$I$2:$I$2001,0),"")</ns0:f>
        <ns0:v/>
      </ns0:c>
    </ns0:row>
    <ns0:row r="484" ht="21" customHeight="1">
      <ns0:c r="A484" s="32" t="str">
        <ns0:f>IF($E484="","",INDEX('Banka Dökümü'!$A$2:$A$2001,$E484))</ns0:f>
        <ns0:v/>
      </ns0:c>
      <ns0:c r="B484" s="28" t="str">
        <ns0:f>IF($E484="","",INDEX('Banka Dökümü'!$B$2:$B$2001,$E484))</ns0:f>
        <ns0:v/>
      </ns0:c>
      <ns0:c r="C484" s="33" t="str">
        <ns0:f>IF($E484="","",INDEX('Banka Dökümü'!$C$2:$C$2001,$E484))</ns0:f>
        <ns0:v/>
      </ns0:c>
      <ns0:c r="D484" s="28" t="str">
        <ns0:f>IF(E484="","","Müşteri adı / aranacak ad / il bilgisini kontrol edin")</ns0:f>
        <ns0:v/>
      </ns0:c>
      <ns0:c r="E484" s="28" t="str">
        <ns0:f>IFERROR(MATCH(480,'Banka Dökümü'!$I$2:$I$2001,0),"")</ns0:f>
        <ns0:v/>
      </ns0:c>
    </ns0:row>
    <ns0:row r="485" ht="21" customHeight="1">
      <ns0:c r="A485" s="32" t="str">
        <ns0:f>IF($E485="","",INDEX('Banka Dökümü'!$A$2:$A$2001,$E485))</ns0:f>
        <ns0:v/>
      </ns0:c>
      <ns0:c r="B485" s="28" t="str">
        <ns0:f>IF($E485="","",INDEX('Banka Dökümü'!$B$2:$B$2001,$E485))</ns0:f>
        <ns0:v/>
      </ns0:c>
      <ns0:c r="C485" s="33" t="str">
        <ns0:f>IF($E485="","",INDEX('Banka Dökümü'!$C$2:$C$2001,$E485))</ns0:f>
        <ns0:v/>
      </ns0:c>
      <ns0:c r="D485" s="28" t="str">
        <ns0:f>IF(E485="","","Müşteri adı / aranacak ad / il bilgisini kontrol edin")</ns0:f>
        <ns0:v/>
      </ns0:c>
      <ns0:c r="E485" s="28" t="str">
        <ns0:f>IFERROR(MATCH(481,'Banka Dökümü'!$I$2:$I$2001,0),"")</ns0:f>
        <ns0:v/>
      </ns0:c>
    </ns0:row>
    <ns0:row r="486" ht="21" customHeight="1">
      <ns0:c r="A486" s="32" t="str">
        <ns0:f>IF($E486="","",INDEX('Banka Dökümü'!$A$2:$A$2001,$E486))</ns0:f>
        <ns0:v/>
      </ns0:c>
      <ns0:c r="B486" s="28" t="str">
        <ns0:f>IF($E486="","",INDEX('Banka Dökümü'!$B$2:$B$2001,$E486))</ns0:f>
        <ns0:v/>
      </ns0:c>
      <ns0:c r="C486" s="33" t="str">
        <ns0:f>IF($E486="","",INDEX('Banka Dökümü'!$C$2:$C$2001,$E486))</ns0:f>
        <ns0:v/>
      </ns0:c>
      <ns0:c r="D486" s="28" t="str">
        <ns0:f>IF(E486="","","Müşteri adı / aranacak ad / il bilgisini kontrol edin")</ns0:f>
        <ns0:v/>
      </ns0:c>
      <ns0:c r="E486" s="28" t="str">
        <ns0:f>IFERROR(MATCH(482,'Banka Dökümü'!$I$2:$I$2001,0),"")</ns0:f>
        <ns0:v/>
      </ns0:c>
    </ns0:row>
    <ns0:row r="487" ht="21" customHeight="1">
      <ns0:c r="A487" s="32" t="str">
        <ns0:f>IF($E487="","",INDEX('Banka Dökümü'!$A$2:$A$2001,$E487))</ns0:f>
        <ns0:v/>
      </ns0:c>
      <ns0:c r="B487" s="28" t="str">
        <ns0:f>IF($E487="","",INDEX('Banka Dökümü'!$B$2:$B$2001,$E487))</ns0:f>
        <ns0:v/>
      </ns0:c>
      <ns0:c r="C487" s="33" t="str">
        <ns0:f>IF($E487="","",INDEX('Banka Dökümü'!$C$2:$C$2001,$E487))</ns0:f>
        <ns0:v/>
      </ns0:c>
      <ns0:c r="D487" s="28" t="str">
        <ns0:f>IF(E487="","","Müşteri adı / aranacak ad / il bilgisini kontrol edin")</ns0:f>
        <ns0:v/>
      </ns0:c>
      <ns0:c r="E487" s="28" t="str">
        <ns0:f>IFERROR(MATCH(483,'Banka Dökümü'!$I$2:$I$2001,0),"")</ns0:f>
        <ns0:v/>
      </ns0:c>
    </ns0:row>
    <ns0:row r="488" ht="21" customHeight="1">
      <ns0:c r="A488" s="32" t="str">
        <ns0:f>IF($E488="","",INDEX('Banka Dökümü'!$A$2:$A$2001,$E488))</ns0:f>
        <ns0:v/>
      </ns0:c>
      <ns0:c r="B488" s="28" t="str">
        <ns0:f>IF($E488="","",INDEX('Banka Dökümü'!$B$2:$B$2001,$E488))</ns0:f>
        <ns0:v/>
      </ns0:c>
      <ns0:c r="C488" s="33" t="str">
        <ns0:f>IF($E488="","",INDEX('Banka Dökümü'!$C$2:$C$2001,$E488))</ns0:f>
        <ns0:v/>
      </ns0:c>
      <ns0:c r="D488" s="28" t="str">
        <ns0:f>IF(E488="","","Müşteri adı / aranacak ad / il bilgisini kontrol edin")</ns0:f>
        <ns0:v/>
      </ns0:c>
      <ns0:c r="E488" s="28" t="str">
        <ns0:f>IFERROR(MATCH(484,'Banka Dökümü'!$I$2:$I$2001,0),"")</ns0:f>
        <ns0:v/>
      </ns0:c>
    </ns0:row>
    <ns0:row r="489" ht="21" customHeight="1">
      <ns0:c r="A489" s="32" t="str">
        <ns0:f>IF($E489="","",INDEX('Banka Dökümü'!$A$2:$A$2001,$E489))</ns0:f>
        <ns0:v/>
      </ns0:c>
      <ns0:c r="B489" s="28" t="str">
        <ns0:f>IF($E489="","",INDEX('Banka Dökümü'!$B$2:$B$2001,$E489))</ns0:f>
        <ns0:v/>
      </ns0:c>
      <ns0:c r="C489" s="33" t="str">
        <ns0:f>IF($E489="","",INDEX('Banka Dökümü'!$C$2:$C$2001,$E489))</ns0:f>
        <ns0:v/>
      </ns0:c>
      <ns0:c r="D489" s="28" t="str">
        <ns0:f>IF(E489="","","Müşteri adı / aranacak ad / il bilgisini kontrol edin")</ns0:f>
        <ns0:v/>
      </ns0:c>
      <ns0:c r="E489" s="28" t="str">
        <ns0:f>IFERROR(MATCH(485,'Banka Dökümü'!$I$2:$I$2001,0),"")</ns0:f>
        <ns0:v/>
      </ns0:c>
    </ns0:row>
    <ns0:row r="490" ht="21" customHeight="1">
      <ns0:c r="A490" s="32" t="str">
        <ns0:f>IF($E490="","",INDEX('Banka Dökümü'!$A$2:$A$2001,$E490))</ns0:f>
        <ns0:v/>
      </ns0:c>
      <ns0:c r="B490" s="28" t="str">
        <ns0:f>IF($E490="","",INDEX('Banka Dökümü'!$B$2:$B$2001,$E490))</ns0:f>
        <ns0:v/>
      </ns0:c>
      <ns0:c r="C490" s="33" t="str">
        <ns0:f>IF($E490="","",INDEX('Banka Dökümü'!$C$2:$C$2001,$E490))</ns0:f>
        <ns0:v/>
      </ns0:c>
      <ns0:c r="D490" s="28" t="str">
        <ns0:f>IF(E490="","","Müşteri adı / aranacak ad / il bilgisini kontrol edin")</ns0:f>
        <ns0:v/>
      </ns0:c>
      <ns0:c r="E490" s="28" t="str">
        <ns0:f>IFERROR(MATCH(486,'Banka Dökümü'!$I$2:$I$2001,0),"")</ns0:f>
        <ns0:v/>
      </ns0:c>
    </ns0:row>
    <ns0:row r="491" ht="21" customHeight="1">
      <ns0:c r="A491" s="32" t="str">
        <ns0:f>IF($E491="","",INDEX('Banka Dökümü'!$A$2:$A$2001,$E491))</ns0:f>
        <ns0:v/>
      </ns0:c>
      <ns0:c r="B491" s="28" t="str">
        <ns0:f>IF($E491="","",INDEX('Banka Dökümü'!$B$2:$B$2001,$E491))</ns0:f>
        <ns0:v/>
      </ns0:c>
      <ns0:c r="C491" s="33" t="str">
        <ns0:f>IF($E491="","",INDEX('Banka Dökümü'!$C$2:$C$2001,$E491))</ns0:f>
        <ns0:v/>
      </ns0:c>
      <ns0:c r="D491" s="28" t="str">
        <ns0:f>IF(E491="","","Müşteri adı / aranacak ad / il bilgisini kontrol edin")</ns0:f>
        <ns0:v/>
      </ns0:c>
      <ns0:c r="E491" s="28" t="str">
        <ns0:f>IFERROR(MATCH(487,'Banka Dökümü'!$I$2:$I$2001,0),"")</ns0:f>
        <ns0:v/>
      </ns0:c>
    </ns0:row>
    <ns0:row r="492" ht="21" customHeight="1">
      <ns0:c r="A492" s="32" t="str">
        <ns0:f>IF($E492="","",INDEX('Banka Dökümü'!$A$2:$A$2001,$E492))</ns0:f>
        <ns0:v/>
      </ns0:c>
      <ns0:c r="B492" s="28" t="str">
        <ns0:f>IF($E492="","",INDEX('Banka Dökümü'!$B$2:$B$2001,$E492))</ns0:f>
        <ns0:v/>
      </ns0:c>
      <ns0:c r="C492" s="33" t="str">
        <ns0:f>IF($E492="","",INDEX('Banka Dökümü'!$C$2:$C$2001,$E492))</ns0:f>
        <ns0:v/>
      </ns0:c>
      <ns0:c r="D492" s="28" t="str">
        <ns0:f>IF(E492="","","Müşteri adı / aranacak ad / il bilgisini kontrol edin")</ns0:f>
        <ns0:v/>
      </ns0:c>
      <ns0:c r="E492" s="28" t="str">
        <ns0:f>IFERROR(MATCH(488,'Banka Dökümü'!$I$2:$I$2001,0),"")</ns0:f>
        <ns0:v/>
      </ns0:c>
    </ns0:row>
    <ns0:row r="493" ht="21" customHeight="1">
      <ns0:c r="A493" s="32" t="str">
        <ns0:f>IF($E493="","",INDEX('Banka Dökümü'!$A$2:$A$2001,$E493))</ns0:f>
        <ns0:v/>
      </ns0:c>
      <ns0:c r="B493" s="28" t="str">
        <ns0:f>IF($E493="","",INDEX('Banka Dökümü'!$B$2:$B$2001,$E493))</ns0:f>
        <ns0:v/>
      </ns0:c>
      <ns0:c r="C493" s="33" t="str">
        <ns0:f>IF($E493="","",INDEX('Banka Dökümü'!$C$2:$C$2001,$E493))</ns0:f>
        <ns0:v/>
      </ns0:c>
      <ns0:c r="D493" s="28" t="str">
        <ns0:f>IF(E493="","","Müşteri adı / aranacak ad / il bilgisini kontrol edin")</ns0:f>
        <ns0:v/>
      </ns0:c>
      <ns0:c r="E493" s="28" t="str">
        <ns0:f>IFERROR(MATCH(489,'Banka Dökümü'!$I$2:$I$2001,0),"")</ns0:f>
        <ns0:v/>
      </ns0:c>
    </ns0:row>
    <ns0:row r="494" ht="21" customHeight="1">
      <ns0:c r="A494" s="32" t="str">
        <ns0:f>IF($E494="","",INDEX('Banka Dökümü'!$A$2:$A$2001,$E494))</ns0:f>
        <ns0:v/>
      </ns0:c>
      <ns0:c r="B494" s="28" t="str">
        <ns0:f>IF($E494="","",INDEX('Banka Dökümü'!$B$2:$B$2001,$E494))</ns0:f>
        <ns0:v/>
      </ns0:c>
      <ns0:c r="C494" s="33" t="str">
        <ns0:f>IF($E494="","",INDEX('Banka Dökümü'!$C$2:$C$2001,$E494))</ns0:f>
        <ns0:v/>
      </ns0:c>
      <ns0:c r="D494" s="28" t="str">
        <ns0:f>IF(E494="","","Müşteri adı / aranacak ad / il bilgisini kontrol edin")</ns0:f>
        <ns0:v/>
      </ns0:c>
      <ns0:c r="E494" s="28" t="str">
        <ns0:f>IFERROR(MATCH(490,'Banka Dökümü'!$I$2:$I$2001,0),"")</ns0:f>
        <ns0:v/>
      </ns0:c>
    </ns0:row>
    <ns0:row r="495" ht="21" customHeight="1">
      <ns0:c r="A495" s="32" t="str">
        <ns0:f>IF($E495="","",INDEX('Banka Dökümü'!$A$2:$A$2001,$E495))</ns0:f>
        <ns0:v/>
      </ns0:c>
      <ns0:c r="B495" s="28" t="str">
        <ns0:f>IF($E495="","",INDEX('Banka Dökümü'!$B$2:$B$2001,$E495))</ns0:f>
        <ns0:v/>
      </ns0:c>
      <ns0:c r="C495" s="33" t="str">
        <ns0:f>IF($E495="","",INDEX('Banka Dökümü'!$C$2:$C$2001,$E495))</ns0:f>
        <ns0:v/>
      </ns0:c>
      <ns0:c r="D495" s="28" t="str">
        <ns0:f>IF(E495="","","Müşteri adı / aranacak ad / il bilgisini kontrol edin")</ns0:f>
        <ns0:v/>
      </ns0:c>
      <ns0:c r="E495" s="28" t="str">
        <ns0:f>IFERROR(MATCH(491,'Banka Dökümü'!$I$2:$I$2001,0),"")</ns0:f>
        <ns0:v/>
      </ns0:c>
    </ns0:row>
    <ns0:row r="496" ht="21" customHeight="1">
      <ns0:c r="A496" s="32" t="str">
        <ns0:f>IF($E496="","",INDEX('Banka Dökümü'!$A$2:$A$2001,$E496))</ns0:f>
        <ns0:v/>
      </ns0:c>
      <ns0:c r="B496" s="28" t="str">
        <ns0:f>IF($E496="","",INDEX('Banka Dökümü'!$B$2:$B$2001,$E496))</ns0:f>
        <ns0:v/>
      </ns0:c>
      <ns0:c r="C496" s="33" t="str">
        <ns0:f>IF($E496="","",INDEX('Banka Dökümü'!$C$2:$C$2001,$E496))</ns0:f>
        <ns0:v/>
      </ns0:c>
      <ns0:c r="D496" s="28" t="str">
        <ns0:f>IF(E496="","","Müşteri adı / aranacak ad / il bilgisini kontrol edin")</ns0:f>
        <ns0:v/>
      </ns0:c>
      <ns0:c r="E496" s="28" t="str">
        <ns0:f>IFERROR(MATCH(492,'Banka Dökümü'!$I$2:$I$2001,0),"")</ns0:f>
        <ns0:v/>
      </ns0:c>
    </ns0:row>
    <ns0:row r="497" ht="21" customHeight="1">
      <ns0:c r="A497" s="32" t="str">
        <ns0:f>IF($E497="","",INDEX('Banka Dökümü'!$A$2:$A$2001,$E497))</ns0:f>
        <ns0:v/>
      </ns0:c>
      <ns0:c r="B497" s="28" t="str">
        <ns0:f>IF($E497="","",INDEX('Banka Dökümü'!$B$2:$B$2001,$E497))</ns0:f>
        <ns0:v/>
      </ns0:c>
      <ns0:c r="C497" s="33" t="str">
        <ns0:f>IF($E497="","",INDEX('Banka Dökümü'!$C$2:$C$2001,$E497))</ns0:f>
        <ns0:v/>
      </ns0:c>
      <ns0:c r="D497" s="28" t="str">
        <ns0:f>IF(E497="","","Müşteri adı / aranacak ad / il bilgisini kontrol edin")</ns0:f>
        <ns0:v/>
      </ns0:c>
      <ns0:c r="E497" s="28" t="str">
        <ns0:f>IFERROR(MATCH(493,'Banka Dökümü'!$I$2:$I$2001,0),"")</ns0:f>
        <ns0:v/>
      </ns0:c>
    </ns0:row>
    <ns0:row r="498" ht="21" customHeight="1">
      <ns0:c r="A498" s="32" t="str">
        <ns0:f>IF($E498="","",INDEX('Banka Dökümü'!$A$2:$A$2001,$E498))</ns0:f>
        <ns0:v/>
      </ns0:c>
      <ns0:c r="B498" s="28" t="str">
        <ns0:f>IF($E498="","",INDEX('Banka Dökümü'!$B$2:$B$2001,$E498))</ns0:f>
        <ns0:v/>
      </ns0:c>
      <ns0:c r="C498" s="33" t="str">
        <ns0:f>IF($E498="","",INDEX('Banka Dökümü'!$C$2:$C$2001,$E498))</ns0:f>
        <ns0:v/>
      </ns0:c>
      <ns0:c r="D498" s="28" t="str">
        <ns0:f>IF(E498="","","Müşteri adı / aranacak ad / il bilgisini kontrol edin")</ns0:f>
        <ns0:v/>
      </ns0:c>
      <ns0:c r="E498" s="28" t="str">
        <ns0:f>IFERROR(MATCH(494,'Banka Dökümü'!$I$2:$I$2001,0),"")</ns0:f>
        <ns0:v/>
      </ns0:c>
    </ns0:row>
    <ns0:row r="499" ht="21" customHeight="1">
      <ns0:c r="A499" s="32" t="str">
        <ns0:f>IF($E499="","",INDEX('Banka Dökümü'!$A$2:$A$2001,$E499))</ns0:f>
        <ns0:v/>
      </ns0:c>
      <ns0:c r="B499" s="28" t="str">
        <ns0:f>IF($E499="","",INDEX('Banka Dökümü'!$B$2:$B$2001,$E499))</ns0:f>
        <ns0:v/>
      </ns0:c>
      <ns0:c r="C499" s="33" t="str">
        <ns0:f>IF($E499="","",INDEX('Banka Dökümü'!$C$2:$C$2001,$E499))</ns0:f>
        <ns0:v/>
      </ns0:c>
      <ns0:c r="D499" s="28" t="str">
        <ns0:f>IF(E499="","","Müşteri adı / aranacak ad / il bilgisini kontrol edin")</ns0:f>
        <ns0:v/>
      </ns0:c>
      <ns0:c r="E499" s="28" t="str">
        <ns0:f>IFERROR(MATCH(495,'Banka Dökümü'!$I$2:$I$2001,0),"")</ns0:f>
        <ns0:v/>
      </ns0:c>
    </ns0:row>
    <ns0:row r="500" ht="21" customHeight="1">
      <ns0:c r="A500" s="32" t="str">
        <ns0:f>IF($E500="","",INDEX('Banka Dökümü'!$A$2:$A$2001,$E500))</ns0:f>
        <ns0:v/>
      </ns0:c>
      <ns0:c r="B500" s="28" t="str">
        <ns0:f>IF($E500="","",INDEX('Banka Dökümü'!$B$2:$B$2001,$E500))</ns0:f>
        <ns0:v/>
      </ns0:c>
      <ns0:c r="C500" s="33" t="str">
        <ns0:f>IF($E500="","",INDEX('Banka Dökümü'!$C$2:$C$2001,$E500))</ns0:f>
        <ns0:v/>
      </ns0:c>
      <ns0:c r="D500" s="28" t="str">
        <ns0:f>IF(E500="","","Müşteri adı / aranacak ad / il bilgisini kontrol edin")</ns0:f>
        <ns0:v/>
      </ns0:c>
      <ns0:c r="E500" s="28" t="str">
        <ns0:f>IFERROR(MATCH(496,'Banka Dökümü'!$I$2:$I$2001,0),"")</ns0:f>
        <ns0:v/>
      </ns0:c>
    </ns0:row>
    <ns0:row r="501" ht="21" customHeight="1">
      <ns0:c r="A501" s="32" t="str">
        <ns0:f>IF($E501="","",INDEX('Banka Dökümü'!$A$2:$A$2001,$E501))</ns0:f>
        <ns0:v/>
      </ns0:c>
      <ns0:c r="B501" s="28" t="str">
        <ns0:f>IF($E501="","",INDEX('Banka Dökümü'!$B$2:$B$2001,$E501))</ns0:f>
        <ns0:v/>
      </ns0:c>
      <ns0:c r="C501" s="33" t="str">
        <ns0:f>IF($E501="","",INDEX('Banka Dökümü'!$C$2:$C$2001,$E501))</ns0:f>
        <ns0:v/>
      </ns0:c>
      <ns0:c r="D501" s="28" t="str">
        <ns0:f>IF(E501="","","Müşteri adı / aranacak ad / il bilgisini kontrol edin")</ns0:f>
        <ns0:v/>
      </ns0:c>
      <ns0:c r="E501" s="28" t="str">
        <ns0:f>IFERROR(MATCH(497,'Banka Dökümü'!$I$2:$I$2001,0),"")</ns0:f>
        <ns0:v/>
      </ns0:c>
    </ns0:row>
    <ns0:row r="502" ht="21" customHeight="1">
      <ns0:c r="A502" s="32" t="str">
        <ns0:f>IF($E502="","",INDEX('Banka Dökümü'!$A$2:$A$2001,$E502))</ns0:f>
        <ns0:v/>
      </ns0:c>
      <ns0:c r="B502" s="28" t="str">
        <ns0:f>IF($E502="","",INDEX('Banka Dökümü'!$B$2:$B$2001,$E502))</ns0:f>
        <ns0:v/>
      </ns0:c>
      <ns0:c r="C502" s="33" t="str">
        <ns0:f>IF($E502="","",INDEX('Banka Dökümü'!$C$2:$C$2001,$E502))</ns0:f>
        <ns0:v/>
      </ns0:c>
      <ns0:c r="D502" s="28" t="str">
        <ns0:f>IF(E502="","","Müşteri adı / aranacak ad / il bilgisini kontrol edin")</ns0:f>
        <ns0:v/>
      </ns0:c>
      <ns0:c r="E502" s="28" t="str">
        <ns0:f>IFERROR(MATCH(498,'Banka Dökümü'!$I$2:$I$2001,0),"")</ns0:f>
        <ns0:v/>
      </ns0:c>
    </ns0:row>
    <ns0:row r="503" ht="21" customHeight="1">
      <ns0:c r="A503" s="32" t="str">
        <ns0:f>IF($E503="","",INDEX('Banka Dökümü'!$A$2:$A$2001,$E503))</ns0:f>
        <ns0:v/>
      </ns0:c>
      <ns0:c r="B503" s="28" t="str">
        <ns0:f>IF($E503="","",INDEX('Banka Dökümü'!$B$2:$B$2001,$E503))</ns0:f>
        <ns0:v/>
      </ns0:c>
      <ns0:c r="C503" s="33" t="str">
        <ns0:f>IF($E503="","",INDEX('Banka Dökümü'!$C$2:$C$2001,$E503))</ns0:f>
        <ns0:v/>
      </ns0:c>
      <ns0:c r="D503" s="28" t="str">
        <ns0:f>IF(E503="","","Müşteri adı / aranacak ad / il bilgisini kontrol edin")</ns0:f>
        <ns0:v/>
      </ns0:c>
      <ns0:c r="E503" s="28" t="str">
        <ns0:f>IFERROR(MATCH(499,'Banka Dökümü'!$I$2:$I$2001,0),"")</ns0:f>
        <ns0:v/>
      </ns0:c>
    </ns0:row>
    <ns0:row r="504" ht="21" customHeight="1">
      <ns0:c r="A504" s="32" t="str">
        <ns0:f>IF($E504="","",INDEX('Banka Dökümü'!$A$2:$A$2001,$E504))</ns0:f>
        <ns0:v/>
      </ns0:c>
      <ns0:c r="B504" s="28" t="str">
        <ns0:f>IF($E504="","",INDEX('Banka Dökümü'!$B$2:$B$2001,$E504))</ns0:f>
        <ns0:v/>
      </ns0:c>
      <ns0:c r="C504" s="33" t="str">
        <ns0:f>IF($E504="","",INDEX('Banka Dökümü'!$C$2:$C$2001,$E504))</ns0:f>
        <ns0:v/>
      </ns0:c>
      <ns0:c r="D504" s="28" t="str">
        <ns0:f>IF(E504="","","Müşteri adı / aranacak ad / il bilgisini kontrol edin")</ns0:f>
        <ns0:v/>
      </ns0:c>
      <ns0:c r="E504" s="28" t="str">
        <ns0:f>IFERROR(MATCH(500,'Banka Dökümü'!$I$2:$I$2001,0),"")</ns0:f>
        <ns0:v/>
      </ns0:c>
    </ns0:row>
    <ns0:row r="505" ht="21" customHeight="1">
      <ns0:c r="A505" s="32" t="str">
        <ns0:f>IF($E505="","",INDEX('Banka Dökümü'!$A$2:$A$2001,$E505))</ns0:f>
        <ns0:v/>
      </ns0:c>
      <ns0:c r="B505" s="28" t="str">
        <ns0:f>IF($E505="","",INDEX('Banka Dökümü'!$B$2:$B$2001,$E505))</ns0:f>
        <ns0:v/>
      </ns0:c>
      <ns0:c r="C505" s="33" t="str">
        <ns0:f>IF($E505="","",INDEX('Banka Dökümü'!$C$2:$C$2001,$E505))</ns0:f>
        <ns0:v/>
      </ns0:c>
      <ns0:c r="D505" s="28" t="str">
        <ns0:f>IF(E505="","","Müşteri adı / aranacak ad / il bilgisini kontrol edin")</ns0:f>
        <ns0:v/>
      </ns0:c>
      <ns0:c r="E505" s="28" t="str">
        <ns0:f>IFERROR(MATCH(501,'Banka Dökümü'!$I$2:$I$2001,0),"")</ns0:f>
        <ns0:v/>
      </ns0:c>
    </ns0:row>
    <ns0:row r="506" ht="21" customHeight="1">
      <ns0:c r="A506" s="32" t="str">
        <ns0:f>IF($E506="","",INDEX('Banka Dökümü'!$A$2:$A$2001,$E506))</ns0:f>
        <ns0:v/>
      </ns0:c>
      <ns0:c r="B506" s="28" t="str">
        <ns0:f>IF($E506="","",INDEX('Banka Dökümü'!$B$2:$B$2001,$E506))</ns0:f>
        <ns0:v/>
      </ns0:c>
      <ns0:c r="C506" s="33" t="str">
        <ns0:f>IF($E506="","",INDEX('Banka Dökümü'!$C$2:$C$2001,$E506))</ns0:f>
        <ns0:v/>
      </ns0:c>
      <ns0:c r="D506" s="28" t="str">
        <ns0:f>IF(E506="","","Müşteri adı / aranacak ad / il bilgisini kontrol edin")</ns0:f>
        <ns0:v/>
      </ns0:c>
      <ns0:c r="E506" s="28" t="str">
        <ns0:f>IFERROR(MATCH(502,'Banka Dökümü'!$I$2:$I$2001,0),"")</ns0:f>
        <ns0:v/>
      </ns0:c>
    </ns0:row>
    <ns0:row r="507" ht="21" customHeight="1">
      <ns0:c r="A507" s="32" t="str">
        <ns0:f>IF($E507="","",INDEX('Banka Dökümü'!$A$2:$A$2001,$E507))</ns0:f>
        <ns0:v/>
      </ns0:c>
      <ns0:c r="B507" s="28" t="str">
        <ns0:f>IF($E507="","",INDEX('Banka Dökümü'!$B$2:$B$2001,$E507))</ns0:f>
        <ns0:v/>
      </ns0:c>
      <ns0:c r="C507" s="33" t="str">
        <ns0:f>IF($E507="","",INDEX('Banka Dökümü'!$C$2:$C$2001,$E507))</ns0:f>
        <ns0:v/>
      </ns0:c>
      <ns0:c r="D507" s="28" t="str">
        <ns0:f>IF(E507="","","Müşteri adı / aranacak ad / il bilgisini kontrol edin")</ns0:f>
        <ns0:v/>
      </ns0:c>
      <ns0:c r="E507" s="28" t="str">
        <ns0:f>IFERROR(MATCH(503,'Banka Dökümü'!$I$2:$I$2001,0),"")</ns0:f>
        <ns0:v/>
      </ns0:c>
    </ns0:row>
    <ns0:row r="508" ht="21" customHeight="1">
      <ns0:c r="A508" s="32" t="str">
        <ns0:f>IF($E508="","",INDEX('Banka Dökümü'!$A$2:$A$2001,$E508))</ns0:f>
        <ns0:v/>
      </ns0:c>
      <ns0:c r="B508" s="28" t="str">
        <ns0:f>IF($E508="","",INDEX('Banka Dökümü'!$B$2:$B$2001,$E508))</ns0:f>
        <ns0:v/>
      </ns0:c>
      <ns0:c r="C508" s="33" t="str">
        <ns0:f>IF($E508="","",INDEX('Banka Dökümü'!$C$2:$C$2001,$E508))</ns0:f>
        <ns0:v/>
      </ns0:c>
      <ns0:c r="D508" s="28" t="str">
        <ns0:f>IF(E508="","","Müşteri adı / aranacak ad / il bilgisini kontrol edin")</ns0:f>
        <ns0:v/>
      </ns0:c>
      <ns0:c r="E508" s="28" t="str">
        <ns0:f>IFERROR(MATCH(504,'Banka Dökümü'!$I$2:$I$2001,0),"")</ns0:f>
        <ns0:v/>
      </ns0:c>
    </ns0:row>
    <ns0:row r="509" ht="21" customHeight="1">
      <ns0:c r="A509" s="32" t="str">
        <ns0:f>IF($E509="","",INDEX('Banka Dökümü'!$A$2:$A$2001,$E509))</ns0:f>
        <ns0:v/>
      </ns0:c>
      <ns0:c r="B509" s="28" t="str">
        <ns0:f>IF($E509="","",INDEX('Banka Dökümü'!$B$2:$B$2001,$E509))</ns0:f>
        <ns0:v/>
      </ns0:c>
      <ns0:c r="C509" s="33" t="str">
        <ns0:f>IF($E509="","",INDEX('Banka Dökümü'!$C$2:$C$2001,$E509))</ns0:f>
        <ns0:v/>
      </ns0:c>
      <ns0:c r="D509" s="28" t="str">
        <ns0:f>IF(E509="","","Müşteri adı / aranacak ad / il bilgisini kontrol edin")</ns0:f>
        <ns0:v/>
      </ns0:c>
      <ns0:c r="E509" s="28" t="str">
        <ns0:f>IFERROR(MATCH(505,'Banka Dökümü'!$I$2:$I$2001,0),"")</ns0:f>
        <ns0:v/>
      </ns0:c>
    </ns0:row>
    <ns0:row r="510" ht="21" customHeight="1">
      <ns0:c r="A510" s="32" t="str">
        <ns0:f>IF($E510="","",INDEX('Banka Dökümü'!$A$2:$A$2001,$E510))</ns0:f>
        <ns0:v/>
      </ns0:c>
      <ns0:c r="B510" s="28" t="str">
        <ns0:f>IF($E510="","",INDEX('Banka Dökümü'!$B$2:$B$2001,$E510))</ns0:f>
        <ns0:v/>
      </ns0:c>
      <ns0:c r="C510" s="33" t="str">
        <ns0:f>IF($E510="","",INDEX('Banka Dökümü'!$C$2:$C$2001,$E510))</ns0:f>
        <ns0:v/>
      </ns0:c>
      <ns0:c r="D510" s="28" t="str">
        <ns0:f>IF(E510="","","Müşteri adı / aranacak ad / il bilgisini kontrol edin")</ns0:f>
        <ns0:v/>
      </ns0:c>
      <ns0:c r="E510" s="28" t="str">
        <ns0:f>IFERROR(MATCH(506,'Banka Dökümü'!$I$2:$I$2001,0),"")</ns0:f>
        <ns0:v/>
      </ns0:c>
    </ns0:row>
    <ns0:row r="511" ht="21" customHeight="1">
      <ns0:c r="A511" s="32" t="str">
        <ns0:f>IF($E511="","",INDEX('Banka Dökümü'!$A$2:$A$2001,$E511))</ns0:f>
        <ns0:v/>
      </ns0:c>
      <ns0:c r="B511" s="28" t="str">
        <ns0:f>IF($E511="","",INDEX('Banka Dökümü'!$B$2:$B$2001,$E511))</ns0:f>
        <ns0:v/>
      </ns0:c>
      <ns0:c r="C511" s="33" t="str">
        <ns0:f>IF($E511="","",INDEX('Banka Dökümü'!$C$2:$C$2001,$E511))</ns0:f>
        <ns0:v/>
      </ns0:c>
      <ns0:c r="D511" s="28" t="str">
        <ns0:f>IF(E511="","","Müşteri adı / aranacak ad / il bilgisini kontrol edin")</ns0:f>
        <ns0:v/>
      </ns0:c>
      <ns0:c r="E511" s="28" t="str">
        <ns0:f>IFERROR(MATCH(507,'Banka Dökümü'!$I$2:$I$2001,0),"")</ns0:f>
        <ns0:v/>
      </ns0:c>
    </ns0:row>
    <ns0:row r="512" ht="21" customHeight="1">
      <ns0:c r="A512" s="32" t="str">
        <ns0:f>IF($E512="","",INDEX('Banka Dökümü'!$A$2:$A$2001,$E512))</ns0:f>
        <ns0:v/>
      </ns0:c>
      <ns0:c r="B512" s="28" t="str">
        <ns0:f>IF($E512="","",INDEX('Banka Dökümü'!$B$2:$B$2001,$E512))</ns0:f>
        <ns0:v/>
      </ns0:c>
      <ns0:c r="C512" s="33" t="str">
        <ns0:f>IF($E512="","",INDEX('Banka Dökümü'!$C$2:$C$2001,$E512))</ns0:f>
        <ns0:v/>
      </ns0:c>
      <ns0:c r="D512" s="28" t="str">
        <ns0:f>IF(E512="","","Müşteri adı / aranacak ad / il bilgisini kontrol edin")</ns0:f>
        <ns0:v/>
      </ns0:c>
      <ns0:c r="E512" s="28" t="str">
        <ns0:f>IFERROR(MATCH(508,'Banka Dökümü'!$I$2:$I$2001,0),"")</ns0:f>
        <ns0:v/>
      </ns0:c>
    </ns0:row>
    <ns0:row r="513" ht="21" customHeight="1">
      <ns0:c r="A513" s="32" t="str">
        <ns0:f>IF($E513="","",INDEX('Banka Dökümü'!$A$2:$A$2001,$E513))</ns0:f>
        <ns0:v/>
      </ns0:c>
      <ns0:c r="B513" s="28" t="str">
        <ns0:f>IF($E513="","",INDEX('Banka Dökümü'!$B$2:$B$2001,$E513))</ns0:f>
        <ns0:v/>
      </ns0:c>
      <ns0:c r="C513" s="33" t="str">
        <ns0:f>IF($E513="","",INDEX('Banka Dökümü'!$C$2:$C$2001,$E513))</ns0:f>
        <ns0:v/>
      </ns0:c>
      <ns0:c r="D513" s="28" t="str">
        <ns0:f>IF(E513="","","Müşteri adı / aranacak ad / il bilgisini kontrol edin")</ns0:f>
        <ns0:v/>
      </ns0:c>
      <ns0:c r="E513" s="28" t="str">
        <ns0:f>IFERROR(MATCH(509,'Banka Dökümü'!$I$2:$I$2001,0),"")</ns0:f>
        <ns0:v/>
      </ns0:c>
    </ns0:row>
    <ns0:row r="514" ht="21" customHeight="1">
      <ns0:c r="A514" s="32" t="str">
        <ns0:f>IF($E514="","",INDEX('Banka Dökümü'!$A$2:$A$2001,$E514))</ns0:f>
        <ns0:v/>
      </ns0:c>
      <ns0:c r="B514" s="28" t="str">
        <ns0:f>IF($E514="","",INDEX('Banka Dökümü'!$B$2:$B$2001,$E514))</ns0:f>
        <ns0:v/>
      </ns0:c>
      <ns0:c r="C514" s="33" t="str">
        <ns0:f>IF($E514="","",INDEX('Banka Dökümü'!$C$2:$C$2001,$E514))</ns0:f>
        <ns0:v/>
      </ns0:c>
      <ns0:c r="D514" s="28" t="str">
        <ns0:f>IF(E514="","","Müşteri adı / aranacak ad / il bilgisini kontrol edin")</ns0:f>
        <ns0:v/>
      </ns0:c>
      <ns0:c r="E514" s="28" t="str">
        <ns0:f>IFERROR(MATCH(510,'Banka Dökümü'!$I$2:$I$2001,0),"")</ns0:f>
        <ns0:v/>
      </ns0:c>
    </ns0:row>
    <ns0:row r="515" ht="21" customHeight="1">
      <ns0:c r="A515" s="32" t="str">
        <ns0:f>IF($E515="","",INDEX('Banka Dökümü'!$A$2:$A$2001,$E515))</ns0:f>
        <ns0:v/>
      </ns0:c>
      <ns0:c r="B515" s="28" t="str">
        <ns0:f>IF($E515="","",INDEX('Banka Dökümü'!$B$2:$B$2001,$E515))</ns0:f>
        <ns0:v/>
      </ns0:c>
      <ns0:c r="C515" s="33" t="str">
        <ns0:f>IF($E515="","",INDEX('Banka Dökümü'!$C$2:$C$2001,$E515))</ns0:f>
        <ns0:v/>
      </ns0:c>
      <ns0:c r="D515" s="28" t="str">
        <ns0:f>IF(E515="","","Müşteri adı / aranacak ad / il bilgisini kontrol edin")</ns0:f>
        <ns0:v/>
      </ns0:c>
      <ns0:c r="E515" s="28" t="str">
        <ns0:f>IFERROR(MATCH(511,'Banka Dökümü'!$I$2:$I$2001,0),"")</ns0:f>
        <ns0:v/>
      </ns0:c>
    </ns0:row>
    <ns0:row r="516" ht="21" customHeight="1">
      <ns0:c r="A516" s="32" t="str">
        <ns0:f>IF($E516="","",INDEX('Banka Dökümü'!$A$2:$A$2001,$E516))</ns0:f>
        <ns0:v/>
      </ns0:c>
      <ns0:c r="B516" s="28" t="str">
        <ns0:f>IF($E516="","",INDEX('Banka Dökümü'!$B$2:$B$2001,$E516))</ns0:f>
        <ns0:v/>
      </ns0:c>
      <ns0:c r="C516" s="33" t="str">
        <ns0:f>IF($E516="","",INDEX('Banka Dökümü'!$C$2:$C$2001,$E516))</ns0:f>
        <ns0:v/>
      </ns0:c>
      <ns0:c r="D516" s="28" t="str">
        <ns0:f>IF(E516="","","Müşteri adı / aranacak ad / il bilgisini kontrol edin")</ns0:f>
        <ns0:v/>
      </ns0:c>
      <ns0:c r="E516" s="28" t="str">
        <ns0:f>IFERROR(MATCH(512,'Banka Dökümü'!$I$2:$I$2001,0),"")</ns0:f>
        <ns0:v/>
      </ns0:c>
    </ns0:row>
    <ns0:row r="517" ht="21" customHeight="1">
      <ns0:c r="A517" s="32" t="str">
        <ns0:f>IF($E517="","",INDEX('Banka Dökümü'!$A$2:$A$2001,$E517))</ns0:f>
        <ns0:v/>
      </ns0:c>
      <ns0:c r="B517" s="28" t="str">
        <ns0:f>IF($E517="","",INDEX('Banka Dökümü'!$B$2:$B$2001,$E517))</ns0:f>
        <ns0:v/>
      </ns0:c>
      <ns0:c r="C517" s="33" t="str">
        <ns0:f>IF($E517="","",INDEX('Banka Dökümü'!$C$2:$C$2001,$E517))</ns0:f>
        <ns0:v/>
      </ns0:c>
      <ns0:c r="D517" s="28" t="str">
        <ns0:f>IF(E517="","","Müşteri adı / aranacak ad / il bilgisini kontrol edin")</ns0:f>
        <ns0:v/>
      </ns0:c>
      <ns0:c r="E517" s="28" t="str">
        <ns0:f>IFERROR(MATCH(513,'Banka Dökümü'!$I$2:$I$2001,0),"")</ns0:f>
        <ns0:v/>
      </ns0:c>
    </ns0:row>
    <ns0:row r="518" ht="21" customHeight="1">
      <ns0:c r="A518" s="32" t="str">
        <ns0:f>IF($E518="","",INDEX('Banka Dökümü'!$A$2:$A$2001,$E518))</ns0:f>
        <ns0:v/>
      </ns0:c>
      <ns0:c r="B518" s="28" t="str">
        <ns0:f>IF($E518="","",INDEX('Banka Dökümü'!$B$2:$B$2001,$E518))</ns0:f>
        <ns0:v/>
      </ns0:c>
      <ns0:c r="C518" s="33" t="str">
        <ns0:f>IF($E518="","",INDEX('Banka Dökümü'!$C$2:$C$2001,$E518))</ns0:f>
        <ns0:v/>
      </ns0:c>
      <ns0:c r="D518" s="28" t="str">
        <ns0:f>IF(E518="","","Müşteri adı / aranacak ad / il bilgisini kontrol edin")</ns0:f>
        <ns0:v/>
      </ns0:c>
      <ns0:c r="E518" s="28" t="str">
        <ns0:f>IFERROR(MATCH(514,'Banka Dökümü'!$I$2:$I$2001,0),"")</ns0:f>
        <ns0:v/>
      </ns0:c>
    </ns0:row>
    <ns0:row r="519" ht="21" customHeight="1">
      <ns0:c r="A519" s="32" t="str">
        <ns0:f>IF($E519="","",INDEX('Banka Dökümü'!$A$2:$A$2001,$E519))</ns0:f>
        <ns0:v/>
      </ns0:c>
      <ns0:c r="B519" s="28" t="str">
        <ns0:f>IF($E519="","",INDEX('Banka Dökümü'!$B$2:$B$2001,$E519))</ns0:f>
        <ns0:v/>
      </ns0:c>
      <ns0:c r="C519" s="33" t="str">
        <ns0:f>IF($E519="","",INDEX('Banka Dökümü'!$C$2:$C$2001,$E519))</ns0:f>
        <ns0:v/>
      </ns0:c>
      <ns0:c r="D519" s="28" t="str">
        <ns0:f>IF(E519="","","Müşteri adı / aranacak ad / il bilgisini kontrol edin")</ns0:f>
        <ns0:v/>
      </ns0:c>
      <ns0:c r="E519" s="28" t="str">
        <ns0:f>IFERROR(MATCH(515,'Banka Dökümü'!$I$2:$I$2001,0),"")</ns0:f>
        <ns0:v/>
      </ns0:c>
    </ns0:row>
    <ns0:row r="520" ht="21" customHeight="1">
      <ns0:c r="A520" s="32" t="str">
        <ns0:f>IF($E520="","",INDEX('Banka Dökümü'!$A$2:$A$2001,$E520))</ns0:f>
        <ns0:v/>
      </ns0:c>
      <ns0:c r="B520" s="28" t="str">
        <ns0:f>IF($E520="","",INDEX('Banka Dökümü'!$B$2:$B$2001,$E520))</ns0:f>
        <ns0:v/>
      </ns0:c>
      <ns0:c r="C520" s="33" t="str">
        <ns0:f>IF($E520="","",INDEX('Banka Dökümü'!$C$2:$C$2001,$E520))</ns0:f>
        <ns0:v/>
      </ns0:c>
      <ns0:c r="D520" s="28" t="str">
        <ns0:f>IF(E520="","","Müşteri adı / aranacak ad / il bilgisini kontrol edin")</ns0:f>
        <ns0:v/>
      </ns0:c>
      <ns0:c r="E520" s="28" t="str">
        <ns0:f>IFERROR(MATCH(516,'Banka Dökümü'!$I$2:$I$2001,0),"")</ns0:f>
        <ns0:v/>
      </ns0:c>
    </ns0:row>
    <ns0:row r="521" ht="21" customHeight="1">
      <ns0:c r="A521" s="32" t="str">
        <ns0:f>IF($E521="","",INDEX('Banka Dökümü'!$A$2:$A$2001,$E521))</ns0:f>
        <ns0:v/>
      </ns0:c>
      <ns0:c r="B521" s="28" t="str">
        <ns0:f>IF($E521="","",INDEX('Banka Dökümü'!$B$2:$B$2001,$E521))</ns0:f>
        <ns0:v/>
      </ns0:c>
      <ns0:c r="C521" s="33" t="str">
        <ns0:f>IF($E521="","",INDEX('Banka Dökümü'!$C$2:$C$2001,$E521))</ns0:f>
        <ns0:v/>
      </ns0:c>
      <ns0:c r="D521" s="28" t="str">
        <ns0:f>IF(E521="","","Müşteri adı / aranacak ad / il bilgisini kontrol edin")</ns0:f>
        <ns0:v/>
      </ns0:c>
      <ns0:c r="E521" s="28" t="str">
        <ns0:f>IFERROR(MATCH(517,'Banka Dökümü'!$I$2:$I$2001,0),"")</ns0:f>
        <ns0:v/>
      </ns0:c>
    </ns0:row>
    <ns0:row r="522" ht="21" customHeight="1">
      <ns0:c r="A522" s="32" t="str">
        <ns0:f>IF($E522="","",INDEX('Banka Dökümü'!$A$2:$A$2001,$E522))</ns0:f>
        <ns0:v/>
      </ns0:c>
      <ns0:c r="B522" s="28" t="str">
        <ns0:f>IF($E522="","",INDEX('Banka Dökümü'!$B$2:$B$2001,$E522))</ns0:f>
        <ns0:v/>
      </ns0:c>
      <ns0:c r="C522" s="33" t="str">
        <ns0:f>IF($E522="","",INDEX('Banka Dökümü'!$C$2:$C$2001,$E522))</ns0:f>
        <ns0:v/>
      </ns0:c>
      <ns0:c r="D522" s="28" t="str">
        <ns0:f>IF(E522="","","Müşteri adı / aranacak ad / il bilgisini kontrol edin")</ns0:f>
        <ns0:v/>
      </ns0:c>
      <ns0:c r="E522" s="28" t="str">
        <ns0:f>IFERROR(MATCH(518,'Banka Dökümü'!$I$2:$I$2001,0),"")</ns0:f>
        <ns0:v/>
      </ns0:c>
    </ns0:row>
    <ns0:row r="523" ht="21" customHeight="1">
      <ns0:c r="A523" s="32" t="str">
        <ns0:f>IF($E523="","",INDEX('Banka Dökümü'!$A$2:$A$2001,$E523))</ns0:f>
        <ns0:v/>
      </ns0:c>
      <ns0:c r="B523" s="28" t="str">
        <ns0:f>IF($E523="","",INDEX('Banka Dökümü'!$B$2:$B$2001,$E523))</ns0:f>
        <ns0:v/>
      </ns0:c>
      <ns0:c r="C523" s="33" t="str">
        <ns0:f>IF($E523="","",INDEX('Banka Dökümü'!$C$2:$C$2001,$E523))</ns0:f>
        <ns0:v/>
      </ns0:c>
      <ns0:c r="D523" s="28" t="str">
        <ns0:f>IF(E523="","","Müşteri adı / aranacak ad / il bilgisini kontrol edin")</ns0:f>
        <ns0:v/>
      </ns0:c>
      <ns0:c r="E523" s="28" t="str">
        <ns0:f>IFERROR(MATCH(519,'Banka Dökümü'!$I$2:$I$2001,0),"")</ns0:f>
        <ns0:v/>
      </ns0:c>
    </ns0:row>
    <ns0:row r="524" ht="21" customHeight="1">
      <ns0:c r="A524" s="32" t="str">
        <ns0:f>IF($E524="","",INDEX('Banka Dökümü'!$A$2:$A$2001,$E524))</ns0:f>
        <ns0:v/>
      </ns0:c>
      <ns0:c r="B524" s="28" t="str">
        <ns0:f>IF($E524="","",INDEX('Banka Dökümü'!$B$2:$B$2001,$E524))</ns0:f>
        <ns0:v/>
      </ns0:c>
      <ns0:c r="C524" s="33" t="str">
        <ns0:f>IF($E524="","",INDEX('Banka Dökümü'!$C$2:$C$2001,$E524))</ns0:f>
        <ns0:v/>
      </ns0:c>
      <ns0:c r="D524" s="28" t="str">
        <ns0:f>IF(E524="","","Müşteri adı / aranacak ad / il bilgisini kontrol edin")</ns0:f>
        <ns0:v/>
      </ns0:c>
      <ns0:c r="E524" s="28" t="str">
        <ns0:f>IFERROR(MATCH(520,'Banka Dökümü'!$I$2:$I$2001,0),"")</ns0:f>
        <ns0:v/>
      </ns0:c>
    </ns0:row>
    <ns0:row r="525" ht="21" customHeight="1">
      <ns0:c r="A525" s="32" t="str">
        <ns0:f>IF($E525="","",INDEX('Banka Dökümü'!$A$2:$A$2001,$E525))</ns0:f>
        <ns0:v/>
      </ns0:c>
      <ns0:c r="B525" s="28" t="str">
        <ns0:f>IF($E525="","",INDEX('Banka Dökümü'!$B$2:$B$2001,$E525))</ns0:f>
        <ns0:v/>
      </ns0:c>
      <ns0:c r="C525" s="33" t="str">
        <ns0:f>IF($E525="","",INDEX('Banka Dökümü'!$C$2:$C$2001,$E525))</ns0:f>
        <ns0:v/>
      </ns0:c>
      <ns0:c r="D525" s="28" t="str">
        <ns0:f>IF(E525="","","Müşteri adı / aranacak ad / il bilgisini kontrol edin")</ns0:f>
        <ns0:v/>
      </ns0:c>
      <ns0:c r="E525" s="28" t="str">
        <ns0:f>IFERROR(MATCH(521,'Banka Dökümü'!$I$2:$I$2001,0),"")</ns0:f>
        <ns0:v/>
      </ns0:c>
    </ns0:row>
    <ns0:row r="526" ht="21" customHeight="1">
      <ns0:c r="A526" s="32" t="str">
        <ns0:f>IF($E526="","",INDEX('Banka Dökümü'!$A$2:$A$2001,$E526))</ns0:f>
        <ns0:v/>
      </ns0:c>
      <ns0:c r="B526" s="28" t="str">
        <ns0:f>IF($E526="","",INDEX('Banka Dökümü'!$B$2:$B$2001,$E526))</ns0:f>
        <ns0:v/>
      </ns0:c>
      <ns0:c r="C526" s="33" t="str">
        <ns0:f>IF($E526="","",INDEX('Banka Dökümü'!$C$2:$C$2001,$E526))</ns0:f>
        <ns0:v/>
      </ns0:c>
      <ns0:c r="D526" s="28" t="str">
        <ns0:f>IF(E526="","","Müşteri adı / aranacak ad / il bilgisini kontrol edin")</ns0:f>
        <ns0:v/>
      </ns0:c>
      <ns0:c r="E526" s="28" t="str">
        <ns0:f>IFERROR(MATCH(522,'Banka Dökümü'!$I$2:$I$2001,0),"")</ns0:f>
        <ns0:v/>
      </ns0:c>
    </ns0:row>
    <ns0:row r="527" ht="21" customHeight="1">
      <ns0:c r="A527" s="32" t="str">
        <ns0:f>IF($E527="","",INDEX('Banka Dökümü'!$A$2:$A$2001,$E527))</ns0:f>
        <ns0:v/>
      </ns0:c>
      <ns0:c r="B527" s="28" t="str">
        <ns0:f>IF($E527="","",INDEX('Banka Dökümü'!$B$2:$B$2001,$E527))</ns0:f>
        <ns0:v/>
      </ns0:c>
      <ns0:c r="C527" s="33" t="str">
        <ns0:f>IF($E527="","",INDEX('Banka Dökümü'!$C$2:$C$2001,$E527))</ns0:f>
        <ns0:v/>
      </ns0:c>
      <ns0:c r="D527" s="28" t="str">
        <ns0:f>IF(E527="","","Müşteri adı / aranacak ad / il bilgisini kontrol edin")</ns0:f>
        <ns0:v/>
      </ns0:c>
      <ns0:c r="E527" s="28" t="str">
        <ns0:f>IFERROR(MATCH(523,'Banka Dökümü'!$I$2:$I$2001,0),"")</ns0:f>
        <ns0:v/>
      </ns0:c>
    </ns0:row>
    <ns0:row r="528" ht="21" customHeight="1">
      <ns0:c r="A528" s="32" t="str">
        <ns0:f>IF($E528="","",INDEX('Banka Dökümü'!$A$2:$A$2001,$E528))</ns0:f>
        <ns0:v/>
      </ns0:c>
      <ns0:c r="B528" s="28" t="str">
        <ns0:f>IF($E528="","",INDEX('Banka Dökümü'!$B$2:$B$2001,$E528))</ns0:f>
        <ns0:v/>
      </ns0:c>
      <ns0:c r="C528" s="33" t="str">
        <ns0:f>IF($E528="","",INDEX('Banka Dökümü'!$C$2:$C$2001,$E528))</ns0:f>
        <ns0:v/>
      </ns0:c>
      <ns0:c r="D528" s="28" t="str">
        <ns0:f>IF(E528="","","Müşteri adı / aranacak ad / il bilgisini kontrol edin")</ns0:f>
        <ns0:v/>
      </ns0:c>
      <ns0:c r="E528" s="28" t="str">
        <ns0:f>IFERROR(MATCH(524,'Banka Dökümü'!$I$2:$I$2001,0),"")</ns0:f>
        <ns0:v/>
      </ns0:c>
    </ns0:row>
    <ns0:row r="529" ht="21" customHeight="1">
      <ns0:c r="A529" s="32" t="str">
        <ns0:f>IF($E529="","",INDEX('Banka Dökümü'!$A$2:$A$2001,$E529))</ns0:f>
        <ns0:v/>
      </ns0:c>
      <ns0:c r="B529" s="28" t="str">
        <ns0:f>IF($E529="","",INDEX('Banka Dökümü'!$B$2:$B$2001,$E529))</ns0:f>
        <ns0:v/>
      </ns0:c>
      <ns0:c r="C529" s="33" t="str">
        <ns0:f>IF($E529="","",INDEX('Banka Dökümü'!$C$2:$C$2001,$E529))</ns0:f>
        <ns0:v/>
      </ns0:c>
      <ns0:c r="D529" s="28" t="str">
        <ns0:f>IF(E529="","","Müşteri adı / aranacak ad / il bilgisini kontrol edin")</ns0:f>
        <ns0:v/>
      </ns0:c>
      <ns0:c r="E529" s="28" t="str">
        <ns0:f>IFERROR(MATCH(525,'Banka Dökümü'!$I$2:$I$2001,0),"")</ns0:f>
        <ns0:v/>
      </ns0:c>
    </ns0:row>
    <ns0:row r="530" ht="21" customHeight="1">
      <ns0:c r="A530" s="32" t="str">
        <ns0:f>IF($E530="","",INDEX('Banka Dökümü'!$A$2:$A$2001,$E530))</ns0:f>
        <ns0:v/>
      </ns0:c>
      <ns0:c r="B530" s="28" t="str">
        <ns0:f>IF($E530="","",INDEX('Banka Dökümü'!$B$2:$B$2001,$E530))</ns0:f>
        <ns0:v/>
      </ns0:c>
      <ns0:c r="C530" s="33" t="str">
        <ns0:f>IF($E530="","",INDEX('Banka Dökümü'!$C$2:$C$2001,$E530))</ns0:f>
        <ns0:v/>
      </ns0:c>
      <ns0:c r="D530" s="28" t="str">
        <ns0:f>IF(E530="","","Müşteri adı / aranacak ad / il bilgisini kontrol edin")</ns0:f>
        <ns0:v/>
      </ns0:c>
      <ns0:c r="E530" s="28" t="str">
        <ns0:f>IFERROR(MATCH(526,'Banka Dökümü'!$I$2:$I$2001,0),"")</ns0:f>
        <ns0:v/>
      </ns0:c>
    </ns0:row>
    <ns0:row r="531" ht="21" customHeight="1">
      <ns0:c r="A531" s="32" t="str">
        <ns0:f>IF($E531="","",INDEX('Banka Dökümü'!$A$2:$A$2001,$E531))</ns0:f>
        <ns0:v/>
      </ns0:c>
      <ns0:c r="B531" s="28" t="str">
        <ns0:f>IF($E531="","",INDEX('Banka Dökümü'!$B$2:$B$2001,$E531))</ns0:f>
        <ns0:v/>
      </ns0:c>
      <ns0:c r="C531" s="33" t="str">
        <ns0:f>IF($E531="","",INDEX('Banka Dökümü'!$C$2:$C$2001,$E531))</ns0:f>
        <ns0:v/>
      </ns0:c>
      <ns0:c r="D531" s="28" t="str">
        <ns0:f>IF(E531="","","Müşteri adı / aranacak ad / il bilgisini kontrol edin")</ns0:f>
        <ns0:v/>
      </ns0:c>
      <ns0:c r="E531" s="28" t="str">
        <ns0:f>IFERROR(MATCH(527,'Banka Dökümü'!$I$2:$I$2001,0),"")</ns0:f>
        <ns0:v/>
      </ns0:c>
    </ns0:row>
    <ns0:row r="532" ht="21" customHeight="1">
      <ns0:c r="A532" s="32" t="str">
        <ns0:f>IF($E532="","",INDEX('Banka Dökümü'!$A$2:$A$2001,$E532))</ns0:f>
        <ns0:v/>
      </ns0:c>
      <ns0:c r="B532" s="28" t="str">
        <ns0:f>IF($E532="","",INDEX('Banka Dökümü'!$B$2:$B$2001,$E532))</ns0:f>
        <ns0:v/>
      </ns0:c>
      <ns0:c r="C532" s="33" t="str">
        <ns0:f>IF($E532="","",INDEX('Banka Dökümü'!$C$2:$C$2001,$E532))</ns0:f>
        <ns0:v/>
      </ns0:c>
      <ns0:c r="D532" s="28" t="str">
        <ns0:f>IF(E532="","","Müşteri adı / aranacak ad / il bilgisini kontrol edin")</ns0:f>
        <ns0:v/>
      </ns0:c>
      <ns0:c r="E532" s="28" t="str">
        <ns0:f>IFERROR(MATCH(528,'Banka Dökümü'!$I$2:$I$2001,0),"")</ns0:f>
        <ns0:v/>
      </ns0:c>
    </ns0:row>
    <ns0:row r="533" ht="21" customHeight="1">
      <ns0:c r="A533" s="32" t="str">
        <ns0:f>IF($E533="","",INDEX('Banka Dökümü'!$A$2:$A$2001,$E533))</ns0:f>
        <ns0:v/>
      </ns0:c>
      <ns0:c r="B533" s="28" t="str">
        <ns0:f>IF($E533="","",INDEX('Banka Dökümü'!$B$2:$B$2001,$E533))</ns0:f>
        <ns0:v/>
      </ns0:c>
      <ns0:c r="C533" s="33" t="str">
        <ns0:f>IF($E533="","",INDEX('Banka Dökümü'!$C$2:$C$2001,$E533))</ns0:f>
        <ns0:v/>
      </ns0:c>
      <ns0:c r="D533" s="28" t="str">
        <ns0:f>IF(E533="","","Müşteri adı / aranacak ad / il bilgisini kontrol edin")</ns0:f>
        <ns0:v/>
      </ns0:c>
      <ns0:c r="E533" s="28" t="str">
        <ns0:f>IFERROR(MATCH(529,'Banka Dökümü'!$I$2:$I$2001,0),"")</ns0:f>
        <ns0:v/>
      </ns0:c>
    </ns0:row>
    <ns0:row r="534" ht="21" customHeight="1">
      <ns0:c r="A534" s="32" t="str">
        <ns0:f>IF($E534="","",INDEX('Banka Dökümü'!$A$2:$A$2001,$E534))</ns0:f>
        <ns0:v/>
      </ns0:c>
      <ns0:c r="B534" s="28" t="str">
        <ns0:f>IF($E534="","",INDEX('Banka Dökümü'!$B$2:$B$2001,$E534))</ns0:f>
        <ns0:v/>
      </ns0:c>
      <ns0:c r="C534" s="33" t="str">
        <ns0:f>IF($E534="","",INDEX('Banka Dökümü'!$C$2:$C$2001,$E534))</ns0:f>
        <ns0:v/>
      </ns0:c>
      <ns0:c r="D534" s="28" t="str">
        <ns0:f>IF(E534="","","Müşteri adı / aranacak ad / il bilgisini kontrol edin")</ns0:f>
        <ns0:v/>
      </ns0:c>
      <ns0:c r="E534" s="28" t="str">
        <ns0:f>IFERROR(MATCH(530,'Banka Dökümü'!$I$2:$I$2001,0),"")</ns0:f>
        <ns0:v/>
      </ns0:c>
    </ns0:row>
    <ns0:row r="535" ht="21" customHeight="1">
      <ns0:c r="A535" s="32" t="str">
        <ns0:f>IF($E535="","",INDEX('Banka Dökümü'!$A$2:$A$2001,$E535))</ns0:f>
        <ns0:v/>
      </ns0:c>
      <ns0:c r="B535" s="28" t="str">
        <ns0:f>IF($E535="","",INDEX('Banka Dökümü'!$B$2:$B$2001,$E535))</ns0:f>
        <ns0:v/>
      </ns0:c>
      <ns0:c r="C535" s="33" t="str">
        <ns0:f>IF($E535="","",INDEX('Banka Dökümü'!$C$2:$C$2001,$E535))</ns0:f>
        <ns0:v/>
      </ns0:c>
      <ns0:c r="D535" s="28" t="str">
        <ns0:f>IF(E535="","","Müşteri adı / aranacak ad / il bilgisini kontrol edin")</ns0:f>
        <ns0:v/>
      </ns0:c>
      <ns0:c r="E535" s="28" t="str">
        <ns0:f>IFERROR(MATCH(531,'Banka Dökümü'!$I$2:$I$2001,0),"")</ns0:f>
        <ns0:v/>
      </ns0:c>
    </ns0:row>
    <ns0:row r="536" ht="21" customHeight="1">
      <ns0:c r="A536" s="32" t="str">
        <ns0:f>IF($E536="","",INDEX('Banka Dökümü'!$A$2:$A$2001,$E536))</ns0:f>
        <ns0:v/>
      </ns0:c>
      <ns0:c r="B536" s="28" t="str">
        <ns0:f>IF($E536="","",INDEX('Banka Dökümü'!$B$2:$B$2001,$E536))</ns0:f>
        <ns0:v/>
      </ns0:c>
      <ns0:c r="C536" s="33" t="str">
        <ns0:f>IF($E536="","",INDEX('Banka Dökümü'!$C$2:$C$2001,$E536))</ns0:f>
        <ns0:v/>
      </ns0:c>
      <ns0:c r="D536" s="28" t="str">
        <ns0:f>IF(E536="","","Müşteri adı / aranacak ad / il bilgisini kontrol edin")</ns0:f>
        <ns0:v/>
      </ns0:c>
      <ns0:c r="E536" s="28" t="str">
        <ns0:f>IFERROR(MATCH(532,'Banka Dökümü'!$I$2:$I$2001,0),"")</ns0:f>
        <ns0:v/>
      </ns0:c>
    </ns0:row>
    <ns0:row r="537" ht="21" customHeight="1">
      <ns0:c r="A537" s="32" t="str">
        <ns0:f>IF($E537="","",INDEX('Banka Dökümü'!$A$2:$A$2001,$E537))</ns0:f>
        <ns0:v/>
      </ns0:c>
      <ns0:c r="B537" s="28" t="str">
        <ns0:f>IF($E537="","",INDEX('Banka Dökümü'!$B$2:$B$2001,$E537))</ns0:f>
        <ns0:v/>
      </ns0:c>
      <ns0:c r="C537" s="33" t="str">
        <ns0:f>IF($E537="","",INDEX('Banka Dökümü'!$C$2:$C$2001,$E537))</ns0:f>
        <ns0:v/>
      </ns0:c>
      <ns0:c r="D537" s="28" t="str">
        <ns0:f>IF(E537="","","Müşteri adı / aranacak ad / il bilgisini kontrol edin")</ns0:f>
        <ns0:v/>
      </ns0:c>
      <ns0:c r="E537" s="28" t="str">
        <ns0:f>IFERROR(MATCH(533,'Banka Dökümü'!$I$2:$I$2001,0),"")</ns0:f>
        <ns0:v/>
      </ns0:c>
    </ns0:row>
    <ns0:row r="538" ht="21" customHeight="1">
      <ns0:c r="A538" s="32" t="str">
        <ns0:f>IF($E538="","",INDEX('Banka Dökümü'!$A$2:$A$2001,$E538))</ns0:f>
        <ns0:v/>
      </ns0:c>
      <ns0:c r="B538" s="28" t="str">
        <ns0:f>IF($E538="","",INDEX('Banka Dökümü'!$B$2:$B$2001,$E538))</ns0:f>
        <ns0:v/>
      </ns0:c>
      <ns0:c r="C538" s="33" t="str">
        <ns0:f>IF($E538="","",INDEX('Banka Dökümü'!$C$2:$C$2001,$E538))</ns0:f>
        <ns0:v/>
      </ns0:c>
      <ns0:c r="D538" s="28" t="str">
        <ns0:f>IF(E538="","","Müşteri adı / aranacak ad / il bilgisini kontrol edin")</ns0:f>
        <ns0:v/>
      </ns0:c>
      <ns0:c r="E538" s="28" t="str">
        <ns0:f>IFERROR(MATCH(534,'Banka Dökümü'!$I$2:$I$2001,0),"")</ns0:f>
        <ns0:v/>
      </ns0:c>
    </ns0:row>
    <ns0:row r="539" ht="21" customHeight="1">
      <ns0:c r="A539" s="32" t="str">
        <ns0:f>IF($E539="","",INDEX('Banka Dökümü'!$A$2:$A$2001,$E539))</ns0:f>
        <ns0:v/>
      </ns0:c>
      <ns0:c r="B539" s="28" t="str">
        <ns0:f>IF($E539="","",INDEX('Banka Dökümü'!$B$2:$B$2001,$E539))</ns0:f>
        <ns0:v/>
      </ns0:c>
      <ns0:c r="C539" s="33" t="str">
        <ns0:f>IF($E539="","",INDEX('Banka Dökümü'!$C$2:$C$2001,$E539))</ns0:f>
        <ns0:v/>
      </ns0:c>
      <ns0:c r="D539" s="28" t="str">
        <ns0:f>IF(E539="","","Müşteri adı / aranacak ad / il bilgisini kontrol edin")</ns0:f>
        <ns0:v/>
      </ns0:c>
      <ns0:c r="E539" s="28" t="str">
        <ns0:f>IFERROR(MATCH(535,'Banka Dökümü'!$I$2:$I$2001,0),"")</ns0:f>
        <ns0:v/>
      </ns0:c>
    </ns0:row>
    <ns0:row r="540" ht="21" customHeight="1">
      <ns0:c r="A540" s="32" t="str">
        <ns0:f>IF($E540="","",INDEX('Banka Dökümü'!$A$2:$A$2001,$E540))</ns0:f>
        <ns0:v/>
      </ns0:c>
      <ns0:c r="B540" s="28" t="str">
        <ns0:f>IF($E540="","",INDEX('Banka Dökümü'!$B$2:$B$2001,$E540))</ns0:f>
        <ns0:v/>
      </ns0:c>
      <ns0:c r="C540" s="33" t="str">
        <ns0:f>IF($E540="","",INDEX('Banka Dökümü'!$C$2:$C$2001,$E540))</ns0:f>
        <ns0:v/>
      </ns0:c>
      <ns0:c r="D540" s="28" t="str">
        <ns0:f>IF(E540="","","Müşteri adı / aranacak ad / il bilgisini kontrol edin")</ns0:f>
        <ns0:v/>
      </ns0:c>
      <ns0:c r="E540" s="28" t="str">
        <ns0:f>IFERROR(MATCH(536,'Banka Dökümü'!$I$2:$I$2001,0),"")</ns0:f>
        <ns0:v/>
      </ns0:c>
    </ns0:row>
    <ns0:row r="541" ht="21" customHeight="1">
      <ns0:c r="A541" s="32" t="str">
        <ns0:f>IF($E541="","",INDEX('Banka Dökümü'!$A$2:$A$2001,$E541))</ns0:f>
        <ns0:v/>
      </ns0:c>
      <ns0:c r="B541" s="28" t="str">
        <ns0:f>IF($E541="","",INDEX('Banka Dökümü'!$B$2:$B$2001,$E541))</ns0:f>
        <ns0:v/>
      </ns0:c>
      <ns0:c r="C541" s="33" t="str">
        <ns0:f>IF($E541="","",INDEX('Banka Dökümü'!$C$2:$C$2001,$E541))</ns0:f>
        <ns0:v/>
      </ns0:c>
      <ns0:c r="D541" s="28" t="str">
        <ns0:f>IF(E541="","","Müşteri adı / aranacak ad / il bilgisini kontrol edin")</ns0:f>
        <ns0:v/>
      </ns0:c>
      <ns0:c r="E541" s="28" t="str">
        <ns0:f>IFERROR(MATCH(537,'Banka Dökümü'!$I$2:$I$2001,0),"")</ns0:f>
        <ns0:v/>
      </ns0:c>
    </ns0:row>
    <ns0:row r="542" ht="21" customHeight="1">
      <ns0:c r="A542" s="32" t="str">
        <ns0:f>IF($E542="","",INDEX('Banka Dökümü'!$A$2:$A$2001,$E542))</ns0:f>
        <ns0:v/>
      </ns0:c>
      <ns0:c r="B542" s="28" t="str">
        <ns0:f>IF($E542="","",INDEX('Banka Dökümü'!$B$2:$B$2001,$E542))</ns0:f>
        <ns0:v/>
      </ns0:c>
      <ns0:c r="C542" s="33" t="str">
        <ns0:f>IF($E542="","",INDEX('Banka Dökümü'!$C$2:$C$2001,$E542))</ns0:f>
        <ns0:v/>
      </ns0:c>
      <ns0:c r="D542" s="28" t="str">
        <ns0:f>IF(E542="","","Müşteri adı / aranacak ad / il bilgisini kontrol edin")</ns0:f>
        <ns0:v/>
      </ns0:c>
      <ns0:c r="E542" s="28" t="str">
        <ns0:f>IFERROR(MATCH(538,'Banka Dökümü'!$I$2:$I$2001,0),"")</ns0:f>
        <ns0:v/>
      </ns0:c>
    </ns0:row>
    <ns0:row r="543" ht="21" customHeight="1">
      <ns0:c r="A543" s="32" t="str">
        <ns0:f>IF($E543="","",INDEX('Banka Dökümü'!$A$2:$A$2001,$E543))</ns0:f>
        <ns0:v/>
      </ns0:c>
      <ns0:c r="B543" s="28" t="str">
        <ns0:f>IF($E543="","",INDEX('Banka Dökümü'!$B$2:$B$2001,$E543))</ns0:f>
        <ns0:v/>
      </ns0:c>
      <ns0:c r="C543" s="33" t="str">
        <ns0:f>IF($E543="","",INDEX('Banka Dökümü'!$C$2:$C$2001,$E543))</ns0:f>
        <ns0:v/>
      </ns0:c>
      <ns0:c r="D543" s="28" t="str">
        <ns0:f>IF(E543="","","Müşteri adı / aranacak ad / il bilgisini kontrol edin")</ns0:f>
        <ns0:v/>
      </ns0:c>
      <ns0:c r="E543" s="28" t="str">
        <ns0:f>IFERROR(MATCH(539,'Banka Dökümü'!$I$2:$I$2001,0),"")</ns0:f>
        <ns0:v/>
      </ns0:c>
    </ns0:row>
    <ns0:row r="544" ht="21" customHeight="1">
      <ns0:c r="A544" s="32" t="str">
        <ns0:f>IF($E544="","",INDEX('Banka Dökümü'!$A$2:$A$2001,$E544))</ns0:f>
        <ns0:v/>
      </ns0:c>
      <ns0:c r="B544" s="28" t="str">
        <ns0:f>IF($E544="","",INDEX('Banka Dökümü'!$B$2:$B$2001,$E544))</ns0:f>
        <ns0:v/>
      </ns0:c>
      <ns0:c r="C544" s="33" t="str">
        <ns0:f>IF($E544="","",INDEX('Banka Dökümü'!$C$2:$C$2001,$E544))</ns0:f>
        <ns0:v/>
      </ns0:c>
      <ns0:c r="D544" s="28" t="str">
        <ns0:f>IF(E544="","","Müşteri adı / aranacak ad / il bilgisini kontrol edin")</ns0:f>
        <ns0:v/>
      </ns0:c>
      <ns0:c r="E544" s="28" t="str">
        <ns0:f>IFERROR(MATCH(540,'Banka Dökümü'!$I$2:$I$2001,0),"")</ns0:f>
        <ns0:v/>
      </ns0:c>
    </ns0:row>
    <ns0:row r="545" ht="21" customHeight="1">
      <ns0:c r="A545" s="32" t="str">
        <ns0:f>IF($E545="","",INDEX('Banka Dökümü'!$A$2:$A$2001,$E545))</ns0:f>
        <ns0:v/>
      </ns0:c>
      <ns0:c r="B545" s="28" t="str">
        <ns0:f>IF($E545="","",INDEX('Banka Dökümü'!$B$2:$B$2001,$E545))</ns0:f>
        <ns0:v/>
      </ns0:c>
      <ns0:c r="C545" s="33" t="str">
        <ns0:f>IF($E545="","",INDEX('Banka Dökümü'!$C$2:$C$2001,$E545))</ns0:f>
        <ns0:v/>
      </ns0:c>
      <ns0:c r="D545" s="28" t="str">
        <ns0:f>IF(E545="","","Müşteri adı / aranacak ad / il bilgisini kontrol edin")</ns0:f>
        <ns0:v/>
      </ns0:c>
      <ns0:c r="E545" s="28" t="str">
        <ns0:f>IFERROR(MATCH(541,'Banka Dökümü'!$I$2:$I$2001,0),"")</ns0:f>
        <ns0:v/>
      </ns0:c>
    </ns0:row>
    <ns0:row r="546" ht="21" customHeight="1">
      <ns0:c r="A546" s="32" t="str">
        <ns0:f>IF($E546="","",INDEX('Banka Dökümü'!$A$2:$A$2001,$E546))</ns0:f>
        <ns0:v/>
      </ns0:c>
      <ns0:c r="B546" s="28" t="str">
        <ns0:f>IF($E546="","",INDEX('Banka Dökümü'!$B$2:$B$2001,$E546))</ns0:f>
        <ns0:v/>
      </ns0:c>
      <ns0:c r="C546" s="33" t="str">
        <ns0:f>IF($E546="","",INDEX('Banka Dökümü'!$C$2:$C$2001,$E546))</ns0:f>
        <ns0:v/>
      </ns0:c>
      <ns0:c r="D546" s="28" t="str">
        <ns0:f>IF(E546="","","Müşteri adı / aranacak ad / il bilgisini kontrol edin")</ns0:f>
        <ns0:v/>
      </ns0:c>
      <ns0:c r="E546" s="28" t="str">
        <ns0:f>IFERROR(MATCH(542,'Banka Dökümü'!$I$2:$I$2001,0),"")</ns0:f>
        <ns0:v/>
      </ns0:c>
    </ns0:row>
    <ns0:row r="547" ht="21" customHeight="1">
      <ns0:c r="A547" s="32" t="str">
        <ns0:f>IF($E547="","",INDEX('Banka Dökümü'!$A$2:$A$2001,$E547))</ns0:f>
        <ns0:v/>
      </ns0:c>
      <ns0:c r="B547" s="28" t="str">
        <ns0:f>IF($E547="","",INDEX('Banka Dökümü'!$B$2:$B$2001,$E547))</ns0:f>
        <ns0:v/>
      </ns0:c>
      <ns0:c r="C547" s="33" t="str">
        <ns0:f>IF($E547="","",INDEX('Banka Dökümü'!$C$2:$C$2001,$E547))</ns0:f>
        <ns0:v/>
      </ns0:c>
      <ns0:c r="D547" s="28" t="str">
        <ns0:f>IF(E547="","","Müşteri adı / aranacak ad / il bilgisini kontrol edin")</ns0:f>
        <ns0:v/>
      </ns0:c>
      <ns0:c r="E547" s="28" t="str">
        <ns0:f>IFERROR(MATCH(543,'Banka Dökümü'!$I$2:$I$2001,0),"")</ns0:f>
        <ns0:v/>
      </ns0:c>
    </ns0:row>
    <ns0:row r="548" ht="21" customHeight="1">
      <ns0:c r="A548" s="32" t="str">
        <ns0:f>IF($E548="","",INDEX('Banka Dökümü'!$A$2:$A$2001,$E548))</ns0:f>
        <ns0:v/>
      </ns0:c>
      <ns0:c r="B548" s="28" t="str">
        <ns0:f>IF($E548="","",INDEX('Banka Dökümü'!$B$2:$B$2001,$E548))</ns0:f>
        <ns0:v/>
      </ns0:c>
      <ns0:c r="C548" s="33" t="str">
        <ns0:f>IF($E548="","",INDEX('Banka Dökümü'!$C$2:$C$2001,$E548))</ns0:f>
        <ns0:v/>
      </ns0:c>
      <ns0:c r="D548" s="28" t="str">
        <ns0:f>IF(E548="","","Müşteri adı / aranacak ad / il bilgisini kontrol edin")</ns0:f>
        <ns0:v/>
      </ns0:c>
      <ns0:c r="E548" s="28" t="str">
        <ns0:f>IFERROR(MATCH(544,'Banka Dökümü'!$I$2:$I$2001,0),"")</ns0:f>
        <ns0:v/>
      </ns0:c>
    </ns0:row>
    <ns0:row r="549" ht="21" customHeight="1">
      <ns0:c r="A549" s="32" t="str">
        <ns0:f>IF($E549="","",INDEX('Banka Dökümü'!$A$2:$A$2001,$E549))</ns0:f>
        <ns0:v/>
      </ns0:c>
      <ns0:c r="B549" s="28" t="str">
        <ns0:f>IF($E549="","",INDEX('Banka Dökümü'!$B$2:$B$2001,$E549))</ns0:f>
        <ns0:v/>
      </ns0:c>
      <ns0:c r="C549" s="33" t="str">
        <ns0:f>IF($E549="","",INDEX('Banka Dökümü'!$C$2:$C$2001,$E549))</ns0:f>
        <ns0:v/>
      </ns0:c>
      <ns0:c r="D549" s="28" t="str">
        <ns0:f>IF(E549="","","Müşteri adı / aranacak ad / il bilgisini kontrol edin")</ns0:f>
        <ns0:v/>
      </ns0:c>
      <ns0:c r="E549" s="28" t="str">
        <ns0:f>IFERROR(MATCH(545,'Banka Dökümü'!$I$2:$I$2001,0),"")</ns0:f>
        <ns0:v/>
      </ns0:c>
    </ns0:row>
    <ns0:row r="550" ht="21" customHeight="1">
      <ns0:c r="A550" s="32" t="str">
        <ns0:f>IF($E550="","",INDEX('Banka Dökümü'!$A$2:$A$2001,$E550))</ns0:f>
        <ns0:v/>
      </ns0:c>
      <ns0:c r="B550" s="28" t="str">
        <ns0:f>IF($E550="","",INDEX('Banka Dökümü'!$B$2:$B$2001,$E550))</ns0:f>
        <ns0:v/>
      </ns0:c>
      <ns0:c r="C550" s="33" t="str">
        <ns0:f>IF($E550="","",INDEX('Banka Dökümü'!$C$2:$C$2001,$E550))</ns0:f>
        <ns0:v/>
      </ns0:c>
      <ns0:c r="D550" s="28" t="str">
        <ns0:f>IF(E550="","","Müşteri adı / aranacak ad / il bilgisini kontrol edin")</ns0:f>
        <ns0:v/>
      </ns0:c>
      <ns0:c r="E550" s="28" t="str">
        <ns0:f>IFERROR(MATCH(546,'Banka Dökümü'!$I$2:$I$2001,0),"")</ns0:f>
        <ns0:v/>
      </ns0:c>
    </ns0:row>
    <ns0:row r="551" ht="21" customHeight="1">
      <ns0:c r="A551" s="32" t="str">
        <ns0:f>IF($E551="","",INDEX('Banka Dökümü'!$A$2:$A$2001,$E551))</ns0:f>
        <ns0:v/>
      </ns0:c>
      <ns0:c r="B551" s="28" t="str">
        <ns0:f>IF($E551="","",INDEX('Banka Dökümü'!$B$2:$B$2001,$E551))</ns0:f>
        <ns0:v/>
      </ns0:c>
      <ns0:c r="C551" s="33" t="str">
        <ns0:f>IF($E551="","",INDEX('Banka Dökümü'!$C$2:$C$2001,$E551))</ns0:f>
        <ns0:v/>
      </ns0:c>
      <ns0:c r="D551" s="28" t="str">
        <ns0:f>IF(E551="","","Müşteri adı / aranacak ad / il bilgisini kontrol edin")</ns0:f>
        <ns0:v/>
      </ns0:c>
      <ns0:c r="E551" s="28" t="str">
        <ns0:f>IFERROR(MATCH(547,'Banka Dökümü'!$I$2:$I$2001,0),"")</ns0:f>
        <ns0:v/>
      </ns0:c>
    </ns0:row>
    <ns0:row r="552" ht="21" customHeight="1">
      <ns0:c r="A552" s="32" t="str">
        <ns0:f>IF($E552="","",INDEX('Banka Dökümü'!$A$2:$A$2001,$E552))</ns0:f>
        <ns0:v/>
      </ns0:c>
      <ns0:c r="B552" s="28" t="str">
        <ns0:f>IF($E552="","",INDEX('Banka Dökümü'!$B$2:$B$2001,$E552))</ns0:f>
        <ns0:v/>
      </ns0:c>
      <ns0:c r="C552" s="33" t="str">
        <ns0:f>IF($E552="","",INDEX('Banka Dökümü'!$C$2:$C$2001,$E552))</ns0:f>
        <ns0:v/>
      </ns0:c>
      <ns0:c r="D552" s="28" t="str">
        <ns0:f>IF(E552="","","Müşteri adı / aranacak ad / il bilgisini kontrol edin")</ns0:f>
        <ns0:v/>
      </ns0:c>
      <ns0:c r="E552" s="28" t="str">
        <ns0:f>IFERROR(MATCH(548,'Banka Dökümü'!$I$2:$I$2001,0),"")</ns0:f>
        <ns0:v/>
      </ns0:c>
    </ns0:row>
    <ns0:row r="553" ht="21" customHeight="1">
      <ns0:c r="A553" s="32" t="str">
        <ns0:f>IF($E553="","",INDEX('Banka Dökümü'!$A$2:$A$2001,$E553))</ns0:f>
        <ns0:v/>
      </ns0:c>
      <ns0:c r="B553" s="28" t="str">
        <ns0:f>IF($E553="","",INDEX('Banka Dökümü'!$B$2:$B$2001,$E553))</ns0:f>
        <ns0:v/>
      </ns0:c>
      <ns0:c r="C553" s="33" t="str">
        <ns0:f>IF($E553="","",INDEX('Banka Dökümü'!$C$2:$C$2001,$E553))</ns0:f>
        <ns0:v/>
      </ns0:c>
      <ns0:c r="D553" s="28" t="str">
        <ns0:f>IF(E553="","","Müşteri adı / aranacak ad / il bilgisini kontrol edin")</ns0:f>
        <ns0:v/>
      </ns0:c>
      <ns0:c r="E553" s="28" t="str">
        <ns0:f>IFERROR(MATCH(549,'Banka Dökümü'!$I$2:$I$2001,0),"")</ns0:f>
        <ns0:v/>
      </ns0:c>
    </ns0:row>
    <ns0:row r="554" ht="21" customHeight="1">
      <ns0:c r="A554" s="32" t="str">
        <ns0:f>IF($E554="","",INDEX('Banka Dökümü'!$A$2:$A$2001,$E554))</ns0:f>
        <ns0:v/>
      </ns0:c>
      <ns0:c r="B554" s="28" t="str">
        <ns0:f>IF($E554="","",INDEX('Banka Dökümü'!$B$2:$B$2001,$E554))</ns0:f>
        <ns0:v/>
      </ns0:c>
      <ns0:c r="C554" s="33" t="str">
        <ns0:f>IF($E554="","",INDEX('Banka Dökümü'!$C$2:$C$2001,$E554))</ns0:f>
        <ns0:v/>
      </ns0:c>
      <ns0:c r="D554" s="28" t="str">
        <ns0:f>IF(E554="","","Müşteri adı / aranacak ad / il bilgisini kontrol edin")</ns0:f>
        <ns0:v/>
      </ns0:c>
      <ns0:c r="E554" s="28" t="str">
        <ns0:f>IFERROR(MATCH(550,'Banka Dökümü'!$I$2:$I$2001,0),"")</ns0:f>
        <ns0:v/>
      </ns0:c>
    </ns0:row>
    <ns0:row r="555" ht="21" customHeight="1">
      <ns0:c r="A555" s="32" t="str">
        <ns0:f>IF($E555="","",INDEX('Banka Dökümü'!$A$2:$A$2001,$E555))</ns0:f>
        <ns0:v/>
      </ns0:c>
      <ns0:c r="B555" s="28" t="str">
        <ns0:f>IF($E555="","",INDEX('Banka Dökümü'!$B$2:$B$2001,$E555))</ns0:f>
        <ns0:v/>
      </ns0:c>
      <ns0:c r="C555" s="33" t="str">
        <ns0:f>IF($E555="","",INDEX('Banka Dökümü'!$C$2:$C$2001,$E555))</ns0:f>
        <ns0:v/>
      </ns0:c>
      <ns0:c r="D555" s="28" t="str">
        <ns0:f>IF(E555="","","Müşteri adı / aranacak ad / il bilgisini kontrol edin")</ns0:f>
        <ns0:v/>
      </ns0:c>
      <ns0:c r="E555" s="28" t="str">
        <ns0:f>IFERROR(MATCH(551,'Banka Dökümü'!$I$2:$I$2001,0),"")</ns0:f>
        <ns0:v/>
      </ns0:c>
    </ns0:row>
    <ns0:row r="556" ht="21" customHeight="1">
      <ns0:c r="A556" s="32" t="str">
        <ns0:f>IF($E556="","",INDEX('Banka Dökümü'!$A$2:$A$2001,$E556))</ns0:f>
        <ns0:v/>
      </ns0:c>
      <ns0:c r="B556" s="28" t="str">
        <ns0:f>IF($E556="","",INDEX('Banka Dökümü'!$B$2:$B$2001,$E556))</ns0:f>
        <ns0:v/>
      </ns0:c>
      <ns0:c r="C556" s="33" t="str">
        <ns0:f>IF($E556="","",INDEX('Banka Dökümü'!$C$2:$C$2001,$E556))</ns0:f>
        <ns0:v/>
      </ns0:c>
      <ns0:c r="D556" s="28" t="str">
        <ns0:f>IF(E556="","","Müşteri adı / aranacak ad / il bilgisini kontrol edin")</ns0:f>
        <ns0:v/>
      </ns0:c>
      <ns0:c r="E556" s="28" t="str">
        <ns0:f>IFERROR(MATCH(552,'Banka Dökümü'!$I$2:$I$2001,0),"")</ns0:f>
        <ns0:v/>
      </ns0:c>
    </ns0:row>
    <ns0:row r="557" ht="21" customHeight="1">
      <ns0:c r="A557" s="32" t="str">
        <ns0:f>IF($E557="","",INDEX('Banka Dökümü'!$A$2:$A$2001,$E557))</ns0:f>
        <ns0:v/>
      </ns0:c>
      <ns0:c r="B557" s="28" t="str">
        <ns0:f>IF($E557="","",INDEX('Banka Dökümü'!$B$2:$B$2001,$E557))</ns0:f>
        <ns0:v/>
      </ns0:c>
      <ns0:c r="C557" s="33" t="str">
        <ns0:f>IF($E557="","",INDEX('Banka Dökümü'!$C$2:$C$2001,$E557))</ns0:f>
        <ns0:v/>
      </ns0:c>
      <ns0:c r="D557" s="28" t="str">
        <ns0:f>IF(E557="","","Müşteri adı / aranacak ad / il bilgisini kontrol edin")</ns0:f>
        <ns0:v/>
      </ns0:c>
      <ns0:c r="E557" s="28" t="str">
        <ns0:f>IFERROR(MATCH(553,'Banka Dökümü'!$I$2:$I$2001,0),"")</ns0:f>
        <ns0:v/>
      </ns0:c>
    </ns0:row>
    <ns0:row r="558" ht="21" customHeight="1">
      <ns0:c r="A558" s="32" t="str">
        <ns0:f>IF($E558="","",INDEX('Banka Dökümü'!$A$2:$A$2001,$E558))</ns0:f>
        <ns0:v/>
      </ns0:c>
      <ns0:c r="B558" s="28" t="str">
        <ns0:f>IF($E558="","",INDEX('Banka Dökümü'!$B$2:$B$2001,$E558))</ns0:f>
        <ns0:v/>
      </ns0:c>
      <ns0:c r="C558" s="33" t="str">
        <ns0:f>IF($E558="","",INDEX('Banka Dökümü'!$C$2:$C$2001,$E558))</ns0:f>
        <ns0:v/>
      </ns0:c>
      <ns0:c r="D558" s="28" t="str">
        <ns0:f>IF(E558="","","Müşteri adı / aranacak ad / il bilgisini kontrol edin")</ns0:f>
        <ns0:v/>
      </ns0:c>
      <ns0:c r="E558" s="28" t="str">
        <ns0:f>IFERROR(MATCH(554,'Banka Dökümü'!$I$2:$I$2001,0),"")</ns0:f>
        <ns0:v/>
      </ns0:c>
    </ns0:row>
    <ns0:row r="559" ht="21" customHeight="1">
      <ns0:c r="A559" s="32" t="str">
        <ns0:f>IF($E559="","",INDEX('Banka Dökümü'!$A$2:$A$2001,$E559))</ns0:f>
        <ns0:v/>
      </ns0:c>
      <ns0:c r="B559" s="28" t="str">
        <ns0:f>IF($E559="","",INDEX('Banka Dökümü'!$B$2:$B$2001,$E559))</ns0:f>
        <ns0:v/>
      </ns0:c>
      <ns0:c r="C559" s="33" t="str">
        <ns0:f>IF($E559="","",INDEX('Banka Dökümü'!$C$2:$C$2001,$E559))</ns0:f>
        <ns0:v/>
      </ns0:c>
      <ns0:c r="D559" s="28" t="str">
        <ns0:f>IF(E559="","","Müşteri adı / aranacak ad / il bilgisini kontrol edin")</ns0:f>
        <ns0:v/>
      </ns0:c>
      <ns0:c r="E559" s="28" t="str">
        <ns0:f>IFERROR(MATCH(555,'Banka Dökümü'!$I$2:$I$2001,0),"")</ns0:f>
        <ns0:v/>
      </ns0:c>
    </ns0:row>
    <ns0:row r="560" ht="21" customHeight="1">
      <ns0:c r="A560" s="32" t="str">
        <ns0:f>IF($E560="","",INDEX('Banka Dökümü'!$A$2:$A$2001,$E560))</ns0:f>
        <ns0:v/>
      </ns0:c>
      <ns0:c r="B560" s="28" t="str">
        <ns0:f>IF($E560="","",INDEX('Banka Dökümü'!$B$2:$B$2001,$E560))</ns0:f>
        <ns0:v/>
      </ns0:c>
      <ns0:c r="C560" s="33" t="str">
        <ns0:f>IF($E560="","",INDEX('Banka Dökümü'!$C$2:$C$2001,$E560))</ns0:f>
        <ns0:v/>
      </ns0:c>
      <ns0:c r="D560" s="28" t="str">
        <ns0:f>IF(E560="","","Müşteri adı / aranacak ad / il bilgisini kontrol edin")</ns0:f>
        <ns0:v/>
      </ns0:c>
      <ns0:c r="E560" s="28" t="str">
        <ns0:f>IFERROR(MATCH(556,'Banka Dökümü'!$I$2:$I$2001,0),"")</ns0:f>
        <ns0:v/>
      </ns0:c>
    </ns0:row>
    <ns0:row r="561" ht="21" customHeight="1">
      <ns0:c r="A561" s="32" t="str">
        <ns0:f>IF($E561="","",INDEX('Banka Dökümü'!$A$2:$A$2001,$E561))</ns0:f>
        <ns0:v/>
      </ns0:c>
      <ns0:c r="B561" s="28" t="str">
        <ns0:f>IF($E561="","",INDEX('Banka Dökümü'!$B$2:$B$2001,$E561))</ns0:f>
        <ns0:v/>
      </ns0:c>
      <ns0:c r="C561" s="33" t="str">
        <ns0:f>IF($E561="","",INDEX('Banka Dökümü'!$C$2:$C$2001,$E561))</ns0:f>
        <ns0:v/>
      </ns0:c>
      <ns0:c r="D561" s="28" t="str">
        <ns0:f>IF(E561="","","Müşteri adı / aranacak ad / il bilgisini kontrol edin")</ns0:f>
        <ns0:v/>
      </ns0:c>
      <ns0:c r="E561" s="28" t="str">
        <ns0:f>IFERROR(MATCH(557,'Banka Dökümü'!$I$2:$I$2001,0),"")</ns0:f>
        <ns0:v/>
      </ns0:c>
    </ns0:row>
    <ns0:row r="562" ht="21" customHeight="1">
      <ns0:c r="A562" s="32" t="str">
        <ns0:f>IF($E562="","",INDEX('Banka Dökümü'!$A$2:$A$2001,$E562))</ns0:f>
        <ns0:v/>
      </ns0:c>
      <ns0:c r="B562" s="28" t="str">
        <ns0:f>IF($E562="","",INDEX('Banka Dökümü'!$B$2:$B$2001,$E562))</ns0:f>
        <ns0:v/>
      </ns0:c>
      <ns0:c r="C562" s="33" t="str">
        <ns0:f>IF($E562="","",INDEX('Banka Dökümü'!$C$2:$C$2001,$E562))</ns0:f>
        <ns0:v/>
      </ns0:c>
      <ns0:c r="D562" s="28" t="str">
        <ns0:f>IF(E562="","","Müşteri adı / aranacak ad / il bilgisini kontrol edin")</ns0:f>
        <ns0:v/>
      </ns0:c>
      <ns0:c r="E562" s="28" t="str">
        <ns0:f>IFERROR(MATCH(558,'Banka Dökümü'!$I$2:$I$2001,0),"")</ns0:f>
        <ns0:v/>
      </ns0:c>
    </ns0:row>
    <ns0:row r="563" ht="21" customHeight="1">
      <ns0:c r="A563" s="32" t="str">
        <ns0:f>IF($E563="","",INDEX('Banka Dökümü'!$A$2:$A$2001,$E563))</ns0:f>
        <ns0:v/>
      </ns0:c>
      <ns0:c r="B563" s="28" t="str">
        <ns0:f>IF($E563="","",INDEX('Banka Dökümü'!$B$2:$B$2001,$E563))</ns0:f>
        <ns0:v/>
      </ns0:c>
      <ns0:c r="C563" s="33" t="str">
        <ns0:f>IF($E563="","",INDEX('Banka Dökümü'!$C$2:$C$2001,$E563))</ns0:f>
        <ns0:v/>
      </ns0:c>
      <ns0:c r="D563" s="28" t="str">
        <ns0:f>IF(E563="","","Müşteri adı / aranacak ad / il bilgisini kontrol edin")</ns0:f>
        <ns0:v/>
      </ns0:c>
      <ns0:c r="E563" s="28" t="str">
        <ns0:f>IFERROR(MATCH(559,'Banka Dökümü'!$I$2:$I$2001,0),"")</ns0:f>
        <ns0:v/>
      </ns0:c>
    </ns0:row>
    <ns0:row r="564" ht="21" customHeight="1">
      <ns0:c r="A564" s="32" t="str">
        <ns0:f>IF($E564="","",INDEX('Banka Dökümü'!$A$2:$A$2001,$E564))</ns0:f>
        <ns0:v/>
      </ns0:c>
      <ns0:c r="B564" s="28" t="str">
        <ns0:f>IF($E564="","",INDEX('Banka Dökümü'!$B$2:$B$2001,$E564))</ns0:f>
        <ns0:v/>
      </ns0:c>
      <ns0:c r="C564" s="33" t="str">
        <ns0:f>IF($E564="","",INDEX('Banka Dökümü'!$C$2:$C$2001,$E564))</ns0:f>
        <ns0:v/>
      </ns0:c>
      <ns0:c r="D564" s="28" t="str">
        <ns0:f>IF(E564="","","Müşteri adı / aranacak ad / il bilgisini kontrol edin")</ns0:f>
        <ns0:v/>
      </ns0:c>
      <ns0:c r="E564" s="28" t="str">
        <ns0:f>IFERROR(MATCH(560,'Banka Dökümü'!$I$2:$I$2001,0),"")</ns0:f>
        <ns0:v/>
      </ns0:c>
    </ns0:row>
    <ns0:row r="565" ht="21" customHeight="1">
      <ns0:c r="A565" s="32" t="str">
        <ns0:f>IF($E565="","",INDEX('Banka Dökümü'!$A$2:$A$2001,$E565))</ns0:f>
        <ns0:v/>
      </ns0:c>
      <ns0:c r="B565" s="28" t="str">
        <ns0:f>IF($E565="","",INDEX('Banka Dökümü'!$B$2:$B$2001,$E565))</ns0:f>
        <ns0:v/>
      </ns0:c>
      <ns0:c r="C565" s="33" t="str">
        <ns0:f>IF($E565="","",INDEX('Banka Dökümü'!$C$2:$C$2001,$E565))</ns0:f>
        <ns0:v/>
      </ns0:c>
      <ns0:c r="D565" s="28" t="str">
        <ns0:f>IF(E565="","","Müşteri adı / aranacak ad / il bilgisini kontrol edin")</ns0:f>
        <ns0:v/>
      </ns0:c>
      <ns0:c r="E565" s="28" t="str">
        <ns0:f>IFERROR(MATCH(561,'Banka Dökümü'!$I$2:$I$2001,0),"")</ns0:f>
        <ns0:v/>
      </ns0:c>
    </ns0:row>
    <ns0:row r="566" ht="21" customHeight="1">
      <ns0:c r="A566" s="32" t="str">
        <ns0:f>IF($E566="","",INDEX('Banka Dökümü'!$A$2:$A$2001,$E566))</ns0:f>
        <ns0:v/>
      </ns0:c>
      <ns0:c r="B566" s="28" t="str">
        <ns0:f>IF($E566="","",INDEX('Banka Dökümü'!$B$2:$B$2001,$E566))</ns0:f>
        <ns0:v/>
      </ns0:c>
      <ns0:c r="C566" s="33" t="str">
        <ns0:f>IF($E566="","",INDEX('Banka Dökümü'!$C$2:$C$2001,$E566))</ns0:f>
        <ns0:v/>
      </ns0:c>
      <ns0:c r="D566" s="28" t="str">
        <ns0:f>IF(E566="","","Müşteri adı / aranacak ad / il bilgisini kontrol edin")</ns0:f>
        <ns0:v/>
      </ns0:c>
      <ns0:c r="E566" s="28" t="str">
        <ns0:f>IFERROR(MATCH(562,'Banka Dökümü'!$I$2:$I$2001,0),"")</ns0:f>
        <ns0:v/>
      </ns0:c>
    </ns0:row>
    <ns0:row r="567" ht="21" customHeight="1">
      <ns0:c r="A567" s="32" t="str">
        <ns0:f>IF($E567="","",INDEX('Banka Dökümü'!$A$2:$A$2001,$E567))</ns0:f>
        <ns0:v/>
      </ns0:c>
      <ns0:c r="B567" s="28" t="str">
        <ns0:f>IF($E567="","",INDEX('Banka Dökümü'!$B$2:$B$2001,$E567))</ns0:f>
        <ns0:v/>
      </ns0:c>
      <ns0:c r="C567" s="33" t="str">
        <ns0:f>IF($E567="","",INDEX('Banka Dökümü'!$C$2:$C$2001,$E567))</ns0:f>
        <ns0:v/>
      </ns0:c>
      <ns0:c r="D567" s="28" t="str">
        <ns0:f>IF(E567="","","Müşteri adı / aranacak ad / il bilgisini kontrol edin")</ns0:f>
        <ns0:v/>
      </ns0:c>
      <ns0:c r="E567" s="28" t="str">
        <ns0:f>IFERROR(MATCH(563,'Banka Dökümü'!$I$2:$I$2001,0),"")</ns0:f>
        <ns0:v/>
      </ns0:c>
    </ns0:row>
    <ns0:row r="568" ht="21" customHeight="1">
      <ns0:c r="A568" s="32" t="str">
        <ns0:f>IF($E568="","",INDEX('Banka Dökümü'!$A$2:$A$2001,$E568))</ns0:f>
        <ns0:v/>
      </ns0:c>
      <ns0:c r="B568" s="28" t="str">
        <ns0:f>IF($E568="","",INDEX('Banka Dökümü'!$B$2:$B$2001,$E568))</ns0:f>
        <ns0:v/>
      </ns0:c>
      <ns0:c r="C568" s="33" t="str">
        <ns0:f>IF($E568="","",INDEX('Banka Dökümü'!$C$2:$C$2001,$E568))</ns0:f>
        <ns0:v/>
      </ns0:c>
      <ns0:c r="D568" s="28" t="str">
        <ns0:f>IF(E568="","","Müşteri adı / aranacak ad / il bilgisini kontrol edin")</ns0:f>
        <ns0:v/>
      </ns0:c>
      <ns0:c r="E568" s="28" t="str">
        <ns0:f>IFERROR(MATCH(564,'Banka Dökümü'!$I$2:$I$2001,0),"")</ns0:f>
        <ns0:v/>
      </ns0:c>
    </ns0:row>
    <ns0:row r="569" ht="21" customHeight="1">
      <ns0:c r="A569" s="32" t="str">
        <ns0:f>IF($E569="","",INDEX('Banka Dökümü'!$A$2:$A$2001,$E569))</ns0:f>
        <ns0:v/>
      </ns0:c>
      <ns0:c r="B569" s="28" t="str">
        <ns0:f>IF($E569="","",INDEX('Banka Dökümü'!$B$2:$B$2001,$E569))</ns0:f>
        <ns0:v/>
      </ns0:c>
      <ns0:c r="C569" s="33" t="str">
        <ns0:f>IF($E569="","",INDEX('Banka Dökümü'!$C$2:$C$2001,$E569))</ns0:f>
        <ns0:v/>
      </ns0:c>
      <ns0:c r="D569" s="28" t="str">
        <ns0:f>IF(E569="","","Müşteri adı / aranacak ad / il bilgisini kontrol edin")</ns0:f>
        <ns0:v/>
      </ns0:c>
      <ns0:c r="E569" s="28" t="str">
        <ns0:f>IFERROR(MATCH(565,'Banka Dökümü'!$I$2:$I$2001,0),"")</ns0:f>
        <ns0:v/>
      </ns0:c>
    </ns0:row>
    <ns0:row r="570" ht="21" customHeight="1">
      <ns0:c r="A570" s="32" t="str">
        <ns0:f>IF($E570="","",INDEX('Banka Dökümü'!$A$2:$A$2001,$E570))</ns0:f>
        <ns0:v/>
      </ns0:c>
      <ns0:c r="B570" s="28" t="str">
        <ns0:f>IF($E570="","",INDEX('Banka Dökümü'!$B$2:$B$2001,$E570))</ns0:f>
        <ns0:v/>
      </ns0:c>
      <ns0:c r="C570" s="33" t="str">
        <ns0:f>IF($E570="","",INDEX('Banka Dökümü'!$C$2:$C$2001,$E570))</ns0:f>
        <ns0:v/>
      </ns0:c>
      <ns0:c r="D570" s="28" t="str">
        <ns0:f>IF(E570="","","Müşteri adı / aranacak ad / il bilgisini kontrol edin")</ns0:f>
        <ns0:v/>
      </ns0:c>
      <ns0:c r="E570" s="28" t="str">
        <ns0:f>IFERROR(MATCH(566,'Banka Dökümü'!$I$2:$I$2001,0),"")</ns0:f>
        <ns0:v/>
      </ns0:c>
    </ns0:row>
    <ns0:row r="571" ht="21" customHeight="1">
      <ns0:c r="A571" s="32" t="str">
        <ns0:f>IF($E571="","",INDEX('Banka Dökümü'!$A$2:$A$2001,$E571))</ns0:f>
        <ns0:v/>
      </ns0:c>
      <ns0:c r="B571" s="28" t="str">
        <ns0:f>IF($E571="","",INDEX('Banka Dökümü'!$B$2:$B$2001,$E571))</ns0:f>
        <ns0:v/>
      </ns0:c>
      <ns0:c r="C571" s="33" t="str">
        <ns0:f>IF($E571="","",INDEX('Banka Dökümü'!$C$2:$C$2001,$E571))</ns0:f>
        <ns0:v/>
      </ns0:c>
      <ns0:c r="D571" s="28" t="str">
        <ns0:f>IF(E571="","","Müşteri adı / aranacak ad / il bilgisini kontrol edin")</ns0:f>
        <ns0:v/>
      </ns0:c>
      <ns0:c r="E571" s="28" t="str">
        <ns0:f>IFERROR(MATCH(567,'Banka Dökümü'!$I$2:$I$2001,0),"")</ns0:f>
        <ns0:v/>
      </ns0:c>
    </ns0:row>
    <ns0:row r="572" ht="21" customHeight="1">
      <ns0:c r="A572" s="32" t="str">
        <ns0:f>IF($E572="","",INDEX('Banka Dökümü'!$A$2:$A$2001,$E572))</ns0:f>
        <ns0:v/>
      </ns0:c>
      <ns0:c r="B572" s="28" t="str">
        <ns0:f>IF($E572="","",INDEX('Banka Dökümü'!$B$2:$B$2001,$E572))</ns0:f>
        <ns0:v/>
      </ns0:c>
      <ns0:c r="C572" s="33" t="str">
        <ns0:f>IF($E572="","",INDEX('Banka Dökümü'!$C$2:$C$2001,$E572))</ns0:f>
        <ns0:v/>
      </ns0:c>
      <ns0:c r="D572" s="28" t="str">
        <ns0:f>IF(E572="","","Müşteri adı / aranacak ad / il bilgisini kontrol edin")</ns0:f>
        <ns0:v/>
      </ns0:c>
      <ns0:c r="E572" s="28" t="str">
        <ns0:f>IFERROR(MATCH(568,'Banka Dökümü'!$I$2:$I$2001,0),"")</ns0:f>
        <ns0:v/>
      </ns0:c>
    </ns0:row>
    <ns0:row r="573" ht="21" customHeight="1">
      <ns0:c r="A573" s="32" t="str">
        <ns0:f>IF($E573="","",INDEX('Banka Dökümü'!$A$2:$A$2001,$E573))</ns0:f>
        <ns0:v/>
      </ns0:c>
      <ns0:c r="B573" s="28" t="str">
        <ns0:f>IF($E573="","",INDEX('Banka Dökümü'!$B$2:$B$2001,$E573))</ns0:f>
        <ns0:v/>
      </ns0:c>
      <ns0:c r="C573" s="33" t="str">
        <ns0:f>IF($E573="","",INDEX('Banka Dökümü'!$C$2:$C$2001,$E573))</ns0:f>
        <ns0:v/>
      </ns0:c>
      <ns0:c r="D573" s="28" t="str">
        <ns0:f>IF(E573="","","Müşteri adı / aranacak ad / il bilgisini kontrol edin")</ns0:f>
        <ns0:v/>
      </ns0:c>
      <ns0:c r="E573" s="28" t="str">
        <ns0:f>IFERROR(MATCH(569,'Banka Dökümü'!$I$2:$I$2001,0),"")</ns0:f>
        <ns0:v/>
      </ns0:c>
    </ns0:row>
    <ns0:row r="574" ht="21" customHeight="1">
      <ns0:c r="A574" s="32" t="str">
        <ns0:f>IF($E574="","",INDEX('Banka Dökümü'!$A$2:$A$2001,$E574))</ns0:f>
        <ns0:v/>
      </ns0:c>
      <ns0:c r="B574" s="28" t="str">
        <ns0:f>IF($E574="","",INDEX('Banka Dökümü'!$B$2:$B$2001,$E574))</ns0:f>
        <ns0:v/>
      </ns0:c>
      <ns0:c r="C574" s="33" t="str">
        <ns0:f>IF($E574="","",INDEX('Banka Dökümü'!$C$2:$C$2001,$E574))</ns0:f>
        <ns0:v/>
      </ns0:c>
      <ns0:c r="D574" s="28" t="str">
        <ns0:f>IF(E574="","","Müşteri adı / aranacak ad / il bilgisini kontrol edin")</ns0:f>
        <ns0:v/>
      </ns0:c>
      <ns0:c r="E574" s="28" t="str">
        <ns0:f>IFERROR(MATCH(570,'Banka Dökümü'!$I$2:$I$2001,0),"")</ns0:f>
        <ns0:v/>
      </ns0:c>
    </ns0:row>
    <ns0:row r="575" ht="21" customHeight="1">
      <ns0:c r="A575" s="32" t="str">
        <ns0:f>IF($E575="","",INDEX('Banka Dökümü'!$A$2:$A$2001,$E575))</ns0:f>
        <ns0:v/>
      </ns0:c>
      <ns0:c r="B575" s="28" t="str">
        <ns0:f>IF($E575="","",INDEX('Banka Dökümü'!$B$2:$B$2001,$E575))</ns0:f>
        <ns0:v/>
      </ns0:c>
      <ns0:c r="C575" s="33" t="str">
        <ns0:f>IF($E575="","",INDEX('Banka Dökümü'!$C$2:$C$2001,$E575))</ns0:f>
        <ns0:v/>
      </ns0:c>
      <ns0:c r="D575" s="28" t="str">
        <ns0:f>IF(E575="","","Müşteri adı / aranacak ad / il bilgisini kontrol edin")</ns0:f>
        <ns0:v/>
      </ns0:c>
      <ns0:c r="E575" s="28" t="str">
        <ns0:f>IFERROR(MATCH(571,'Banka Dökümü'!$I$2:$I$2001,0),"")</ns0:f>
        <ns0:v/>
      </ns0:c>
    </ns0:row>
    <ns0:row r="576" ht="21" customHeight="1">
      <ns0:c r="A576" s="32" t="str">
        <ns0:f>IF($E576="","",INDEX('Banka Dökümü'!$A$2:$A$2001,$E576))</ns0:f>
        <ns0:v/>
      </ns0:c>
      <ns0:c r="B576" s="28" t="str">
        <ns0:f>IF($E576="","",INDEX('Banka Dökümü'!$B$2:$B$2001,$E576))</ns0:f>
        <ns0:v/>
      </ns0:c>
      <ns0:c r="C576" s="33" t="str">
        <ns0:f>IF($E576="","",INDEX('Banka Dökümü'!$C$2:$C$2001,$E576))</ns0:f>
        <ns0:v/>
      </ns0:c>
      <ns0:c r="D576" s="28" t="str">
        <ns0:f>IF(E576="","","Müşteri adı / aranacak ad / il bilgisini kontrol edin")</ns0:f>
        <ns0:v/>
      </ns0:c>
      <ns0:c r="E576" s="28" t="str">
        <ns0:f>IFERROR(MATCH(572,'Banka Dökümü'!$I$2:$I$2001,0),"")</ns0:f>
        <ns0:v/>
      </ns0:c>
    </ns0:row>
    <ns0:row r="577" ht="21" customHeight="1">
      <ns0:c r="A577" s="32" t="str">
        <ns0:f>IF($E577="","",INDEX('Banka Dökümü'!$A$2:$A$2001,$E577))</ns0:f>
        <ns0:v/>
      </ns0:c>
      <ns0:c r="B577" s="28" t="str">
        <ns0:f>IF($E577="","",INDEX('Banka Dökümü'!$B$2:$B$2001,$E577))</ns0:f>
        <ns0:v/>
      </ns0:c>
      <ns0:c r="C577" s="33" t="str">
        <ns0:f>IF($E577="","",INDEX('Banka Dökümü'!$C$2:$C$2001,$E577))</ns0:f>
        <ns0:v/>
      </ns0:c>
      <ns0:c r="D577" s="28" t="str">
        <ns0:f>IF(E577="","","Müşteri adı / aranacak ad / il bilgisini kontrol edin")</ns0:f>
        <ns0:v/>
      </ns0:c>
      <ns0:c r="E577" s="28" t="str">
        <ns0:f>IFERROR(MATCH(573,'Banka Dökümü'!$I$2:$I$2001,0),"")</ns0:f>
        <ns0:v/>
      </ns0:c>
    </ns0:row>
    <ns0:row r="578" ht="21" customHeight="1">
      <ns0:c r="A578" s="32" t="str">
        <ns0:f>IF($E578="","",INDEX('Banka Dökümü'!$A$2:$A$2001,$E578))</ns0:f>
        <ns0:v/>
      </ns0:c>
      <ns0:c r="B578" s="28" t="str">
        <ns0:f>IF($E578="","",INDEX('Banka Dökümü'!$B$2:$B$2001,$E578))</ns0:f>
        <ns0:v/>
      </ns0:c>
      <ns0:c r="C578" s="33" t="str">
        <ns0:f>IF($E578="","",INDEX('Banka Dökümü'!$C$2:$C$2001,$E578))</ns0:f>
        <ns0:v/>
      </ns0:c>
      <ns0:c r="D578" s="28" t="str">
        <ns0:f>IF(E578="","","Müşteri adı / aranacak ad / il bilgisini kontrol edin")</ns0:f>
        <ns0:v/>
      </ns0:c>
      <ns0:c r="E578" s="28" t="str">
        <ns0:f>IFERROR(MATCH(574,'Banka Dökümü'!$I$2:$I$2001,0),"")</ns0:f>
        <ns0:v/>
      </ns0:c>
    </ns0:row>
    <ns0:row r="579" ht="21" customHeight="1">
      <ns0:c r="A579" s="32" t="str">
        <ns0:f>IF($E579="","",INDEX('Banka Dökümü'!$A$2:$A$2001,$E579))</ns0:f>
        <ns0:v/>
      </ns0:c>
      <ns0:c r="B579" s="28" t="str">
        <ns0:f>IF($E579="","",INDEX('Banka Dökümü'!$B$2:$B$2001,$E579))</ns0:f>
        <ns0:v/>
      </ns0:c>
      <ns0:c r="C579" s="33" t="str">
        <ns0:f>IF($E579="","",INDEX('Banka Dökümü'!$C$2:$C$2001,$E579))</ns0:f>
        <ns0:v/>
      </ns0:c>
      <ns0:c r="D579" s="28" t="str">
        <ns0:f>IF(E579="","","Müşteri adı / aranacak ad / il bilgisini kontrol edin")</ns0:f>
        <ns0:v/>
      </ns0:c>
      <ns0:c r="E579" s="28" t="str">
        <ns0:f>IFERROR(MATCH(575,'Banka Dökümü'!$I$2:$I$2001,0),"")</ns0:f>
        <ns0:v/>
      </ns0:c>
    </ns0:row>
    <ns0:row r="580" ht="21" customHeight="1">
      <ns0:c r="A580" s="32" t="str">
        <ns0:f>IF($E580="","",INDEX('Banka Dökümü'!$A$2:$A$2001,$E580))</ns0:f>
        <ns0:v/>
      </ns0:c>
      <ns0:c r="B580" s="28" t="str">
        <ns0:f>IF($E580="","",INDEX('Banka Dökümü'!$B$2:$B$2001,$E580))</ns0:f>
        <ns0:v/>
      </ns0:c>
      <ns0:c r="C580" s="33" t="str">
        <ns0:f>IF($E580="","",INDEX('Banka Dökümü'!$C$2:$C$2001,$E580))</ns0:f>
        <ns0:v/>
      </ns0:c>
      <ns0:c r="D580" s="28" t="str">
        <ns0:f>IF(E580="","","Müşteri adı / aranacak ad / il bilgisini kontrol edin")</ns0:f>
        <ns0:v/>
      </ns0:c>
      <ns0:c r="E580" s="28" t="str">
        <ns0:f>IFERROR(MATCH(576,'Banka Dökümü'!$I$2:$I$2001,0),"")</ns0:f>
        <ns0:v/>
      </ns0:c>
    </ns0:row>
    <ns0:row r="581" ht="21" customHeight="1">
      <ns0:c r="A581" s="32" t="str">
        <ns0:f>IF($E581="","",INDEX('Banka Dökümü'!$A$2:$A$2001,$E581))</ns0:f>
        <ns0:v/>
      </ns0:c>
      <ns0:c r="B581" s="28" t="str">
        <ns0:f>IF($E581="","",INDEX('Banka Dökümü'!$B$2:$B$2001,$E581))</ns0:f>
        <ns0:v/>
      </ns0:c>
      <ns0:c r="C581" s="33" t="str">
        <ns0:f>IF($E581="","",INDEX('Banka Dökümü'!$C$2:$C$2001,$E581))</ns0:f>
        <ns0:v/>
      </ns0:c>
      <ns0:c r="D581" s="28" t="str">
        <ns0:f>IF(E581="","","Müşteri adı / aranacak ad / il bilgisini kontrol edin")</ns0:f>
        <ns0:v/>
      </ns0:c>
      <ns0:c r="E581" s="28" t="str">
        <ns0:f>IFERROR(MATCH(577,'Banka Dökümü'!$I$2:$I$2001,0),"")</ns0:f>
        <ns0:v/>
      </ns0:c>
    </ns0:row>
    <ns0:row r="582" ht="21" customHeight="1">
      <ns0:c r="A582" s="32" t="str">
        <ns0:f>IF($E582="","",INDEX('Banka Dökümü'!$A$2:$A$2001,$E582))</ns0:f>
        <ns0:v/>
      </ns0:c>
      <ns0:c r="B582" s="28" t="str">
        <ns0:f>IF($E582="","",INDEX('Banka Dökümü'!$B$2:$B$2001,$E582))</ns0:f>
        <ns0:v/>
      </ns0:c>
      <ns0:c r="C582" s="33" t="str">
        <ns0:f>IF($E582="","",INDEX('Banka Dökümü'!$C$2:$C$2001,$E582))</ns0:f>
        <ns0:v/>
      </ns0:c>
      <ns0:c r="D582" s="28" t="str">
        <ns0:f>IF(E582="","","Müşteri adı / aranacak ad / il bilgisini kontrol edin")</ns0:f>
        <ns0:v/>
      </ns0:c>
      <ns0:c r="E582" s="28" t="str">
        <ns0:f>IFERROR(MATCH(578,'Banka Dökümü'!$I$2:$I$2001,0),"")</ns0:f>
        <ns0:v/>
      </ns0:c>
    </ns0:row>
    <ns0:row r="583" ht="21" customHeight="1">
      <ns0:c r="A583" s="32" t="str">
        <ns0:f>IF($E583="","",INDEX('Banka Dökümü'!$A$2:$A$2001,$E583))</ns0:f>
        <ns0:v/>
      </ns0:c>
      <ns0:c r="B583" s="28" t="str">
        <ns0:f>IF($E583="","",INDEX('Banka Dökümü'!$B$2:$B$2001,$E583))</ns0:f>
        <ns0:v/>
      </ns0:c>
      <ns0:c r="C583" s="33" t="str">
        <ns0:f>IF($E583="","",INDEX('Banka Dökümü'!$C$2:$C$2001,$E583))</ns0:f>
        <ns0:v/>
      </ns0:c>
      <ns0:c r="D583" s="28" t="str">
        <ns0:f>IF(E583="","","Müşteri adı / aranacak ad / il bilgisini kontrol edin")</ns0:f>
        <ns0:v/>
      </ns0:c>
      <ns0:c r="E583" s="28" t="str">
        <ns0:f>IFERROR(MATCH(579,'Banka Dökümü'!$I$2:$I$2001,0),"")</ns0:f>
        <ns0:v/>
      </ns0:c>
    </ns0:row>
    <ns0:row r="584" ht="21" customHeight="1">
      <ns0:c r="A584" s="32" t="str">
        <ns0:f>IF($E584="","",INDEX('Banka Dökümü'!$A$2:$A$2001,$E584))</ns0:f>
        <ns0:v/>
      </ns0:c>
      <ns0:c r="B584" s="28" t="str">
        <ns0:f>IF($E584="","",INDEX('Banka Dökümü'!$B$2:$B$2001,$E584))</ns0:f>
        <ns0:v/>
      </ns0:c>
      <ns0:c r="C584" s="33" t="str">
        <ns0:f>IF($E584="","",INDEX('Banka Dökümü'!$C$2:$C$2001,$E584))</ns0:f>
        <ns0:v/>
      </ns0:c>
      <ns0:c r="D584" s="28" t="str">
        <ns0:f>IF(E584="","","Müşteri adı / aranacak ad / il bilgisini kontrol edin")</ns0:f>
        <ns0:v/>
      </ns0:c>
      <ns0:c r="E584" s="28" t="str">
        <ns0:f>IFERROR(MATCH(580,'Banka Dökümü'!$I$2:$I$2001,0),"")</ns0:f>
        <ns0:v/>
      </ns0:c>
    </ns0:row>
    <ns0:row r="585" ht="21" customHeight="1">
      <ns0:c r="A585" s="32" t="str">
        <ns0:f>IF($E585="","",INDEX('Banka Dökümü'!$A$2:$A$2001,$E585))</ns0:f>
        <ns0:v/>
      </ns0:c>
      <ns0:c r="B585" s="28" t="str">
        <ns0:f>IF($E585="","",INDEX('Banka Dökümü'!$B$2:$B$2001,$E585))</ns0:f>
        <ns0:v/>
      </ns0:c>
      <ns0:c r="C585" s="33" t="str">
        <ns0:f>IF($E585="","",INDEX('Banka Dökümü'!$C$2:$C$2001,$E585))</ns0:f>
        <ns0:v/>
      </ns0:c>
      <ns0:c r="D585" s="28" t="str">
        <ns0:f>IF(E585="","","Müşteri adı / aranacak ad / il bilgisini kontrol edin")</ns0:f>
        <ns0:v/>
      </ns0:c>
      <ns0:c r="E585" s="28" t="str">
        <ns0:f>IFERROR(MATCH(581,'Banka Dökümü'!$I$2:$I$2001,0),"")</ns0:f>
        <ns0:v/>
      </ns0:c>
    </ns0:row>
    <ns0:row r="586" ht="21" customHeight="1">
      <ns0:c r="A586" s="32" t="str">
        <ns0:f>IF($E586="","",INDEX('Banka Dökümü'!$A$2:$A$2001,$E586))</ns0:f>
        <ns0:v/>
      </ns0:c>
      <ns0:c r="B586" s="28" t="str">
        <ns0:f>IF($E586="","",INDEX('Banka Dökümü'!$B$2:$B$2001,$E586))</ns0:f>
        <ns0:v/>
      </ns0:c>
      <ns0:c r="C586" s="33" t="str">
        <ns0:f>IF($E586="","",INDEX('Banka Dökümü'!$C$2:$C$2001,$E586))</ns0:f>
        <ns0:v/>
      </ns0:c>
      <ns0:c r="D586" s="28" t="str">
        <ns0:f>IF(E586="","","Müşteri adı / aranacak ad / il bilgisini kontrol edin")</ns0:f>
        <ns0:v/>
      </ns0:c>
      <ns0:c r="E586" s="28" t="str">
        <ns0:f>IFERROR(MATCH(582,'Banka Dökümü'!$I$2:$I$2001,0),"")</ns0:f>
        <ns0:v/>
      </ns0:c>
    </ns0:row>
    <ns0:row r="587" ht="21" customHeight="1">
      <ns0:c r="A587" s="32" t="str">
        <ns0:f>IF($E587="","",INDEX('Banka Dökümü'!$A$2:$A$2001,$E587))</ns0:f>
        <ns0:v/>
      </ns0:c>
      <ns0:c r="B587" s="28" t="str">
        <ns0:f>IF($E587="","",INDEX('Banka Dökümü'!$B$2:$B$2001,$E587))</ns0:f>
        <ns0:v/>
      </ns0:c>
      <ns0:c r="C587" s="33" t="str">
        <ns0:f>IF($E587="","",INDEX('Banka Dökümü'!$C$2:$C$2001,$E587))</ns0:f>
        <ns0:v/>
      </ns0:c>
      <ns0:c r="D587" s="28" t="str">
        <ns0:f>IF(E587="","","Müşteri adı / aranacak ad / il bilgisini kontrol edin")</ns0:f>
        <ns0:v/>
      </ns0:c>
      <ns0:c r="E587" s="28" t="str">
        <ns0:f>IFERROR(MATCH(583,'Banka Dökümü'!$I$2:$I$2001,0),"")</ns0:f>
        <ns0:v/>
      </ns0:c>
    </ns0:row>
    <ns0:row r="588" ht="21" customHeight="1">
      <ns0:c r="A588" s="32" t="str">
        <ns0:f>IF($E588="","",INDEX('Banka Dökümü'!$A$2:$A$2001,$E588))</ns0:f>
        <ns0:v/>
      </ns0:c>
      <ns0:c r="B588" s="28" t="str">
        <ns0:f>IF($E588="","",INDEX('Banka Dökümü'!$B$2:$B$2001,$E588))</ns0:f>
        <ns0:v/>
      </ns0:c>
      <ns0:c r="C588" s="33" t="str">
        <ns0:f>IF($E588="","",INDEX('Banka Dökümü'!$C$2:$C$2001,$E588))</ns0:f>
        <ns0:v/>
      </ns0:c>
      <ns0:c r="D588" s="28" t="str">
        <ns0:f>IF(E588="","","Müşteri adı / aranacak ad / il bilgisini kontrol edin")</ns0:f>
        <ns0:v/>
      </ns0:c>
      <ns0:c r="E588" s="28" t="str">
        <ns0:f>IFERROR(MATCH(584,'Banka Dökümü'!$I$2:$I$2001,0),"")</ns0:f>
        <ns0:v/>
      </ns0:c>
    </ns0:row>
    <ns0:row r="589" ht="21" customHeight="1">
      <ns0:c r="A589" s="32" t="str">
        <ns0:f>IF($E589="","",INDEX('Banka Dökümü'!$A$2:$A$2001,$E589))</ns0:f>
        <ns0:v/>
      </ns0:c>
      <ns0:c r="B589" s="28" t="str">
        <ns0:f>IF($E589="","",INDEX('Banka Dökümü'!$B$2:$B$2001,$E589))</ns0:f>
        <ns0:v/>
      </ns0:c>
      <ns0:c r="C589" s="33" t="str">
        <ns0:f>IF($E589="","",INDEX('Banka Dökümü'!$C$2:$C$2001,$E589))</ns0:f>
        <ns0:v/>
      </ns0:c>
      <ns0:c r="D589" s="28" t="str">
        <ns0:f>IF(E589="","","Müşteri adı / aranacak ad / il bilgisini kontrol edin")</ns0:f>
        <ns0:v/>
      </ns0:c>
      <ns0:c r="E589" s="28" t="str">
        <ns0:f>IFERROR(MATCH(585,'Banka Dökümü'!$I$2:$I$2001,0),"")</ns0:f>
        <ns0:v/>
      </ns0:c>
    </ns0:row>
    <ns0:row r="590" ht="21" customHeight="1">
      <ns0:c r="A590" s="32" t="str">
        <ns0:f>IF($E590="","",INDEX('Banka Dökümü'!$A$2:$A$2001,$E590))</ns0:f>
        <ns0:v/>
      </ns0:c>
      <ns0:c r="B590" s="28" t="str">
        <ns0:f>IF($E590="","",INDEX('Banka Dökümü'!$B$2:$B$2001,$E590))</ns0:f>
        <ns0:v/>
      </ns0:c>
      <ns0:c r="C590" s="33" t="str">
        <ns0:f>IF($E590="","",INDEX('Banka Dökümü'!$C$2:$C$2001,$E590))</ns0:f>
        <ns0:v/>
      </ns0:c>
      <ns0:c r="D590" s="28" t="str">
        <ns0:f>IF(E590="","","Müşteri adı / aranacak ad / il bilgisini kontrol edin")</ns0:f>
        <ns0:v/>
      </ns0:c>
      <ns0:c r="E590" s="28" t="str">
        <ns0:f>IFERROR(MATCH(586,'Banka Dökümü'!$I$2:$I$2001,0),"")</ns0:f>
        <ns0:v/>
      </ns0:c>
    </ns0:row>
    <ns0:row r="591" ht="21" customHeight="1">
      <ns0:c r="A591" s="32" t="str">
        <ns0:f>IF($E591="","",INDEX('Banka Dökümü'!$A$2:$A$2001,$E591))</ns0:f>
        <ns0:v/>
      </ns0:c>
      <ns0:c r="B591" s="28" t="str">
        <ns0:f>IF($E591="","",INDEX('Banka Dökümü'!$B$2:$B$2001,$E591))</ns0:f>
        <ns0:v/>
      </ns0:c>
      <ns0:c r="C591" s="33" t="str">
        <ns0:f>IF($E591="","",INDEX('Banka Dökümü'!$C$2:$C$2001,$E591))</ns0:f>
        <ns0:v/>
      </ns0:c>
      <ns0:c r="D591" s="28" t="str">
        <ns0:f>IF(E591="","","Müşteri adı / aranacak ad / il bilgisini kontrol edin")</ns0:f>
        <ns0:v/>
      </ns0:c>
      <ns0:c r="E591" s="28" t="str">
        <ns0:f>IFERROR(MATCH(587,'Banka Dökümü'!$I$2:$I$2001,0),"")</ns0:f>
        <ns0:v/>
      </ns0:c>
    </ns0:row>
    <ns0:row r="592" ht="21" customHeight="1">
      <ns0:c r="A592" s="32" t="str">
        <ns0:f>IF($E592="","",INDEX('Banka Dökümü'!$A$2:$A$2001,$E592))</ns0:f>
        <ns0:v/>
      </ns0:c>
      <ns0:c r="B592" s="28" t="str">
        <ns0:f>IF($E592="","",INDEX('Banka Dökümü'!$B$2:$B$2001,$E592))</ns0:f>
        <ns0:v/>
      </ns0:c>
      <ns0:c r="C592" s="33" t="str">
        <ns0:f>IF($E592="","",INDEX('Banka Dökümü'!$C$2:$C$2001,$E592))</ns0:f>
        <ns0:v/>
      </ns0:c>
      <ns0:c r="D592" s="28" t="str">
        <ns0:f>IF(E592="","","Müşteri adı / aranacak ad / il bilgisini kontrol edin")</ns0:f>
        <ns0:v/>
      </ns0:c>
      <ns0:c r="E592" s="28" t="str">
        <ns0:f>IFERROR(MATCH(588,'Banka Dökümü'!$I$2:$I$2001,0),"")</ns0:f>
        <ns0:v/>
      </ns0:c>
    </ns0:row>
    <ns0:row r="593" ht="21" customHeight="1">
      <ns0:c r="A593" s="32" t="str">
        <ns0:f>IF($E593="","",INDEX('Banka Dökümü'!$A$2:$A$2001,$E593))</ns0:f>
        <ns0:v/>
      </ns0:c>
      <ns0:c r="B593" s="28" t="str">
        <ns0:f>IF($E593="","",INDEX('Banka Dökümü'!$B$2:$B$2001,$E593))</ns0:f>
        <ns0:v/>
      </ns0:c>
      <ns0:c r="C593" s="33" t="str">
        <ns0:f>IF($E593="","",INDEX('Banka Dökümü'!$C$2:$C$2001,$E593))</ns0:f>
        <ns0:v/>
      </ns0:c>
      <ns0:c r="D593" s="28" t="str">
        <ns0:f>IF(E593="","","Müşteri adı / aranacak ad / il bilgisini kontrol edin")</ns0:f>
        <ns0:v/>
      </ns0:c>
      <ns0:c r="E593" s="28" t="str">
        <ns0:f>IFERROR(MATCH(589,'Banka Dökümü'!$I$2:$I$2001,0),"")</ns0:f>
        <ns0:v/>
      </ns0:c>
    </ns0:row>
    <ns0:row r="594" ht="21" customHeight="1">
      <ns0:c r="A594" s="32" t="str">
        <ns0:f>IF($E594="","",INDEX('Banka Dökümü'!$A$2:$A$2001,$E594))</ns0:f>
        <ns0:v/>
      </ns0:c>
      <ns0:c r="B594" s="28" t="str">
        <ns0:f>IF($E594="","",INDEX('Banka Dökümü'!$B$2:$B$2001,$E594))</ns0:f>
        <ns0:v/>
      </ns0:c>
      <ns0:c r="C594" s="33" t="str">
        <ns0:f>IF($E594="","",INDEX('Banka Dökümü'!$C$2:$C$2001,$E594))</ns0:f>
        <ns0:v/>
      </ns0:c>
      <ns0:c r="D594" s="28" t="str">
        <ns0:f>IF(E594="","","Müşteri adı / aranacak ad / il bilgisini kontrol edin")</ns0:f>
        <ns0:v/>
      </ns0:c>
      <ns0:c r="E594" s="28" t="str">
        <ns0:f>IFERROR(MATCH(590,'Banka Dökümü'!$I$2:$I$2001,0),"")</ns0:f>
        <ns0:v/>
      </ns0:c>
    </ns0:row>
    <ns0:row r="595" ht="21" customHeight="1">
      <ns0:c r="A595" s="32" t="str">
        <ns0:f>IF($E595="","",INDEX('Banka Dökümü'!$A$2:$A$2001,$E595))</ns0:f>
        <ns0:v/>
      </ns0:c>
      <ns0:c r="B595" s="28" t="str">
        <ns0:f>IF($E595="","",INDEX('Banka Dökümü'!$B$2:$B$2001,$E595))</ns0:f>
        <ns0:v/>
      </ns0:c>
      <ns0:c r="C595" s="33" t="str">
        <ns0:f>IF($E595="","",INDEX('Banka Dökümü'!$C$2:$C$2001,$E595))</ns0:f>
        <ns0:v/>
      </ns0:c>
      <ns0:c r="D595" s="28" t="str">
        <ns0:f>IF(E595="","","Müşteri adı / aranacak ad / il bilgisini kontrol edin")</ns0:f>
        <ns0:v/>
      </ns0:c>
      <ns0:c r="E595" s="28" t="str">
        <ns0:f>IFERROR(MATCH(591,'Banka Dökümü'!$I$2:$I$2001,0),"")</ns0:f>
        <ns0:v/>
      </ns0:c>
    </ns0:row>
    <ns0:row r="596" ht="21" customHeight="1">
      <ns0:c r="A596" s="32" t="str">
        <ns0:f>IF($E596="","",INDEX('Banka Dökümü'!$A$2:$A$2001,$E596))</ns0:f>
        <ns0:v/>
      </ns0:c>
      <ns0:c r="B596" s="28" t="str">
        <ns0:f>IF($E596="","",INDEX('Banka Dökümü'!$B$2:$B$2001,$E596))</ns0:f>
        <ns0:v/>
      </ns0:c>
      <ns0:c r="C596" s="33" t="str">
        <ns0:f>IF($E596="","",INDEX('Banka Dökümü'!$C$2:$C$2001,$E596))</ns0:f>
        <ns0:v/>
      </ns0:c>
      <ns0:c r="D596" s="28" t="str">
        <ns0:f>IF(E596="","","Müşteri adı / aranacak ad / il bilgisini kontrol edin")</ns0:f>
        <ns0:v/>
      </ns0:c>
      <ns0:c r="E596" s="28" t="str">
        <ns0:f>IFERROR(MATCH(592,'Banka Dökümü'!$I$2:$I$2001,0),"")</ns0:f>
        <ns0:v/>
      </ns0:c>
    </ns0:row>
    <ns0:row r="597" ht="21" customHeight="1">
      <ns0:c r="A597" s="32" t="str">
        <ns0:f>IF($E597="","",INDEX('Banka Dökümü'!$A$2:$A$2001,$E597))</ns0:f>
        <ns0:v/>
      </ns0:c>
      <ns0:c r="B597" s="28" t="str">
        <ns0:f>IF($E597="","",INDEX('Banka Dökümü'!$B$2:$B$2001,$E597))</ns0:f>
        <ns0:v/>
      </ns0:c>
      <ns0:c r="C597" s="33" t="str">
        <ns0:f>IF($E597="","",INDEX('Banka Dökümü'!$C$2:$C$2001,$E597))</ns0:f>
        <ns0:v/>
      </ns0:c>
      <ns0:c r="D597" s="28" t="str">
        <ns0:f>IF(E597="","","Müşteri adı / aranacak ad / il bilgisini kontrol edin")</ns0:f>
        <ns0:v/>
      </ns0:c>
      <ns0:c r="E597" s="28" t="str">
        <ns0:f>IFERROR(MATCH(593,'Banka Dökümü'!$I$2:$I$2001,0),"")</ns0:f>
        <ns0:v/>
      </ns0:c>
    </ns0:row>
    <ns0:row r="598" ht="21" customHeight="1">
      <ns0:c r="A598" s="32" t="str">
        <ns0:f>IF($E598="","",INDEX('Banka Dökümü'!$A$2:$A$2001,$E598))</ns0:f>
        <ns0:v/>
      </ns0:c>
      <ns0:c r="B598" s="28" t="str">
        <ns0:f>IF($E598="","",INDEX('Banka Dökümü'!$B$2:$B$2001,$E598))</ns0:f>
        <ns0:v/>
      </ns0:c>
      <ns0:c r="C598" s="33" t="str">
        <ns0:f>IF($E598="","",INDEX('Banka Dökümü'!$C$2:$C$2001,$E598))</ns0:f>
        <ns0:v/>
      </ns0:c>
      <ns0:c r="D598" s="28" t="str">
        <ns0:f>IF(E598="","","Müşteri adı / aranacak ad / il bilgisini kontrol edin")</ns0:f>
        <ns0:v/>
      </ns0:c>
      <ns0:c r="E598" s="28" t="str">
        <ns0:f>IFERROR(MATCH(594,'Banka Dökümü'!$I$2:$I$2001,0),"")</ns0:f>
        <ns0:v/>
      </ns0:c>
    </ns0:row>
    <ns0:row r="599" ht="21" customHeight="1">
      <ns0:c r="A599" s="32" t="str">
        <ns0:f>IF($E599="","",INDEX('Banka Dökümü'!$A$2:$A$2001,$E599))</ns0:f>
        <ns0:v/>
      </ns0:c>
      <ns0:c r="B599" s="28" t="str">
        <ns0:f>IF($E599="","",INDEX('Banka Dökümü'!$B$2:$B$2001,$E599))</ns0:f>
        <ns0:v/>
      </ns0:c>
      <ns0:c r="C599" s="33" t="str">
        <ns0:f>IF($E599="","",INDEX('Banka Dökümü'!$C$2:$C$2001,$E599))</ns0:f>
        <ns0:v/>
      </ns0:c>
      <ns0:c r="D599" s="28" t="str">
        <ns0:f>IF(E599="","","Müşteri adı / aranacak ad / il bilgisini kontrol edin")</ns0:f>
        <ns0:v/>
      </ns0:c>
      <ns0:c r="E599" s="28" t="str">
        <ns0:f>IFERROR(MATCH(595,'Banka Dökümü'!$I$2:$I$2001,0),"")</ns0:f>
        <ns0:v/>
      </ns0:c>
    </ns0:row>
    <ns0:row r="600" ht="21" customHeight="1">
      <ns0:c r="A600" s="32" t="str">
        <ns0:f>IF($E600="","",INDEX('Banka Dökümü'!$A$2:$A$2001,$E600))</ns0:f>
        <ns0:v/>
      </ns0:c>
      <ns0:c r="B600" s="28" t="str">
        <ns0:f>IF($E600="","",INDEX('Banka Dökümü'!$B$2:$B$2001,$E600))</ns0:f>
        <ns0:v/>
      </ns0:c>
      <ns0:c r="C600" s="33" t="str">
        <ns0:f>IF($E600="","",INDEX('Banka Dökümü'!$C$2:$C$2001,$E600))</ns0:f>
        <ns0:v/>
      </ns0:c>
      <ns0:c r="D600" s="28" t="str">
        <ns0:f>IF(E600="","","Müşteri adı / aranacak ad / il bilgisini kontrol edin")</ns0:f>
        <ns0:v/>
      </ns0:c>
      <ns0:c r="E600" s="28" t="str">
        <ns0:f>IFERROR(MATCH(596,'Banka Dökümü'!$I$2:$I$2001,0),"")</ns0:f>
        <ns0:v/>
      </ns0:c>
    </ns0:row>
    <ns0:row r="601" ht="21" customHeight="1">
      <ns0:c r="A601" s="32" t="str">
        <ns0:f>IF($E601="","",INDEX('Banka Dökümü'!$A$2:$A$2001,$E601))</ns0:f>
        <ns0:v/>
      </ns0:c>
      <ns0:c r="B601" s="28" t="str">
        <ns0:f>IF($E601="","",INDEX('Banka Dökümü'!$B$2:$B$2001,$E601))</ns0:f>
        <ns0:v/>
      </ns0:c>
      <ns0:c r="C601" s="33" t="str">
        <ns0:f>IF($E601="","",INDEX('Banka Dökümü'!$C$2:$C$2001,$E601))</ns0:f>
        <ns0:v/>
      </ns0:c>
      <ns0:c r="D601" s="28" t="str">
        <ns0:f>IF(E601="","","Müşteri adı / aranacak ad / il bilgisini kontrol edin")</ns0:f>
        <ns0:v/>
      </ns0:c>
      <ns0:c r="E601" s="28" t="str">
        <ns0:f>IFERROR(MATCH(597,'Banka Dökümü'!$I$2:$I$2001,0),"")</ns0:f>
        <ns0:v/>
      </ns0:c>
    </ns0:row>
    <ns0:row r="602" ht="21" customHeight="1">
      <ns0:c r="A602" s="32" t="str">
        <ns0:f>IF($E602="","",INDEX('Banka Dökümü'!$A$2:$A$2001,$E602))</ns0:f>
        <ns0:v/>
      </ns0:c>
      <ns0:c r="B602" s="28" t="str">
        <ns0:f>IF($E602="","",INDEX('Banka Dökümü'!$B$2:$B$2001,$E602))</ns0:f>
        <ns0:v/>
      </ns0:c>
      <ns0:c r="C602" s="33" t="str">
        <ns0:f>IF($E602="","",INDEX('Banka Dökümü'!$C$2:$C$2001,$E602))</ns0:f>
        <ns0:v/>
      </ns0:c>
      <ns0:c r="D602" s="28" t="str">
        <ns0:f>IF(E602="","","Müşteri adı / aranacak ad / il bilgisini kontrol edin")</ns0:f>
        <ns0:v/>
      </ns0:c>
      <ns0:c r="E602" s="28" t="str">
        <ns0:f>IFERROR(MATCH(598,'Banka Dökümü'!$I$2:$I$2001,0),"")</ns0:f>
        <ns0:v/>
      </ns0:c>
    </ns0:row>
    <ns0:row r="603" ht="21" customHeight="1">
      <ns0:c r="A603" s="32" t="str">
        <ns0:f>IF($E603="","",INDEX('Banka Dökümü'!$A$2:$A$2001,$E603))</ns0:f>
        <ns0:v/>
      </ns0:c>
      <ns0:c r="B603" s="28" t="str">
        <ns0:f>IF($E603="","",INDEX('Banka Dökümü'!$B$2:$B$2001,$E603))</ns0:f>
        <ns0:v/>
      </ns0:c>
      <ns0:c r="C603" s="33" t="str">
        <ns0:f>IF($E603="","",INDEX('Banka Dökümü'!$C$2:$C$2001,$E603))</ns0:f>
        <ns0:v/>
      </ns0:c>
      <ns0:c r="D603" s="28" t="str">
        <ns0:f>IF(E603="","","Müşteri adı / aranacak ad / il bilgisini kontrol edin")</ns0:f>
        <ns0:v/>
      </ns0:c>
      <ns0:c r="E603" s="28" t="str">
        <ns0:f>IFERROR(MATCH(599,'Banka Dökümü'!$I$2:$I$2001,0),"")</ns0:f>
        <ns0:v/>
      </ns0:c>
    </ns0:row>
    <ns0:row r="604" ht="21" customHeight="1">
      <ns0:c r="A604" s="32" t="str">
        <ns0:f>IF($E604="","",INDEX('Banka Dökümü'!$A$2:$A$2001,$E604))</ns0:f>
        <ns0:v/>
      </ns0:c>
      <ns0:c r="B604" s="28" t="str">
        <ns0:f>IF($E604="","",INDEX('Banka Dökümü'!$B$2:$B$2001,$E604))</ns0:f>
        <ns0:v/>
      </ns0:c>
      <ns0:c r="C604" s="33" t="str">
        <ns0:f>IF($E604="","",INDEX('Banka Dökümü'!$C$2:$C$2001,$E604))</ns0:f>
        <ns0:v/>
      </ns0:c>
      <ns0:c r="D604" s="28" t="str">
        <ns0:f>IF(E604="","","Müşteri adı / aranacak ad / il bilgisini kontrol edin")</ns0:f>
        <ns0:v/>
      </ns0:c>
      <ns0:c r="E604" s="28" t="str">
        <ns0:f>IFERROR(MATCH(600,'Banka Dökümü'!$I$2:$I$2001,0),"")</ns0:f>
        <ns0:v/>
      </ns0:c>
    </ns0:row>
    <ns0:row r="605" ht="21" customHeight="1">
      <ns0:c r="A605" s="32" t="str">
        <ns0:f>IF($E605="","",INDEX('Banka Dökümü'!$A$2:$A$2001,$E605))</ns0:f>
        <ns0:v/>
      </ns0:c>
      <ns0:c r="B605" s="28" t="str">
        <ns0:f>IF($E605="","",INDEX('Banka Dökümü'!$B$2:$B$2001,$E605))</ns0:f>
        <ns0:v/>
      </ns0:c>
      <ns0:c r="C605" s="33" t="str">
        <ns0:f>IF($E605="","",INDEX('Banka Dökümü'!$C$2:$C$2001,$E605))</ns0:f>
        <ns0:v/>
      </ns0:c>
      <ns0:c r="D605" s="28" t="str">
        <ns0:f>IF(E605="","","Müşteri adı / aranacak ad / il bilgisini kontrol edin")</ns0:f>
        <ns0:v/>
      </ns0:c>
      <ns0:c r="E605" s="28" t="str">
        <ns0:f>IFERROR(MATCH(601,'Banka Dökümü'!$I$2:$I$2001,0),"")</ns0:f>
        <ns0:v/>
      </ns0:c>
    </ns0:row>
    <ns0:row r="606" ht="21" customHeight="1">
      <ns0:c r="A606" s="32" t="str">
        <ns0:f>IF($E606="","",INDEX('Banka Dökümü'!$A$2:$A$2001,$E606))</ns0:f>
        <ns0:v/>
      </ns0:c>
      <ns0:c r="B606" s="28" t="str">
        <ns0:f>IF($E606="","",INDEX('Banka Dökümü'!$B$2:$B$2001,$E606))</ns0:f>
        <ns0:v/>
      </ns0:c>
      <ns0:c r="C606" s="33" t="str">
        <ns0:f>IF($E606="","",INDEX('Banka Dökümü'!$C$2:$C$2001,$E606))</ns0:f>
        <ns0:v/>
      </ns0:c>
      <ns0:c r="D606" s="28" t="str">
        <ns0:f>IF(E606="","","Müşteri adı / aranacak ad / il bilgisini kontrol edin")</ns0:f>
        <ns0:v/>
      </ns0:c>
      <ns0:c r="E606" s="28" t="str">
        <ns0:f>IFERROR(MATCH(602,'Banka Dökümü'!$I$2:$I$2001,0),"")</ns0:f>
        <ns0:v/>
      </ns0:c>
    </ns0:row>
    <ns0:row r="607" ht="21" customHeight="1">
      <ns0:c r="A607" s="32" t="str">
        <ns0:f>IF($E607="","",INDEX('Banka Dökümü'!$A$2:$A$2001,$E607))</ns0:f>
        <ns0:v/>
      </ns0:c>
      <ns0:c r="B607" s="28" t="str">
        <ns0:f>IF($E607="","",INDEX('Banka Dökümü'!$B$2:$B$2001,$E607))</ns0:f>
        <ns0:v/>
      </ns0:c>
      <ns0:c r="C607" s="33" t="str">
        <ns0:f>IF($E607="","",INDEX('Banka Dökümü'!$C$2:$C$2001,$E607))</ns0:f>
        <ns0:v/>
      </ns0:c>
      <ns0:c r="D607" s="28" t="str">
        <ns0:f>IF(E607="","","Müşteri adı / aranacak ad / il bilgisini kontrol edin")</ns0:f>
        <ns0:v/>
      </ns0:c>
      <ns0:c r="E607" s="28" t="str">
        <ns0:f>IFERROR(MATCH(603,'Banka Dökümü'!$I$2:$I$2001,0),"")</ns0:f>
        <ns0:v/>
      </ns0:c>
    </ns0:row>
    <ns0:row r="608" ht="21" customHeight="1">
      <ns0:c r="A608" s="32" t="str">
        <ns0:f>IF($E608="","",INDEX('Banka Dökümü'!$A$2:$A$2001,$E608))</ns0:f>
        <ns0:v/>
      </ns0:c>
      <ns0:c r="B608" s="28" t="str">
        <ns0:f>IF($E608="","",INDEX('Banka Dökümü'!$B$2:$B$2001,$E608))</ns0:f>
        <ns0:v/>
      </ns0:c>
      <ns0:c r="C608" s="33" t="str">
        <ns0:f>IF($E608="","",INDEX('Banka Dökümü'!$C$2:$C$2001,$E608))</ns0:f>
        <ns0:v/>
      </ns0:c>
      <ns0:c r="D608" s="28" t="str">
        <ns0:f>IF(E608="","","Müşteri adı / aranacak ad / il bilgisini kontrol edin")</ns0:f>
        <ns0:v/>
      </ns0:c>
      <ns0:c r="E608" s="28" t="str">
        <ns0:f>IFERROR(MATCH(604,'Banka Dökümü'!$I$2:$I$2001,0),"")</ns0:f>
        <ns0:v/>
      </ns0:c>
    </ns0:row>
    <ns0:row r="609" ht="21" customHeight="1">
      <ns0:c r="A609" s="32" t="str">
        <ns0:f>IF($E609="","",INDEX('Banka Dökümü'!$A$2:$A$2001,$E609))</ns0:f>
        <ns0:v/>
      </ns0:c>
      <ns0:c r="B609" s="28" t="str">
        <ns0:f>IF($E609="","",INDEX('Banka Dökümü'!$B$2:$B$2001,$E609))</ns0:f>
        <ns0:v/>
      </ns0:c>
      <ns0:c r="C609" s="33" t="str">
        <ns0:f>IF($E609="","",INDEX('Banka Dökümü'!$C$2:$C$2001,$E609))</ns0:f>
        <ns0:v/>
      </ns0:c>
      <ns0:c r="D609" s="28" t="str">
        <ns0:f>IF(E609="","","Müşteri adı / aranacak ad / il bilgisini kontrol edin")</ns0:f>
        <ns0:v/>
      </ns0:c>
      <ns0:c r="E609" s="28" t="str">
        <ns0:f>IFERROR(MATCH(605,'Banka Dökümü'!$I$2:$I$2001,0),"")</ns0:f>
        <ns0:v/>
      </ns0:c>
    </ns0:row>
    <ns0:row r="610" ht="21" customHeight="1">
      <ns0:c r="A610" s="32" t="str">
        <ns0:f>IF($E610="","",INDEX('Banka Dökümü'!$A$2:$A$2001,$E610))</ns0:f>
        <ns0:v/>
      </ns0:c>
      <ns0:c r="B610" s="28" t="str">
        <ns0:f>IF($E610="","",INDEX('Banka Dökümü'!$B$2:$B$2001,$E610))</ns0:f>
        <ns0:v/>
      </ns0:c>
      <ns0:c r="C610" s="33" t="str">
        <ns0:f>IF($E610="","",INDEX('Banka Dökümü'!$C$2:$C$2001,$E610))</ns0:f>
        <ns0:v/>
      </ns0:c>
      <ns0:c r="D610" s="28" t="str">
        <ns0:f>IF(E610="","","Müşteri adı / aranacak ad / il bilgisini kontrol edin")</ns0:f>
        <ns0:v/>
      </ns0:c>
      <ns0:c r="E610" s="28" t="str">
        <ns0:f>IFERROR(MATCH(606,'Banka Dökümü'!$I$2:$I$2001,0),"")</ns0:f>
        <ns0:v/>
      </ns0:c>
    </ns0:row>
    <ns0:row r="611" ht="21" customHeight="1">
      <ns0:c r="A611" s="32" t="str">
        <ns0:f>IF($E611="","",INDEX('Banka Dökümü'!$A$2:$A$2001,$E611))</ns0:f>
        <ns0:v/>
      </ns0:c>
      <ns0:c r="B611" s="28" t="str">
        <ns0:f>IF($E611="","",INDEX('Banka Dökümü'!$B$2:$B$2001,$E611))</ns0:f>
        <ns0:v/>
      </ns0:c>
      <ns0:c r="C611" s="33" t="str">
        <ns0:f>IF($E611="","",INDEX('Banka Dökümü'!$C$2:$C$2001,$E611))</ns0:f>
        <ns0:v/>
      </ns0:c>
      <ns0:c r="D611" s="28" t="str">
        <ns0:f>IF(E611="","","Müşteri adı / aranacak ad / il bilgisini kontrol edin")</ns0:f>
        <ns0:v/>
      </ns0:c>
      <ns0:c r="E611" s="28" t="str">
        <ns0:f>IFERROR(MATCH(607,'Banka Dökümü'!$I$2:$I$2001,0),"")</ns0:f>
        <ns0:v/>
      </ns0:c>
    </ns0:row>
    <ns0:row r="612" ht="21" customHeight="1">
      <ns0:c r="A612" s="32" t="str">
        <ns0:f>IF($E612="","",INDEX('Banka Dökümü'!$A$2:$A$2001,$E612))</ns0:f>
        <ns0:v/>
      </ns0:c>
      <ns0:c r="B612" s="28" t="str">
        <ns0:f>IF($E612="","",INDEX('Banka Dökümü'!$B$2:$B$2001,$E612))</ns0:f>
        <ns0:v/>
      </ns0:c>
      <ns0:c r="C612" s="33" t="str">
        <ns0:f>IF($E612="","",INDEX('Banka Dökümü'!$C$2:$C$2001,$E612))</ns0:f>
        <ns0:v/>
      </ns0:c>
      <ns0:c r="D612" s="28" t="str">
        <ns0:f>IF(E612="","","Müşteri adı / aranacak ad / il bilgisini kontrol edin")</ns0:f>
        <ns0:v/>
      </ns0:c>
      <ns0:c r="E612" s="28" t="str">
        <ns0:f>IFERROR(MATCH(608,'Banka Dökümü'!$I$2:$I$2001,0),"")</ns0:f>
        <ns0:v/>
      </ns0:c>
    </ns0:row>
    <ns0:row r="613" ht="21" customHeight="1">
      <ns0:c r="A613" s="32" t="str">
        <ns0:f>IF($E613="","",INDEX('Banka Dökümü'!$A$2:$A$2001,$E613))</ns0:f>
        <ns0:v/>
      </ns0:c>
      <ns0:c r="B613" s="28" t="str">
        <ns0:f>IF($E613="","",INDEX('Banka Dökümü'!$B$2:$B$2001,$E613))</ns0:f>
        <ns0:v/>
      </ns0:c>
      <ns0:c r="C613" s="33" t="str">
        <ns0:f>IF($E613="","",INDEX('Banka Dökümü'!$C$2:$C$2001,$E613))</ns0:f>
        <ns0:v/>
      </ns0:c>
      <ns0:c r="D613" s="28" t="str">
        <ns0:f>IF(E613="","","Müşteri adı / aranacak ad / il bilgisini kontrol edin")</ns0:f>
        <ns0:v/>
      </ns0:c>
      <ns0:c r="E613" s="28" t="str">
        <ns0:f>IFERROR(MATCH(609,'Banka Dökümü'!$I$2:$I$2001,0),"")</ns0:f>
        <ns0:v/>
      </ns0:c>
    </ns0:row>
    <ns0:row r="614" ht="21" customHeight="1">
      <ns0:c r="A614" s="32" t="str">
        <ns0:f>IF($E614="","",INDEX('Banka Dökümü'!$A$2:$A$2001,$E614))</ns0:f>
        <ns0:v/>
      </ns0:c>
      <ns0:c r="B614" s="28" t="str">
        <ns0:f>IF($E614="","",INDEX('Banka Dökümü'!$B$2:$B$2001,$E614))</ns0:f>
        <ns0:v/>
      </ns0:c>
      <ns0:c r="C614" s="33" t="str">
        <ns0:f>IF($E614="","",INDEX('Banka Dökümü'!$C$2:$C$2001,$E614))</ns0:f>
        <ns0:v/>
      </ns0:c>
      <ns0:c r="D614" s="28" t="str">
        <ns0:f>IF(E614="","","Müşteri adı / aranacak ad / il bilgisini kontrol edin")</ns0:f>
        <ns0:v/>
      </ns0:c>
      <ns0:c r="E614" s="28" t="str">
        <ns0:f>IFERROR(MATCH(610,'Banka Dökümü'!$I$2:$I$2001,0),"")</ns0:f>
        <ns0:v/>
      </ns0:c>
    </ns0:row>
    <ns0:row r="615" ht="21" customHeight="1">
      <ns0:c r="A615" s="32" t="str">
        <ns0:f>IF($E615="","",INDEX('Banka Dökümü'!$A$2:$A$2001,$E615))</ns0:f>
        <ns0:v/>
      </ns0:c>
      <ns0:c r="B615" s="28" t="str">
        <ns0:f>IF($E615="","",INDEX('Banka Dökümü'!$B$2:$B$2001,$E615))</ns0:f>
        <ns0:v/>
      </ns0:c>
      <ns0:c r="C615" s="33" t="str">
        <ns0:f>IF($E615="","",INDEX('Banka Dökümü'!$C$2:$C$2001,$E615))</ns0:f>
        <ns0:v/>
      </ns0:c>
      <ns0:c r="D615" s="28" t="str">
        <ns0:f>IF(E615="","","Müşteri adı / aranacak ad / il bilgisini kontrol edin")</ns0:f>
        <ns0:v/>
      </ns0:c>
      <ns0:c r="E615" s="28" t="str">
        <ns0:f>IFERROR(MATCH(611,'Banka Dökümü'!$I$2:$I$2001,0),"")</ns0:f>
        <ns0:v/>
      </ns0:c>
    </ns0:row>
    <ns0:row r="616" ht="21" customHeight="1">
      <ns0:c r="A616" s="32" t="str">
        <ns0:f>IF($E616="","",INDEX('Banka Dökümü'!$A$2:$A$2001,$E616))</ns0:f>
        <ns0:v/>
      </ns0:c>
      <ns0:c r="B616" s="28" t="str">
        <ns0:f>IF($E616="","",INDEX('Banka Dökümü'!$B$2:$B$2001,$E616))</ns0:f>
        <ns0:v/>
      </ns0:c>
      <ns0:c r="C616" s="33" t="str">
        <ns0:f>IF($E616="","",INDEX('Banka Dökümü'!$C$2:$C$2001,$E616))</ns0:f>
        <ns0:v/>
      </ns0:c>
      <ns0:c r="D616" s="28" t="str">
        <ns0:f>IF(E616="","","Müşteri adı / aranacak ad / il bilgisini kontrol edin")</ns0:f>
        <ns0:v/>
      </ns0:c>
      <ns0:c r="E616" s="28" t="str">
        <ns0:f>IFERROR(MATCH(612,'Banka Dökümü'!$I$2:$I$2001,0),"")</ns0:f>
        <ns0:v/>
      </ns0:c>
    </ns0:row>
    <ns0:row r="617" ht="21" customHeight="1">
      <ns0:c r="A617" s="32" t="str">
        <ns0:f>IF($E617="","",INDEX('Banka Dökümü'!$A$2:$A$2001,$E617))</ns0:f>
        <ns0:v/>
      </ns0:c>
      <ns0:c r="B617" s="28" t="str">
        <ns0:f>IF($E617="","",INDEX('Banka Dökümü'!$B$2:$B$2001,$E617))</ns0:f>
        <ns0:v/>
      </ns0:c>
      <ns0:c r="C617" s="33" t="str">
        <ns0:f>IF($E617="","",INDEX('Banka Dökümü'!$C$2:$C$2001,$E617))</ns0:f>
        <ns0:v/>
      </ns0:c>
      <ns0:c r="D617" s="28" t="str">
        <ns0:f>IF(E617="","","Müşteri adı / aranacak ad / il bilgisini kontrol edin")</ns0:f>
        <ns0:v/>
      </ns0:c>
      <ns0:c r="E617" s="28" t="str">
        <ns0:f>IFERROR(MATCH(613,'Banka Dökümü'!$I$2:$I$2001,0),"")</ns0:f>
        <ns0:v/>
      </ns0:c>
    </ns0:row>
    <ns0:row r="618" ht="21" customHeight="1">
      <ns0:c r="A618" s="32" t="str">
        <ns0:f>IF($E618="","",INDEX('Banka Dökümü'!$A$2:$A$2001,$E618))</ns0:f>
        <ns0:v/>
      </ns0:c>
      <ns0:c r="B618" s="28" t="str">
        <ns0:f>IF($E618="","",INDEX('Banka Dökümü'!$B$2:$B$2001,$E618))</ns0:f>
        <ns0:v/>
      </ns0:c>
      <ns0:c r="C618" s="33" t="str">
        <ns0:f>IF($E618="","",INDEX('Banka Dökümü'!$C$2:$C$2001,$E618))</ns0:f>
        <ns0:v/>
      </ns0:c>
      <ns0:c r="D618" s="28" t="str">
        <ns0:f>IF(E618="","","Müşteri adı / aranacak ad / il bilgisini kontrol edin")</ns0:f>
        <ns0:v/>
      </ns0:c>
      <ns0:c r="E618" s="28" t="str">
        <ns0:f>IFERROR(MATCH(614,'Banka Dökümü'!$I$2:$I$2001,0),"")</ns0:f>
        <ns0:v/>
      </ns0:c>
    </ns0:row>
    <ns0:row r="619" ht="21" customHeight="1">
      <ns0:c r="A619" s="32" t="str">
        <ns0:f>IF($E619="","",INDEX('Banka Dökümü'!$A$2:$A$2001,$E619))</ns0:f>
        <ns0:v/>
      </ns0:c>
      <ns0:c r="B619" s="28" t="str">
        <ns0:f>IF($E619="","",INDEX('Banka Dökümü'!$B$2:$B$2001,$E619))</ns0:f>
        <ns0:v/>
      </ns0:c>
      <ns0:c r="C619" s="33" t="str">
        <ns0:f>IF($E619="","",INDEX('Banka Dökümü'!$C$2:$C$2001,$E619))</ns0:f>
        <ns0:v/>
      </ns0:c>
      <ns0:c r="D619" s="28" t="str">
        <ns0:f>IF(E619="","","Müşteri adı / aranacak ad / il bilgisini kontrol edin")</ns0:f>
        <ns0:v/>
      </ns0:c>
      <ns0:c r="E619" s="28" t="str">
        <ns0:f>IFERROR(MATCH(615,'Banka Dökümü'!$I$2:$I$2001,0),"")</ns0:f>
        <ns0:v/>
      </ns0:c>
    </ns0:row>
    <ns0:row r="620" ht="21" customHeight="1">
      <ns0:c r="A620" s="32" t="str">
        <ns0:f>IF($E620="","",INDEX('Banka Dökümü'!$A$2:$A$2001,$E620))</ns0:f>
        <ns0:v/>
      </ns0:c>
      <ns0:c r="B620" s="28" t="str">
        <ns0:f>IF($E620="","",INDEX('Banka Dökümü'!$B$2:$B$2001,$E620))</ns0:f>
        <ns0:v/>
      </ns0:c>
      <ns0:c r="C620" s="33" t="str">
        <ns0:f>IF($E620="","",INDEX('Banka Dökümü'!$C$2:$C$2001,$E620))</ns0:f>
        <ns0:v/>
      </ns0:c>
      <ns0:c r="D620" s="28" t="str">
        <ns0:f>IF(E620="","","Müşteri adı / aranacak ad / il bilgisini kontrol edin")</ns0:f>
        <ns0:v/>
      </ns0:c>
      <ns0:c r="E620" s="28" t="str">
        <ns0:f>IFERROR(MATCH(616,'Banka Dökümü'!$I$2:$I$2001,0),"")</ns0:f>
        <ns0:v/>
      </ns0:c>
    </ns0:row>
    <ns0:row r="621" ht="21" customHeight="1">
      <ns0:c r="A621" s="32" t="str">
        <ns0:f>IF($E621="","",INDEX('Banka Dökümü'!$A$2:$A$2001,$E621))</ns0:f>
        <ns0:v/>
      </ns0:c>
      <ns0:c r="B621" s="28" t="str">
        <ns0:f>IF($E621="","",INDEX('Banka Dökümü'!$B$2:$B$2001,$E621))</ns0:f>
        <ns0:v/>
      </ns0:c>
      <ns0:c r="C621" s="33" t="str">
        <ns0:f>IF($E621="","",INDEX('Banka Dökümü'!$C$2:$C$2001,$E621))</ns0:f>
        <ns0:v/>
      </ns0:c>
      <ns0:c r="D621" s="28" t="str">
        <ns0:f>IF(E621="","","Müşteri adı / aranacak ad / il bilgisini kontrol edin")</ns0:f>
        <ns0:v/>
      </ns0:c>
      <ns0:c r="E621" s="28" t="str">
        <ns0:f>IFERROR(MATCH(617,'Banka Dökümü'!$I$2:$I$2001,0),"")</ns0:f>
        <ns0:v/>
      </ns0:c>
    </ns0:row>
    <ns0:row r="622" ht="21" customHeight="1">
      <ns0:c r="A622" s="32" t="str">
        <ns0:f>IF($E622="","",INDEX('Banka Dökümü'!$A$2:$A$2001,$E622))</ns0:f>
        <ns0:v/>
      </ns0:c>
      <ns0:c r="B622" s="28" t="str">
        <ns0:f>IF($E622="","",INDEX('Banka Dökümü'!$B$2:$B$2001,$E622))</ns0:f>
        <ns0:v/>
      </ns0:c>
      <ns0:c r="C622" s="33" t="str">
        <ns0:f>IF($E622="","",INDEX('Banka Dökümü'!$C$2:$C$2001,$E622))</ns0:f>
        <ns0:v/>
      </ns0:c>
      <ns0:c r="D622" s="28" t="str">
        <ns0:f>IF(E622="","","Müşteri adı / aranacak ad / il bilgisini kontrol edin")</ns0:f>
        <ns0:v/>
      </ns0:c>
      <ns0:c r="E622" s="28" t="str">
        <ns0:f>IFERROR(MATCH(618,'Banka Dökümü'!$I$2:$I$2001,0),"")</ns0:f>
        <ns0:v/>
      </ns0:c>
    </ns0:row>
    <ns0:row r="623" ht="21" customHeight="1">
      <ns0:c r="A623" s="32" t="str">
        <ns0:f>IF($E623="","",INDEX('Banka Dökümü'!$A$2:$A$2001,$E623))</ns0:f>
        <ns0:v/>
      </ns0:c>
      <ns0:c r="B623" s="28" t="str">
        <ns0:f>IF($E623="","",INDEX('Banka Dökümü'!$B$2:$B$2001,$E623))</ns0:f>
        <ns0:v/>
      </ns0:c>
      <ns0:c r="C623" s="33" t="str">
        <ns0:f>IF($E623="","",INDEX('Banka Dökümü'!$C$2:$C$2001,$E623))</ns0:f>
        <ns0:v/>
      </ns0:c>
      <ns0:c r="D623" s="28" t="str">
        <ns0:f>IF(E623="","","Müşteri adı / aranacak ad / il bilgisini kontrol edin")</ns0:f>
        <ns0:v/>
      </ns0:c>
      <ns0:c r="E623" s="28" t="str">
        <ns0:f>IFERROR(MATCH(619,'Banka Dökümü'!$I$2:$I$2001,0),"")</ns0:f>
        <ns0:v/>
      </ns0:c>
    </ns0:row>
    <ns0:row r="624" ht="21" customHeight="1">
      <ns0:c r="A624" s="32" t="str">
        <ns0:f>IF($E624="","",INDEX('Banka Dökümü'!$A$2:$A$2001,$E624))</ns0:f>
        <ns0:v/>
      </ns0:c>
      <ns0:c r="B624" s="28" t="str">
        <ns0:f>IF($E624="","",INDEX('Banka Dökümü'!$B$2:$B$2001,$E624))</ns0:f>
        <ns0:v/>
      </ns0:c>
      <ns0:c r="C624" s="33" t="str">
        <ns0:f>IF($E624="","",INDEX('Banka Dökümü'!$C$2:$C$2001,$E624))</ns0:f>
        <ns0:v/>
      </ns0:c>
      <ns0:c r="D624" s="28" t="str">
        <ns0:f>IF(E624="","","Müşteri adı / aranacak ad / il bilgisini kontrol edin")</ns0:f>
        <ns0:v/>
      </ns0:c>
      <ns0:c r="E624" s="28" t="str">
        <ns0:f>IFERROR(MATCH(620,'Banka Dökümü'!$I$2:$I$2001,0),"")</ns0:f>
        <ns0:v/>
      </ns0:c>
    </ns0:row>
    <ns0:row r="625" ht="21" customHeight="1">
      <ns0:c r="A625" s="32" t="str">
        <ns0:f>IF($E625="","",INDEX('Banka Dökümü'!$A$2:$A$2001,$E625))</ns0:f>
        <ns0:v/>
      </ns0:c>
      <ns0:c r="B625" s="28" t="str">
        <ns0:f>IF($E625="","",INDEX('Banka Dökümü'!$B$2:$B$2001,$E625))</ns0:f>
        <ns0:v/>
      </ns0:c>
      <ns0:c r="C625" s="33" t="str">
        <ns0:f>IF($E625="","",INDEX('Banka Dökümü'!$C$2:$C$2001,$E625))</ns0:f>
        <ns0:v/>
      </ns0:c>
      <ns0:c r="D625" s="28" t="str">
        <ns0:f>IF(E625="","","Müşteri adı / aranacak ad / il bilgisini kontrol edin")</ns0:f>
        <ns0:v/>
      </ns0:c>
      <ns0:c r="E625" s="28" t="str">
        <ns0:f>IFERROR(MATCH(621,'Banka Dökümü'!$I$2:$I$2001,0),"")</ns0:f>
        <ns0:v/>
      </ns0:c>
    </ns0:row>
    <ns0:row r="626" ht="21" customHeight="1">
      <ns0:c r="A626" s="32" t="str">
        <ns0:f>IF($E626="","",INDEX('Banka Dökümü'!$A$2:$A$2001,$E626))</ns0:f>
        <ns0:v/>
      </ns0:c>
      <ns0:c r="B626" s="28" t="str">
        <ns0:f>IF($E626="","",INDEX('Banka Dökümü'!$B$2:$B$2001,$E626))</ns0:f>
        <ns0:v/>
      </ns0:c>
      <ns0:c r="C626" s="33" t="str">
        <ns0:f>IF($E626="","",INDEX('Banka Dökümü'!$C$2:$C$2001,$E626))</ns0:f>
        <ns0:v/>
      </ns0:c>
      <ns0:c r="D626" s="28" t="str">
        <ns0:f>IF(E626="","","Müşteri adı / aranacak ad / il bilgisini kontrol edin")</ns0:f>
        <ns0:v/>
      </ns0:c>
      <ns0:c r="E626" s="28" t="str">
        <ns0:f>IFERROR(MATCH(622,'Banka Dökümü'!$I$2:$I$2001,0),"")</ns0:f>
        <ns0:v/>
      </ns0:c>
    </ns0:row>
    <ns0:row r="627" ht="21" customHeight="1">
      <ns0:c r="A627" s="32" t="str">
        <ns0:f>IF($E627="","",INDEX('Banka Dökümü'!$A$2:$A$2001,$E627))</ns0:f>
        <ns0:v/>
      </ns0:c>
      <ns0:c r="B627" s="28" t="str">
        <ns0:f>IF($E627="","",INDEX('Banka Dökümü'!$B$2:$B$2001,$E627))</ns0:f>
        <ns0:v/>
      </ns0:c>
      <ns0:c r="C627" s="33" t="str">
        <ns0:f>IF($E627="","",INDEX('Banka Dökümü'!$C$2:$C$2001,$E627))</ns0:f>
        <ns0:v/>
      </ns0:c>
      <ns0:c r="D627" s="28" t="str">
        <ns0:f>IF(E627="","","Müşteri adı / aranacak ad / il bilgisini kontrol edin")</ns0:f>
        <ns0:v/>
      </ns0:c>
      <ns0:c r="E627" s="28" t="str">
        <ns0:f>IFERROR(MATCH(623,'Banka Dökümü'!$I$2:$I$2001,0),"")</ns0:f>
        <ns0:v/>
      </ns0:c>
    </ns0:row>
    <ns0:row r="628" ht="21" customHeight="1">
      <ns0:c r="A628" s="32" t="str">
        <ns0:f>IF($E628="","",INDEX('Banka Dökümü'!$A$2:$A$2001,$E628))</ns0:f>
        <ns0:v/>
      </ns0:c>
      <ns0:c r="B628" s="28" t="str">
        <ns0:f>IF($E628="","",INDEX('Banka Dökümü'!$B$2:$B$2001,$E628))</ns0:f>
        <ns0:v/>
      </ns0:c>
      <ns0:c r="C628" s="33" t="str">
        <ns0:f>IF($E628="","",INDEX('Banka Dökümü'!$C$2:$C$2001,$E628))</ns0:f>
        <ns0:v/>
      </ns0:c>
      <ns0:c r="D628" s="28" t="str">
        <ns0:f>IF(E628="","","Müşteri adı / aranacak ad / il bilgisini kontrol edin")</ns0:f>
        <ns0:v/>
      </ns0:c>
      <ns0:c r="E628" s="28" t="str">
        <ns0:f>IFERROR(MATCH(624,'Banka Dökümü'!$I$2:$I$2001,0),"")</ns0:f>
        <ns0:v/>
      </ns0:c>
    </ns0:row>
    <ns0:row r="629" ht="21" customHeight="1">
      <ns0:c r="A629" s="32" t="str">
        <ns0:f>IF($E629="","",INDEX('Banka Dökümü'!$A$2:$A$2001,$E629))</ns0:f>
        <ns0:v/>
      </ns0:c>
      <ns0:c r="B629" s="28" t="str">
        <ns0:f>IF($E629="","",INDEX('Banka Dökümü'!$B$2:$B$2001,$E629))</ns0:f>
        <ns0:v/>
      </ns0:c>
      <ns0:c r="C629" s="33" t="str">
        <ns0:f>IF($E629="","",INDEX('Banka Dökümü'!$C$2:$C$2001,$E629))</ns0:f>
        <ns0:v/>
      </ns0:c>
      <ns0:c r="D629" s="28" t="str">
        <ns0:f>IF(E629="","","Müşteri adı / aranacak ad / il bilgisini kontrol edin")</ns0:f>
        <ns0:v/>
      </ns0:c>
      <ns0:c r="E629" s="28" t="str">
        <ns0:f>IFERROR(MATCH(625,'Banka Dökümü'!$I$2:$I$2001,0),"")</ns0:f>
        <ns0:v/>
      </ns0:c>
    </ns0:row>
    <ns0:row r="630" ht="21" customHeight="1">
      <ns0:c r="A630" s="32" t="str">
        <ns0:f>IF($E630="","",INDEX('Banka Dökümü'!$A$2:$A$2001,$E630))</ns0:f>
        <ns0:v/>
      </ns0:c>
      <ns0:c r="B630" s="28" t="str">
        <ns0:f>IF($E630="","",INDEX('Banka Dökümü'!$B$2:$B$2001,$E630))</ns0:f>
        <ns0:v/>
      </ns0:c>
      <ns0:c r="C630" s="33" t="str">
        <ns0:f>IF($E630="","",INDEX('Banka Dökümü'!$C$2:$C$2001,$E630))</ns0:f>
        <ns0:v/>
      </ns0:c>
      <ns0:c r="D630" s="28" t="str">
        <ns0:f>IF(E630="","","Müşteri adı / aranacak ad / il bilgisini kontrol edin")</ns0:f>
        <ns0:v/>
      </ns0:c>
      <ns0:c r="E630" s="28" t="str">
        <ns0:f>IFERROR(MATCH(626,'Banka Dökümü'!$I$2:$I$2001,0),"")</ns0:f>
        <ns0:v/>
      </ns0:c>
    </ns0:row>
    <ns0:row r="631" ht="21" customHeight="1">
      <ns0:c r="A631" s="32" t="str">
        <ns0:f>IF($E631="","",INDEX('Banka Dökümü'!$A$2:$A$2001,$E631))</ns0:f>
        <ns0:v/>
      </ns0:c>
      <ns0:c r="B631" s="28" t="str">
        <ns0:f>IF($E631="","",INDEX('Banka Dökümü'!$B$2:$B$2001,$E631))</ns0:f>
        <ns0:v/>
      </ns0:c>
      <ns0:c r="C631" s="33" t="str">
        <ns0:f>IF($E631="","",INDEX('Banka Dökümü'!$C$2:$C$2001,$E631))</ns0:f>
        <ns0:v/>
      </ns0:c>
      <ns0:c r="D631" s="28" t="str">
        <ns0:f>IF(E631="","","Müşteri adı / aranacak ad / il bilgisini kontrol edin")</ns0:f>
        <ns0:v/>
      </ns0:c>
      <ns0:c r="E631" s="28" t="str">
        <ns0:f>IFERROR(MATCH(627,'Banka Dökümü'!$I$2:$I$2001,0),"")</ns0:f>
        <ns0:v/>
      </ns0:c>
    </ns0:row>
    <ns0:row r="632" ht="21" customHeight="1">
      <ns0:c r="A632" s="32" t="str">
        <ns0:f>IF($E632="","",INDEX('Banka Dökümü'!$A$2:$A$2001,$E632))</ns0:f>
        <ns0:v/>
      </ns0:c>
      <ns0:c r="B632" s="28" t="str">
        <ns0:f>IF($E632="","",INDEX('Banka Dökümü'!$B$2:$B$2001,$E632))</ns0:f>
        <ns0:v/>
      </ns0:c>
      <ns0:c r="C632" s="33" t="str">
        <ns0:f>IF($E632="","",INDEX('Banka Dökümü'!$C$2:$C$2001,$E632))</ns0:f>
        <ns0:v/>
      </ns0:c>
      <ns0:c r="D632" s="28" t="str">
        <ns0:f>IF(E632="","","Müşteri adı / aranacak ad / il bilgisini kontrol edin")</ns0:f>
        <ns0:v/>
      </ns0:c>
      <ns0:c r="E632" s="28" t="str">
        <ns0:f>IFERROR(MATCH(628,'Banka Dökümü'!$I$2:$I$2001,0),"")</ns0:f>
        <ns0:v/>
      </ns0:c>
    </ns0:row>
    <ns0:row r="633" ht="21" customHeight="1">
      <ns0:c r="A633" s="32" t="str">
        <ns0:f>IF($E633="","",INDEX('Banka Dökümü'!$A$2:$A$2001,$E633))</ns0:f>
        <ns0:v/>
      </ns0:c>
      <ns0:c r="B633" s="28" t="str">
        <ns0:f>IF($E633="","",INDEX('Banka Dökümü'!$B$2:$B$2001,$E633))</ns0:f>
        <ns0:v/>
      </ns0:c>
      <ns0:c r="C633" s="33" t="str">
        <ns0:f>IF($E633="","",INDEX('Banka Dökümü'!$C$2:$C$2001,$E633))</ns0:f>
        <ns0:v/>
      </ns0:c>
      <ns0:c r="D633" s="28" t="str">
        <ns0:f>IF(E633="","","Müşteri adı / aranacak ad / il bilgisini kontrol edin")</ns0:f>
        <ns0:v/>
      </ns0:c>
      <ns0:c r="E633" s="28" t="str">
        <ns0:f>IFERROR(MATCH(629,'Banka Dökümü'!$I$2:$I$2001,0),"")</ns0:f>
        <ns0:v/>
      </ns0:c>
    </ns0:row>
    <ns0:row r="634" ht="21" customHeight="1">
      <ns0:c r="A634" s="32" t="str">
        <ns0:f>IF($E634="","",INDEX('Banka Dökümü'!$A$2:$A$2001,$E634))</ns0:f>
        <ns0:v/>
      </ns0:c>
      <ns0:c r="B634" s="28" t="str">
        <ns0:f>IF($E634="","",INDEX('Banka Dökümü'!$B$2:$B$2001,$E634))</ns0:f>
        <ns0:v/>
      </ns0:c>
      <ns0:c r="C634" s="33" t="str">
        <ns0:f>IF($E634="","",INDEX('Banka Dökümü'!$C$2:$C$2001,$E634))</ns0:f>
        <ns0:v/>
      </ns0:c>
      <ns0:c r="D634" s="28" t="str">
        <ns0:f>IF(E634="","","Müşteri adı / aranacak ad / il bilgisini kontrol edin")</ns0:f>
        <ns0:v/>
      </ns0:c>
      <ns0:c r="E634" s="28" t="str">
        <ns0:f>IFERROR(MATCH(630,'Banka Dökümü'!$I$2:$I$2001,0),"")</ns0:f>
        <ns0:v/>
      </ns0:c>
    </ns0:row>
    <ns0:row r="635" ht="21" customHeight="1">
      <ns0:c r="A635" s="32" t="str">
        <ns0:f>IF($E635="","",INDEX('Banka Dökümü'!$A$2:$A$2001,$E635))</ns0:f>
        <ns0:v/>
      </ns0:c>
      <ns0:c r="B635" s="28" t="str">
        <ns0:f>IF($E635="","",INDEX('Banka Dökümü'!$B$2:$B$2001,$E635))</ns0:f>
        <ns0:v/>
      </ns0:c>
      <ns0:c r="C635" s="33" t="str">
        <ns0:f>IF($E635="","",INDEX('Banka Dökümü'!$C$2:$C$2001,$E635))</ns0:f>
        <ns0:v/>
      </ns0:c>
      <ns0:c r="D635" s="28" t="str">
        <ns0:f>IF(E635="","","Müşteri adı / aranacak ad / il bilgisini kontrol edin")</ns0:f>
        <ns0:v/>
      </ns0:c>
      <ns0:c r="E635" s="28" t="str">
        <ns0:f>IFERROR(MATCH(631,'Banka Dökümü'!$I$2:$I$2001,0),"")</ns0:f>
        <ns0:v/>
      </ns0:c>
    </ns0:row>
    <ns0:row r="636" ht="21" customHeight="1">
      <ns0:c r="A636" s="32" t="str">
        <ns0:f>IF($E636="","",INDEX('Banka Dökümü'!$A$2:$A$2001,$E636))</ns0:f>
        <ns0:v/>
      </ns0:c>
      <ns0:c r="B636" s="28" t="str">
        <ns0:f>IF($E636="","",INDEX('Banka Dökümü'!$B$2:$B$2001,$E636))</ns0:f>
        <ns0:v/>
      </ns0:c>
      <ns0:c r="C636" s="33" t="str">
        <ns0:f>IF($E636="","",INDEX('Banka Dökümü'!$C$2:$C$2001,$E636))</ns0:f>
        <ns0:v/>
      </ns0:c>
      <ns0:c r="D636" s="28" t="str">
        <ns0:f>IF(E636="","","Müşteri adı / aranacak ad / il bilgisini kontrol edin")</ns0:f>
        <ns0:v/>
      </ns0:c>
      <ns0:c r="E636" s="28" t="str">
        <ns0:f>IFERROR(MATCH(632,'Banka Dökümü'!$I$2:$I$2001,0),"")</ns0:f>
        <ns0:v/>
      </ns0:c>
    </ns0:row>
    <ns0:row r="637" ht="21" customHeight="1">
      <ns0:c r="A637" s="32" t="str">
        <ns0:f>IF($E637="","",INDEX('Banka Dökümü'!$A$2:$A$2001,$E637))</ns0:f>
        <ns0:v/>
      </ns0:c>
      <ns0:c r="B637" s="28" t="str">
        <ns0:f>IF($E637="","",INDEX('Banka Dökümü'!$B$2:$B$2001,$E637))</ns0:f>
        <ns0:v/>
      </ns0:c>
      <ns0:c r="C637" s="33" t="str">
        <ns0:f>IF($E637="","",INDEX('Banka Dökümü'!$C$2:$C$2001,$E637))</ns0:f>
        <ns0:v/>
      </ns0:c>
      <ns0:c r="D637" s="28" t="str">
        <ns0:f>IF(E637="","","Müşteri adı / aranacak ad / il bilgisini kontrol edin")</ns0:f>
        <ns0:v/>
      </ns0:c>
      <ns0:c r="E637" s="28" t="str">
        <ns0:f>IFERROR(MATCH(633,'Banka Dökümü'!$I$2:$I$2001,0),"")</ns0:f>
        <ns0:v/>
      </ns0:c>
    </ns0:row>
    <ns0:row r="638" ht="21" customHeight="1">
      <ns0:c r="A638" s="32" t="str">
        <ns0:f>IF($E638="","",INDEX('Banka Dökümü'!$A$2:$A$2001,$E638))</ns0:f>
        <ns0:v/>
      </ns0:c>
      <ns0:c r="B638" s="28" t="str">
        <ns0:f>IF($E638="","",INDEX('Banka Dökümü'!$B$2:$B$2001,$E638))</ns0:f>
        <ns0:v/>
      </ns0:c>
      <ns0:c r="C638" s="33" t="str">
        <ns0:f>IF($E638="","",INDEX('Banka Dökümü'!$C$2:$C$2001,$E638))</ns0:f>
        <ns0:v/>
      </ns0:c>
      <ns0:c r="D638" s="28" t="str">
        <ns0:f>IF(E638="","","Müşteri adı / aranacak ad / il bilgisini kontrol edin")</ns0:f>
        <ns0:v/>
      </ns0:c>
      <ns0:c r="E638" s="28" t="str">
        <ns0:f>IFERROR(MATCH(634,'Banka Dökümü'!$I$2:$I$2001,0),"")</ns0:f>
        <ns0:v/>
      </ns0:c>
    </ns0:row>
    <ns0:row r="639" ht="21" customHeight="1">
      <ns0:c r="A639" s="32" t="str">
        <ns0:f>IF($E639="","",INDEX('Banka Dökümü'!$A$2:$A$2001,$E639))</ns0:f>
        <ns0:v/>
      </ns0:c>
      <ns0:c r="B639" s="28" t="str">
        <ns0:f>IF($E639="","",INDEX('Banka Dökümü'!$B$2:$B$2001,$E639))</ns0:f>
        <ns0:v/>
      </ns0:c>
      <ns0:c r="C639" s="33" t="str">
        <ns0:f>IF($E639="","",INDEX('Banka Dökümü'!$C$2:$C$2001,$E639))</ns0:f>
        <ns0:v/>
      </ns0:c>
      <ns0:c r="D639" s="28" t="str">
        <ns0:f>IF(E639="","","Müşteri adı / aranacak ad / il bilgisini kontrol edin")</ns0:f>
        <ns0:v/>
      </ns0:c>
      <ns0:c r="E639" s="28" t="str">
        <ns0:f>IFERROR(MATCH(635,'Banka Dökümü'!$I$2:$I$2001,0),"")</ns0:f>
        <ns0:v/>
      </ns0:c>
    </ns0:row>
    <ns0:row r="640" ht="21" customHeight="1">
      <ns0:c r="A640" s="32" t="str">
        <ns0:f>IF($E640="","",INDEX('Banka Dökümü'!$A$2:$A$2001,$E640))</ns0:f>
        <ns0:v/>
      </ns0:c>
      <ns0:c r="B640" s="28" t="str">
        <ns0:f>IF($E640="","",INDEX('Banka Dökümü'!$B$2:$B$2001,$E640))</ns0:f>
        <ns0:v/>
      </ns0:c>
      <ns0:c r="C640" s="33" t="str">
        <ns0:f>IF($E640="","",INDEX('Banka Dökümü'!$C$2:$C$2001,$E640))</ns0:f>
        <ns0:v/>
      </ns0:c>
      <ns0:c r="D640" s="28" t="str">
        <ns0:f>IF(E640="","","Müşteri adı / aranacak ad / il bilgisini kontrol edin")</ns0:f>
        <ns0:v/>
      </ns0:c>
      <ns0:c r="E640" s="28" t="str">
        <ns0:f>IFERROR(MATCH(636,'Banka Dökümü'!$I$2:$I$2001,0),"")</ns0:f>
        <ns0:v/>
      </ns0:c>
    </ns0:row>
    <ns0:row r="641" ht="21" customHeight="1">
      <ns0:c r="A641" s="32" t="str">
        <ns0:f>IF($E641="","",INDEX('Banka Dökümü'!$A$2:$A$2001,$E641))</ns0:f>
        <ns0:v/>
      </ns0:c>
      <ns0:c r="B641" s="28" t="str">
        <ns0:f>IF($E641="","",INDEX('Banka Dökümü'!$B$2:$B$2001,$E641))</ns0:f>
        <ns0:v/>
      </ns0:c>
      <ns0:c r="C641" s="33" t="str">
        <ns0:f>IF($E641="","",INDEX('Banka Dökümü'!$C$2:$C$2001,$E641))</ns0:f>
        <ns0:v/>
      </ns0:c>
      <ns0:c r="D641" s="28" t="str">
        <ns0:f>IF(E641="","","Müşteri adı / aranacak ad / il bilgisini kontrol edin")</ns0:f>
        <ns0:v/>
      </ns0:c>
      <ns0:c r="E641" s="28" t="str">
        <ns0:f>IFERROR(MATCH(637,'Banka Dökümü'!$I$2:$I$2001,0),"")</ns0:f>
        <ns0:v/>
      </ns0:c>
    </ns0:row>
    <ns0:row r="642" ht="21" customHeight="1">
      <ns0:c r="A642" s="32" t="str">
        <ns0:f>IF($E642="","",INDEX('Banka Dökümü'!$A$2:$A$2001,$E642))</ns0:f>
        <ns0:v/>
      </ns0:c>
      <ns0:c r="B642" s="28" t="str">
        <ns0:f>IF($E642="","",INDEX('Banka Dökümü'!$B$2:$B$2001,$E642))</ns0:f>
        <ns0:v/>
      </ns0:c>
      <ns0:c r="C642" s="33" t="str">
        <ns0:f>IF($E642="","",INDEX('Banka Dökümü'!$C$2:$C$2001,$E642))</ns0:f>
        <ns0:v/>
      </ns0:c>
      <ns0:c r="D642" s="28" t="str">
        <ns0:f>IF(E642="","","Müşteri adı / aranacak ad / il bilgisini kontrol edin")</ns0:f>
        <ns0:v/>
      </ns0:c>
      <ns0:c r="E642" s="28" t="str">
        <ns0:f>IFERROR(MATCH(638,'Banka Dökümü'!$I$2:$I$2001,0),"")</ns0:f>
        <ns0:v/>
      </ns0:c>
    </ns0:row>
    <ns0:row r="643" ht="21" customHeight="1">
      <ns0:c r="A643" s="32" t="str">
        <ns0:f>IF($E643="","",INDEX('Banka Dökümü'!$A$2:$A$2001,$E643))</ns0:f>
        <ns0:v/>
      </ns0:c>
      <ns0:c r="B643" s="28" t="str">
        <ns0:f>IF($E643="","",INDEX('Banka Dökümü'!$B$2:$B$2001,$E643))</ns0:f>
        <ns0:v/>
      </ns0:c>
      <ns0:c r="C643" s="33" t="str">
        <ns0:f>IF($E643="","",INDEX('Banka Dökümü'!$C$2:$C$2001,$E643))</ns0:f>
        <ns0:v/>
      </ns0:c>
      <ns0:c r="D643" s="28" t="str">
        <ns0:f>IF(E643="","","Müşteri adı / aranacak ad / il bilgisini kontrol edin")</ns0:f>
        <ns0:v/>
      </ns0:c>
      <ns0:c r="E643" s="28" t="str">
        <ns0:f>IFERROR(MATCH(639,'Banka Dökümü'!$I$2:$I$2001,0),"")</ns0:f>
        <ns0:v/>
      </ns0:c>
    </ns0:row>
    <ns0:row r="644" ht="21" customHeight="1">
      <ns0:c r="A644" s="32" t="str">
        <ns0:f>IF($E644="","",INDEX('Banka Dökümü'!$A$2:$A$2001,$E644))</ns0:f>
        <ns0:v/>
      </ns0:c>
      <ns0:c r="B644" s="28" t="str">
        <ns0:f>IF($E644="","",INDEX('Banka Dökümü'!$B$2:$B$2001,$E644))</ns0:f>
        <ns0:v/>
      </ns0:c>
      <ns0:c r="C644" s="33" t="str">
        <ns0:f>IF($E644="","",INDEX('Banka Dökümü'!$C$2:$C$2001,$E644))</ns0:f>
        <ns0:v/>
      </ns0:c>
      <ns0:c r="D644" s="28" t="str">
        <ns0:f>IF(E644="","","Müşteri adı / aranacak ad / il bilgisini kontrol edin")</ns0:f>
        <ns0:v/>
      </ns0:c>
      <ns0:c r="E644" s="28" t="str">
        <ns0:f>IFERROR(MATCH(640,'Banka Dökümü'!$I$2:$I$2001,0),"")</ns0:f>
        <ns0:v/>
      </ns0:c>
    </ns0:row>
    <ns0:row r="645" ht="21" customHeight="1">
      <ns0:c r="A645" s="32" t="str">
        <ns0:f>IF($E645="","",INDEX('Banka Dökümü'!$A$2:$A$2001,$E645))</ns0:f>
        <ns0:v/>
      </ns0:c>
      <ns0:c r="B645" s="28" t="str">
        <ns0:f>IF($E645="","",INDEX('Banka Dökümü'!$B$2:$B$2001,$E645))</ns0:f>
        <ns0:v/>
      </ns0:c>
      <ns0:c r="C645" s="33" t="str">
        <ns0:f>IF($E645="","",INDEX('Banka Dökümü'!$C$2:$C$2001,$E645))</ns0:f>
        <ns0:v/>
      </ns0:c>
      <ns0:c r="D645" s="28" t="str">
        <ns0:f>IF(E645="","","Müşteri adı / aranacak ad / il bilgisini kontrol edin")</ns0:f>
        <ns0:v/>
      </ns0:c>
      <ns0:c r="E645" s="28" t="str">
        <ns0:f>IFERROR(MATCH(641,'Banka Dökümü'!$I$2:$I$2001,0),"")</ns0:f>
        <ns0:v/>
      </ns0:c>
    </ns0:row>
    <ns0:row r="646" ht="21" customHeight="1">
      <ns0:c r="A646" s="32" t="str">
        <ns0:f>IF($E646="","",INDEX('Banka Dökümü'!$A$2:$A$2001,$E646))</ns0:f>
        <ns0:v/>
      </ns0:c>
      <ns0:c r="B646" s="28" t="str">
        <ns0:f>IF($E646="","",INDEX('Banka Dökümü'!$B$2:$B$2001,$E646))</ns0:f>
        <ns0:v/>
      </ns0:c>
      <ns0:c r="C646" s="33" t="str">
        <ns0:f>IF($E646="","",INDEX('Banka Dökümü'!$C$2:$C$2001,$E646))</ns0:f>
        <ns0:v/>
      </ns0:c>
      <ns0:c r="D646" s="28" t="str">
        <ns0:f>IF(E646="","","Müşteri adı / aranacak ad / il bilgisini kontrol edin")</ns0:f>
        <ns0:v/>
      </ns0:c>
      <ns0:c r="E646" s="28" t="str">
        <ns0:f>IFERROR(MATCH(642,'Banka Dökümü'!$I$2:$I$2001,0),"")</ns0:f>
        <ns0:v/>
      </ns0:c>
    </ns0:row>
    <ns0:row r="647" ht="21" customHeight="1">
      <ns0:c r="A647" s="32" t="str">
        <ns0:f>IF($E647="","",INDEX('Banka Dökümü'!$A$2:$A$2001,$E647))</ns0:f>
        <ns0:v/>
      </ns0:c>
      <ns0:c r="B647" s="28" t="str">
        <ns0:f>IF($E647="","",INDEX('Banka Dökümü'!$B$2:$B$2001,$E647))</ns0:f>
        <ns0:v/>
      </ns0:c>
      <ns0:c r="C647" s="33" t="str">
        <ns0:f>IF($E647="","",INDEX('Banka Dökümü'!$C$2:$C$2001,$E647))</ns0:f>
        <ns0:v/>
      </ns0:c>
      <ns0:c r="D647" s="28" t="str">
        <ns0:f>IF(E647="","","Müşteri adı / aranacak ad / il bilgisini kontrol edin")</ns0:f>
        <ns0:v/>
      </ns0:c>
      <ns0:c r="E647" s="28" t="str">
        <ns0:f>IFERROR(MATCH(643,'Banka Dökümü'!$I$2:$I$2001,0),"")</ns0:f>
        <ns0:v/>
      </ns0:c>
    </ns0:row>
    <ns0:row r="648" ht="21" customHeight="1">
      <ns0:c r="A648" s="32" t="str">
        <ns0:f>IF($E648="","",INDEX('Banka Dökümü'!$A$2:$A$2001,$E648))</ns0:f>
        <ns0:v/>
      </ns0:c>
      <ns0:c r="B648" s="28" t="str">
        <ns0:f>IF($E648="","",INDEX('Banka Dökümü'!$B$2:$B$2001,$E648))</ns0:f>
        <ns0:v/>
      </ns0:c>
      <ns0:c r="C648" s="33" t="str">
        <ns0:f>IF($E648="","",INDEX('Banka Dökümü'!$C$2:$C$2001,$E648))</ns0:f>
        <ns0:v/>
      </ns0:c>
      <ns0:c r="D648" s="28" t="str">
        <ns0:f>IF(E648="","","Müşteri adı / aranacak ad / il bilgisini kontrol edin")</ns0:f>
        <ns0:v/>
      </ns0:c>
      <ns0:c r="E648" s="28" t="str">
        <ns0:f>IFERROR(MATCH(644,'Banka Dökümü'!$I$2:$I$2001,0),"")</ns0:f>
        <ns0:v/>
      </ns0:c>
    </ns0:row>
    <ns0:row r="649" ht="21" customHeight="1">
      <ns0:c r="A649" s="32" t="str">
        <ns0:f>IF($E649="","",INDEX('Banka Dökümü'!$A$2:$A$2001,$E649))</ns0:f>
        <ns0:v/>
      </ns0:c>
      <ns0:c r="B649" s="28" t="str">
        <ns0:f>IF($E649="","",INDEX('Banka Dökümü'!$B$2:$B$2001,$E649))</ns0:f>
        <ns0:v/>
      </ns0:c>
      <ns0:c r="C649" s="33" t="str">
        <ns0:f>IF($E649="","",INDEX('Banka Dökümü'!$C$2:$C$2001,$E649))</ns0:f>
        <ns0:v/>
      </ns0:c>
      <ns0:c r="D649" s="28" t="str">
        <ns0:f>IF(E649="","","Müşteri adı / aranacak ad / il bilgisini kontrol edin")</ns0:f>
        <ns0:v/>
      </ns0:c>
      <ns0:c r="E649" s="28" t="str">
        <ns0:f>IFERROR(MATCH(645,'Banka Dökümü'!$I$2:$I$2001,0),"")</ns0:f>
        <ns0:v/>
      </ns0:c>
    </ns0:row>
    <ns0:row r="650" ht="21" customHeight="1">
      <ns0:c r="A650" s="32" t="str">
        <ns0:f>IF($E650="","",INDEX('Banka Dökümü'!$A$2:$A$2001,$E650))</ns0:f>
        <ns0:v/>
      </ns0:c>
      <ns0:c r="B650" s="28" t="str">
        <ns0:f>IF($E650="","",INDEX('Banka Dökümü'!$B$2:$B$2001,$E650))</ns0:f>
        <ns0:v/>
      </ns0:c>
      <ns0:c r="C650" s="33" t="str">
        <ns0:f>IF($E650="","",INDEX('Banka Dökümü'!$C$2:$C$2001,$E650))</ns0:f>
        <ns0:v/>
      </ns0:c>
      <ns0:c r="D650" s="28" t="str">
        <ns0:f>IF(E650="","","Müşteri adı / aranacak ad / il bilgisini kontrol edin")</ns0:f>
        <ns0:v/>
      </ns0:c>
      <ns0:c r="E650" s="28" t="str">
        <ns0:f>IFERROR(MATCH(646,'Banka Dökümü'!$I$2:$I$2001,0),"")</ns0:f>
        <ns0:v/>
      </ns0:c>
    </ns0:row>
    <ns0:row r="651" ht="21" customHeight="1">
      <ns0:c r="A651" s="32" t="str">
        <ns0:f>IF($E651="","",INDEX('Banka Dökümü'!$A$2:$A$2001,$E651))</ns0:f>
        <ns0:v/>
      </ns0:c>
      <ns0:c r="B651" s="28" t="str">
        <ns0:f>IF($E651="","",INDEX('Banka Dökümü'!$B$2:$B$2001,$E651))</ns0:f>
        <ns0:v/>
      </ns0:c>
      <ns0:c r="C651" s="33" t="str">
        <ns0:f>IF($E651="","",INDEX('Banka Dökümü'!$C$2:$C$2001,$E651))</ns0:f>
        <ns0:v/>
      </ns0:c>
      <ns0:c r="D651" s="28" t="str">
        <ns0:f>IF(E651="","","Müşteri adı / aranacak ad / il bilgisini kontrol edin")</ns0:f>
        <ns0:v/>
      </ns0:c>
      <ns0:c r="E651" s="28" t="str">
        <ns0:f>IFERROR(MATCH(647,'Banka Dökümü'!$I$2:$I$2001,0),"")</ns0:f>
        <ns0:v/>
      </ns0:c>
    </ns0:row>
    <ns0:row r="652" ht="21" customHeight="1">
      <ns0:c r="A652" s="32" t="str">
        <ns0:f>IF($E652="","",INDEX('Banka Dökümü'!$A$2:$A$2001,$E652))</ns0:f>
        <ns0:v/>
      </ns0:c>
      <ns0:c r="B652" s="28" t="str">
        <ns0:f>IF($E652="","",INDEX('Banka Dökümü'!$B$2:$B$2001,$E652))</ns0:f>
        <ns0:v/>
      </ns0:c>
      <ns0:c r="C652" s="33" t="str">
        <ns0:f>IF($E652="","",INDEX('Banka Dökümü'!$C$2:$C$2001,$E652))</ns0:f>
        <ns0:v/>
      </ns0:c>
      <ns0:c r="D652" s="28" t="str">
        <ns0:f>IF(E652="","","Müşteri adı / aranacak ad / il bilgisini kontrol edin")</ns0:f>
        <ns0:v/>
      </ns0:c>
      <ns0:c r="E652" s="28" t="str">
        <ns0:f>IFERROR(MATCH(648,'Banka Dökümü'!$I$2:$I$2001,0),"")</ns0:f>
        <ns0:v/>
      </ns0:c>
    </ns0:row>
    <ns0:row r="653" ht="21" customHeight="1">
      <ns0:c r="A653" s="32" t="str">
        <ns0:f>IF($E653="","",INDEX('Banka Dökümü'!$A$2:$A$2001,$E653))</ns0:f>
        <ns0:v/>
      </ns0:c>
      <ns0:c r="B653" s="28" t="str">
        <ns0:f>IF($E653="","",INDEX('Banka Dökümü'!$B$2:$B$2001,$E653))</ns0:f>
        <ns0:v/>
      </ns0:c>
      <ns0:c r="C653" s="33" t="str">
        <ns0:f>IF($E653="","",INDEX('Banka Dökümü'!$C$2:$C$2001,$E653))</ns0:f>
        <ns0:v/>
      </ns0:c>
      <ns0:c r="D653" s="28" t="str">
        <ns0:f>IF(E653="","","Müşteri adı / aranacak ad / il bilgisini kontrol edin")</ns0:f>
        <ns0:v/>
      </ns0:c>
      <ns0:c r="E653" s="28" t="str">
        <ns0:f>IFERROR(MATCH(649,'Banka Dökümü'!$I$2:$I$2001,0),"")</ns0:f>
        <ns0:v/>
      </ns0:c>
    </ns0:row>
    <ns0:row r="654" ht="21" customHeight="1">
      <ns0:c r="A654" s="32" t="str">
        <ns0:f>IF($E654="","",INDEX('Banka Dökümü'!$A$2:$A$2001,$E654))</ns0:f>
        <ns0:v/>
      </ns0:c>
      <ns0:c r="B654" s="28" t="str">
        <ns0:f>IF($E654="","",INDEX('Banka Dökümü'!$B$2:$B$2001,$E654))</ns0:f>
        <ns0:v/>
      </ns0:c>
      <ns0:c r="C654" s="33" t="str">
        <ns0:f>IF($E654="","",INDEX('Banka Dökümü'!$C$2:$C$2001,$E654))</ns0:f>
        <ns0:v/>
      </ns0:c>
      <ns0:c r="D654" s="28" t="str">
        <ns0:f>IF(E654="","","Müşteri adı / aranacak ad / il bilgisini kontrol edin")</ns0:f>
        <ns0:v/>
      </ns0:c>
      <ns0:c r="E654" s="28" t="str">
        <ns0:f>IFERROR(MATCH(650,'Banka Dökümü'!$I$2:$I$2001,0),"")</ns0:f>
        <ns0:v/>
      </ns0:c>
    </ns0:row>
    <ns0:row r="655" ht="21" customHeight="1">
      <ns0:c r="A655" s="32" t="str">
        <ns0:f>IF($E655="","",INDEX('Banka Dökümü'!$A$2:$A$2001,$E655))</ns0:f>
        <ns0:v/>
      </ns0:c>
      <ns0:c r="B655" s="28" t="str">
        <ns0:f>IF($E655="","",INDEX('Banka Dökümü'!$B$2:$B$2001,$E655))</ns0:f>
        <ns0:v/>
      </ns0:c>
      <ns0:c r="C655" s="33" t="str">
        <ns0:f>IF($E655="","",INDEX('Banka Dökümü'!$C$2:$C$2001,$E655))</ns0:f>
        <ns0:v/>
      </ns0:c>
      <ns0:c r="D655" s="28" t="str">
        <ns0:f>IF(E655="","","Müşteri adı / aranacak ad / il bilgisini kontrol edin")</ns0:f>
        <ns0:v/>
      </ns0:c>
      <ns0:c r="E655" s="28" t="str">
        <ns0:f>IFERROR(MATCH(651,'Banka Dökümü'!$I$2:$I$2001,0),"")</ns0:f>
        <ns0:v/>
      </ns0:c>
    </ns0:row>
    <ns0:row r="656" ht="21" customHeight="1">
      <ns0:c r="A656" s="32" t="str">
        <ns0:f>IF($E656="","",INDEX('Banka Dökümü'!$A$2:$A$2001,$E656))</ns0:f>
        <ns0:v/>
      </ns0:c>
      <ns0:c r="B656" s="28" t="str">
        <ns0:f>IF($E656="","",INDEX('Banka Dökümü'!$B$2:$B$2001,$E656))</ns0:f>
        <ns0:v/>
      </ns0:c>
      <ns0:c r="C656" s="33" t="str">
        <ns0:f>IF($E656="","",INDEX('Banka Dökümü'!$C$2:$C$2001,$E656))</ns0:f>
        <ns0:v/>
      </ns0:c>
      <ns0:c r="D656" s="28" t="str">
        <ns0:f>IF(E656="","","Müşteri adı / aranacak ad / il bilgisini kontrol edin")</ns0:f>
        <ns0:v/>
      </ns0:c>
      <ns0:c r="E656" s="28" t="str">
        <ns0:f>IFERROR(MATCH(652,'Banka Dökümü'!$I$2:$I$2001,0),"")</ns0:f>
        <ns0:v/>
      </ns0:c>
    </ns0:row>
    <ns0:row r="657" ht="21" customHeight="1">
      <ns0:c r="A657" s="32" t="str">
        <ns0:f>IF($E657="","",INDEX('Banka Dökümü'!$A$2:$A$2001,$E657))</ns0:f>
        <ns0:v/>
      </ns0:c>
      <ns0:c r="B657" s="28" t="str">
        <ns0:f>IF($E657="","",INDEX('Banka Dökümü'!$B$2:$B$2001,$E657))</ns0:f>
        <ns0:v/>
      </ns0:c>
      <ns0:c r="C657" s="33" t="str">
        <ns0:f>IF($E657="","",INDEX('Banka Dökümü'!$C$2:$C$2001,$E657))</ns0:f>
        <ns0:v/>
      </ns0:c>
      <ns0:c r="D657" s="28" t="str">
        <ns0:f>IF(E657="","","Müşteri adı / aranacak ad / il bilgisini kontrol edin")</ns0:f>
        <ns0:v/>
      </ns0:c>
      <ns0:c r="E657" s="28" t="str">
        <ns0:f>IFERROR(MATCH(653,'Banka Dökümü'!$I$2:$I$2001,0),"")</ns0:f>
        <ns0:v/>
      </ns0:c>
    </ns0:row>
    <ns0:row r="658" ht="21" customHeight="1">
      <ns0:c r="A658" s="32" t="str">
        <ns0:f>IF($E658="","",INDEX('Banka Dökümü'!$A$2:$A$2001,$E658))</ns0:f>
        <ns0:v/>
      </ns0:c>
      <ns0:c r="B658" s="28" t="str">
        <ns0:f>IF($E658="","",INDEX('Banka Dökümü'!$B$2:$B$2001,$E658))</ns0:f>
        <ns0:v/>
      </ns0:c>
      <ns0:c r="C658" s="33" t="str">
        <ns0:f>IF($E658="","",INDEX('Banka Dökümü'!$C$2:$C$2001,$E658))</ns0:f>
        <ns0:v/>
      </ns0:c>
      <ns0:c r="D658" s="28" t="str">
        <ns0:f>IF(E658="","","Müşteri adı / aranacak ad / il bilgisini kontrol edin")</ns0:f>
        <ns0:v/>
      </ns0:c>
      <ns0:c r="E658" s="28" t="str">
        <ns0:f>IFERROR(MATCH(654,'Banka Dökümü'!$I$2:$I$2001,0),"")</ns0:f>
        <ns0:v/>
      </ns0:c>
    </ns0:row>
    <ns0:row r="659" ht="21" customHeight="1">
      <ns0:c r="A659" s="32" t="str">
        <ns0:f>IF($E659="","",INDEX('Banka Dökümü'!$A$2:$A$2001,$E659))</ns0:f>
        <ns0:v/>
      </ns0:c>
      <ns0:c r="B659" s="28" t="str">
        <ns0:f>IF($E659="","",INDEX('Banka Dökümü'!$B$2:$B$2001,$E659))</ns0:f>
        <ns0:v/>
      </ns0:c>
      <ns0:c r="C659" s="33" t="str">
        <ns0:f>IF($E659="","",INDEX('Banka Dökümü'!$C$2:$C$2001,$E659))</ns0:f>
        <ns0:v/>
      </ns0:c>
      <ns0:c r="D659" s="28" t="str">
        <ns0:f>IF(E659="","","Müşteri adı / aranacak ad / il bilgisini kontrol edin")</ns0:f>
        <ns0:v/>
      </ns0:c>
      <ns0:c r="E659" s="28" t="str">
        <ns0:f>IFERROR(MATCH(655,'Banka Dökümü'!$I$2:$I$2001,0),"")</ns0:f>
        <ns0:v/>
      </ns0:c>
    </ns0:row>
    <ns0:row r="660" ht="21" customHeight="1">
      <ns0:c r="A660" s="32" t="str">
        <ns0:f>IF($E660="","",INDEX('Banka Dökümü'!$A$2:$A$2001,$E660))</ns0:f>
        <ns0:v/>
      </ns0:c>
      <ns0:c r="B660" s="28" t="str">
        <ns0:f>IF($E660="","",INDEX('Banka Dökümü'!$B$2:$B$2001,$E660))</ns0:f>
        <ns0:v/>
      </ns0:c>
      <ns0:c r="C660" s="33" t="str">
        <ns0:f>IF($E660="","",INDEX('Banka Dökümü'!$C$2:$C$2001,$E660))</ns0:f>
        <ns0:v/>
      </ns0:c>
      <ns0:c r="D660" s="28" t="str">
        <ns0:f>IF(E660="","","Müşteri adı / aranacak ad / il bilgisini kontrol edin")</ns0:f>
        <ns0:v/>
      </ns0:c>
      <ns0:c r="E660" s="28" t="str">
        <ns0:f>IFERROR(MATCH(656,'Banka Dökümü'!$I$2:$I$2001,0),"")</ns0:f>
        <ns0:v/>
      </ns0:c>
    </ns0:row>
    <ns0:row r="661" ht="21" customHeight="1">
      <ns0:c r="A661" s="32" t="str">
        <ns0:f>IF($E661="","",INDEX('Banka Dökümü'!$A$2:$A$2001,$E661))</ns0:f>
        <ns0:v/>
      </ns0:c>
      <ns0:c r="B661" s="28" t="str">
        <ns0:f>IF($E661="","",INDEX('Banka Dökümü'!$B$2:$B$2001,$E661))</ns0:f>
        <ns0:v/>
      </ns0:c>
      <ns0:c r="C661" s="33" t="str">
        <ns0:f>IF($E661="","",INDEX('Banka Dökümü'!$C$2:$C$2001,$E661))</ns0:f>
        <ns0:v/>
      </ns0:c>
      <ns0:c r="D661" s="28" t="str">
        <ns0:f>IF(E661="","","Müşteri adı / aranacak ad / il bilgisini kontrol edin")</ns0:f>
        <ns0:v/>
      </ns0:c>
      <ns0:c r="E661" s="28" t="str">
        <ns0:f>IFERROR(MATCH(657,'Banka Dökümü'!$I$2:$I$2001,0),"")</ns0:f>
        <ns0:v/>
      </ns0:c>
    </ns0:row>
    <ns0:row r="662" ht="21" customHeight="1">
      <ns0:c r="A662" s="32" t="str">
        <ns0:f>IF($E662="","",INDEX('Banka Dökümü'!$A$2:$A$2001,$E662))</ns0:f>
        <ns0:v/>
      </ns0:c>
      <ns0:c r="B662" s="28" t="str">
        <ns0:f>IF($E662="","",INDEX('Banka Dökümü'!$B$2:$B$2001,$E662))</ns0:f>
        <ns0:v/>
      </ns0:c>
      <ns0:c r="C662" s="33" t="str">
        <ns0:f>IF($E662="","",INDEX('Banka Dökümü'!$C$2:$C$2001,$E662))</ns0:f>
        <ns0:v/>
      </ns0:c>
      <ns0:c r="D662" s="28" t="str">
        <ns0:f>IF(E662="","","Müşteri adı / aranacak ad / il bilgisini kontrol edin")</ns0:f>
        <ns0:v/>
      </ns0:c>
      <ns0:c r="E662" s="28" t="str">
        <ns0:f>IFERROR(MATCH(658,'Banka Dökümü'!$I$2:$I$2001,0),"")</ns0:f>
        <ns0:v/>
      </ns0:c>
    </ns0:row>
    <ns0:row r="663" ht="21" customHeight="1">
      <ns0:c r="A663" s="32" t="str">
        <ns0:f>IF($E663="","",INDEX('Banka Dökümü'!$A$2:$A$2001,$E663))</ns0:f>
        <ns0:v/>
      </ns0:c>
      <ns0:c r="B663" s="28" t="str">
        <ns0:f>IF($E663="","",INDEX('Banka Dökümü'!$B$2:$B$2001,$E663))</ns0:f>
        <ns0:v/>
      </ns0:c>
      <ns0:c r="C663" s="33" t="str">
        <ns0:f>IF($E663="","",INDEX('Banka Dökümü'!$C$2:$C$2001,$E663))</ns0:f>
        <ns0:v/>
      </ns0:c>
      <ns0:c r="D663" s="28" t="str">
        <ns0:f>IF(E663="","","Müşteri adı / aranacak ad / il bilgisini kontrol edin")</ns0:f>
        <ns0:v/>
      </ns0:c>
      <ns0:c r="E663" s="28" t="str">
        <ns0:f>IFERROR(MATCH(659,'Banka Dökümü'!$I$2:$I$2001,0),"")</ns0:f>
        <ns0:v/>
      </ns0:c>
    </ns0:row>
    <ns0:row r="664" ht="21" customHeight="1">
      <ns0:c r="A664" s="32" t="str">
        <ns0:f>IF($E664="","",INDEX('Banka Dökümü'!$A$2:$A$2001,$E664))</ns0:f>
        <ns0:v/>
      </ns0:c>
      <ns0:c r="B664" s="28" t="str">
        <ns0:f>IF($E664="","",INDEX('Banka Dökümü'!$B$2:$B$2001,$E664))</ns0:f>
        <ns0:v/>
      </ns0:c>
      <ns0:c r="C664" s="33" t="str">
        <ns0:f>IF($E664="","",INDEX('Banka Dökümü'!$C$2:$C$2001,$E664))</ns0:f>
        <ns0:v/>
      </ns0:c>
      <ns0:c r="D664" s="28" t="str">
        <ns0:f>IF(E664="","","Müşteri adı / aranacak ad / il bilgisini kontrol edin")</ns0:f>
        <ns0:v/>
      </ns0:c>
      <ns0:c r="E664" s="28" t="str">
        <ns0:f>IFERROR(MATCH(660,'Banka Dökümü'!$I$2:$I$2001,0),"")</ns0:f>
        <ns0:v/>
      </ns0:c>
    </ns0:row>
    <ns0:row r="665" ht="21" customHeight="1">
      <ns0:c r="A665" s="32" t="str">
        <ns0:f>IF($E665="","",INDEX('Banka Dökümü'!$A$2:$A$2001,$E665))</ns0:f>
        <ns0:v/>
      </ns0:c>
      <ns0:c r="B665" s="28" t="str">
        <ns0:f>IF($E665="","",INDEX('Banka Dökümü'!$B$2:$B$2001,$E665))</ns0:f>
        <ns0:v/>
      </ns0:c>
      <ns0:c r="C665" s="33" t="str">
        <ns0:f>IF($E665="","",INDEX('Banka Dökümü'!$C$2:$C$2001,$E665))</ns0:f>
        <ns0:v/>
      </ns0:c>
      <ns0:c r="D665" s="28" t="str">
        <ns0:f>IF(E665="","","Müşteri adı / aranacak ad / il bilgisini kontrol edin")</ns0:f>
        <ns0:v/>
      </ns0:c>
      <ns0:c r="E665" s="28" t="str">
        <ns0:f>IFERROR(MATCH(661,'Banka Dökümü'!$I$2:$I$2001,0),"")</ns0:f>
        <ns0:v/>
      </ns0:c>
    </ns0:row>
    <ns0:row r="666" ht="21" customHeight="1">
      <ns0:c r="A666" s="32" t="str">
        <ns0:f>IF($E666="","",INDEX('Banka Dökümü'!$A$2:$A$2001,$E666))</ns0:f>
        <ns0:v/>
      </ns0:c>
      <ns0:c r="B666" s="28" t="str">
        <ns0:f>IF($E666="","",INDEX('Banka Dökümü'!$B$2:$B$2001,$E666))</ns0:f>
        <ns0:v/>
      </ns0:c>
      <ns0:c r="C666" s="33" t="str">
        <ns0:f>IF($E666="","",INDEX('Banka Dökümü'!$C$2:$C$2001,$E666))</ns0:f>
        <ns0:v/>
      </ns0:c>
      <ns0:c r="D666" s="28" t="str">
        <ns0:f>IF(E666="","","Müşteri adı / aranacak ad / il bilgisini kontrol edin")</ns0:f>
        <ns0:v/>
      </ns0:c>
      <ns0:c r="E666" s="28" t="str">
        <ns0:f>IFERROR(MATCH(662,'Banka Dökümü'!$I$2:$I$2001,0),"")</ns0:f>
        <ns0:v/>
      </ns0:c>
    </ns0:row>
    <ns0:row r="667" ht="21" customHeight="1">
      <ns0:c r="A667" s="32" t="str">
        <ns0:f>IF($E667="","",INDEX('Banka Dökümü'!$A$2:$A$2001,$E667))</ns0:f>
        <ns0:v/>
      </ns0:c>
      <ns0:c r="B667" s="28" t="str">
        <ns0:f>IF($E667="","",INDEX('Banka Dökümü'!$B$2:$B$2001,$E667))</ns0:f>
        <ns0:v/>
      </ns0:c>
      <ns0:c r="C667" s="33" t="str">
        <ns0:f>IF($E667="","",INDEX('Banka Dökümü'!$C$2:$C$2001,$E667))</ns0:f>
        <ns0:v/>
      </ns0:c>
      <ns0:c r="D667" s="28" t="str">
        <ns0:f>IF(E667="","","Müşteri adı / aranacak ad / il bilgisini kontrol edin")</ns0:f>
        <ns0:v/>
      </ns0:c>
      <ns0:c r="E667" s="28" t="str">
        <ns0:f>IFERROR(MATCH(663,'Banka Dökümü'!$I$2:$I$2001,0),"")</ns0:f>
        <ns0:v/>
      </ns0:c>
    </ns0:row>
    <ns0:row r="668" ht="21" customHeight="1">
      <ns0:c r="A668" s="32" t="str">
        <ns0:f>IF($E668="","",INDEX('Banka Dökümü'!$A$2:$A$2001,$E668))</ns0:f>
        <ns0:v/>
      </ns0:c>
      <ns0:c r="B668" s="28" t="str">
        <ns0:f>IF($E668="","",INDEX('Banka Dökümü'!$B$2:$B$2001,$E668))</ns0:f>
        <ns0:v/>
      </ns0:c>
      <ns0:c r="C668" s="33" t="str">
        <ns0:f>IF($E668="","",INDEX('Banka Dökümü'!$C$2:$C$2001,$E668))</ns0:f>
        <ns0:v/>
      </ns0:c>
      <ns0:c r="D668" s="28" t="str">
        <ns0:f>IF(E668="","","Müşteri adı / aranacak ad / il bilgisini kontrol edin")</ns0:f>
        <ns0:v/>
      </ns0:c>
      <ns0:c r="E668" s="28" t="str">
        <ns0:f>IFERROR(MATCH(664,'Banka Dökümü'!$I$2:$I$2001,0),"")</ns0:f>
        <ns0:v/>
      </ns0:c>
    </ns0:row>
    <ns0:row r="669" ht="21" customHeight="1">
      <ns0:c r="A669" s="32" t="str">
        <ns0:f>IF($E669="","",INDEX('Banka Dökümü'!$A$2:$A$2001,$E669))</ns0:f>
        <ns0:v/>
      </ns0:c>
      <ns0:c r="B669" s="28" t="str">
        <ns0:f>IF($E669="","",INDEX('Banka Dökümü'!$B$2:$B$2001,$E669))</ns0:f>
        <ns0:v/>
      </ns0:c>
      <ns0:c r="C669" s="33" t="str">
        <ns0:f>IF($E669="","",INDEX('Banka Dökümü'!$C$2:$C$2001,$E669))</ns0:f>
        <ns0:v/>
      </ns0:c>
      <ns0:c r="D669" s="28" t="str">
        <ns0:f>IF(E669="","","Müşteri adı / aranacak ad / il bilgisini kontrol edin")</ns0:f>
        <ns0:v/>
      </ns0:c>
      <ns0:c r="E669" s="28" t="str">
        <ns0:f>IFERROR(MATCH(665,'Banka Dökümü'!$I$2:$I$2001,0),"")</ns0:f>
        <ns0:v/>
      </ns0:c>
    </ns0:row>
    <ns0:row r="670" ht="21" customHeight="1">
      <ns0:c r="A670" s="32" t="str">
        <ns0:f>IF($E670="","",INDEX('Banka Dökümü'!$A$2:$A$2001,$E670))</ns0:f>
        <ns0:v/>
      </ns0:c>
      <ns0:c r="B670" s="28" t="str">
        <ns0:f>IF($E670="","",INDEX('Banka Dökümü'!$B$2:$B$2001,$E670))</ns0:f>
        <ns0:v/>
      </ns0:c>
      <ns0:c r="C670" s="33" t="str">
        <ns0:f>IF($E670="","",INDEX('Banka Dökümü'!$C$2:$C$2001,$E670))</ns0:f>
        <ns0:v/>
      </ns0:c>
      <ns0:c r="D670" s="28" t="str">
        <ns0:f>IF(E670="","","Müşteri adı / aranacak ad / il bilgisini kontrol edin")</ns0:f>
        <ns0:v/>
      </ns0:c>
      <ns0:c r="E670" s="28" t="str">
        <ns0:f>IFERROR(MATCH(666,'Banka Dökümü'!$I$2:$I$2001,0),"")</ns0:f>
        <ns0:v/>
      </ns0:c>
    </ns0:row>
    <ns0:row r="671" ht="21" customHeight="1">
      <ns0:c r="A671" s="32" t="str">
        <ns0:f>IF($E671="","",INDEX('Banka Dökümü'!$A$2:$A$2001,$E671))</ns0:f>
        <ns0:v/>
      </ns0:c>
      <ns0:c r="B671" s="28" t="str">
        <ns0:f>IF($E671="","",INDEX('Banka Dökümü'!$B$2:$B$2001,$E671))</ns0:f>
        <ns0:v/>
      </ns0:c>
      <ns0:c r="C671" s="33" t="str">
        <ns0:f>IF($E671="","",INDEX('Banka Dökümü'!$C$2:$C$2001,$E671))</ns0:f>
        <ns0:v/>
      </ns0:c>
      <ns0:c r="D671" s="28" t="str">
        <ns0:f>IF(E671="","","Müşteri adı / aranacak ad / il bilgisini kontrol edin")</ns0:f>
        <ns0:v/>
      </ns0:c>
      <ns0:c r="E671" s="28" t="str">
        <ns0:f>IFERROR(MATCH(667,'Banka Dökümü'!$I$2:$I$2001,0),"")</ns0:f>
        <ns0:v/>
      </ns0:c>
    </ns0:row>
    <ns0:row r="672" ht="21" customHeight="1">
      <ns0:c r="A672" s="32" t="str">
        <ns0:f>IF($E672="","",INDEX('Banka Dökümü'!$A$2:$A$2001,$E672))</ns0:f>
        <ns0:v/>
      </ns0:c>
      <ns0:c r="B672" s="28" t="str">
        <ns0:f>IF($E672="","",INDEX('Banka Dökümü'!$B$2:$B$2001,$E672))</ns0:f>
        <ns0:v/>
      </ns0:c>
      <ns0:c r="C672" s="33" t="str">
        <ns0:f>IF($E672="","",INDEX('Banka Dökümü'!$C$2:$C$2001,$E672))</ns0:f>
        <ns0:v/>
      </ns0:c>
      <ns0:c r="D672" s="28" t="str">
        <ns0:f>IF(E672="","","Müşteri adı / aranacak ad / il bilgisini kontrol edin")</ns0:f>
        <ns0:v/>
      </ns0:c>
      <ns0:c r="E672" s="28" t="str">
        <ns0:f>IFERROR(MATCH(668,'Banka Dökümü'!$I$2:$I$2001,0),"")</ns0:f>
        <ns0:v/>
      </ns0:c>
    </ns0:row>
    <ns0:row r="673" ht="21" customHeight="1">
      <ns0:c r="A673" s="32" t="str">
        <ns0:f>IF($E673="","",INDEX('Banka Dökümü'!$A$2:$A$2001,$E673))</ns0:f>
        <ns0:v/>
      </ns0:c>
      <ns0:c r="B673" s="28" t="str">
        <ns0:f>IF($E673="","",INDEX('Banka Dökümü'!$B$2:$B$2001,$E673))</ns0:f>
        <ns0:v/>
      </ns0:c>
      <ns0:c r="C673" s="33" t="str">
        <ns0:f>IF($E673="","",INDEX('Banka Dökümü'!$C$2:$C$2001,$E673))</ns0:f>
        <ns0:v/>
      </ns0:c>
      <ns0:c r="D673" s="28" t="str">
        <ns0:f>IF(E673="","","Müşteri adı / aranacak ad / il bilgisini kontrol edin")</ns0:f>
        <ns0:v/>
      </ns0:c>
      <ns0:c r="E673" s="28" t="str">
        <ns0:f>IFERROR(MATCH(669,'Banka Dökümü'!$I$2:$I$2001,0),"")</ns0:f>
        <ns0:v/>
      </ns0:c>
    </ns0:row>
    <ns0:row r="674" ht="21" customHeight="1">
      <ns0:c r="A674" s="32" t="str">
        <ns0:f>IF($E674="","",INDEX('Banka Dökümü'!$A$2:$A$2001,$E674))</ns0:f>
        <ns0:v/>
      </ns0:c>
      <ns0:c r="B674" s="28" t="str">
        <ns0:f>IF($E674="","",INDEX('Banka Dökümü'!$B$2:$B$2001,$E674))</ns0:f>
        <ns0:v/>
      </ns0:c>
      <ns0:c r="C674" s="33" t="str">
        <ns0:f>IF($E674="","",INDEX('Banka Dökümü'!$C$2:$C$2001,$E674))</ns0:f>
        <ns0:v/>
      </ns0:c>
      <ns0:c r="D674" s="28" t="str">
        <ns0:f>IF(E674="","","Müşteri adı / aranacak ad / il bilgisini kontrol edin")</ns0:f>
        <ns0:v/>
      </ns0:c>
      <ns0:c r="E674" s="28" t="str">
        <ns0:f>IFERROR(MATCH(670,'Banka Dökümü'!$I$2:$I$2001,0),"")</ns0:f>
        <ns0:v/>
      </ns0:c>
    </ns0:row>
    <ns0:row r="675" ht="21" customHeight="1">
      <ns0:c r="A675" s="32" t="str">
        <ns0:f>IF($E675="","",INDEX('Banka Dökümü'!$A$2:$A$2001,$E675))</ns0:f>
        <ns0:v/>
      </ns0:c>
      <ns0:c r="B675" s="28" t="str">
        <ns0:f>IF($E675="","",INDEX('Banka Dökümü'!$B$2:$B$2001,$E675))</ns0:f>
        <ns0:v/>
      </ns0:c>
      <ns0:c r="C675" s="33" t="str">
        <ns0:f>IF($E675="","",INDEX('Banka Dökümü'!$C$2:$C$2001,$E675))</ns0:f>
        <ns0:v/>
      </ns0:c>
      <ns0:c r="D675" s="28" t="str">
        <ns0:f>IF(E675="","","Müşteri adı / aranacak ad / il bilgisini kontrol edin")</ns0:f>
        <ns0:v/>
      </ns0:c>
      <ns0:c r="E675" s="28" t="str">
        <ns0:f>IFERROR(MATCH(671,'Banka Dökümü'!$I$2:$I$2001,0),"")</ns0:f>
        <ns0:v/>
      </ns0:c>
    </ns0:row>
    <ns0:row r="676" ht="21" customHeight="1">
      <ns0:c r="A676" s="32" t="str">
        <ns0:f>IF($E676="","",INDEX('Banka Dökümü'!$A$2:$A$2001,$E676))</ns0:f>
        <ns0:v/>
      </ns0:c>
      <ns0:c r="B676" s="28" t="str">
        <ns0:f>IF($E676="","",INDEX('Banka Dökümü'!$B$2:$B$2001,$E676))</ns0:f>
        <ns0:v/>
      </ns0:c>
      <ns0:c r="C676" s="33" t="str">
        <ns0:f>IF($E676="","",INDEX('Banka Dökümü'!$C$2:$C$2001,$E676))</ns0:f>
        <ns0:v/>
      </ns0:c>
      <ns0:c r="D676" s="28" t="str">
        <ns0:f>IF(E676="","","Müşteri adı / aranacak ad / il bilgisini kontrol edin")</ns0:f>
        <ns0:v/>
      </ns0:c>
      <ns0:c r="E676" s="28" t="str">
        <ns0:f>IFERROR(MATCH(672,'Banka Dökümü'!$I$2:$I$2001,0),"")</ns0:f>
        <ns0:v/>
      </ns0:c>
    </ns0:row>
    <ns0:row r="677" ht="21" customHeight="1">
      <ns0:c r="A677" s="32" t="str">
        <ns0:f>IF($E677="","",INDEX('Banka Dökümü'!$A$2:$A$2001,$E677))</ns0:f>
        <ns0:v/>
      </ns0:c>
      <ns0:c r="B677" s="28" t="str">
        <ns0:f>IF($E677="","",INDEX('Banka Dökümü'!$B$2:$B$2001,$E677))</ns0:f>
        <ns0:v/>
      </ns0:c>
      <ns0:c r="C677" s="33" t="str">
        <ns0:f>IF($E677="","",INDEX('Banka Dökümü'!$C$2:$C$2001,$E677))</ns0:f>
        <ns0:v/>
      </ns0:c>
      <ns0:c r="D677" s="28" t="str">
        <ns0:f>IF(E677="","","Müşteri adı / aranacak ad / il bilgisini kontrol edin")</ns0:f>
        <ns0:v/>
      </ns0:c>
      <ns0:c r="E677" s="28" t="str">
        <ns0:f>IFERROR(MATCH(673,'Banka Dökümü'!$I$2:$I$2001,0),"")</ns0:f>
        <ns0:v/>
      </ns0:c>
    </ns0:row>
    <ns0:row r="678" ht="21" customHeight="1">
      <ns0:c r="A678" s="32" t="str">
        <ns0:f>IF($E678="","",INDEX('Banka Dökümü'!$A$2:$A$2001,$E678))</ns0:f>
        <ns0:v/>
      </ns0:c>
      <ns0:c r="B678" s="28" t="str">
        <ns0:f>IF($E678="","",INDEX('Banka Dökümü'!$B$2:$B$2001,$E678))</ns0:f>
        <ns0:v/>
      </ns0:c>
      <ns0:c r="C678" s="33" t="str">
        <ns0:f>IF($E678="","",INDEX('Banka Dökümü'!$C$2:$C$2001,$E678))</ns0:f>
        <ns0:v/>
      </ns0:c>
      <ns0:c r="D678" s="28" t="str">
        <ns0:f>IF(E678="","","Müşteri adı / aranacak ad / il bilgisini kontrol edin")</ns0:f>
        <ns0:v/>
      </ns0:c>
      <ns0:c r="E678" s="28" t="str">
        <ns0:f>IFERROR(MATCH(674,'Banka Dökümü'!$I$2:$I$2001,0),"")</ns0:f>
        <ns0:v/>
      </ns0:c>
    </ns0:row>
    <ns0:row r="679" ht="21" customHeight="1">
      <ns0:c r="A679" s="32" t="str">
        <ns0:f>IF($E679="","",INDEX('Banka Dökümü'!$A$2:$A$2001,$E679))</ns0:f>
        <ns0:v/>
      </ns0:c>
      <ns0:c r="B679" s="28" t="str">
        <ns0:f>IF($E679="","",INDEX('Banka Dökümü'!$B$2:$B$2001,$E679))</ns0:f>
        <ns0:v/>
      </ns0:c>
      <ns0:c r="C679" s="33" t="str">
        <ns0:f>IF($E679="","",INDEX('Banka Dökümü'!$C$2:$C$2001,$E679))</ns0:f>
        <ns0:v/>
      </ns0:c>
      <ns0:c r="D679" s="28" t="str">
        <ns0:f>IF(E679="","","Müşteri adı / aranacak ad / il bilgisini kontrol edin")</ns0:f>
        <ns0:v/>
      </ns0:c>
      <ns0:c r="E679" s="28" t="str">
        <ns0:f>IFERROR(MATCH(675,'Banka Dökümü'!$I$2:$I$2001,0),"")</ns0:f>
        <ns0:v/>
      </ns0:c>
    </ns0:row>
    <ns0:row r="680" ht="21" customHeight="1">
      <ns0:c r="A680" s="32" t="str">
        <ns0:f>IF($E680="","",INDEX('Banka Dökümü'!$A$2:$A$2001,$E680))</ns0:f>
        <ns0:v/>
      </ns0:c>
      <ns0:c r="B680" s="28" t="str">
        <ns0:f>IF($E680="","",INDEX('Banka Dökümü'!$B$2:$B$2001,$E680))</ns0:f>
        <ns0:v/>
      </ns0:c>
      <ns0:c r="C680" s="33" t="str">
        <ns0:f>IF($E680="","",INDEX('Banka Dökümü'!$C$2:$C$2001,$E680))</ns0:f>
        <ns0:v/>
      </ns0:c>
      <ns0:c r="D680" s="28" t="str">
        <ns0:f>IF(E680="","","Müşteri adı / aranacak ad / il bilgisini kontrol edin")</ns0:f>
        <ns0:v/>
      </ns0:c>
      <ns0:c r="E680" s="28" t="str">
        <ns0:f>IFERROR(MATCH(676,'Banka Dökümü'!$I$2:$I$2001,0),"")</ns0:f>
        <ns0:v/>
      </ns0:c>
    </ns0:row>
    <ns0:row r="681" ht="21" customHeight="1">
      <ns0:c r="A681" s="32" t="str">
        <ns0:f>IF($E681="","",INDEX('Banka Dökümü'!$A$2:$A$2001,$E681))</ns0:f>
        <ns0:v/>
      </ns0:c>
      <ns0:c r="B681" s="28" t="str">
        <ns0:f>IF($E681="","",INDEX('Banka Dökümü'!$B$2:$B$2001,$E681))</ns0:f>
        <ns0:v/>
      </ns0:c>
      <ns0:c r="C681" s="33" t="str">
        <ns0:f>IF($E681="","",INDEX('Banka Dökümü'!$C$2:$C$2001,$E681))</ns0:f>
        <ns0:v/>
      </ns0:c>
      <ns0:c r="D681" s="28" t="str">
        <ns0:f>IF(E681="","","Müşteri adı / aranacak ad / il bilgisini kontrol edin")</ns0:f>
        <ns0:v/>
      </ns0:c>
      <ns0:c r="E681" s="28" t="str">
        <ns0:f>IFERROR(MATCH(677,'Banka Dökümü'!$I$2:$I$2001,0),"")</ns0:f>
        <ns0:v/>
      </ns0:c>
    </ns0:row>
    <ns0:row r="682" ht="21" customHeight="1">
      <ns0:c r="A682" s="32" t="str">
        <ns0:f>IF($E682="","",INDEX('Banka Dökümü'!$A$2:$A$2001,$E682))</ns0:f>
        <ns0:v/>
      </ns0:c>
      <ns0:c r="B682" s="28" t="str">
        <ns0:f>IF($E682="","",INDEX('Banka Dökümü'!$B$2:$B$2001,$E682))</ns0:f>
        <ns0:v/>
      </ns0:c>
      <ns0:c r="C682" s="33" t="str">
        <ns0:f>IF($E682="","",INDEX('Banka Dökümü'!$C$2:$C$2001,$E682))</ns0:f>
        <ns0:v/>
      </ns0:c>
      <ns0:c r="D682" s="28" t="str">
        <ns0:f>IF(E682="","","Müşteri adı / aranacak ad / il bilgisini kontrol edin")</ns0:f>
        <ns0:v/>
      </ns0:c>
      <ns0:c r="E682" s="28" t="str">
        <ns0:f>IFERROR(MATCH(678,'Banka Dökümü'!$I$2:$I$2001,0),"")</ns0:f>
        <ns0:v/>
      </ns0:c>
    </ns0:row>
    <ns0:row r="683" ht="21" customHeight="1">
      <ns0:c r="A683" s="32" t="str">
        <ns0:f>IF($E683="","",INDEX('Banka Dökümü'!$A$2:$A$2001,$E683))</ns0:f>
        <ns0:v/>
      </ns0:c>
      <ns0:c r="B683" s="28" t="str">
        <ns0:f>IF($E683="","",INDEX('Banka Dökümü'!$B$2:$B$2001,$E683))</ns0:f>
        <ns0:v/>
      </ns0:c>
      <ns0:c r="C683" s="33" t="str">
        <ns0:f>IF($E683="","",INDEX('Banka Dökümü'!$C$2:$C$2001,$E683))</ns0:f>
        <ns0:v/>
      </ns0:c>
      <ns0:c r="D683" s="28" t="str">
        <ns0:f>IF(E683="","","Müşteri adı / aranacak ad / il bilgisini kontrol edin")</ns0:f>
        <ns0:v/>
      </ns0:c>
      <ns0:c r="E683" s="28" t="str">
        <ns0:f>IFERROR(MATCH(679,'Banka Dökümü'!$I$2:$I$2001,0),"")</ns0:f>
        <ns0:v/>
      </ns0:c>
    </ns0:row>
    <ns0:row r="684" ht="21" customHeight="1">
      <ns0:c r="A684" s="32" t="str">
        <ns0:f>IF($E684="","",INDEX('Banka Dökümü'!$A$2:$A$2001,$E684))</ns0:f>
        <ns0:v/>
      </ns0:c>
      <ns0:c r="B684" s="28" t="str">
        <ns0:f>IF($E684="","",INDEX('Banka Dökümü'!$B$2:$B$2001,$E684))</ns0:f>
        <ns0:v/>
      </ns0:c>
      <ns0:c r="C684" s="33" t="str">
        <ns0:f>IF($E684="","",INDEX('Banka Dökümü'!$C$2:$C$2001,$E684))</ns0:f>
        <ns0:v/>
      </ns0:c>
      <ns0:c r="D684" s="28" t="str">
        <ns0:f>IF(E684="","","Müşteri adı / aranacak ad / il bilgisini kontrol edin")</ns0:f>
        <ns0:v/>
      </ns0:c>
      <ns0:c r="E684" s="28" t="str">
        <ns0:f>IFERROR(MATCH(680,'Banka Dökümü'!$I$2:$I$2001,0),"")</ns0:f>
        <ns0:v/>
      </ns0:c>
    </ns0:row>
    <ns0:row r="685" ht="21" customHeight="1">
      <ns0:c r="A685" s="32" t="str">
        <ns0:f>IF($E685="","",INDEX('Banka Dökümü'!$A$2:$A$2001,$E685))</ns0:f>
        <ns0:v/>
      </ns0:c>
      <ns0:c r="B685" s="28" t="str">
        <ns0:f>IF($E685="","",INDEX('Banka Dökümü'!$B$2:$B$2001,$E685))</ns0:f>
        <ns0:v/>
      </ns0:c>
      <ns0:c r="C685" s="33" t="str">
        <ns0:f>IF($E685="","",INDEX('Banka Dökümü'!$C$2:$C$2001,$E685))</ns0:f>
        <ns0:v/>
      </ns0:c>
      <ns0:c r="D685" s="28" t="str">
        <ns0:f>IF(E685="","","Müşteri adı / aranacak ad / il bilgisini kontrol edin")</ns0:f>
        <ns0:v/>
      </ns0:c>
      <ns0:c r="E685" s="28" t="str">
        <ns0:f>IFERROR(MATCH(681,'Banka Dökümü'!$I$2:$I$2001,0),"")</ns0:f>
        <ns0:v/>
      </ns0:c>
    </ns0:row>
    <ns0:row r="686" ht="21" customHeight="1">
      <ns0:c r="A686" s="32" t="str">
        <ns0:f>IF($E686="","",INDEX('Banka Dökümü'!$A$2:$A$2001,$E686))</ns0:f>
        <ns0:v/>
      </ns0:c>
      <ns0:c r="B686" s="28" t="str">
        <ns0:f>IF($E686="","",INDEX('Banka Dökümü'!$B$2:$B$2001,$E686))</ns0:f>
        <ns0:v/>
      </ns0:c>
      <ns0:c r="C686" s="33" t="str">
        <ns0:f>IF($E686="","",INDEX('Banka Dökümü'!$C$2:$C$2001,$E686))</ns0:f>
        <ns0:v/>
      </ns0:c>
      <ns0:c r="D686" s="28" t="str">
        <ns0:f>IF(E686="","","Müşteri adı / aranacak ad / il bilgisini kontrol edin")</ns0:f>
        <ns0:v/>
      </ns0:c>
      <ns0:c r="E686" s="28" t="str">
        <ns0:f>IFERROR(MATCH(682,'Banka Dökümü'!$I$2:$I$2001,0),"")</ns0:f>
        <ns0:v/>
      </ns0:c>
    </ns0:row>
    <ns0:row r="687" ht="21" customHeight="1">
      <ns0:c r="A687" s="32" t="str">
        <ns0:f>IF($E687="","",INDEX('Banka Dökümü'!$A$2:$A$2001,$E687))</ns0:f>
        <ns0:v/>
      </ns0:c>
      <ns0:c r="B687" s="28" t="str">
        <ns0:f>IF($E687="","",INDEX('Banka Dökümü'!$B$2:$B$2001,$E687))</ns0:f>
        <ns0:v/>
      </ns0:c>
      <ns0:c r="C687" s="33" t="str">
        <ns0:f>IF($E687="","",INDEX('Banka Dökümü'!$C$2:$C$2001,$E687))</ns0:f>
        <ns0:v/>
      </ns0:c>
      <ns0:c r="D687" s="28" t="str">
        <ns0:f>IF(E687="","","Müşteri adı / aranacak ad / il bilgisini kontrol edin")</ns0:f>
        <ns0:v/>
      </ns0:c>
      <ns0:c r="E687" s="28" t="str">
        <ns0:f>IFERROR(MATCH(683,'Banka Dökümü'!$I$2:$I$2001,0),"")</ns0:f>
        <ns0:v/>
      </ns0:c>
    </ns0:row>
    <ns0:row r="688" ht="21" customHeight="1">
      <ns0:c r="A688" s="32" t="str">
        <ns0:f>IF($E688="","",INDEX('Banka Dökümü'!$A$2:$A$2001,$E688))</ns0:f>
        <ns0:v/>
      </ns0:c>
      <ns0:c r="B688" s="28" t="str">
        <ns0:f>IF($E688="","",INDEX('Banka Dökümü'!$B$2:$B$2001,$E688))</ns0:f>
        <ns0:v/>
      </ns0:c>
      <ns0:c r="C688" s="33" t="str">
        <ns0:f>IF($E688="","",INDEX('Banka Dökümü'!$C$2:$C$2001,$E688))</ns0:f>
        <ns0:v/>
      </ns0:c>
      <ns0:c r="D688" s="28" t="str">
        <ns0:f>IF(E688="","","Müşteri adı / aranacak ad / il bilgisini kontrol edin")</ns0:f>
        <ns0:v/>
      </ns0:c>
      <ns0:c r="E688" s="28" t="str">
        <ns0:f>IFERROR(MATCH(684,'Banka Dökümü'!$I$2:$I$2001,0),"")</ns0:f>
        <ns0:v/>
      </ns0:c>
    </ns0:row>
    <ns0:row r="689" ht="21" customHeight="1">
      <ns0:c r="A689" s="32" t="str">
        <ns0:f>IF($E689="","",INDEX('Banka Dökümü'!$A$2:$A$2001,$E689))</ns0:f>
        <ns0:v/>
      </ns0:c>
      <ns0:c r="B689" s="28" t="str">
        <ns0:f>IF($E689="","",INDEX('Banka Dökümü'!$B$2:$B$2001,$E689))</ns0:f>
        <ns0:v/>
      </ns0:c>
      <ns0:c r="C689" s="33" t="str">
        <ns0:f>IF($E689="","",INDEX('Banka Dökümü'!$C$2:$C$2001,$E689))</ns0:f>
        <ns0:v/>
      </ns0:c>
      <ns0:c r="D689" s="28" t="str">
        <ns0:f>IF(E689="","","Müşteri adı / aranacak ad / il bilgisini kontrol edin")</ns0:f>
        <ns0:v/>
      </ns0:c>
      <ns0:c r="E689" s="28" t="str">
        <ns0:f>IFERROR(MATCH(685,'Banka Dökümü'!$I$2:$I$2001,0),"")</ns0:f>
        <ns0:v/>
      </ns0:c>
    </ns0:row>
    <ns0:row r="690" ht="21" customHeight="1">
      <ns0:c r="A690" s="32" t="str">
        <ns0:f>IF($E690="","",INDEX('Banka Dökümü'!$A$2:$A$2001,$E690))</ns0:f>
        <ns0:v/>
      </ns0:c>
      <ns0:c r="B690" s="28" t="str">
        <ns0:f>IF($E690="","",INDEX('Banka Dökümü'!$B$2:$B$2001,$E690))</ns0:f>
        <ns0:v/>
      </ns0:c>
      <ns0:c r="C690" s="33" t="str">
        <ns0:f>IF($E690="","",INDEX('Banka Dökümü'!$C$2:$C$2001,$E690))</ns0:f>
        <ns0:v/>
      </ns0:c>
      <ns0:c r="D690" s="28" t="str">
        <ns0:f>IF(E690="","","Müşteri adı / aranacak ad / il bilgisini kontrol edin")</ns0:f>
        <ns0:v/>
      </ns0:c>
      <ns0:c r="E690" s="28" t="str">
        <ns0:f>IFERROR(MATCH(686,'Banka Dökümü'!$I$2:$I$2001,0),"")</ns0:f>
        <ns0:v/>
      </ns0:c>
    </ns0:row>
    <ns0:row r="691" ht="21" customHeight="1">
      <ns0:c r="A691" s="32" t="str">
        <ns0:f>IF($E691="","",INDEX('Banka Dökümü'!$A$2:$A$2001,$E691))</ns0:f>
        <ns0:v/>
      </ns0:c>
      <ns0:c r="B691" s="28" t="str">
        <ns0:f>IF($E691="","",INDEX('Banka Dökümü'!$B$2:$B$2001,$E691))</ns0:f>
        <ns0:v/>
      </ns0:c>
      <ns0:c r="C691" s="33" t="str">
        <ns0:f>IF($E691="","",INDEX('Banka Dökümü'!$C$2:$C$2001,$E691))</ns0:f>
        <ns0:v/>
      </ns0:c>
      <ns0:c r="D691" s="28" t="str">
        <ns0:f>IF(E691="","","Müşteri adı / aranacak ad / il bilgisini kontrol edin")</ns0:f>
        <ns0:v/>
      </ns0:c>
      <ns0:c r="E691" s="28" t="str">
        <ns0:f>IFERROR(MATCH(687,'Banka Dökümü'!$I$2:$I$2001,0),"")</ns0:f>
        <ns0:v/>
      </ns0:c>
    </ns0:row>
    <ns0:row r="692" ht="21" customHeight="1">
      <ns0:c r="A692" s="32" t="str">
        <ns0:f>IF($E692="","",INDEX('Banka Dökümü'!$A$2:$A$2001,$E692))</ns0:f>
        <ns0:v/>
      </ns0:c>
      <ns0:c r="B692" s="28" t="str">
        <ns0:f>IF($E692="","",INDEX('Banka Dökümü'!$B$2:$B$2001,$E692))</ns0:f>
        <ns0:v/>
      </ns0:c>
      <ns0:c r="C692" s="33" t="str">
        <ns0:f>IF($E692="","",INDEX('Banka Dökümü'!$C$2:$C$2001,$E692))</ns0:f>
        <ns0:v/>
      </ns0:c>
      <ns0:c r="D692" s="28" t="str">
        <ns0:f>IF(E692="","","Müşteri adı / aranacak ad / il bilgisini kontrol edin")</ns0:f>
        <ns0:v/>
      </ns0:c>
      <ns0:c r="E692" s="28" t="str">
        <ns0:f>IFERROR(MATCH(688,'Banka Dökümü'!$I$2:$I$2001,0),"")</ns0:f>
        <ns0:v/>
      </ns0:c>
    </ns0:row>
    <ns0:row r="693" ht="21" customHeight="1">
      <ns0:c r="A693" s="32" t="str">
        <ns0:f>IF($E693="","",INDEX('Banka Dökümü'!$A$2:$A$2001,$E693))</ns0:f>
        <ns0:v/>
      </ns0:c>
      <ns0:c r="B693" s="28" t="str">
        <ns0:f>IF($E693="","",INDEX('Banka Dökümü'!$B$2:$B$2001,$E693))</ns0:f>
        <ns0:v/>
      </ns0:c>
      <ns0:c r="C693" s="33" t="str">
        <ns0:f>IF($E693="","",INDEX('Banka Dökümü'!$C$2:$C$2001,$E693))</ns0:f>
        <ns0:v/>
      </ns0:c>
      <ns0:c r="D693" s="28" t="str">
        <ns0:f>IF(E693="","","Müşteri adı / aranacak ad / il bilgisini kontrol edin")</ns0:f>
        <ns0:v/>
      </ns0:c>
      <ns0:c r="E693" s="28" t="str">
        <ns0:f>IFERROR(MATCH(689,'Banka Dökümü'!$I$2:$I$2001,0),"")</ns0:f>
        <ns0:v/>
      </ns0:c>
    </ns0:row>
    <ns0:row r="694" ht="21" customHeight="1">
      <ns0:c r="A694" s="32" t="str">
        <ns0:f>IF($E694="","",INDEX('Banka Dökümü'!$A$2:$A$2001,$E694))</ns0:f>
        <ns0:v/>
      </ns0:c>
      <ns0:c r="B694" s="28" t="str">
        <ns0:f>IF($E694="","",INDEX('Banka Dökümü'!$B$2:$B$2001,$E694))</ns0:f>
        <ns0:v/>
      </ns0:c>
      <ns0:c r="C694" s="33" t="str">
        <ns0:f>IF($E694="","",INDEX('Banka Dökümü'!$C$2:$C$2001,$E694))</ns0:f>
        <ns0:v/>
      </ns0:c>
      <ns0:c r="D694" s="28" t="str">
        <ns0:f>IF(E694="","","Müşteri adı / aranacak ad / il bilgisini kontrol edin")</ns0:f>
        <ns0:v/>
      </ns0:c>
      <ns0:c r="E694" s="28" t="str">
        <ns0:f>IFERROR(MATCH(690,'Banka Dökümü'!$I$2:$I$2001,0),"")</ns0:f>
        <ns0:v/>
      </ns0:c>
    </ns0:row>
    <ns0:row r="695" ht="21" customHeight="1">
      <ns0:c r="A695" s="32" t="str">
        <ns0:f>IF($E695="","",INDEX('Banka Dökümü'!$A$2:$A$2001,$E695))</ns0:f>
        <ns0:v/>
      </ns0:c>
      <ns0:c r="B695" s="28" t="str">
        <ns0:f>IF($E695="","",INDEX('Banka Dökümü'!$B$2:$B$2001,$E695))</ns0:f>
        <ns0:v/>
      </ns0:c>
      <ns0:c r="C695" s="33" t="str">
        <ns0:f>IF($E695="","",INDEX('Banka Dökümü'!$C$2:$C$2001,$E695))</ns0:f>
        <ns0:v/>
      </ns0:c>
      <ns0:c r="D695" s="28" t="str">
        <ns0:f>IF(E695="","","Müşteri adı / aranacak ad / il bilgisini kontrol edin")</ns0:f>
        <ns0:v/>
      </ns0:c>
      <ns0:c r="E695" s="28" t="str">
        <ns0:f>IFERROR(MATCH(691,'Banka Dökümü'!$I$2:$I$2001,0),"")</ns0:f>
        <ns0:v/>
      </ns0:c>
    </ns0:row>
    <ns0:row r="696" ht="21" customHeight="1">
      <ns0:c r="A696" s="32" t="str">
        <ns0:f>IF($E696="","",INDEX('Banka Dökümü'!$A$2:$A$2001,$E696))</ns0:f>
        <ns0:v/>
      </ns0:c>
      <ns0:c r="B696" s="28" t="str">
        <ns0:f>IF($E696="","",INDEX('Banka Dökümü'!$B$2:$B$2001,$E696))</ns0:f>
        <ns0:v/>
      </ns0:c>
      <ns0:c r="C696" s="33" t="str">
        <ns0:f>IF($E696="","",INDEX('Banka Dökümü'!$C$2:$C$2001,$E696))</ns0:f>
        <ns0:v/>
      </ns0:c>
      <ns0:c r="D696" s="28" t="str">
        <ns0:f>IF(E696="","","Müşteri adı / aranacak ad / il bilgisini kontrol edin")</ns0:f>
        <ns0:v/>
      </ns0:c>
      <ns0:c r="E696" s="28" t="str">
        <ns0:f>IFERROR(MATCH(692,'Banka Dökümü'!$I$2:$I$2001,0),"")</ns0:f>
        <ns0:v/>
      </ns0:c>
    </ns0:row>
    <ns0:row r="697" ht="21" customHeight="1">
      <ns0:c r="A697" s="32" t="str">
        <ns0:f>IF($E697="","",INDEX('Banka Dökümü'!$A$2:$A$2001,$E697))</ns0:f>
        <ns0:v/>
      </ns0:c>
      <ns0:c r="B697" s="28" t="str">
        <ns0:f>IF($E697="","",INDEX('Banka Dökümü'!$B$2:$B$2001,$E697))</ns0:f>
        <ns0:v/>
      </ns0:c>
      <ns0:c r="C697" s="33" t="str">
        <ns0:f>IF($E697="","",INDEX('Banka Dökümü'!$C$2:$C$2001,$E697))</ns0:f>
        <ns0:v/>
      </ns0:c>
      <ns0:c r="D697" s="28" t="str">
        <ns0:f>IF(E697="","","Müşteri adı / aranacak ad / il bilgisini kontrol edin")</ns0:f>
        <ns0:v/>
      </ns0:c>
      <ns0:c r="E697" s="28" t="str">
        <ns0:f>IFERROR(MATCH(693,'Banka Dökümü'!$I$2:$I$2001,0),"")</ns0:f>
        <ns0:v/>
      </ns0:c>
    </ns0:row>
    <ns0:row r="698" ht="21" customHeight="1">
      <ns0:c r="A698" s="32" t="str">
        <ns0:f>IF($E698="","",INDEX('Banka Dökümü'!$A$2:$A$2001,$E698))</ns0:f>
        <ns0:v/>
      </ns0:c>
      <ns0:c r="B698" s="28" t="str">
        <ns0:f>IF($E698="","",INDEX('Banka Dökümü'!$B$2:$B$2001,$E698))</ns0:f>
        <ns0:v/>
      </ns0:c>
      <ns0:c r="C698" s="33" t="str">
        <ns0:f>IF($E698="","",INDEX('Banka Dökümü'!$C$2:$C$2001,$E698))</ns0:f>
        <ns0:v/>
      </ns0:c>
      <ns0:c r="D698" s="28" t="str">
        <ns0:f>IF(E698="","","Müşteri adı / aranacak ad / il bilgisini kontrol edin")</ns0:f>
        <ns0:v/>
      </ns0:c>
      <ns0:c r="E698" s="28" t="str">
        <ns0:f>IFERROR(MATCH(694,'Banka Dökümü'!$I$2:$I$2001,0),"")</ns0:f>
        <ns0:v/>
      </ns0:c>
    </ns0:row>
    <ns0:row r="699" ht="21" customHeight="1">
      <ns0:c r="A699" s="32" t="str">
        <ns0:f>IF($E699="","",INDEX('Banka Dökümü'!$A$2:$A$2001,$E699))</ns0:f>
        <ns0:v/>
      </ns0:c>
      <ns0:c r="B699" s="28" t="str">
        <ns0:f>IF($E699="","",INDEX('Banka Dökümü'!$B$2:$B$2001,$E699))</ns0:f>
        <ns0:v/>
      </ns0:c>
      <ns0:c r="C699" s="33" t="str">
        <ns0:f>IF($E699="","",INDEX('Banka Dökümü'!$C$2:$C$2001,$E699))</ns0:f>
        <ns0:v/>
      </ns0:c>
      <ns0:c r="D699" s="28" t="str">
        <ns0:f>IF(E699="","","Müşteri adı / aranacak ad / il bilgisini kontrol edin")</ns0:f>
        <ns0:v/>
      </ns0:c>
      <ns0:c r="E699" s="28" t="str">
        <ns0:f>IFERROR(MATCH(695,'Banka Dökümü'!$I$2:$I$2001,0),"")</ns0:f>
        <ns0:v/>
      </ns0:c>
    </ns0:row>
    <ns0:row r="700" ht="21" customHeight="1">
      <ns0:c r="A700" s="32" t="str">
        <ns0:f>IF($E700="","",INDEX('Banka Dökümü'!$A$2:$A$2001,$E700))</ns0:f>
        <ns0:v/>
      </ns0:c>
      <ns0:c r="B700" s="28" t="str">
        <ns0:f>IF($E700="","",INDEX('Banka Dökümü'!$B$2:$B$2001,$E700))</ns0:f>
        <ns0:v/>
      </ns0:c>
      <ns0:c r="C700" s="33" t="str">
        <ns0:f>IF($E700="","",INDEX('Banka Dökümü'!$C$2:$C$2001,$E700))</ns0:f>
        <ns0:v/>
      </ns0:c>
      <ns0:c r="D700" s="28" t="str">
        <ns0:f>IF(E700="","","Müşteri adı / aranacak ad / il bilgisini kontrol edin")</ns0:f>
        <ns0:v/>
      </ns0:c>
      <ns0:c r="E700" s="28" t="str">
        <ns0:f>IFERROR(MATCH(696,'Banka Dökümü'!$I$2:$I$2001,0),"")</ns0:f>
        <ns0:v/>
      </ns0:c>
    </ns0:row>
    <ns0:row r="701" ht="21" customHeight="1">
      <ns0:c r="A701" s="32" t="str">
        <ns0:f>IF($E701="","",INDEX('Banka Dökümü'!$A$2:$A$2001,$E701))</ns0:f>
        <ns0:v/>
      </ns0:c>
      <ns0:c r="B701" s="28" t="str">
        <ns0:f>IF($E701="","",INDEX('Banka Dökümü'!$B$2:$B$2001,$E701))</ns0:f>
        <ns0:v/>
      </ns0:c>
      <ns0:c r="C701" s="33" t="str">
        <ns0:f>IF($E701="","",INDEX('Banka Dökümü'!$C$2:$C$2001,$E701))</ns0:f>
        <ns0:v/>
      </ns0:c>
      <ns0:c r="D701" s="28" t="str">
        <ns0:f>IF(E701="","","Müşteri adı / aranacak ad / il bilgisini kontrol edin")</ns0:f>
        <ns0:v/>
      </ns0:c>
      <ns0:c r="E701" s="28" t="str">
        <ns0:f>IFERROR(MATCH(697,'Banka Dökümü'!$I$2:$I$2001,0),"")</ns0:f>
        <ns0:v/>
      </ns0:c>
    </ns0:row>
    <ns0:row r="702" ht="21" customHeight="1">
      <ns0:c r="A702" s="32" t="str">
        <ns0:f>IF($E702="","",INDEX('Banka Dökümü'!$A$2:$A$2001,$E702))</ns0:f>
        <ns0:v/>
      </ns0:c>
      <ns0:c r="B702" s="28" t="str">
        <ns0:f>IF($E702="","",INDEX('Banka Dökümü'!$B$2:$B$2001,$E702))</ns0:f>
        <ns0:v/>
      </ns0:c>
      <ns0:c r="C702" s="33" t="str">
        <ns0:f>IF($E702="","",INDEX('Banka Dökümü'!$C$2:$C$2001,$E702))</ns0:f>
        <ns0:v/>
      </ns0:c>
      <ns0:c r="D702" s="28" t="str">
        <ns0:f>IF(E702="","","Müşteri adı / aranacak ad / il bilgisini kontrol edin")</ns0:f>
        <ns0:v/>
      </ns0:c>
      <ns0:c r="E702" s="28" t="str">
        <ns0:f>IFERROR(MATCH(698,'Banka Dökümü'!$I$2:$I$2001,0),"")</ns0:f>
        <ns0:v/>
      </ns0:c>
    </ns0:row>
    <ns0:row r="703" ht="21" customHeight="1">
      <ns0:c r="A703" s="32" t="str">
        <ns0:f>IF($E703="","",INDEX('Banka Dökümü'!$A$2:$A$2001,$E703))</ns0:f>
        <ns0:v/>
      </ns0:c>
      <ns0:c r="B703" s="28" t="str">
        <ns0:f>IF($E703="","",INDEX('Banka Dökümü'!$B$2:$B$2001,$E703))</ns0:f>
        <ns0:v/>
      </ns0:c>
      <ns0:c r="C703" s="33" t="str">
        <ns0:f>IF($E703="","",INDEX('Banka Dökümü'!$C$2:$C$2001,$E703))</ns0:f>
        <ns0:v/>
      </ns0:c>
      <ns0:c r="D703" s="28" t="str">
        <ns0:f>IF(E703="","","Müşteri adı / aranacak ad / il bilgisini kontrol edin")</ns0:f>
        <ns0:v/>
      </ns0:c>
      <ns0:c r="E703" s="28" t="str">
        <ns0:f>IFERROR(MATCH(699,'Banka Dökümü'!$I$2:$I$2001,0),"")</ns0:f>
        <ns0:v/>
      </ns0:c>
    </ns0:row>
    <ns0:row r="704" ht="21" customHeight="1">
      <ns0:c r="A704" s="32" t="str">
        <ns0:f>IF($E704="","",INDEX('Banka Dökümü'!$A$2:$A$2001,$E704))</ns0:f>
        <ns0:v/>
      </ns0:c>
      <ns0:c r="B704" s="28" t="str">
        <ns0:f>IF($E704="","",INDEX('Banka Dökümü'!$B$2:$B$2001,$E704))</ns0:f>
        <ns0:v/>
      </ns0:c>
      <ns0:c r="C704" s="33" t="str">
        <ns0:f>IF($E704="","",INDEX('Banka Dökümü'!$C$2:$C$2001,$E704))</ns0:f>
        <ns0:v/>
      </ns0:c>
      <ns0:c r="D704" s="28" t="str">
        <ns0:f>IF(E704="","","Müşteri adı / aranacak ad / il bilgisini kontrol edin")</ns0:f>
        <ns0:v/>
      </ns0:c>
      <ns0:c r="E704" s="28" t="str">
        <ns0:f>IFERROR(MATCH(700,'Banka Dökümü'!$I$2:$I$2001,0),"")</ns0:f>
        <ns0:v/>
      </ns0:c>
    </ns0:row>
    <ns0:row r="705" ht="21" customHeight="1">
      <ns0:c r="A705" s="32" t="str">
        <ns0:f>IF($E705="","",INDEX('Banka Dökümü'!$A$2:$A$2001,$E705))</ns0:f>
        <ns0:v/>
      </ns0:c>
      <ns0:c r="B705" s="28" t="str">
        <ns0:f>IF($E705="","",INDEX('Banka Dökümü'!$B$2:$B$2001,$E705))</ns0:f>
        <ns0:v/>
      </ns0:c>
      <ns0:c r="C705" s="33" t="str">
        <ns0:f>IF($E705="","",INDEX('Banka Dökümü'!$C$2:$C$2001,$E705))</ns0:f>
        <ns0:v/>
      </ns0:c>
      <ns0:c r="D705" s="28" t="str">
        <ns0:f>IF(E705="","","Müşteri adı / aranacak ad / il bilgisini kontrol edin")</ns0:f>
        <ns0:v/>
      </ns0:c>
      <ns0:c r="E705" s="28" t="str">
        <ns0:f>IFERROR(MATCH(701,'Banka Dökümü'!$I$2:$I$2001,0),"")</ns0:f>
        <ns0:v/>
      </ns0:c>
    </ns0:row>
    <ns0:row r="706" ht="21" customHeight="1">
      <ns0:c r="A706" s="32" t="str">
        <ns0:f>IF($E706="","",INDEX('Banka Dökümü'!$A$2:$A$2001,$E706))</ns0:f>
        <ns0:v/>
      </ns0:c>
      <ns0:c r="B706" s="28" t="str">
        <ns0:f>IF($E706="","",INDEX('Banka Dökümü'!$B$2:$B$2001,$E706))</ns0:f>
        <ns0:v/>
      </ns0:c>
      <ns0:c r="C706" s="33" t="str">
        <ns0:f>IF($E706="","",INDEX('Banka Dökümü'!$C$2:$C$2001,$E706))</ns0:f>
        <ns0:v/>
      </ns0:c>
      <ns0:c r="D706" s="28" t="str">
        <ns0:f>IF(E706="","","Müşteri adı / aranacak ad / il bilgisini kontrol edin")</ns0:f>
        <ns0:v/>
      </ns0:c>
      <ns0:c r="E706" s="28" t="str">
        <ns0:f>IFERROR(MATCH(702,'Banka Dökümü'!$I$2:$I$2001,0),"")</ns0:f>
        <ns0:v/>
      </ns0:c>
    </ns0:row>
    <ns0:row r="707" ht="21" customHeight="1">
      <ns0:c r="A707" s="32" t="str">
        <ns0:f>IF($E707="","",INDEX('Banka Dökümü'!$A$2:$A$2001,$E707))</ns0:f>
        <ns0:v/>
      </ns0:c>
      <ns0:c r="B707" s="28" t="str">
        <ns0:f>IF($E707="","",INDEX('Banka Dökümü'!$B$2:$B$2001,$E707))</ns0:f>
        <ns0:v/>
      </ns0:c>
      <ns0:c r="C707" s="33" t="str">
        <ns0:f>IF($E707="","",INDEX('Banka Dökümü'!$C$2:$C$2001,$E707))</ns0:f>
        <ns0:v/>
      </ns0:c>
      <ns0:c r="D707" s="28" t="str">
        <ns0:f>IF(E707="","","Müşteri adı / aranacak ad / il bilgisini kontrol edin")</ns0:f>
        <ns0:v/>
      </ns0:c>
      <ns0:c r="E707" s="28" t="str">
        <ns0:f>IFERROR(MATCH(703,'Banka Dökümü'!$I$2:$I$2001,0),"")</ns0:f>
        <ns0:v/>
      </ns0:c>
    </ns0:row>
    <ns0:row r="708" ht="21" customHeight="1">
      <ns0:c r="A708" s="32" t="str">
        <ns0:f>IF($E708="","",INDEX('Banka Dökümü'!$A$2:$A$2001,$E708))</ns0:f>
        <ns0:v/>
      </ns0:c>
      <ns0:c r="B708" s="28" t="str">
        <ns0:f>IF($E708="","",INDEX('Banka Dökümü'!$B$2:$B$2001,$E708))</ns0:f>
        <ns0:v/>
      </ns0:c>
      <ns0:c r="C708" s="33" t="str">
        <ns0:f>IF($E708="","",INDEX('Banka Dökümü'!$C$2:$C$2001,$E708))</ns0:f>
        <ns0:v/>
      </ns0:c>
      <ns0:c r="D708" s="28" t="str">
        <ns0:f>IF(E708="","","Müşteri adı / aranacak ad / il bilgisini kontrol edin")</ns0:f>
        <ns0:v/>
      </ns0:c>
      <ns0:c r="E708" s="28" t="str">
        <ns0:f>IFERROR(MATCH(704,'Banka Dökümü'!$I$2:$I$2001,0),"")</ns0:f>
        <ns0:v/>
      </ns0:c>
    </ns0:row>
    <ns0:row r="709" ht="21" customHeight="1">
      <ns0:c r="A709" s="32" t="str">
        <ns0:f>IF($E709="","",INDEX('Banka Dökümü'!$A$2:$A$2001,$E709))</ns0:f>
        <ns0:v/>
      </ns0:c>
      <ns0:c r="B709" s="28" t="str">
        <ns0:f>IF($E709="","",INDEX('Banka Dökümü'!$B$2:$B$2001,$E709))</ns0:f>
        <ns0:v/>
      </ns0:c>
      <ns0:c r="C709" s="33" t="str">
        <ns0:f>IF($E709="","",INDEX('Banka Dökümü'!$C$2:$C$2001,$E709))</ns0:f>
        <ns0:v/>
      </ns0:c>
      <ns0:c r="D709" s="28" t="str">
        <ns0:f>IF(E709="","","Müşteri adı / aranacak ad / il bilgisini kontrol edin")</ns0:f>
        <ns0:v/>
      </ns0:c>
      <ns0:c r="E709" s="28" t="str">
        <ns0:f>IFERROR(MATCH(705,'Banka Dökümü'!$I$2:$I$2001,0),"")</ns0:f>
        <ns0:v/>
      </ns0:c>
    </ns0:row>
    <ns0:row r="710" ht="21" customHeight="1">
      <ns0:c r="A710" s="32" t="str">
        <ns0:f>IF($E710="","",INDEX('Banka Dökümü'!$A$2:$A$2001,$E710))</ns0:f>
        <ns0:v/>
      </ns0:c>
      <ns0:c r="B710" s="28" t="str">
        <ns0:f>IF($E710="","",INDEX('Banka Dökümü'!$B$2:$B$2001,$E710))</ns0:f>
        <ns0:v/>
      </ns0:c>
      <ns0:c r="C710" s="33" t="str">
        <ns0:f>IF($E710="","",INDEX('Banka Dökümü'!$C$2:$C$2001,$E710))</ns0:f>
        <ns0:v/>
      </ns0:c>
      <ns0:c r="D710" s="28" t="str">
        <ns0:f>IF(E710="","","Müşteri adı / aranacak ad / il bilgisini kontrol edin")</ns0:f>
        <ns0:v/>
      </ns0:c>
      <ns0:c r="E710" s="28" t="str">
        <ns0:f>IFERROR(MATCH(706,'Banka Dökümü'!$I$2:$I$2001,0),"")</ns0:f>
        <ns0:v/>
      </ns0:c>
    </ns0:row>
    <ns0:row r="711" ht="21" customHeight="1">
      <ns0:c r="A711" s="32" t="str">
        <ns0:f>IF($E711="","",INDEX('Banka Dökümü'!$A$2:$A$2001,$E711))</ns0:f>
        <ns0:v/>
      </ns0:c>
      <ns0:c r="B711" s="28" t="str">
        <ns0:f>IF($E711="","",INDEX('Banka Dökümü'!$B$2:$B$2001,$E711))</ns0:f>
        <ns0:v/>
      </ns0:c>
      <ns0:c r="C711" s="33" t="str">
        <ns0:f>IF($E711="","",INDEX('Banka Dökümü'!$C$2:$C$2001,$E711))</ns0:f>
        <ns0:v/>
      </ns0:c>
      <ns0:c r="D711" s="28" t="str">
        <ns0:f>IF(E711="","","Müşteri adı / aranacak ad / il bilgisini kontrol edin")</ns0:f>
        <ns0:v/>
      </ns0:c>
      <ns0:c r="E711" s="28" t="str">
        <ns0:f>IFERROR(MATCH(707,'Banka Dökümü'!$I$2:$I$2001,0),"")</ns0:f>
        <ns0:v/>
      </ns0:c>
    </ns0:row>
    <ns0:row r="712" ht="21" customHeight="1">
      <ns0:c r="A712" s="32" t="str">
        <ns0:f>IF($E712="","",INDEX('Banka Dökümü'!$A$2:$A$2001,$E712))</ns0:f>
        <ns0:v/>
      </ns0:c>
      <ns0:c r="B712" s="28" t="str">
        <ns0:f>IF($E712="","",INDEX('Banka Dökümü'!$B$2:$B$2001,$E712))</ns0:f>
        <ns0:v/>
      </ns0:c>
      <ns0:c r="C712" s="33" t="str">
        <ns0:f>IF($E712="","",INDEX('Banka Dökümü'!$C$2:$C$2001,$E712))</ns0:f>
        <ns0:v/>
      </ns0:c>
      <ns0:c r="D712" s="28" t="str">
        <ns0:f>IF(E712="","","Müşteri adı / aranacak ad / il bilgisini kontrol edin")</ns0:f>
        <ns0:v/>
      </ns0:c>
      <ns0:c r="E712" s="28" t="str">
        <ns0:f>IFERROR(MATCH(708,'Banka Dökümü'!$I$2:$I$2001,0),"")</ns0:f>
        <ns0:v/>
      </ns0:c>
    </ns0:row>
    <ns0:row r="713" ht="21" customHeight="1">
      <ns0:c r="A713" s="32" t="str">
        <ns0:f>IF($E713="","",INDEX('Banka Dökümü'!$A$2:$A$2001,$E713))</ns0:f>
        <ns0:v/>
      </ns0:c>
      <ns0:c r="B713" s="28" t="str">
        <ns0:f>IF($E713="","",INDEX('Banka Dökümü'!$B$2:$B$2001,$E713))</ns0:f>
        <ns0:v/>
      </ns0:c>
      <ns0:c r="C713" s="33" t="str">
        <ns0:f>IF($E713="","",INDEX('Banka Dökümü'!$C$2:$C$2001,$E713))</ns0:f>
        <ns0:v/>
      </ns0:c>
      <ns0:c r="D713" s="28" t="str">
        <ns0:f>IF(E713="","","Müşteri adı / aranacak ad / il bilgisini kontrol edin")</ns0:f>
        <ns0:v/>
      </ns0:c>
      <ns0:c r="E713" s="28" t="str">
        <ns0:f>IFERROR(MATCH(709,'Banka Dökümü'!$I$2:$I$2001,0),"")</ns0:f>
        <ns0:v/>
      </ns0:c>
    </ns0:row>
    <ns0:row r="714" ht="21" customHeight="1">
      <ns0:c r="A714" s="32" t="str">
        <ns0:f>IF($E714="","",INDEX('Banka Dökümü'!$A$2:$A$2001,$E714))</ns0:f>
        <ns0:v/>
      </ns0:c>
      <ns0:c r="B714" s="28" t="str">
        <ns0:f>IF($E714="","",INDEX('Banka Dökümü'!$B$2:$B$2001,$E714))</ns0:f>
        <ns0:v/>
      </ns0:c>
      <ns0:c r="C714" s="33" t="str">
        <ns0:f>IF($E714="","",INDEX('Banka Dökümü'!$C$2:$C$2001,$E714))</ns0:f>
        <ns0:v/>
      </ns0:c>
      <ns0:c r="D714" s="28" t="str">
        <ns0:f>IF(E714="","","Müşteri adı / aranacak ad / il bilgisini kontrol edin")</ns0:f>
        <ns0:v/>
      </ns0:c>
      <ns0:c r="E714" s="28" t="str">
        <ns0:f>IFERROR(MATCH(710,'Banka Dökümü'!$I$2:$I$2001,0),"")</ns0:f>
        <ns0:v/>
      </ns0:c>
    </ns0:row>
    <ns0:row r="715" ht="21" customHeight="1">
      <ns0:c r="A715" s="32" t="str">
        <ns0:f>IF($E715="","",INDEX('Banka Dökümü'!$A$2:$A$2001,$E715))</ns0:f>
        <ns0:v/>
      </ns0:c>
      <ns0:c r="B715" s="28" t="str">
        <ns0:f>IF($E715="","",INDEX('Banka Dökümü'!$B$2:$B$2001,$E715))</ns0:f>
        <ns0:v/>
      </ns0:c>
      <ns0:c r="C715" s="33" t="str">
        <ns0:f>IF($E715="","",INDEX('Banka Dökümü'!$C$2:$C$2001,$E715))</ns0:f>
        <ns0:v/>
      </ns0:c>
      <ns0:c r="D715" s="28" t="str">
        <ns0:f>IF(E715="","","Müşteri adı / aranacak ad / il bilgisini kontrol edin")</ns0:f>
        <ns0:v/>
      </ns0:c>
      <ns0:c r="E715" s="28" t="str">
        <ns0:f>IFERROR(MATCH(711,'Banka Dökümü'!$I$2:$I$2001,0),"")</ns0:f>
        <ns0:v/>
      </ns0:c>
    </ns0:row>
    <ns0:row r="716" ht="21" customHeight="1">
      <ns0:c r="A716" s="32" t="str">
        <ns0:f>IF($E716="","",INDEX('Banka Dökümü'!$A$2:$A$2001,$E716))</ns0:f>
        <ns0:v/>
      </ns0:c>
      <ns0:c r="B716" s="28" t="str">
        <ns0:f>IF($E716="","",INDEX('Banka Dökümü'!$B$2:$B$2001,$E716))</ns0:f>
        <ns0:v/>
      </ns0:c>
      <ns0:c r="C716" s="33" t="str">
        <ns0:f>IF($E716="","",INDEX('Banka Dökümü'!$C$2:$C$2001,$E716))</ns0:f>
        <ns0:v/>
      </ns0:c>
      <ns0:c r="D716" s="28" t="str">
        <ns0:f>IF(E716="","","Müşteri adı / aranacak ad / il bilgisini kontrol edin")</ns0:f>
        <ns0:v/>
      </ns0:c>
      <ns0:c r="E716" s="28" t="str">
        <ns0:f>IFERROR(MATCH(712,'Banka Dökümü'!$I$2:$I$2001,0),"")</ns0:f>
        <ns0:v/>
      </ns0:c>
    </ns0:row>
    <ns0:row r="717" ht="21" customHeight="1">
      <ns0:c r="A717" s="32" t="str">
        <ns0:f>IF($E717="","",INDEX('Banka Dökümü'!$A$2:$A$2001,$E717))</ns0:f>
        <ns0:v/>
      </ns0:c>
      <ns0:c r="B717" s="28" t="str">
        <ns0:f>IF($E717="","",INDEX('Banka Dökümü'!$B$2:$B$2001,$E717))</ns0:f>
        <ns0:v/>
      </ns0:c>
      <ns0:c r="C717" s="33" t="str">
        <ns0:f>IF($E717="","",INDEX('Banka Dökümü'!$C$2:$C$2001,$E717))</ns0:f>
        <ns0:v/>
      </ns0:c>
      <ns0:c r="D717" s="28" t="str">
        <ns0:f>IF(E717="","","Müşteri adı / aranacak ad / il bilgisini kontrol edin")</ns0:f>
        <ns0:v/>
      </ns0:c>
      <ns0:c r="E717" s="28" t="str">
        <ns0:f>IFERROR(MATCH(713,'Banka Dökümü'!$I$2:$I$2001,0),"")</ns0:f>
        <ns0:v/>
      </ns0:c>
    </ns0:row>
    <ns0:row r="718" ht="21" customHeight="1">
      <ns0:c r="A718" s="32" t="str">
        <ns0:f>IF($E718="","",INDEX('Banka Dökümü'!$A$2:$A$2001,$E718))</ns0:f>
        <ns0:v/>
      </ns0:c>
      <ns0:c r="B718" s="28" t="str">
        <ns0:f>IF($E718="","",INDEX('Banka Dökümü'!$B$2:$B$2001,$E718))</ns0:f>
        <ns0:v/>
      </ns0:c>
      <ns0:c r="C718" s="33" t="str">
        <ns0:f>IF($E718="","",INDEX('Banka Dökümü'!$C$2:$C$2001,$E718))</ns0:f>
        <ns0:v/>
      </ns0:c>
      <ns0:c r="D718" s="28" t="str">
        <ns0:f>IF(E718="","","Müşteri adı / aranacak ad / il bilgisini kontrol edin")</ns0:f>
        <ns0:v/>
      </ns0:c>
      <ns0:c r="E718" s="28" t="str">
        <ns0:f>IFERROR(MATCH(714,'Banka Dökümü'!$I$2:$I$2001,0),"")</ns0:f>
        <ns0:v/>
      </ns0:c>
    </ns0:row>
    <ns0:row r="719" ht="21" customHeight="1">
      <ns0:c r="A719" s="32" t="str">
        <ns0:f>IF($E719="","",INDEX('Banka Dökümü'!$A$2:$A$2001,$E719))</ns0:f>
        <ns0:v/>
      </ns0:c>
      <ns0:c r="B719" s="28" t="str">
        <ns0:f>IF($E719="","",INDEX('Banka Dökümü'!$B$2:$B$2001,$E719))</ns0:f>
        <ns0:v/>
      </ns0:c>
      <ns0:c r="C719" s="33" t="str">
        <ns0:f>IF($E719="","",INDEX('Banka Dökümü'!$C$2:$C$2001,$E719))</ns0:f>
        <ns0:v/>
      </ns0:c>
      <ns0:c r="D719" s="28" t="str">
        <ns0:f>IF(E719="","","Müşteri adı / aranacak ad / il bilgisini kontrol edin")</ns0:f>
        <ns0:v/>
      </ns0:c>
      <ns0:c r="E719" s="28" t="str">
        <ns0:f>IFERROR(MATCH(715,'Banka Dökümü'!$I$2:$I$2001,0),"")</ns0:f>
        <ns0:v/>
      </ns0:c>
    </ns0:row>
    <ns0:row r="720" ht="21" customHeight="1">
      <ns0:c r="A720" s="32" t="str">
        <ns0:f>IF($E720="","",INDEX('Banka Dökümü'!$A$2:$A$2001,$E720))</ns0:f>
        <ns0:v/>
      </ns0:c>
      <ns0:c r="B720" s="28" t="str">
        <ns0:f>IF($E720="","",INDEX('Banka Dökümü'!$B$2:$B$2001,$E720))</ns0:f>
        <ns0:v/>
      </ns0:c>
      <ns0:c r="C720" s="33" t="str">
        <ns0:f>IF($E720="","",INDEX('Banka Dökümü'!$C$2:$C$2001,$E720))</ns0:f>
        <ns0:v/>
      </ns0:c>
      <ns0:c r="D720" s="28" t="str">
        <ns0:f>IF(E720="","","Müşteri adı / aranacak ad / il bilgisini kontrol edin")</ns0:f>
        <ns0:v/>
      </ns0:c>
      <ns0:c r="E720" s="28" t="str">
        <ns0:f>IFERROR(MATCH(716,'Banka Dökümü'!$I$2:$I$2001,0),"")</ns0:f>
        <ns0:v/>
      </ns0:c>
    </ns0:row>
    <ns0:row r="721" ht="21" customHeight="1">
      <ns0:c r="A721" s="32" t="str">
        <ns0:f>IF($E721="","",INDEX('Banka Dökümü'!$A$2:$A$2001,$E721))</ns0:f>
        <ns0:v/>
      </ns0:c>
      <ns0:c r="B721" s="28" t="str">
        <ns0:f>IF($E721="","",INDEX('Banka Dökümü'!$B$2:$B$2001,$E721))</ns0:f>
        <ns0:v/>
      </ns0:c>
      <ns0:c r="C721" s="33" t="str">
        <ns0:f>IF($E721="","",INDEX('Banka Dökümü'!$C$2:$C$2001,$E721))</ns0:f>
        <ns0:v/>
      </ns0:c>
      <ns0:c r="D721" s="28" t="str">
        <ns0:f>IF(E721="","","Müşteri adı / aranacak ad / il bilgisini kontrol edin")</ns0:f>
        <ns0:v/>
      </ns0:c>
      <ns0:c r="E721" s="28" t="str">
        <ns0:f>IFERROR(MATCH(717,'Banka Dökümü'!$I$2:$I$2001,0),"")</ns0:f>
        <ns0:v/>
      </ns0:c>
    </ns0:row>
    <ns0:row r="722" ht="21" customHeight="1">
      <ns0:c r="A722" s="32" t="str">
        <ns0:f>IF($E722="","",INDEX('Banka Dökümü'!$A$2:$A$2001,$E722))</ns0:f>
        <ns0:v/>
      </ns0:c>
      <ns0:c r="B722" s="28" t="str">
        <ns0:f>IF($E722="","",INDEX('Banka Dökümü'!$B$2:$B$2001,$E722))</ns0:f>
        <ns0:v/>
      </ns0:c>
      <ns0:c r="C722" s="33" t="str">
        <ns0:f>IF($E722="","",INDEX('Banka Dökümü'!$C$2:$C$2001,$E722))</ns0:f>
        <ns0:v/>
      </ns0:c>
      <ns0:c r="D722" s="28" t="str">
        <ns0:f>IF(E722="","","Müşteri adı / aranacak ad / il bilgisini kontrol edin")</ns0:f>
        <ns0:v/>
      </ns0:c>
      <ns0:c r="E722" s="28" t="str">
        <ns0:f>IFERROR(MATCH(718,'Banka Dökümü'!$I$2:$I$2001,0),"")</ns0:f>
        <ns0:v/>
      </ns0:c>
    </ns0:row>
    <ns0:row r="723" ht="21" customHeight="1">
      <ns0:c r="A723" s="32" t="str">
        <ns0:f>IF($E723="","",INDEX('Banka Dökümü'!$A$2:$A$2001,$E723))</ns0:f>
        <ns0:v/>
      </ns0:c>
      <ns0:c r="B723" s="28" t="str">
        <ns0:f>IF($E723="","",INDEX('Banka Dökümü'!$B$2:$B$2001,$E723))</ns0:f>
        <ns0:v/>
      </ns0:c>
      <ns0:c r="C723" s="33" t="str">
        <ns0:f>IF($E723="","",INDEX('Banka Dökümü'!$C$2:$C$2001,$E723))</ns0:f>
        <ns0:v/>
      </ns0:c>
      <ns0:c r="D723" s="28" t="str">
        <ns0:f>IF(E723="","","Müşteri adı / aranacak ad / il bilgisini kontrol edin")</ns0:f>
        <ns0:v/>
      </ns0:c>
      <ns0:c r="E723" s="28" t="str">
        <ns0:f>IFERROR(MATCH(719,'Banka Dökümü'!$I$2:$I$2001,0),"")</ns0:f>
        <ns0:v/>
      </ns0:c>
    </ns0:row>
    <ns0:row r="724" ht="21" customHeight="1">
      <ns0:c r="A724" s="32" t="str">
        <ns0:f>IF($E724="","",INDEX('Banka Dökümü'!$A$2:$A$2001,$E724))</ns0:f>
        <ns0:v/>
      </ns0:c>
      <ns0:c r="B724" s="28" t="str">
        <ns0:f>IF($E724="","",INDEX('Banka Dökümü'!$B$2:$B$2001,$E724))</ns0:f>
        <ns0:v/>
      </ns0:c>
      <ns0:c r="C724" s="33" t="str">
        <ns0:f>IF($E724="","",INDEX('Banka Dökümü'!$C$2:$C$2001,$E724))</ns0:f>
        <ns0:v/>
      </ns0:c>
      <ns0:c r="D724" s="28" t="str">
        <ns0:f>IF(E724="","","Müşteri adı / aranacak ad / il bilgisini kontrol edin")</ns0:f>
        <ns0:v/>
      </ns0:c>
      <ns0:c r="E724" s="28" t="str">
        <ns0:f>IFERROR(MATCH(720,'Banka Dökümü'!$I$2:$I$2001,0),"")</ns0:f>
        <ns0:v/>
      </ns0:c>
    </ns0:row>
    <ns0:row r="725" ht="21" customHeight="1">
      <ns0:c r="A725" s="32" t="str">
        <ns0:f>IF($E725="","",INDEX('Banka Dökümü'!$A$2:$A$2001,$E725))</ns0:f>
        <ns0:v/>
      </ns0:c>
      <ns0:c r="B725" s="28" t="str">
        <ns0:f>IF($E725="","",INDEX('Banka Dökümü'!$B$2:$B$2001,$E725))</ns0:f>
        <ns0:v/>
      </ns0:c>
      <ns0:c r="C725" s="33" t="str">
        <ns0:f>IF($E725="","",INDEX('Banka Dökümü'!$C$2:$C$2001,$E725))</ns0:f>
        <ns0:v/>
      </ns0:c>
      <ns0:c r="D725" s="28" t="str">
        <ns0:f>IF(E725="","","Müşteri adı / aranacak ad / il bilgisini kontrol edin")</ns0:f>
        <ns0:v/>
      </ns0:c>
      <ns0:c r="E725" s="28" t="str">
        <ns0:f>IFERROR(MATCH(721,'Banka Dökümü'!$I$2:$I$2001,0),"")</ns0:f>
        <ns0:v/>
      </ns0:c>
    </ns0:row>
    <ns0:row r="726" ht="21" customHeight="1">
      <ns0:c r="A726" s="32" t="str">
        <ns0:f>IF($E726="","",INDEX('Banka Dökümü'!$A$2:$A$2001,$E726))</ns0:f>
        <ns0:v/>
      </ns0:c>
      <ns0:c r="B726" s="28" t="str">
        <ns0:f>IF($E726="","",INDEX('Banka Dökümü'!$B$2:$B$2001,$E726))</ns0:f>
        <ns0:v/>
      </ns0:c>
      <ns0:c r="C726" s="33" t="str">
        <ns0:f>IF($E726="","",INDEX('Banka Dökümü'!$C$2:$C$2001,$E726))</ns0:f>
        <ns0:v/>
      </ns0:c>
      <ns0:c r="D726" s="28" t="str">
        <ns0:f>IF(E726="","","Müşteri adı / aranacak ad / il bilgisini kontrol edin")</ns0:f>
        <ns0:v/>
      </ns0:c>
      <ns0:c r="E726" s="28" t="str">
        <ns0:f>IFERROR(MATCH(722,'Banka Dökümü'!$I$2:$I$2001,0),"")</ns0:f>
        <ns0:v/>
      </ns0:c>
    </ns0:row>
    <ns0:row r="727" ht="21" customHeight="1">
      <ns0:c r="A727" s="32" t="str">
        <ns0:f>IF($E727="","",INDEX('Banka Dökümü'!$A$2:$A$2001,$E727))</ns0:f>
        <ns0:v/>
      </ns0:c>
      <ns0:c r="B727" s="28" t="str">
        <ns0:f>IF($E727="","",INDEX('Banka Dökümü'!$B$2:$B$2001,$E727))</ns0:f>
        <ns0:v/>
      </ns0:c>
      <ns0:c r="C727" s="33" t="str">
        <ns0:f>IF($E727="","",INDEX('Banka Dökümü'!$C$2:$C$2001,$E727))</ns0:f>
        <ns0:v/>
      </ns0:c>
      <ns0:c r="D727" s="28" t="str">
        <ns0:f>IF(E727="","","Müşteri adı / aranacak ad / il bilgisini kontrol edin")</ns0:f>
        <ns0:v/>
      </ns0:c>
      <ns0:c r="E727" s="28" t="str">
        <ns0:f>IFERROR(MATCH(723,'Banka Dökümü'!$I$2:$I$2001,0),"")</ns0:f>
        <ns0:v/>
      </ns0:c>
    </ns0:row>
    <ns0:row r="728" ht="21" customHeight="1">
      <ns0:c r="A728" s="32" t="str">
        <ns0:f>IF($E728="","",INDEX('Banka Dökümü'!$A$2:$A$2001,$E728))</ns0:f>
        <ns0:v/>
      </ns0:c>
      <ns0:c r="B728" s="28" t="str">
        <ns0:f>IF($E728="","",INDEX('Banka Dökümü'!$B$2:$B$2001,$E728))</ns0:f>
        <ns0:v/>
      </ns0:c>
      <ns0:c r="C728" s="33" t="str">
        <ns0:f>IF($E728="","",INDEX('Banka Dökümü'!$C$2:$C$2001,$E728))</ns0:f>
        <ns0:v/>
      </ns0:c>
      <ns0:c r="D728" s="28" t="str">
        <ns0:f>IF(E728="","","Müşteri adı / aranacak ad / il bilgisini kontrol edin")</ns0:f>
        <ns0:v/>
      </ns0:c>
      <ns0:c r="E728" s="28" t="str">
        <ns0:f>IFERROR(MATCH(724,'Banka Dökümü'!$I$2:$I$2001,0),"")</ns0:f>
        <ns0:v/>
      </ns0:c>
    </ns0:row>
    <ns0:row r="729" ht="21" customHeight="1">
      <ns0:c r="A729" s="32" t="str">
        <ns0:f>IF($E729="","",INDEX('Banka Dökümü'!$A$2:$A$2001,$E729))</ns0:f>
        <ns0:v/>
      </ns0:c>
      <ns0:c r="B729" s="28" t="str">
        <ns0:f>IF($E729="","",INDEX('Banka Dökümü'!$B$2:$B$2001,$E729))</ns0:f>
        <ns0:v/>
      </ns0:c>
      <ns0:c r="C729" s="33" t="str">
        <ns0:f>IF($E729="","",INDEX('Banka Dökümü'!$C$2:$C$2001,$E729))</ns0:f>
        <ns0:v/>
      </ns0:c>
      <ns0:c r="D729" s="28" t="str">
        <ns0:f>IF(E729="","","Müşteri adı / aranacak ad / il bilgisini kontrol edin")</ns0:f>
        <ns0:v/>
      </ns0:c>
      <ns0:c r="E729" s="28" t="str">
        <ns0:f>IFERROR(MATCH(725,'Banka Dökümü'!$I$2:$I$2001,0),"")</ns0:f>
        <ns0:v/>
      </ns0:c>
    </ns0:row>
    <ns0:row r="730" ht="21" customHeight="1">
      <ns0:c r="A730" s="32" t="str">
        <ns0:f>IF($E730="","",INDEX('Banka Dökümü'!$A$2:$A$2001,$E730))</ns0:f>
        <ns0:v/>
      </ns0:c>
      <ns0:c r="B730" s="28" t="str">
        <ns0:f>IF($E730="","",INDEX('Banka Dökümü'!$B$2:$B$2001,$E730))</ns0:f>
        <ns0:v/>
      </ns0:c>
      <ns0:c r="C730" s="33" t="str">
        <ns0:f>IF($E730="","",INDEX('Banka Dökümü'!$C$2:$C$2001,$E730))</ns0:f>
        <ns0:v/>
      </ns0:c>
      <ns0:c r="D730" s="28" t="str">
        <ns0:f>IF(E730="","","Müşteri adı / aranacak ad / il bilgisini kontrol edin")</ns0:f>
        <ns0:v/>
      </ns0:c>
      <ns0:c r="E730" s="28" t="str">
        <ns0:f>IFERROR(MATCH(726,'Banka Dökümü'!$I$2:$I$2001,0),"")</ns0:f>
        <ns0:v/>
      </ns0:c>
    </ns0:row>
    <ns0:row r="731" ht="21" customHeight="1">
      <ns0:c r="A731" s="32" t="str">
        <ns0:f>IF($E731="","",INDEX('Banka Dökümü'!$A$2:$A$2001,$E731))</ns0:f>
        <ns0:v/>
      </ns0:c>
      <ns0:c r="B731" s="28" t="str">
        <ns0:f>IF($E731="","",INDEX('Banka Dökümü'!$B$2:$B$2001,$E731))</ns0:f>
        <ns0:v/>
      </ns0:c>
      <ns0:c r="C731" s="33" t="str">
        <ns0:f>IF($E731="","",INDEX('Banka Dökümü'!$C$2:$C$2001,$E731))</ns0:f>
        <ns0:v/>
      </ns0:c>
      <ns0:c r="D731" s="28" t="str">
        <ns0:f>IF(E731="","","Müşteri adı / aranacak ad / il bilgisini kontrol edin")</ns0:f>
        <ns0:v/>
      </ns0:c>
      <ns0:c r="E731" s="28" t="str">
        <ns0:f>IFERROR(MATCH(727,'Banka Dökümü'!$I$2:$I$2001,0),"")</ns0:f>
        <ns0:v/>
      </ns0:c>
    </ns0:row>
    <ns0:row r="732" ht="21" customHeight="1">
      <ns0:c r="A732" s="32" t="str">
        <ns0:f>IF($E732="","",INDEX('Banka Dökümü'!$A$2:$A$2001,$E732))</ns0:f>
        <ns0:v/>
      </ns0:c>
      <ns0:c r="B732" s="28" t="str">
        <ns0:f>IF($E732="","",INDEX('Banka Dökümü'!$B$2:$B$2001,$E732))</ns0:f>
        <ns0:v/>
      </ns0:c>
      <ns0:c r="C732" s="33" t="str">
        <ns0:f>IF($E732="","",INDEX('Banka Dökümü'!$C$2:$C$2001,$E732))</ns0:f>
        <ns0:v/>
      </ns0:c>
      <ns0:c r="D732" s="28" t="str">
        <ns0:f>IF(E732="","","Müşteri adı / aranacak ad / il bilgisini kontrol edin")</ns0:f>
        <ns0:v/>
      </ns0:c>
      <ns0:c r="E732" s="28" t="str">
        <ns0:f>IFERROR(MATCH(728,'Banka Dökümü'!$I$2:$I$2001,0),"")</ns0:f>
        <ns0:v/>
      </ns0:c>
    </ns0:row>
    <ns0:row r="733" ht="21" customHeight="1">
      <ns0:c r="A733" s="32" t="str">
        <ns0:f>IF($E733="","",INDEX('Banka Dökümü'!$A$2:$A$2001,$E733))</ns0:f>
        <ns0:v/>
      </ns0:c>
      <ns0:c r="B733" s="28" t="str">
        <ns0:f>IF($E733="","",INDEX('Banka Dökümü'!$B$2:$B$2001,$E733))</ns0:f>
        <ns0:v/>
      </ns0:c>
      <ns0:c r="C733" s="33" t="str">
        <ns0:f>IF($E733="","",INDEX('Banka Dökümü'!$C$2:$C$2001,$E733))</ns0:f>
        <ns0:v/>
      </ns0:c>
      <ns0:c r="D733" s="28" t="str">
        <ns0:f>IF(E733="","","Müşteri adı / aranacak ad / il bilgisini kontrol edin")</ns0:f>
        <ns0:v/>
      </ns0:c>
      <ns0:c r="E733" s="28" t="str">
        <ns0:f>IFERROR(MATCH(729,'Banka Dökümü'!$I$2:$I$2001,0),"")</ns0:f>
        <ns0:v/>
      </ns0:c>
    </ns0:row>
    <ns0:row r="734" ht="21" customHeight="1">
      <ns0:c r="A734" s="32" t="str">
        <ns0:f>IF($E734="","",INDEX('Banka Dökümü'!$A$2:$A$2001,$E734))</ns0:f>
        <ns0:v/>
      </ns0:c>
      <ns0:c r="B734" s="28" t="str">
        <ns0:f>IF($E734="","",INDEX('Banka Dökümü'!$B$2:$B$2001,$E734))</ns0:f>
        <ns0:v/>
      </ns0:c>
      <ns0:c r="C734" s="33" t="str">
        <ns0:f>IF($E734="","",INDEX('Banka Dökümü'!$C$2:$C$2001,$E734))</ns0:f>
        <ns0:v/>
      </ns0:c>
      <ns0:c r="D734" s="28" t="str">
        <ns0:f>IF(E734="","","Müşteri adı / aranacak ad / il bilgisini kontrol edin")</ns0:f>
        <ns0:v/>
      </ns0:c>
      <ns0:c r="E734" s="28" t="str">
        <ns0:f>IFERROR(MATCH(730,'Banka Dökümü'!$I$2:$I$2001,0),"")</ns0:f>
        <ns0:v/>
      </ns0:c>
    </ns0:row>
    <ns0:row r="735" ht="21" customHeight="1">
      <ns0:c r="A735" s="32" t="str">
        <ns0:f>IF($E735="","",INDEX('Banka Dökümü'!$A$2:$A$2001,$E735))</ns0:f>
        <ns0:v/>
      </ns0:c>
      <ns0:c r="B735" s="28" t="str">
        <ns0:f>IF($E735="","",INDEX('Banka Dökümü'!$B$2:$B$2001,$E735))</ns0:f>
        <ns0:v/>
      </ns0:c>
      <ns0:c r="C735" s="33" t="str">
        <ns0:f>IF($E735="","",INDEX('Banka Dökümü'!$C$2:$C$2001,$E735))</ns0:f>
        <ns0:v/>
      </ns0:c>
      <ns0:c r="D735" s="28" t="str">
        <ns0:f>IF(E735="","","Müşteri adı / aranacak ad / il bilgisini kontrol edin")</ns0:f>
        <ns0:v/>
      </ns0:c>
      <ns0:c r="E735" s="28" t="str">
        <ns0:f>IFERROR(MATCH(731,'Banka Dökümü'!$I$2:$I$2001,0),"")</ns0:f>
        <ns0:v/>
      </ns0:c>
    </ns0:row>
    <ns0:row r="736" ht="21" customHeight="1">
      <ns0:c r="A736" s="32" t="str">
        <ns0:f>IF($E736="","",INDEX('Banka Dökümü'!$A$2:$A$2001,$E736))</ns0:f>
        <ns0:v/>
      </ns0:c>
      <ns0:c r="B736" s="28" t="str">
        <ns0:f>IF($E736="","",INDEX('Banka Dökümü'!$B$2:$B$2001,$E736))</ns0:f>
        <ns0:v/>
      </ns0:c>
      <ns0:c r="C736" s="33" t="str">
        <ns0:f>IF($E736="","",INDEX('Banka Dökümü'!$C$2:$C$2001,$E736))</ns0:f>
        <ns0:v/>
      </ns0:c>
      <ns0:c r="D736" s="28" t="str">
        <ns0:f>IF(E736="","","Müşteri adı / aranacak ad / il bilgisini kontrol edin")</ns0:f>
        <ns0:v/>
      </ns0:c>
      <ns0:c r="E736" s="28" t="str">
        <ns0:f>IFERROR(MATCH(732,'Banka Dökümü'!$I$2:$I$2001,0),"")</ns0:f>
        <ns0:v/>
      </ns0:c>
    </ns0:row>
    <ns0:row r="737" ht="21" customHeight="1">
      <ns0:c r="A737" s="32" t="str">
        <ns0:f>IF($E737="","",INDEX('Banka Dökümü'!$A$2:$A$2001,$E737))</ns0:f>
        <ns0:v/>
      </ns0:c>
      <ns0:c r="B737" s="28" t="str">
        <ns0:f>IF($E737="","",INDEX('Banka Dökümü'!$B$2:$B$2001,$E737))</ns0:f>
        <ns0:v/>
      </ns0:c>
      <ns0:c r="C737" s="33" t="str">
        <ns0:f>IF($E737="","",INDEX('Banka Dökümü'!$C$2:$C$2001,$E737))</ns0:f>
        <ns0:v/>
      </ns0:c>
      <ns0:c r="D737" s="28" t="str">
        <ns0:f>IF(E737="","","Müşteri adı / aranacak ad / il bilgisini kontrol edin")</ns0:f>
        <ns0:v/>
      </ns0:c>
      <ns0:c r="E737" s="28" t="str">
        <ns0:f>IFERROR(MATCH(733,'Banka Dökümü'!$I$2:$I$2001,0),"")</ns0:f>
        <ns0:v/>
      </ns0:c>
    </ns0:row>
    <ns0:row r="738" ht="21" customHeight="1">
      <ns0:c r="A738" s="32" t="str">
        <ns0:f>IF($E738="","",INDEX('Banka Dökümü'!$A$2:$A$2001,$E738))</ns0:f>
        <ns0:v/>
      </ns0:c>
      <ns0:c r="B738" s="28" t="str">
        <ns0:f>IF($E738="","",INDEX('Banka Dökümü'!$B$2:$B$2001,$E738))</ns0:f>
        <ns0:v/>
      </ns0:c>
      <ns0:c r="C738" s="33" t="str">
        <ns0:f>IF($E738="","",INDEX('Banka Dökümü'!$C$2:$C$2001,$E738))</ns0:f>
        <ns0:v/>
      </ns0:c>
      <ns0:c r="D738" s="28" t="str">
        <ns0:f>IF(E738="","","Müşteri adı / aranacak ad / il bilgisini kontrol edin")</ns0:f>
        <ns0:v/>
      </ns0:c>
      <ns0:c r="E738" s="28" t="str">
        <ns0:f>IFERROR(MATCH(734,'Banka Dökümü'!$I$2:$I$2001,0),"")</ns0:f>
        <ns0:v/>
      </ns0:c>
    </ns0:row>
    <ns0:row r="739" ht="21" customHeight="1">
      <ns0:c r="A739" s="32" t="str">
        <ns0:f>IF($E739="","",INDEX('Banka Dökümü'!$A$2:$A$2001,$E739))</ns0:f>
        <ns0:v/>
      </ns0:c>
      <ns0:c r="B739" s="28" t="str">
        <ns0:f>IF($E739="","",INDEX('Banka Dökümü'!$B$2:$B$2001,$E739))</ns0:f>
        <ns0:v/>
      </ns0:c>
      <ns0:c r="C739" s="33" t="str">
        <ns0:f>IF($E739="","",INDEX('Banka Dökümü'!$C$2:$C$2001,$E739))</ns0:f>
        <ns0:v/>
      </ns0:c>
      <ns0:c r="D739" s="28" t="str">
        <ns0:f>IF(E739="","","Müşteri adı / aranacak ad / il bilgisini kontrol edin")</ns0:f>
        <ns0:v/>
      </ns0:c>
      <ns0:c r="E739" s="28" t="str">
        <ns0:f>IFERROR(MATCH(735,'Banka Dökümü'!$I$2:$I$2001,0),"")</ns0:f>
        <ns0:v/>
      </ns0:c>
    </ns0:row>
    <ns0:row r="740" ht="21" customHeight="1">
      <ns0:c r="A740" s="32" t="str">
        <ns0:f>IF($E740="","",INDEX('Banka Dökümü'!$A$2:$A$2001,$E740))</ns0:f>
        <ns0:v/>
      </ns0:c>
      <ns0:c r="B740" s="28" t="str">
        <ns0:f>IF($E740="","",INDEX('Banka Dökümü'!$B$2:$B$2001,$E740))</ns0:f>
        <ns0:v/>
      </ns0:c>
      <ns0:c r="C740" s="33" t="str">
        <ns0:f>IF($E740="","",INDEX('Banka Dökümü'!$C$2:$C$2001,$E740))</ns0:f>
        <ns0:v/>
      </ns0:c>
      <ns0:c r="D740" s="28" t="str">
        <ns0:f>IF(E740="","","Müşteri adı / aranacak ad / il bilgisini kontrol edin")</ns0:f>
        <ns0:v/>
      </ns0:c>
      <ns0:c r="E740" s="28" t="str">
        <ns0:f>IFERROR(MATCH(736,'Banka Dökümü'!$I$2:$I$2001,0),"")</ns0:f>
        <ns0:v/>
      </ns0:c>
    </ns0:row>
    <ns0:row r="741" ht="21" customHeight="1">
      <ns0:c r="A741" s="32" t="str">
        <ns0:f>IF($E741="","",INDEX('Banka Dökümü'!$A$2:$A$2001,$E741))</ns0:f>
        <ns0:v/>
      </ns0:c>
      <ns0:c r="B741" s="28" t="str">
        <ns0:f>IF($E741="","",INDEX('Banka Dökümü'!$B$2:$B$2001,$E741))</ns0:f>
        <ns0:v/>
      </ns0:c>
      <ns0:c r="C741" s="33" t="str">
        <ns0:f>IF($E741="","",INDEX('Banka Dökümü'!$C$2:$C$2001,$E741))</ns0:f>
        <ns0:v/>
      </ns0:c>
      <ns0:c r="D741" s="28" t="str">
        <ns0:f>IF(E741="","","Müşteri adı / aranacak ad / il bilgisini kontrol edin")</ns0:f>
        <ns0:v/>
      </ns0:c>
      <ns0:c r="E741" s="28" t="str">
        <ns0:f>IFERROR(MATCH(737,'Banka Dökümü'!$I$2:$I$2001,0),"")</ns0:f>
        <ns0:v/>
      </ns0:c>
    </ns0:row>
    <ns0:row r="742" ht="21" customHeight="1">
      <ns0:c r="A742" s="32" t="str">
        <ns0:f>IF($E742="","",INDEX('Banka Dökümü'!$A$2:$A$2001,$E742))</ns0:f>
        <ns0:v/>
      </ns0:c>
      <ns0:c r="B742" s="28" t="str">
        <ns0:f>IF($E742="","",INDEX('Banka Dökümü'!$B$2:$B$2001,$E742))</ns0:f>
        <ns0:v/>
      </ns0:c>
      <ns0:c r="C742" s="33" t="str">
        <ns0:f>IF($E742="","",INDEX('Banka Dökümü'!$C$2:$C$2001,$E742))</ns0:f>
        <ns0:v/>
      </ns0:c>
      <ns0:c r="D742" s="28" t="str">
        <ns0:f>IF(E742="","","Müşteri adı / aranacak ad / il bilgisini kontrol edin")</ns0:f>
        <ns0:v/>
      </ns0:c>
      <ns0:c r="E742" s="28" t="str">
        <ns0:f>IFERROR(MATCH(738,'Banka Dökümü'!$I$2:$I$2001,0),"")</ns0:f>
        <ns0:v/>
      </ns0:c>
    </ns0:row>
    <ns0:row r="743" ht="21" customHeight="1">
      <ns0:c r="A743" s="32" t="str">
        <ns0:f>IF($E743="","",INDEX('Banka Dökümü'!$A$2:$A$2001,$E743))</ns0:f>
        <ns0:v/>
      </ns0:c>
      <ns0:c r="B743" s="28" t="str">
        <ns0:f>IF($E743="","",INDEX('Banka Dökümü'!$B$2:$B$2001,$E743))</ns0:f>
        <ns0:v/>
      </ns0:c>
      <ns0:c r="C743" s="33" t="str">
        <ns0:f>IF($E743="","",INDEX('Banka Dökümü'!$C$2:$C$2001,$E743))</ns0:f>
        <ns0:v/>
      </ns0:c>
      <ns0:c r="D743" s="28" t="str">
        <ns0:f>IF(E743="","","Müşteri adı / aranacak ad / il bilgisini kontrol edin")</ns0:f>
        <ns0:v/>
      </ns0:c>
      <ns0:c r="E743" s="28" t="str">
        <ns0:f>IFERROR(MATCH(739,'Banka Dökümü'!$I$2:$I$2001,0),"")</ns0:f>
        <ns0:v/>
      </ns0:c>
    </ns0:row>
    <ns0:row r="744" ht="21" customHeight="1">
      <ns0:c r="A744" s="32" t="str">
        <ns0:f>IF($E744="","",INDEX('Banka Dökümü'!$A$2:$A$2001,$E744))</ns0:f>
        <ns0:v/>
      </ns0:c>
      <ns0:c r="B744" s="28" t="str">
        <ns0:f>IF($E744="","",INDEX('Banka Dökümü'!$B$2:$B$2001,$E744))</ns0:f>
        <ns0:v/>
      </ns0:c>
      <ns0:c r="C744" s="33" t="str">
        <ns0:f>IF($E744="","",INDEX('Banka Dökümü'!$C$2:$C$2001,$E744))</ns0:f>
        <ns0:v/>
      </ns0:c>
      <ns0:c r="D744" s="28" t="str">
        <ns0:f>IF(E744="","","Müşteri adı / aranacak ad / il bilgisini kontrol edin")</ns0:f>
        <ns0:v/>
      </ns0:c>
      <ns0:c r="E744" s="28" t="str">
        <ns0:f>IFERROR(MATCH(740,'Banka Dökümü'!$I$2:$I$2001,0),"")</ns0:f>
        <ns0:v/>
      </ns0:c>
    </ns0:row>
    <ns0:row r="745" ht="21" customHeight="1">
      <ns0:c r="A745" s="32" t="str">
        <ns0:f>IF($E745="","",INDEX('Banka Dökümü'!$A$2:$A$2001,$E745))</ns0:f>
        <ns0:v/>
      </ns0:c>
      <ns0:c r="B745" s="28" t="str">
        <ns0:f>IF($E745="","",INDEX('Banka Dökümü'!$B$2:$B$2001,$E745))</ns0:f>
        <ns0:v/>
      </ns0:c>
      <ns0:c r="C745" s="33" t="str">
        <ns0:f>IF($E745="","",INDEX('Banka Dökümü'!$C$2:$C$2001,$E745))</ns0:f>
        <ns0:v/>
      </ns0:c>
      <ns0:c r="D745" s="28" t="str">
        <ns0:f>IF(E745="","","Müşteri adı / aranacak ad / il bilgisini kontrol edin")</ns0:f>
        <ns0:v/>
      </ns0:c>
      <ns0:c r="E745" s="28" t="str">
        <ns0:f>IFERROR(MATCH(741,'Banka Dökümü'!$I$2:$I$2001,0),"")</ns0:f>
        <ns0:v/>
      </ns0:c>
    </ns0:row>
    <ns0:row r="746" ht="21" customHeight="1">
      <ns0:c r="A746" s="32" t="str">
        <ns0:f>IF($E746="","",INDEX('Banka Dökümü'!$A$2:$A$2001,$E746))</ns0:f>
        <ns0:v/>
      </ns0:c>
      <ns0:c r="B746" s="28" t="str">
        <ns0:f>IF($E746="","",INDEX('Banka Dökümü'!$B$2:$B$2001,$E746))</ns0:f>
        <ns0:v/>
      </ns0:c>
      <ns0:c r="C746" s="33" t="str">
        <ns0:f>IF($E746="","",INDEX('Banka Dökümü'!$C$2:$C$2001,$E746))</ns0:f>
        <ns0:v/>
      </ns0:c>
      <ns0:c r="D746" s="28" t="str">
        <ns0:f>IF(E746="","","Müşteri adı / aranacak ad / il bilgisini kontrol edin")</ns0:f>
        <ns0:v/>
      </ns0:c>
      <ns0:c r="E746" s="28" t="str">
        <ns0:f>IFERROR(MATCH(742,'Banka Dökümü'!$I$2:$I$2001,0),"")</ns0:f>
        <ns0:v/>
      </ns0:c>
    </ns0:row>
    <ns0:row r="747" ht="21" customHeight="1">
      <ns0:c r="A747" s="32" t="str">
        <ns0:f>IF($E747="","",INDEX('Banka Dökümü'!$A$2:$A$2001,$E747))</ns0:f>
        <ns0:v/>
      </ns0:c>
      <ns0:c r="B747" s="28" t="str">
        <ns0:f>IF($E747="","",INDEX('Banka Dökümü'!$B$2:$B$2001,$E747))</ns0:f>
        <ns0:v/>
      </ns0:c>
      <ns0:c r="C747" s="33" t="str">
        <ns0:f>IF($E747="","",INDEX('Banka Dökümü'!$C$2:$C$2001,$E747))</ns0:f>
        <ns0:v/>
      </ns0:c>
      <ns0:c r="D747" s="28" t="str">
        <ns0:f>IF(E747="","","Müşteri adı / aranacak ad / il bilgisini kontrol edin")</ns0:f>
        <ns0:v/>
      </ns0:c>
      <ns0:c r="E747" s="28" t="str">
        <ns0:f>IFERROR(MATCH(743,'Banka Dökümü'!$I$2:$I$2001,0),"")</ns0:f>
        <ns0:v/>
      </ns0:c>
    </ns0:row>
    <ns0:row r="748" ht="21" customHeight="1">
      <ns0:c r="A748" s="32" t="str">
        <ns0:f>IF($E748="","",INDEX('Banka Dökümü'!$A$2:$A$2001,$E748))</ns0:f>
        <ns0:v/>
      </ns0:c>
      <ns0:c r="B748" s="28" t="str">
        <ns0:f>IF($E748="","",INDEX('Banka Dökümü'!$B$2:$B$2001,$E748))</ns0:f>
        <ns0:v/>
      </ns0:c>
      <ns0:c r="C748" s="33" t="str">
        <ns0:f>IF($E748="","",INDEX('Banka Dökümü'!$C$2:$C$2001,$E748))</ns0:f>
        <ns0:v/>
      </ns0:c>
      <ns0:c r="D748" s="28" t="str">
        <ns0:f>IF(E748="","","Müşteri adı / aranacak ad / il bilgisini kontrol edin")</ns0:f>
        <ns0:v/>
      </ns0:c>
      <ns0:c r="E748" s="28" t="str">
        <ns0:f>IFERROR(MATCH(744,'Banka Dökümü'!$I$2:$I$2001,0),"")</ns0:f>
        <ns0:v/>
      </ns0:c>
    </ns0:row>
    <ns0:row r="749" ht="21" customHeight="1">
      <ns0:c r="A749" s="32" t="str">
        <ns0:f>IF($E749="","",INDEX('Banka Dökümü'!$A$2:$A$2001,$E749))</ns0:f>
        <ns0:v/>
      </ns0:c>
      <ns0:c r="B749" s="28" t="str">
        <ns0:f>IF($E749="","",INDEX('Banka Dökümü'!$B$2:$B$2001,$E749))</ns0:f>
        <ns0:v/>
      </ns0:c>
      <ns0:c r="C749" s="33" t="str">
        <ns0:f>IF($E749="","",INDEX('Banka Dökümü'!$C$2:$C$2001,$E749))</ns0:f>
        <ns0:v/>
      </ns0:c>
      <ns0:c r="D749" s="28" t="str">
        <ns0:f>IF(E749="","","Müşteri adı / aranacak ad / il bilgisini kontrol edin")</ns0:f>
        <ns0:v/>
      </ns0:c>
      <ns0:c r="E749" s="28" t="str">
        <ns0:f>IFERROR(MATCH(745,'Banka Dökümü'!$I$2:$I$2001,0),"")</ns0:f>
        <ns0:v/>
      </ns0:c>
    </ns0:row>
    <ns0:row r="750" ht="21" customHeight="1">
      <ns0:c r="A750" s="32" t="str">
        <ns0:f>IF($E750="","",INDEX('Banka Dökümü'!$A$2:$A$2001,$E750))</ns0:f>
        <ns0:v/>
      </ns0:c>
      <ns0:c r="B750" s="28" t="str">
        <ns0:f>IF($E750="","",INDEX('Banka Dökümü'!$B$2:$B$2001,$E750))</ns0:f>
        <ns0:v/>
      </ns0:c>
      <ns0:c r="C750" s="33" t="str">
        <ns0:f>IF($E750="","",INDEX('Banka Dökümü'!$C$2:$C$2001,$E750))</ns0:f>
        <ns0:v/>
      </ns0:c>
      <ns0:c r="D750" s="28" t="str">
        <ns0:f>IF(E750="","","Müşteri adı / aranacak ad / il bilgisini kontrol edin")</ns0:f>
        <ns0:v/>
      </ns0:c>
      <ns0:c r="E750" s="28" t="str">
        <ns0:f>IFERROR(MATCH(746,'Banka Dökümü'!$I$2:$I$2001,0),"")</ns0:f>
        <ns0:v/>
      </ns0:c>
    </ns0:row>
    <ns0:row r="751" ht="21" customHeight="1">
      <ns0:c r="A751" s="32" t="str">
        <ns0:f>IF($E751="","",INDEX('Banka Dökümü'!$A$2:$A$2001,$E751))</ns0:f>
        <ns0:v/>
      </ns0:c>
      <ns0:c r="B751" s="28" t="str">
        <ns0:f>IF($E751="","",INDEX('Banka Dökümü'!$B$2:$B$2001,$E751))</ns0:f>
        <ns0:v/>
      </ns0:c>
      <ns0:c r="C751" s="33" t="str">
        <ns0:f>IF($E751="","",INDEX('Banka Dökümü'!$C$2:$C$2001,$E751))</ns0:f>
        <ns0:v/>
      </ns0:c>
      <ns0:c r="D751" s="28" t="str">
        <ns0:f>IF(E751="","","Müşteri adı / aranacak ad / il bilgisini kontrol edin")</ns0:f>
        <ns0:v/>
      </ns0:c>
      <ns0:c r="E751" s="28" t="str">
        <ns0:f>IFERROR(MATCH(747,'Banka Dökümü'!$I$2:$I$2001,0),"")</ns0:f>
        <ns0:v/>
      </ns0:c>
    </ns0:row>
    <ns0:row r="752" ht="21" customHeight="1">
      <ns0:c r="A752" s="32" t="str">
        <ns0:f>IF($E752="","",INDEX('Banka Dökümü'!$A$2:$A$2001,$E752))</ns0:f>
        <ns0:v/>
      </ns0:c>
      <ns0:c r="B752" s="28" t="str">
        <ns0:f>IF($E752="","",INDEX('Banka Dökümü'!$B$2:$B$2001,$E752))</ns0:f>
        <ns0:v/>
      </ns0:c>
      <ns0:c r="C752" s="33" t="str">
        <ns0:f>IF($E752="","",INDEX('Banka Dökümü'!$C$2:$C$2001,$E752))</ns0:f>
        <ns0:v/>
      </ns0:c>
      <ns0:c r="D752" s="28" t="str">
        <ns0:f>IF(E752="","","Müşteri adı / aranacak ad / il bilgisini kontrol edin")</ns0:f>
        <ns0:v/>
      </ns0:c>
      <ns0:c r="E752" s="28" t="str">
        <ns0:f>IFERROR(MATCH(748,'Banka Dökümü'!$I$2:$I$2001,0),"")</ns0:f>
        <ns0:v/>
      </ns0:c>
    </ns0:row>
    <ns0:row r="753" ht="21" customHeight="1">
      <ns0:c r="A753" s="32" t="str">
        <ns0:f>IF($E753="","",INDEX('Banka Dökümü'!$A$2:$A$2001,$E753))</ns0:f>
        <ns0:v/>
      </ns0:c>
      <ns0:c r="B753" s="28" t="str">
        <ns0:f>IF($E753="","",INDEX('Banka Dökümü'!$B$2:$B$2001,$E753))</ns0:f>
        <ns0:v/>
      </ns0:c>
      <ns0:c r="C753" s="33" t="str">
        <ns0:f>IF($E753="","",INDEX('Banka Dökümü'!$C$2:$C$2001,$E753))</ns0:f>
        <ns0:v/>
      </ns0:c>
      <ns0:c r="D753" s="28" t="str">
        <ns0:f>IF(E753="","","Müşteri adı / aranacak ad / il bilgisini kontrol edin")</ns0:f>
        <ns0:v/>
      </ns0:c>
      <ns0:c r="E753" s="28" t="str">
        <ns0:f>IFERROR(MATCH(749,'Banka Dökümü'!$I$2:$I$2001,0),"")</ns0:f>
        <ns0:v/>
      </ns0:c>
    </ns0:row>
    <ns0:row r="754" ht="21" customHeight="1">
      <ns0:c r="A754" s="32" t="str">
        <ns0:f>IF($E754="","",INDEX('Banka Dökümü'!$A$2:$A$2001,$E754))</ns0:f>
        <ns0:v/>
      </ns0:c>
      <ns0:c r="B754" s="28" t="str">
        <ns0:f>IF($E754="","",INDEX('Banka Dökümü'!$B$2:$B$2001,$E754))</ns0:f>
        <ns0:v/>
      </ns0:c>
      <ns0:c r="C754" s="33" t="str">
        <ns0:f>IF($E754="","",INDEX('Banka Dökümü'!$C$2:$C$2001,$E754))</ns0:f>
        <ns0:v/>
      </ns0:c>
      <ns0:c r="D754" s="28" t="str">
        <ns0:f>IF(E754="","","Müşteri adı / aranacak ad / il bilgisini kontrol edin")</ns0:f>
        <ns0:v/>
      </ns0:c>
      <ns0:c r="E754" s="28" t="str">
        <ns0:f>IFERROR(MATCH(750,'Banka Dökümü'!$I$2:$I$2001,0),"")</ns0:f>
        <ns0:v/>
      </ns0:c>
    </ns0:row>
    <ns0:row r="755" ht="21" customHeight="1">
      <ns0:c r="A755" s="32" t="str">
        <ns0:f>IF($E755="","",INDEX('Banka Dökümü'!$A$2:$A$2001,$E755))</ns0:f>
        <ns0:v/>
      </ns0:c>
      <ns0:c r="B755" s="28" t="str">
        <ns0:f>IF($E755="","",INDEX('Banka Dökümü'!$B$2:$B$2001,$E755))</ns0:f>
        <ns0:v/>
      </ns0:c>
      <ns0:c r="C755" s="33" t="str">
        <ns0:f>IF($E755="","",INDEX('Banka Dökümü'!$C$2:$C$2001,$E755))</ns0:f>
        <ns0:v/>
      </ns0:c>
      <ns0:c r="D755" s="28" t="str">
        <ns0:f>IF(E755="","","Müşteri adı / aranacak ad / il bilgisini kontrol edin")</ns0:f>
        <ns0:v/>
      </ns0:c>
      <ns0:c r="E755" s="28" t="str">
        <ns0:f>IFERROR(MATCH(751,'Banka Dökümü'!$I$2:$I$2001,0),"")</ns0:f>
        <ns0:v/>
      </ns0:c>
    </ns0:row>
    <ns0:row r="756" ht="21" customHeight="1">
      <ns0:c r="A756" s="32" t="str">
        <ns0:f>IF($E756="","",INDEX('Banka Dökümü'!$A$2:$A$2001,$E756))</ns0:f>
        <ns0:v/>
      </ns0:c>
      <ns0:c r="B756" s="28" t="str">
        <ns0:f>IF($E756="","",INDEX('Banka Dökümü'!$B$2:$B$2001,$E756))</ns0:f>
        <ns0:v/>
      </ns0:c>
      <ns0:c r="C756" s="33" t="str">
        <ns0:f>IF($E756="","",INDEX('Banka Dökümü'!$C$2:$C$2001,$E756))</ns0:f>
        <ns0:v/>
      </ns0:c>
      <ns0:c r="D756" s="28" t="str">
        <ns0:f>IF(E756="","","Müşteri adı / aranacak ad / il bilgisini kontrol edin")</ns0:f>
        <ns0:v/>
      </ns0:c>
      <ns0:c r="E756" s="28" t="str">
        <ns0:f>IFERROR(MATCH(752,'Banka Dökümü'!$I$2:$I$2001,0),"")</ns0:f>
        <ns0:v/>
      </ns0:c>
    </ns0:row>
    <ns0:row r="757" ht="21" customHeight="1">
      <ns0:c r="A757" s="32" t="str">
        <ns0:f>IF($E757="","",INDEX('Banka Dökümü'!$A$2:$A$2001,$E757))</ns0:f>
        <ns0:v/>
      </ns0:c>
      <ns0:c r="B757" s="28" t="str">
        <ns0:f>IF($E757="","",INDEX('Banka Dökümü'!$B$2:$B$2001,$E757))</ns0:f>
        <ns0:v/>
      </ns0:c>
      <ns0:c r="C757" s="33" t="str">
        <ns0:f>IF($E757="","",INDEX('Banka Dökümü'!$C$2:$C$2001,$E757))</ns0:f>
        <ns0:v/>
      </ns0:c>
      <ns0:c r="D757" s="28" t="str">
        <ns0:f>IF(E757="","","Müşteri adı / aranacak ad / il bilgisini kontrol edin")</ns0:f>
        <ns0:v/>
      </ns0:c>
      <ns0:c r="E757" s="28" t="str">
        <ns0:f>IFERROR(MATCH(753,'Banka Dökümü'!$I$2:$I$2001,0),"")</ns0:f>
        <ns0:v/>
      </ns0:c>
    </ns0:row>
    <ns0:row r="758" ht="21" customHeight="1">
      <ns0:c r="A758" s="32" t="str">
        <ns0:f>IF($E758="","",INDEX('Banka Dökümü'!$A$2:$A$2001,$E758))</ns0:f>
        <ns0:v/>
      </ns0:c>
      <ns0:c r="B758" s="28" t="str">
        <ns0:f>IF($E758="","",INDEX('Banka Dökümü'!$B$2:$B$2001,$E758))</ns0:f>
        <ns0:v/>
      </ns0:c>
      <ns0:c r="C758" s="33" t="str">
        <ns0:f>IF($E758="","",INDEX('Banka Dökümü'!$C$2:$C$2001,$E758))</ns0:f>
        <ns0:v/>
      </ns0:c>
      <ns0:c r="D758" s="28" t="str">
        <ns0:f>IF(E758="","","Müşteri adı / aranacak ad / il bilgisini kontrol edin")</ns0:f>
        <ns0:v/>
      </ns0:c>
      <ns0:c r="E758" s="28" t="str">
        <ns0:f>IFERROR(MATCH(754,'Banka Dökümü'!$I$2:$I$2001,0),"")</ns0:f>
        <ns0:v/>
      </ns0:c>
    </ns0:row>
    <ns0:row r="759" ht="21" customHeight="1">
      <ns0:c r="A759" s="32" t="str">
        <ns0:f>IF($E759="","",INDEX('Banka Dökümü'!$A$2:$A$2001,$E759))</ns0:f>
        <ns0:v/>
      </ns0:c>
      <ns0:c r="B759" s="28" t="str">
        <ns0:f>IF($E759="","",INDEX('Banka Dökümü'!$B$2:$B$2001,$E759))</ns0:f>
        <ns0:v/>
      </ns0:c>
      <ns0:c r="C759" s="33" t="str">
        <ns0:f>IF($E759="","",INDEX('Banka Dökümü'!$C$2:$C$2001,$E759))</ns0:f>
        <ns0:v/>
      </ns0:c>
      <ns0:c r="D759" s="28" t="str">
        <ns0:f>IF(E759="","","Müşteri adı / aranacak ad / il bilgisini kontrol edin")</ns0:f>
        <ns0:v/>
      </ns0:c>
      <ns0:c r="E759" s="28" t="str">
        <ns0:f>IFERROR(MATCH(755,'Banka Dökümü'!$I$2:$I$2001,0),"")</ns0:f>
        <ns0:v/>
      </ns0:c>
    </ns0:row>
    <ns0:row r="760" ht="21" customHeight="1">
      <ns0:c r="A760" s="32" t="str">
        <ns0:f>IF($E760="","",INDEX('Banka Dökümü'!$A$2:$A$2001,$E760))</ns0:f>
        <ns0:v/>
      </ns0:c>
      <ns0:c r="B760" s="28" t="str">
        <ns0:f>IF($E760="","",INDEX('Banka Dökümü'!$B$2:$B$2001,$E760))</ns0:f>
        <ns0:v/>
      </ns0:c>
      <ns0:c r="C760" s="33" t="str">
        <ns0:f>IF($E760="","",INDEX('Banka Dökümü'!$C$2:$C$2001,$E760))</ns0:f>
        <ns0:v/>
      </ns0:c>
      <ns0:c r="D760" s="28" t="str">
        <ns0:f>IF(E760="","","Müşteri adı / aranacak ad / il bilgisini kontrol edin")</ns0:f>
        <ns0:v/>
      </ns0:c>
      <ns0:c r="E760" s="28" t="str">
        <ns0:f>IFERROR(MATCH(756,'Banka Dökümü'!$I$2:$I$2001,0),"")</ns0:f>
        <ns0:v/>
      </ns0:c>
    </ns0:row>
    <ns0:row r="761" ht="21" customHeight="1">
      <ns0:c r="A761" s="32" t="str">
        <ns0:f>IF($E761="","",INDEX('Banka Dökümü'!$A$2:$A$2001,$E761))</ns0:f>
        <ns0:v/>
      </ns0:c>
      <ns0:c r="B761" s="28" t="str">
        <ns0:f>IF($E761="","",INDEX('Banka Dökümü'!$B$2:$B$2001,$E761))</ns0:f>
        <ns0:v/>
      </ns0:c>
      <ns0:c r="C761" s="33" t="str">
        <ns0:f>IF($E761="","",INDEX('Banka Dökümü'!$C$2:$C$2001,$E761))</ns0:f>
        <ns0:v/>
      </ns0:c>
      <ns0:c r="D761" s="28" t="str">
        <ns0:f>IF(E761="","","Müşteri adı / aranacak ad / il bilgisini kontrol edin")</ns0:f>
        <ns0:v/>
      </ns0:c>
      <ns0:c r="E761" s="28" t="str">
        <ns0:f>IFERROR(MATCH(757,'Banka Dökümü'!$I$2:$I$2001,0),"")</ns0:f>
        <ns0:v/>
      </ns0:c>
    </ns0:row>
    <ns0:row r="762" ht="21" customHeight="1">
      <ns0:c r="A762" s="32" t="str">
        <ns0:f>IF($E762="","",INDEX('Banka Dökümü'!$A$2:$A$2001,$E762))</ns0:f>
        <ns0:v/>
      </ns0:c>
      <ns0:c r="B762" s="28" t="str">
        <ns0:f>IF($E762="","",INDEX('Banka Dökümü'!$B$2:$B$2001,$E762))</ns0:f>
        <ns0:v/>
      </ns0:c>
      <ns0:c r="C762" s="33" t="str">
        <ns0:f>IF($E762="","",INDEX('Banka Dökümü'!$C$2:$C$2001,$E762))</ns0:f>
        <ns0:v/>
      </ns0:c>
      <ns0:c r="D762" s="28" t="str">
        <ns0:f>IF(E762="","","Müşteri adı / aranacak ad / il bilgisini kontrol edin")</ns0:f>
        <ns0:v/>
      </ns0:c>
      <ns0:c r="E762" s="28" t="str">
        <ns0:f>IFERROR(MATCH(758,'Banka Dökümü'!$I$2:$I$2001,0),"")</ns0:f>
        <ns0:v/>
      </ns0:c>
    </ns0:row>
    <ns0:row r="763" ht="21" customHeight="1">
      <ns0:c r="A763" s="32" t="str">
        <ns0:f>IF($E763="","",INDEX('Banka Dökümü'!$A$2:$A$2001,$E763))</ns0:f>
        <ns0:v/>
      </ns0:c>
      <ns0:c r="B763" s="28" t="str">
        <ns0:f>IF($E763="","",INDEX('Banka Dökümü'!$B$2:$B$2001,$E763))</ns0:f>
        <ns0:v/>
      </ns0:c>
      <ns0:c r="C763" s="33" t="str">
        <ns0:f>IF($E763="","",INDEX('Banka Dökümü'!$C$2:$C$2001,$E763))</ns0:f>
        <ns0:v/>
      </ns0:c>
      <ns0:c r="D763" s="28" t="str">
        <ns0:f>IF(E763="","","Müşteri adı / aranacak ad / il bilgisini kontrol edin")</ns0:f>
        <ns0:v/>
      </ns0:c>
      <ns0:c r="E763" s="28" t="str">
        <ns0:f>IFERROR(MATCH(759,'Banka Dökümü'!$I$2:$I$2001,0),"")</ns0:f>
        <ns0:v/>
      </ns0:c>
    </ns0:row>
    <ns0:row r="764" ht="21" customHeight="1">
      <ns0:c r="A764" s="32" t="str">
        <ns0:f>IF($E764="","",INDEX('Banka Dökümü'!$A$2:$A$2001,$E764))</ns0:f>
        <ns0:v/>
      </ns0:c>
      <ns0:c r="B764" s="28" t="str">
        <ns0:f>IF($E764="","",INDEX('Banka Dökümü'!$B$2:$B$2001,$E764))</ns0:f>
        <ns0:v/>
      </ns0:c>
      <ns0:c r="C764" s="33" t="str">
        <ns0:f>IF($E764="","",INDEX('Banka Dökümü'!$C$2:$C$2001,$E764))</ns0:f>
        <ns0:v/>
      </ns0:c>
      <ns0:c r="D764" s="28" t="str">
        <ns0:f>IF(E764="","","Müşteri adı / aranacak ad / il bilgisini kontrol edin")</ns0:f>
        <ns0:v/>
      </ns0:c>
      <ns0:c r="E764" s="28" t="str">
        <ns0:f>IFERROR(MATCH(760,'Banka Dökümü'!$I$2:$I$2001,0),"")</ns0:f>
        <ns0:v/>
      </ns0:c>
    </ns0:row>
    <ns0:row r="765" ht="21" customHeight="1">
      <ns0:c r="A765" s="32" t="str">
        <ns0:f>IF($E765="","",INDEX('Banka Dökümü'!$A$2:$A$2001,$E765))</ns0:f>
        <ns0:v/>
      </ns0:c>
      <ns0:c r="B765" s="28" t="str">
        <ns0:f>IF($E765="","",INDEX('Banka Dökümü'!$B$2:$B$2001,$E765))</ns0:f>
        <ns0:v/>
      </ns0:c>
      <ns0:c r="C765" s="33" t="str">
        <ns0:f>IF($E765="","",INDEX('Banka Dökümü'!$C$2:$C$2001,$E765))</ns0:f>
        <ns0:v/>
      </ns0:c>
      <ns0:c r="D765" s="28" t="str">
        <ns0:f>IF(E765="","","Müşteri adı / aranacak ad / il bilgisini kontrol edin")</ns0:f>
        <ns0:v/>
      </ns0:c>
      <ns0:c r="E765" s="28" t="str">
        <ns0:f>IFERROR(MATCH(761,'Banka Dökümü'!$I$2:$I$2001,0),"")</ns0:f>
        <ns0:v/>
      </ns0:c>
    </ns0:row>
    <ns0:row r="766" ht="21" customHeight="1">
      <ns0:c r="A766" s="32" t="str">
        <ns0:f>IF($E766="","",INDEX('Banka Dökümü'!$A$2:$A$2001,$E766))</ns0:f>
        <ns0:v/>
      </ns0:c>
      <ns0:c r="B766" s="28" t="str">
        <ns0:f>IF($E766="","",INDEX('Banka Dökümü'!$B$2:$B$2001,$E766))</ns0:f>
        <ns0:v/>
      </ns0:c>
      <ns0:c r="C766" s="33" t="str">
        <ns0:f>IF($E766="","",INDEX('Banka Dökümü'!$C$2:$C$2001,$E766))</ns0:f>
        <ns0:v/>
      </ns0:c>
      <ns0:c r="D766" s="28" t="str">
        <ns0:f>IF(E766="","","Müşteri adı / aranacak ad / il bilgisini kontrol edin")</ns0:f>
        <ns0:v/>
      </ns0:c>
      <ns0:c r="E766" s="28" t="str">
        <ns0:f>IFERROR(MATCH(762,'Banka Dökümü'!$I$2:$I$2001,0),"")</ns0:f>
        <ns0:v/>
      </ns0:c>
    </ns0:row>
    <ns0:row r="767" ht="21" customHeight="1">
      <ns0:c r="A767" s="32" t="str">
        <ns0:f>IF($E767="","",INDEX('Banka Dökümü'!$A$2:$A$2001,$E767))</ns0:f>
        <ns0:v/>
      </ns0:c>
      <ns0:c r="B767" s="28" t="str">
        <ns0:f>IF($E767="","",INDEX('Banka Dökümü'!$B$2:$B$2001,$E767))</ns0:f>
        <ns0:v/>
      </ns0:c>
      <ns0:c r="C767" s="33" t="str">
        <ns0:f>IF($E767="","",INDEX('Banka Dökümü'!$C$2:$C$2001,$E767))</ns0:f>
        <ns0:v/>
      </ns0:c>
      <ns0:c r="D767" s="28" t="str">
        <ns0:f>IF(E767="","","Müşteri adı / aranacak ad / il bilgisini kontrol edin")</ns0:f>
        <ns0:v/>
      </ns0:c>
      <ns0:c r="E767" s="28" t="str">
        <ns0:f>IFERROR(MATCH(763,'Banka Dökümü'!$I$2:$I$2001,0),"")</ns0:f>
        <ns0:v/>
      </ns0:c>
    </ns0:row>
    <ns0:row r="768" ht="21" customHeight="1">
      <ns0:c r="A768" s="32" t="str">
        <ns0:f>IF($E768="","",INDEX('Banka Dökümü'!$A$2:$A$2001,$E768))</ns0:f>
        <ns0:v/>
      </ns0:c>
      <ns0:c r="B768" s="28" t="str">
        <ns0:f>IF($E768="","",INDEX('Banka Dökümü'!$B$2:$B$2001,$E768))</ns0:f>
        <ns0:v/>
      </ns0:c>
      <ns0:c r="C768" s="33" t="str">
        <ns0:f>IF($E768="","",INDEX('Banka Dökümü'!$C$2:$C$2001,$E768))</ns0:f>
        <ns0:v/>
      </ns0:c>
      <ns0:c r="D768" s="28" t="str">
        <ns0:f>IF(E768="","","Müşteri adı / aranacak ad / il bilgisini kontrol edin")</ns0:f>
        <ns0:v/>
      </ns0:c>
      <ns0:c r="E768" s="28" t="str">
        <ns0:f>IFERROR(MATCH(764,'Banka Dökümü'!$I$2:$I$2001,0),"")</ns0:f>
        <ns0:v/>
      </ns0:c>
    </ns0:row>
    <ns0:row r="769" ht="21" customHeight="1">
      <ns0:c r="A769" s="32" t="str">
        <ns0:f>IF($E769="","",INDEX('Banka Dökümü'!$A$2:$A$2001,$E769))</ns0:f>
        <ns0:v/>
      </ns0:c>
      <ns0:c r="B769" s="28" t="str">
        <ns0:f>IF($E769="","",INDEX('Banka Dökümü'!$B$2:$B$2001,$E769))</ns0:f>
        <ns0:v/>
      </ns0:c>
      <ns0:c r="C769" s="33" t="str">
        <ns0:f>IF($E769="","",INDEX('Banka Dökümü'!$C$2:$C$2001,$E769))</ns0:f>
        <ns0:v/>
      </ns0:c>
      <ns0:c r="D769" s="28" t="str">
        <ns0:f>IF(E769="","","Müşteri adı / aranacak ad / il bilgisini kontrol edin")</ns0:f>
        <ns0:v/>
      </ns0:c>
      <ns0:c r="E769" s="28" t="str">
        <ns0:f>IFERROR(MATCH(765,'Banka Dökümü'!$I$2:$I$2001,0),"")</ns0:f>
        <ns0:v/>
      </ns0:c>
    </ns0:row>
    <ns0:row r="770" ht="21" customHeight="1">
      <ns0:c r="A770" s="32" t="str">
        <ns0:f>IF($E770="","",INDEX('Banka Dökümü'!$A$2:$A$2001,$E770))</ns0:f>
        <ns0:v/>
      </ns0:c>
      <ns0:c r="B770" s="28" t="str">
        <ns0:f>IF($E770="","",INDEX('Banka Dökümü'!$B$2:$B$2001,$E770))</ns0:f>
        <ns0:v/>
      </ns0:c>
      <ns0:c r="C770" s="33" t="str">
        <ns0:f>IF($E770="","",INDEX('Banka Dökümü'!$C$2:$C$2001,$E770))</ns0:f>
        <ns0:v/>
      </ns0:c>
      <ns0:c r="D770" s="28" t="str">
        <ns0:f>IF(E770="","","Müşteri adı / aranacak ad / il bilgisini kontrol edin")</ns0:f>
        <ns0:v/>
      </ns0:c>
      <ns0:c r="E770" s="28" t="str">
        <ns0:f>IFERROR(MATCH(766,'Banka Dökümü'!$I$2:$I$2001,0),"")</ns0:f>
        <ns0:v/>
      </ns0:c>
    </ns0:row>
    <ns0:row r="771" ht="21" customHeight="1">
      <ns0:c r="A771" s="32" t="str">
        <ns0:f>IF($E771="","",INDEX('Banka Dökümü'!$A$2:$A$2001,$E771))</ns0:f>
        <ns0:v/>
      </ns0:c>
      <ns0:c r="B771" s="28" t="str">
        <ns0:f>IF($E771="","",INDEX('Banka Dökümü'!$B$2:$B$2001,$E771))</ns0:f>
        <ns0:v/>
      </ns0:c>
      <ns0:c r="C771" s="33" t="str">
        <ns0:f>IF($E771="","",INDEX('Banka Dökümü'!$C$2:$C$2001,$E771))</ns0:f>
        <ns0:v/>
      </ns0:c>
      <ns0:c r="D771" s="28" t="str">
        <ns0:f>IF(E771="","","Müşteri adı / aranacak ad / il bilgisini kontrol edin")</ns0:f>
        <ns0:v/>
      </ns0:c>
      <ns0:c r="E771" s="28" t="str">
        <ns0:f>IFERROR(MATCH(767,'Banka Dökümü'!$I$2:$I$2001,0),"")</ns0:f>
        <ns0:v/>
      </ns0:c>
    </ns0:row>
    <ns0:row r="772" ht="21" customHeight="1">
      <ns0:c r="A772" s="32" t="str">
        <ns0:f>IF($E772="","",INDEX('Banka Dökümü'!$A$2:$A$2001,$E772))</ns0:f>
        <ns0:v/>
      </ns0:c>
      <ns0:c r="B772" s="28" t="str">
        <ns0:f>IF($E772="","",INDEX('Banka Dökümü'!$B$2:$B$2001,$E772))</ns0:f>
        <ns0:v/>
      </ns0:c>
      <ns0:c r="C772" s="33" t="str">
        <ns0:f>IF($E772="","",INDEX('Banka Dökümü'!$C$2:$C$2001,$E772))</ns0:f>
        <ns0:v/>
      </ns0:c>
      <ns0:c r="D772" s="28" t="str">
        <ns0:f>IF(E772="","","Müşteri adı / aranacak ad / il bilgisini kontrol edin")</ns0:f>
        <ns0:v/>
      </ns0:c>
      <ns0:c r="E772" s="28" t="str">
        <ns0:f>IFERROR(MATCH(768,'Banka Dökümü'!$I$2:$I$2001,0),"")</ns0:f>
        <ns0:v/>
      </ns0:c>
    </ns0:row>
    <ns0:row r="773" ht="21" customHeight="1">
      <ns0:c r="A773" s="32" t="str">
        <ns0:f>IF($E773="","",INDEX('Banka Dökümü'!$A$2:$A$2001,$E773))</ns0:f>
        <ns0:v/>
      </ns0:c>
      <ns0:c r="B773" s="28" t="str">
        <ns0:f>IF($E773="","",INDEX('Banka Dökümü'!$B$2:$B$2001,$E773))</ns0:f>
        <ns0:v/>
      </ns0:c>
      <ns0:c r="C773" s="33" t="str">
        <ns0:f>IF($E773="","",INDEX('Banka Dökümü'!$C$2:$C$2001,$E773))</ns0:f>
        <ns0:v/>
      </ns0:c>
      <ns0:c r="D773" s="28" t="str">
        <ns0:f>IF(E773="","","Müşteri adı / aranacak ad / il bilgisini kontrol edin")</ns0:f>
        <ns0:v/>
      </ns0:c>
      <ns0:c r="E773" s="28" t="str">
        <ns0:f>IFERROR(MATCH(769,'Banka Dökümü'!$I$2:$I$2001,0),"")</ns0:f>
        <ns0:v/>
      </ns0:c>
    </ns0:row>
    <ns0:row r="774" ht="21" customHeight="1">
      <ns0:c r="A774" s="32" t="str">
        <ns0:f>IF($E774="","",INDEX('Banka Dökümü'!$A$2:$A$2001,$E774))</ns0:f>
        <ns0:v/>
      </ns0:c>
      <ns0:c r="B774" s="28" t="str">
        <ns0:f>IF($E774="","",INDEX('Banka Dökümü'!$B$2:$B$2001,$E774))</ns0:f>
        <ns0:v/>
      </ns0:c>
      <ns0:c r="C774" s="33" t="str">
        <ns0:f>IF($E774="","",INDEX('Banka Dökümü'!$C$2:$C$2001,$E774))</ns0:f>
        <ns0:v/>
      </ns0:c>
      <ns0:c r="D774" s="28" t="str">
        <ns0:f>IF(E774="","","Müşteri adı / aranacak ad / il bilgisini kontrol edin")</ns0:f>
        <ns0:v/>
      </ns0:c>
      <ns0:c r="E774" s="28" t="str">
        <ns0:f>IFERROR(MATCH(770,'Banka Dökümü'!$I$2:$I$2001,0),"")</ns0:f>
        <ns0:v/>
      </ns0:c>
    </ns0:row>
    <ns0:row r="775" ht="21" customHeight="1">
      <ns0:c r="A775" s="32" t="str">
        <ns0:f>IF($E775="","",INDEX('Banka Dökümü'!$A$2:$A$2001,$E775))</ns0:f>
        <ns0:v/>
      </ns0:c>
      <ns0:c r="B775" s="28" t="str">
        <ns0:f>IF($E775="","",INDEX('Banka Dökümü'!$B$2:$B$2001,$E775))</ns0:f>
        <ns0:v/>
      </ns0:c>
      <ns0:c r="C775" s="33" t="str">
        <ns0:f>IF($E775="","",INDEX('Banka Dökümü'!$C$2:$C$2001,$E775))</ns0:f>
        <ns0:v/>
      </ns0:c>
      <ns0:c r="D775" s="28" t="str">
        <ns0:f>IF(E775="","","Müşteri adı / aranacak ad / il bilgisini kontrol edin")</ns0:f>
        <ns0:v/>
      </ns0:c>
      <ns0:c r="E775" s="28" t="str">
        <ns0:f>IFERROR(MATCH(771,'Banka Dökümü'!$I$2:$I$2001,0),"")</ns0:f>
        <ns0:v/>
      </ns0:c>
    </ns0:row>
    <ns0:row r="776" ht="21" customHeight="1">
      <ns0:c r="A776" s="32" t="str">
        <ns0:f>IF($E776="","",INDEX('Banka Dökümü'!$A$2:$A$2001,$E776))</ns0:f>
        <ns0:v/>
      </ns0:c>
      <ns0:c r="B776" s="28" t="str">
        <ns0:f>IF($E776="","",INDEX('Banka Dökümü'!$B$2:$B$2001,$E776))</ns0:f>
        <ns0:v/>
      </ns0:c>
      <ns0:c r="C776" s="33" t="str">
        <ns0:f>IF($E776="","",INDEX('Banka Dökümü'!$C$2:$C$2001,$E776))</ns0:f>
        <ns0:v/>
      </ns0:c>
      <ns0:c r="D776" s="28" t="str">
        <ns0:f>IF(E776="","","Müşteri adı / aranacak ad / il bilgisini kontrol edin")</ns0:f>
        <ns0:v/>
      </ns0:c>
      <ns0:c r="E776" s="28" t="str">
        <ns0:f>IFERROR(MATCH(772,'Banka Dökümü'!$I$2:$I$2001,0),"")</ns0:f>
        <ns0:v/>
      </ns0:c>
    </ns0:row>
    <ns0:row r="777" ht="21" customHeight="1">
      <ns0:c r="A777" s="32" t="str">
        <ns0:f>IF($E777="","",INDEX('Banka Dökümü'!$A$2:$A$2001,$E777))</ns0:f>
        <ns0:v/>
      </ns0:c>
      <ns0:c r="B777" s="28" t="str">
        <ns0:f>IF($E777="","",INDEX('Banka Dökümü'!$B$2:$B$2001,$E777))</ns0:f>
        <ns0:v/>
      </ns0:c>
      <ns0:c r="C777" s="33" t="str">
        <ns0:f>IF($E777="","",INDEX('Banka Dökümü'!$C$2:$C$2001,$E777))</ns0:f>
        <ns0:v/>
      </ns0:c>
      <ns0:c r="D777" s="28" t="str">
        <ns0:f>IF(E777="","","Müşteri adı / aranacak ad / il bilgisini kontrol edin")</ns0:f>
        <ns0:v/>
      </ns0:c>
      <ns0:c r="E777" s="28" t="str">
        <ns0:f>IFERROR(MATCH(773,'Banka Dökümü'!$I$2:$I$2001,0),"")</ns0:f>
        <ns0:v/>
      </ns0:c>
    </ns0:row>
    <ns0:row r="778" ht="21" customHeight="1">
      <ns0:c r="A778" s="32" t="str">
        <ns0:f>IF($E778="","",INDEX('Banka Dökümü'!$A$2:$A$2001,$E778))</ns0:f>
        <ns0:v/>
      </ns0:c>
      <ns0:c r="B778" s="28" t="str">
        <ns0:f>IF($E778="","",INDEX('Banka Dökümü'!$B$2:$B$2001,$E778))</ns0:f>
        <ns0:v/>
      </ns0:c>
      <ns0:c r="C778" s="33" t="str">
        <ns0:f>IF($E778="","",INDEX('Banka Dökümü'!$C$2:$C$2001,$E778))</ns0:f>
        <ns0:v/>
      </ns0:c>
      <ns0:c r="D778" s="28" t="str">
        <ns0:f>IF(E778="","","Müşteri adı / aranacak ad / il bilgisini kontrol edin")</ns0:f>
        <ns0:v/>
      </ns0:c>
      <ns0:c r="E778" s="28" t="str">
        <ns0:f>IFERROR(MATCH(774,'Banka Dökümü'!$I$2:$I$2001,0),"")</ns0:f>
        <ns0:v/>
      </ns0:c>
    </ns0:row>
    <ns0:row r="779" ht="21" customHeight="1">
      <ns0:c r="A779" s="32" t="str">
        <ns0:f>IF($E779="","",INDEX('Banka Dökümü'!$A$2:$A$2001,$E779))</ns0:f>
        <ns0:v/>
      </ns0:c>
      <ns0:c r="B779" s="28" t="str">
        <ns0:f>IF($E779="","",INDEX('Banka Dökümü'!$B$2:$B$2001,$E779))</ns0:f>
        <ns0:v/>
      </ns0:c>
      <ns0:c r="C779" s="33" t="str">
        <ns0:f>IF($E779="","",INDEX('Banka Dökümü'!$C$2:$C$2001,$E779))</ns0:f>
        <ns0:v/>
      </ns0:c>
      <ns0:c r="D779" s="28" t="str">
        <ns0:f>IF(E779="","","Müşteri adı / aranacak ad / il bilgisini kontrol edin")</ns0:f>
        <ns0:v/>
      </ns0:c>
      <ns0:c r="E779" s="28" t="str">
        <ns0:f>IFERROR(MATCH(775,'Banka Dökümü'!$I$2:$I$2001,0),"")</ns0:f>
        <ns0:v/>
      </ns0:c>
    </ns0:row>
    <ns0:row r="780" ht="21" customHeight="1">
      <ns0:c r="A780" s="32" t="str">
        <ns0:f>IF($E780="","",INDEX('Banka Dökümü'!$A$2:$A$2001,$E780))</ns0:f>
        <ns0:v/>
      </ns0:c>
      <ns0:c r="B780" s="28" t="str">
        <ns0:f>IF($E780="","",INDEX('Banka Dökümü'!$B$2:$B$2001,$E780))</ns0:f>
        <ns0:v/>
      </ns0:c>
      <ns0:c r="C780" s="33" t="str">
        <ns0:f>IF($E780="","",INDEX('Banka Dökümü'!$C$2:$C$2001,$E780))</ns0:f>
        <ns0:v/>
      </ns0:c>
      <ns0:c r="D780" s="28" t="str">
        <ns0:f>IF(E780="","","Müşteri adı / aranacak ad / il bilgisini kontrol edin")</ns0:f>
        <ns0:v/>
      </ns0:c>
      <ns0:c r="E780" s="28" t="str">
        <ns0:f>IFERROR(MATCH(776,'Banka Dökümü'!$I$2:$I$2001,0),"")</ns0:f>
        <ns0:v/>
      </ns0:c>
    </ns0:row>
    <ns0:row r="781" ht="21" customHeight="1">
      <ns0:c r="A781" s="32" t="str">
        <ns0:f>IF($E781="","",INDEX('Banka Dökümü'!$A$2:$A$2001,$E781))</ns0:f>
        <ns0:v/>
      </ns0:c>
      <ns0:c r="B781" s="28" t="str">
        <ns0:f>IF($E781="","",INDEX('Banka Dökümü'!$B$2:$B$2001,$E781))</ns0:f>
        <ns0:v/>
      </ns0:c>
      <ns0:c r="C781" s="33" t="str">
        <ns0:f>IF($E781="","",INDEX('Banka Dökümü'!$C$2:$C$2001,$E781))</ns0:f>
        <ns0:v/>
      </ns0:c>
      <ns0:c r="D781" s="28" t="str">
        <ns0:f>IF(E781="","","Müşteri adı / aranacak ad / il bilgisini kontrol edin")</ns0:f>
        <ns0:v/>
      </ns0:c>
      <ns0:c r="E781" s="28" t="str">
        <ns0:f>IFERROR(MATCH(777,'Banka Dökümü'!$I$2:$I$2001,0),"")</ns0:f>
        <ns0:v/>
      </ns0:c>
    </ns0:row>
    <ns0:row r="782" ht="21" customHeight="1">
      <ns0:c r="A782" s="32" t="str">
        <ns0:f>IF($E782="","",INDEX('Banka Dökümü'!$A$2:$A$2001,$E782))</ns0:f>
        <ns0:v/>
      </ns0:c>
      <ns0:c r="B782" s="28" t="str">
        <ns0:f>IF($E782="","",INDEX('Banka Dökümü'!$B$2:$B$2001,$E782))</ns0:f>
        <ns0:v/>
      </ns0:c>
      <ns0:c r="C782" s="33" t="str">
        <ns0:f>IF($E782="","",INDEX('Banka Dökümü'!$C$2:$C$2001,$E782))</ns0:f>
        <ns0:v/>
      </ns0:c>
      <ns0:c r="D782" s="28" t="str">
        <ns0:f>IF(E782="","","Müşteri adı / aranacak ad / il bilgisini kontrol edin")</ns0:f>
        <ns0:v/>
      </ns0:c>
      <ns0:c r="E782" s="28" t="str">
        <ns0:f>IFERROR(MATCH(778,'Banka Dökümü'!$I$2:$I$2001,0),"")</ns0:f>
        <ns0:v/>
      </ns0:c>
    </ns0:row>
    <ns0:row r="783" ht="21" customHeight="1">
      <ns0:c r="A783" s="32" t="str">
        <ns0:f>IF($E783="","",INDEX('Banka Dökümü'!$A$2:$A$2001,$E783))</ns0:f>
        <ns0:v/>
      </ns0:c>
      <ns0:c r="B783" s="28" t="str">
        <ns0:f>IF($E783="","",INDEX('Banka Dökümü'!$B$2:$B$2001,$E783))</ns0:f>
        <ns0:v/>
      </ns0:c>
      <ns0:c r="C783" s="33" t="str">
        <ns0:f>IF($E783="","",INDEX('Banka Dökümü'!$C$2:$C$2001,$E783))</ns0:f>
        <ns0:v/>
      </ns0:c>
      <ns0:c r="D783" s="28" t="str">
        <ns0:f>IF(E783="","","Müşteri adı / aranacak ad / il bilgisini kontrol edin")</ns0:f>
        <ns0:v/>
      </ns0:c>
      <ns0:c r="E783" s="28" t="str">
        <ns0:f>IFERROR(MATCH(779,'Banka Dökümü'!$I$2:$I$2001,0),"")</ns0:f>
        <ns0:v/>
      </ns0:c>
    </ns0:row>
    <ns0:row r="784" ht="21" customHeight="1">
      <ns0:c r="A784" s="32" t="str">
        <ns0:f>IF($E784="","",INDEX('Banka Dökümü'!$A$2:$A$2001,$E784))</ns0:f>
        <ns0:v/>
      </ns0:c>
      <ns0:c r="B784" s="28" t="str">
        <ns0:f>IF($E784="","",INDEX('Banka Dökümü'!$B$2:$B$2001,$E784))</ns0:f>
        <ns0:v/>
      </ns0:c>
      <ns0:c r="C784" s="33" t="str">
        <ns0:f>IF($E784="","",INDEX('Banka Dökümü'!$C$2:$C$2001,$E784))</ns0:f>
        <ns0:v/>
      </ns0:c>
      <ns0:c r="D784" s="28" t="str">
        <ns0:f>IF(E784="","","Müşteri adı / aranacak ad / il bilgisini kontrol edin")</ns0:f>
        <ns0:v/>
      </ns0:c>
      <ns0:c r="E784" s="28" t="str">
        <ns0:f>IFERROR(MATCH(780,'Banka Dökümü'!$I$2:$I$2001,0),"")</ns0:f>
        <ns0:v/>
      </ns0:c>
    </ns0:row>
    <ns0:row r="785" ht="21" customHeight="1">
      <ns0:c r="A785" s="32" t="str">
        <ns0:f>IF($E785="","",INDEX('Banka Dökümü'!$A$2:$A$2001,$E785))</ns0:f>
        <ns0:v/>
      </ns0:c>
      <ns0:c r="B785" s="28" t="str">
        <ns0:f>IF($E785="","",INDEX('Banka Dökümü'!$B$2:$B$2001,$E785))</ns0:f>
        <ns0:v/>
      </ns0:c>
      <ns0:c r="C785" s="33" t="str">
        <ns0:f>IF($E785="","",INDEX('Banka Dökümü'!$C$2:$C$2001,$E785))</ns0:f>
        <ns0:v/>
      </ns0:c>
      <ns0:c r="D785" s="28" t="str">
        <ns0:f>IF(E785="","","Müşteri adı / aranacak ad / il bilgisini kontrol edin")</ns0:f>
        <ns0:v/>
      </ns0:c>
      <ns0:c r="E785" s="28" t="str">
        <ns0:f>IFERROR(MATCH(781,'Banka Dökümü'!$I$2:$I$2001,0),"")</ns0:f>
        <ns0:v/>
      </ns0:c>
    </ns0:row>
    <ns0:row r="786" ht="21" customHeight="1">
      <ns0:c r="A786" s="32" t="str">
        <ns0:f>IF($E786="","",INDEX('Banka Dökümü'!$A$2:$A$2001,$E786))</ns0:f>
        <ns0:v/>
      </ns0:c>
      <ns0:c r="B786" s="28" t="str">
        <ns0:f>IF($E786="","",INDEX('Banka Dökümü'!$B$2:$B$2001,$E786))</ns0:f>
        <ns0:v/>
      </ns0:c>
      <ns0:c r="C786" s="33" t="str">
        <ns0:f>IF($E786="","",INDEX('Banka Dökümü'!$C$2:$C$2001,$E786))</ns0:f>
        <ns0:v/>
      </ns0:c>
      <ns0:c r="D786" s="28" t="str">
        <ns0:f>IF(E786="","","Müşteri adı / aranacak ad / il bilgisini kontrol edin")</ns0:f>
        <ns0:v/>
      </ns0:c>
      <ns0:c r="E786" s="28" t="str">
        <ns0:f>IFERROR(MATCH(782,'Banka Dökümü'!$I$2:$I$2001,0),"")</ns0:f>
        <ns0:v/>
      </ns0:c>
    </ns0:row>
    <ns0:row r="787" ht="21" customHeight="1">
      <ns0:c r="A787" s="32" t="str">
        <ns0:f>IF($E787="","",INDEX('Banka Dökümü'!$A$2:$A$2001,$E787))</ns0:f>
        <ns0:v/>
      </ns0:c>
      <ns0:c r="B787" s="28" t="str">
        <ns0:f>IF($E787="","",INDEX('Banka Dökümü'!$B$2:$B$2001,$E787))</ns0:f>
        <ns0:v/>
      </ns0:c>
      <ns0:c r="C787" s="33" t="str">
        <ns0:f>IF($E787="","",INDEX('Banka Dökümü'!$C$2:$C$2001,$E787))</ns0:f>
        <ns0:v/>
      </ns0:c>
      <ns0:c r="D787" s="28" t="str">
        <ns0:f>IF(E787="","","Müşteri adı / aranacak ad / il bilgisini kontrol edin")</ns0:f>
        <ns0:v/>
      </ns0:c>
      <ns0:c r="E787" s="28" t="str">
        <ns0:f>IFERROR(MATCH(783,'Banka Dökümü'!$I$2:$I$2001,0),"")</ns0:f>
        <ns0:v/>
      </ns0:c>
    </ns0:row>
    <ns0:row r="788" ht="21" customHeight="1">
      <ns0:c r="A788" s="32" t="str">
        <ns0:f>IF($E788="","",INDEX('Banka Dökümü'!$A$2:$A$2001,$E788))</ns0:f>
        <ns0:v/>
      </ns0:c>
      <ns0:c r="B788" s="28" t="str">
        <ns0:f>IF($E788="","",INDEX('Banka Dökümü'!$B$2:$B$2001,$E788))</ns0:f>
        <ns0:v/>
      </ns0:c>
      <ns0:c r="C788" s="33" t="str">
        <ns0:f>IF($E788="","",INDEX('Banka Dökümü'!$C$2:$C$2001,$E788))</ns0:f>
        <ns0:v/>
      </ns0:c>
      <ns0:c r="D788" s="28" t="str">
        <ns0:f>IF(E788="","","Müşteri adı / aranacak ad / il bilgisini kontrol edin")</ns0:f>
        <ns0:v/>
      </ns0:c>
      <ns0:c r="E788" s="28" t="str">
        <ns0:f>IFERROR(MATCH(784,'Banka Dökümü'!$I$2:$I$2001,0),"")</ns0:f>
        <ns0:v/>
      </ns0:c>
    </ns0:row>
    <ns0:row r="789" ht="21" customHeight="1">
      <ns0:c r="A789" s="32" t="str">
        <ns0:f>IF($E789="","",INDEX('Banka Dökümü'!$A$2:$A$2001,$E789))</ns0:f>
        <ns0:v/>
      </ns0:c>
      <ns0:c r="B789" s="28" t="str">
        <ns0:f>IF($E789="","",INDEX('Banka Dökümü'!$B$2:$B$2001,$E789))</ns0:f>
        <ns0:v/>
      </ns0:c>
      <ns0:c r="C789" s="33" t="str">
        <ns0:f>IF($E789="","",INDEX('Banka Dökümü'!$C$2:$C$2001,$E789))</ns0:f>
        <ns0:v/>
      </ns0:c>
      <ns0:c r="D789" s="28" t="str">
        <ns0:f>IF(E789="","","Müşteri adı / aranacak ad / il bilgisini kontrol edin")</ns0:f>
        <ns0:v/>
      </ns0:c>
      <ns0:c r="E789" s="28" t="str">
        <ns0:f>IFERROR(MATCH(785,'Banka Dökümü'!$I$2:$I$2001,0),"")</ns0:f>
        <ns0:v/>
      </ns0:c>
    </ns0:row>
    <ns0:row r="790" ht="21" customHeight="1">
      <ns0:c r="A790" s="32" t="str">
        <ns0:f>IF($E790="","",INDEX('Banka Dökümü'!$A$2:$A$2001,$E790))</ns0:f>
        <ns0:v/>
      </ns0:c>
      <ns0:c r="B790" s="28" t="str">
        <ns0:f>IF($E790="","",INDEX('Banka Dökümü'!$B$2:$B$2001,$E790))</ns0:f>
        <ns0:v/>
      </ns0:c>
      <ns0:c r="C790" s="33" t="str">
        <ns0:f>IF($E790="","",INDEX('Banka Dökümü'!$C$2:$C$2001,$E790))</ns0:f>
        <ns0:v/>
      </ns0:c>
      <ns0:c r="D790" s="28" t="str">
        <ns0:f>IF(E790="","","Müşteri adı / aranacak ad / il bilgisini kontrol edin")</ns0:f>
        <ns0:v/>
      </ns0:c>
      <ns0:c r="E790" s="28" t="str">
        <ns0:f>IFERROR(MATCH(786,'Banka Dökümü'!$I$2:$I$2001,0),"")</ns0:f>
        <ns0:v/>
      </ns0:c>
    </ns0:row>
    <ns0:row r="791" ht="21" customHeight="1">
      <ns0:c r="A791" s="32" t="str">
        <ns0:f>IF($E791="","",INDEX('Banka Dökümü'!$A$2:$A$2001,$E791))</ns0:f>
        <ns0:v/>
      </ns0:c>
      <ns0:c r="B791" s="28" t="str">
        <ns0:f>IF($E791="","",INDEX('Banka Dökümü'!$B$2:$B$2001,$E791))</ns0:f>
        <ns0:v/>
      </ns0:c>
      <ns0:c r="C791" s="33" t="str">
        <ns0:f>IF($E791="","",INDEX('Banka Dökümü'!$C$2:$C$2001,$E791))</ns0:f>
        <ns0:v/>
      </ns0:c>
      <ns0:c r="D791" s="28" t="str">
        <ns0:f>IF(E791="","","Müşteri adı / aranacak ad / il bilgisini kontrol edin")</ns0:f>
        <ns0:v/>
      </ns0:c>
      <ns0:c r="E791" s="28" t="str">
        <ns0:f>IFERROR(MATCH(787,'Banka Dökümü'!$I$2:$I$2001,0),"")</ns0:f>
        <ns0:v/>
      </ns0:c>
    </ns0:row>
    <ns0:row r="792" ht="21" customHeight="1">
      <ns0:c r="A792" s="32" t="str">
        <ns0:f>IF($E792="","",INDEX('Banka Dökümü'!$A$2:$A$2001,$E792))</ns0:f>
        <ns0:v/>
      </ns0:c>
      <ns0:c r="B792" s="28" t="str">
        <ns0:f>IF($E792="","",INDEX('Banka Dökümü'!$B$2:$B$2001,$E792))</ns0:f>
        <ns0:v/>
      </ns0:c>
      <ns0:c r="C792" s="33" t="str">
        <ns0:f>IF($E792="","",INDEX('Banka Dökümü'!$C$2:$C$2001,$E792))</ns0:f>
        <ns0:v/>
      </ns0:c>
      <ns0:c r="D792" s="28" t="str">
        <ns0:f>IF(E792="","","Müşteri adı / aranacak ad / il bilgisini kontrol edin")</ns0:f>
        <ns0:v/>
      </ns0:c>
      <ns0:c r="E792" s="28" t="str">
        <ns0:f>IFERROR(MATCH(788,'Banka Dökümü'!$I$2:$I$2001,0),"")</ns0:f>
        <ns0:v/>
      </ns0:c>
    </ns0:row>
    <ns0:row r="793" ht="21" customHeight="1">
      <ns0:c r="A793" s="32" t="str">
        <ns0:f>IF($E793="","",INDEX('Banka Dökümü'!$A$2:$A$2001,$E793))</ns0:f>
        <ns0:v/>
      </ns0:c>
      <ns0:c r="B793" s="28" t="str">
        <ns0:f>IF($E793="","",INDEX('Banka Dökümü'!$B$2:$B$2001,$E793))</ns0:f>
        <ns0:v/>
      </ns0:c>
      <ns0:c r="C793" s="33" t="str">
        <ns0:f>IF($E793="","",INDEX('Banka Dökümü'!$C$2:$C$2001,$E793))</ns0:f>
        <ns0:v/>
      </ns0:c>
      <ns0:c r="D793" s="28" t="str">
        <ns0:f>IF(E793="","","Müşteri adı / aranacak ad / il bilgisini kontrol edin")</ns0:f>
        <ns0:v/>
      </ns0:c>
      <ns0:c r="E793" s="28" t="str">
        <ns0:f>IFERROR(MATCH(789,'Banka Dökümü'!$I$2:$I$2001,0),"")</ns0:f>
        <ns0:v/>
      </ns0:c>
    </ns0:row>
    <ns0:row r="794" ht="21" customHeight="1">
      <ns0:c r="A794" s="32" t="str">
        <ns0:f>IF($E794="","",INDEX('Banka Dökümü'!$A$2:$A$2001,$E794))</ns0:f>
        <ns0:v/>
      </ns0:c>
      <ns0:c r="B794" s="28" t="str">
        <ns0:f>IF($E794="","",INDEX('Banka Dökümü'!$B$2:$B$2001,$E794))</ns0:f>
        <ns0:v/>
      </ns0:c>
      <ns0:c r="C794" s="33" t="str">
        <ns0:f>IF($E794="","",INDEX('Banka Dökümü'!$C$2:$C$2001,$E794))</ns0:f>
        <ns0:v/>
      </ns0:c>
      <ns0:c r="D794" s="28" t="str">
        <ns0:f>IF(E794="","","Müşteri adı / aranacak ad / il bilgisini kontrol edin")</ns0:f>
        <ns0:v/>
      </ns0:c>
      <ns0:c r="E794" s="28" t="str">
        <ns0:f>IFERROR(MATCH(790,'Banka Dökümü'!$I$2:$I$2001,0),"")</ns0:f>
        <ns0:v/>
      </ns0:c>
    </ns0:row>
    <ns0:row r="795" ht="21" customHeight="1">
      <ns0:c r="A795" s="32" t="str">
        <ns0:f>IF($E795="","",INDEX('Banka Dökümü'!$A$2:$A$2001,$E795))</ns0:f>
        <ns0:v/>
      </ns0:c>
      <ns0:c r="B795" s="28" t="str">
        <ns0:f>IF($E795="","",INDEX('Banka Dökümü'!$B$2:$B$2001,$E795))</ns0:f>
        <ns0:v/>
      </ns0:c>
      <ns0:c r="C795" s="33" t="str">
        <ns0:f>IF($E795="","",INDEX('Banka Dökümü'!$C$2:$C$2001,$E795))</ns0:f>
        <ns0:v/>
      </ns0:c>
      <ns0:c r="D795" s="28" t="str">
        <ns0:f>IF(E795="","","Müşteri adı / aranacak ad / il bilgisini kontrol edin")</ns0:f>
        <ns0:v/>
      </ns0:c>
      <ns0:c r="E795" s="28" t="str">
        <ns0:f>IFERROR(MATCH(791,'Banka Dökümü'!$I$2:$I$2001,0),"")</ns0:f>
        <ns0:v/>
      </ns0:c>
    </ns0:row>
    <ns0:row r="796" ht="21" customHeight="1">
      <ns0:c r="A796" s="32" t="str">
        <ns0:f>IF($E796="","",INDEX('Banka Dökümü'!$A$2:$A$2001,$E796))</ns0:f>
        <ns0:v/>
      </ns0:c>
      <ns0:c r="B796" s="28" t="str">
        <ns0:f>IF($E796="","",INDEX('Banka Dökümü'!$B$2:$B$2001,$E796))</ns0:f>
        <ns0:v/>
      </ns0:c>
      <ns0:c r="C796" s="33" t="str">
        <ns0:f>IF($E796="","",INDEX('Banka Dökümü'!$C$2:$C$2001,$E796))</ns0:f>
        <ns0:v/>
      </ns0:c>
      <ns0:c r="D796" s="28" t="str">
        <ns0:f>IF(E796="","","Müşteri adı / aranacak ad / il bilgisini kontrol edin")</ns0:f>
        <ns0:v/>
      </ns0:c>
      <ns0:c r="E796" s="28" t="str">
        <ns0:f>IFERROR(MATCH(792,'Banka Dökümü'!$I$2:$I$2001,0),"")</ns0:f>
        <ns0:v/>
      </ns0:c>
    </ns0:row>
    <ns0:row r="797" ht="21" customHeight="1">
      <ns0:c r="A797" s="32" t="str">
        <ns0:f>IF($E797="","",INDEX('Banka Dökümü'!$A$2:$A$2001,$E797))</ns0:f>
        <ns0:v/>
      </ns0:c>
      <ns0:c r="B797" s="28" t="str">
        <ns0:f>IF($E797="","",INDEX('Banka Dökümü'!$B$2:$B$2001,$E797))</ns0:f>
        <ns0:v/>
      </ns0:c>
      <ns0:c r="C797" s="33" t="str">
        <ns0:f>IF($E797="","",INDEX('Banka Dökümü'!$C$2:$C$2001,$E797))</ns0:f>
        <ns0:v/>
      </ns0:c>
      <ns0:c r="D797" s="28" t="str">
        <ns0:f>IF(E797="","","Müşteri adı / aranacak ad / il bilgisini kontrol edin")</ns0:f>
        <ns0:v/>
      </ns0:c>
      <ns0:c r="E797" s="28" t="str">
        <ns0:f>IFERROR(MATCH(793,'Banka Dökümü'!$I$2:$I$2001,0),"")</ns0:f>
        <ns0:v/>
      </ns0:c>
    </ns0:row>
    <ns0:row r="798" ht="21" customHeight="1">
      <ns0:c r="A798" s="32" t="str">
        <ns0:f>IF($E798="","",INDEX('Banka Dökümü'!$A$2:$A$2001,$E798))</ns0:f>
        <ns0:v/>
      </ns0:c>
      <ns0:c r="B798" s="28" t="str">
        <ns0:f>IF($E798="","",INDEX('Banka Dökümü'!$B$2:$B$2001,$E798))</ns0:f>
        <ns0:v/>
      </ns0:c>
      <ns0:c r="C798" s="33" t="str">
        <ns0:f>IF($E798="","",INDEX('Banka Dökümü'!$C$2:$C$2001,$E798))</ns0:f>
        <ns0:v/>
      </ns0:c>
      <ns0:c r="D798" s="28" t="str">
        <ns0:f>IF(E798="","","Müşteri adı / aranacak ad / il bilgisini kontrol edin")</ns0:f>
        <ns0:v/>
      </ns0:c>
      <ns0:c r="E798" s="28" t="str">
        <ns0:f>IFERROR(MATCH(794,'Banka Dökümü'!$I$2:$I$2001,0),"")</ns0:f>
        <ns0:v/>
      </ns0:c>
    </ns0:row>
    <ns0:row r="799" ht="21" customHeight="1">
      <ns0:c r="A799" s="32" t="str">
        <ns0:f>IF($E799="","",INDEX('Banka Dökümü'!$A$2:$A$2001,$E799))</ns0:f>
        <ns0:v/>
      </ns0:c>
      <ns0:c r="B799" s="28" t="str">
        <ns0:f>IF($E799="","",INDEX('Banka Dökümü'!$B$2:$B$2001,$E799))</ns0:f>
        <ns0:v/>
      </ns0:c>
      <ns0:c r="C799" s="33" t="str">
        <ns0:f>IF($E799="","",INDEX('Banka Dökümü'!$C$2:$C$2001,$E799))</ns0:f>
        <ns0:v/>
      </ns0:c>
      <ns0:c r="D799" s="28" t="str">
        <ns0:f>IF(E799="","","Müşteri adı / aranacak ad / il bilgisini kontrol edin")</ns0:f>
        <ns0:v/>
      </ns0:c>
      <ns0:c r="E799" s="28" t="str">
        <ns0:f>IFERROR(MATCH(795,'Banka Dökümü'!$I$2:$I$2001,0),"")</ns0:f>
        <ns0:v/>
      </ns0:c>
    </ns0:row>
    <ns0:row r="800" ht="21" customHeight="1">
      <ns0:c r="A800" s="32" t="str">
        <ns0:f>IF($E800="","",INDEX('Banka Dökümü'!$A$2:$A$2001,$E800))</ns0:f>
        <ns0:v/>
      </ns0:c>
      <ns0:c r="B800" s="28" t="str">
        <ns0:f>IF($E800="","",INDEX('Banka Dökümü'!$B$2:$B$2001,$E800))</ns0:f>
        <ns0:v/>
      </ns0:c>
      <ns0:c r="C800" s="33" t="str">
        <ns0:f>IF($E800="","",INDEX('Banka Dökümü'!$C$2:$C$2001,$E800))</ns0:f>
        <ns0:v/>
      </ns0:c>
      <ns0:c r="D800" s="28" t="str">
        <ns0:f>IF(E800="","","Müşteri adı / aranacak ad / il bilgisini kontrol edin")</ns0:f>
        <ns0:v/>
      </ns0:c>
      <ns0:c r="E800" s="28" t="str">
        <ns0:f>IFERROR(MATCH(796,'Banka Dökümü'!$I$2:$I$2001,0),"")</ns0:f>
        <ns0:v/>
      </ns0:c>
    </ns0:row>
    <ns0:row r="801" ht="21" customHeight="1">
      <ns0:c r="A801" s="32" t="str">
        <ns0:f>IF($E801="","",INDEX('Banka Dökümü'!$A$2:$A$2001,$E801))</ns0:f>
        <ns0:v/>
      </ns0:c>
      <ns0:c r="B801" s="28" t="str">
        <ns0:f>IF($E801="","",INDEX('Banka Dökümü'!$B$2:$B$2001,$E801))</ns0:f>
        <ns0:v/>
      </ns0:c>
      <ns0:c r="C801" s="33" t="str">
        <ns0:f>IF($E801="","",INDEX('Banka Dökümü'!$C$2:$C$2001,$E801))</ns0:f>
        <ns0:v/>
      </ns0:c>
      <ns0:c r="D801" s="28" t="str">
        <ns0:f>IF(E801="","","Müşteri adı / aranacak ad / il bilgisini kontrol edin")</ns0:f>
        <ns0:v/>
      </ns0:c>
      <ns0:c r="E801" s="28" t="str">
        <ns0:f>IFERROR(MATCH(797,'Banka Dökümü'!$I$2:$I$2001,0),"")</ns0:f>
        <ns0:v/>
      </ns0:c>
    </ns0:row>
    <ns0:row r="802" ht="21" customHeight="1">
      <ns0:c r="A802" s="32" t="str">
        <ns0:f>IF($E802="","",INDEX('Banka Dökümü'!$A$2:$A$2001,$E802))</ns0:f>
        <ns0:v/>
      </ns0:c>
      <ns0:c r="B802" s="28" t="str">
        <ns0:f>IF($E802="","",INDEX('Banka Dökümü'!$B$2:$B$2001,$E802))</ns0:f>
        <ns0:v/>
      </ns0:c>
      <ns0:c r="C802" s="33" t="str">
        <ns0:f>IF($E802="","",INDEX('Banka Dökümü'!$C$2:$C$2001,$E802))</ns0:f>
        <ns0:v/>
      </ns0:c>
      <ns0:c r="D802" s="28" t="str">
        <ns0:f>IF(E802="","","Müşteri adı / aranacak ad / il bilgisini kontrol edin")</ns0:f>
        <ns0:v/>
      </ns0:c>
      <ns0:c r="E802" s="28" t="str">
        <ns0:f>IFERROR(MATCH(798,'Banka Dökümü'!$I$2:$I$2001,0),"")</ns0:f>
        <ns0:v/>
      </ns0:c>
    </ns0:row>
    <ns0:row r="803" ht="21" customHeight="1">
      <ns0:c r="A803" s="32" t="str">
        <ns0:f>IF($E803="","",INDEX('Banka Dökümü'!$A$2:$A$2001,$E803))</ns0:f>
        <ns0:v/>
      </ns0:c>
      <ns0:c r="B803" s="28" t="str">
        <ns0:f>IF($E803="","",INDEX('Banka Dökümü'!$B$2:$B$2001,$E803))</ns0:f>
        <ns0:v/>
      </ns0:c>
      <ns0:c r="C803" s="33" t="str">
        <ns0:f>IF($E803="","",INDEX('Banka Dökümü'!$C$2:$C$2001,$E803))</ns0:f>
        <ns0:v/>
      </ns0:c>
      <ns0:c r="D803" s="28" t="str">
        <ns0:f>IF(E803="","","Müşteri adı / aranacak ad / il bilgisini kontrol edin")</ns0:f>
        <ns0:v/>
      </ns0:c>
      <ns0:c r="E803" s="28" t="str">
        <ns0:f>IFERROR(MATCH(799,'Banka Dökümü'!$I$2:$I$2001,0),"")</ns0:f>
        <ns0:v/>
      </ns0:c>
    </ns0:row>
    <ns0:row r="804" ht="21" customHeight="1">
      <ns0:c r="A804" s="32" t="str">
        <ns0:f>IF($E804="","",INDEX('Banka Dökümü'!$A$2:$A$2001,$E804))</ns0:f>
        <ns0:v/>
      </ns0:c>
      <ns0:c r="B804" s="28" t="str">
        <ns0:f>IF($E804="","",INDEX('Banka Dökümü'!$B$2:$B$2001,$E804))</ns0:f>
        <ns0:v/>
      </ns0:c>
      <ns0:c r="C804" s="33" t="str">
        <ns0:f>IF($E804="","",INDEX('Banka Dökümü'!$C$2:$C$2001,$E804))</ns0:f>
        <ns0:v/>
      </ns0:c>
      <ns0:c r="D804" s="28" t="str">
        <ns0:f>IF(E804="","","Müşteri adı / aranacak ad / il bilgisini kontrol edin")</ns0:f>
        <ns0:v/>
      </ns0:c>
      <ns0:c r="E804" s="28" t="str">
        <ns0:f>IFERROR(MATCH(800,'Banka Dökümü'!$I$2:$I$2001,0),"")</ns0:f>
        <ns0:v/>
      </ns0:c>
    </ns0:row>
    <ns0:row r="805" ht="21" customHeight="1">
      <ns0:c r="A805" s="32" t="str">
        <ns0:f>IF($E805="","",INDEX('Banka Dökümü'!$A$2:$A$2001,$E805))</ns0:f>
        <ns0:v/>
      </ns0:c>
      <ns0:c r="B805" s="28" t="str">
        <ns0:f>IF($E805="","",INDEX('Banka Dökümü'!$B$2:$B$2001,$E805))</ns0:f>
        <ns0:v/>
      </ns0:c>
      <ns0:c r="C805" s="33" t="str">
        <ns0:f>IF($E805="","",INDEX('Banka Dökümü'!$C$2:$C$2001,$E805))</ns0:f>
        <ns0:v/>
      </ns0:c>
      <ns0:c r="D805" s="28" t="str">
        <ns0:f>IF(E805="","","Müşteri adı / aranacak ad / il bilgisini kontrol edin")</ns0:f>
        <ns0:v/>
      </ns0:c>
      <ns0:c r="E805" s="28" t="str">
        <ns0:f>IFERROR(MATCH(801,'Banka Dökümü'!$I$2:$I$2001,0),"")</ns0:f>
        <ns0:v/>
      </ns0:c>
    </ns0:row>
    <ns0:row r="806" ht="21" customHeight="1">
      <ns0:c r="A806" s="32" t="str">
        <ns0:f>IF($E806="","",INDEX('Banka Dökümü'!$A$2:$A$2001,$E806))</ns0:f>
        <ns0:v/>
      </ns0:c>
      <ns0:c r="B806" s="28" t="str">
        <ns0:f>IF($E806="","",INDEX('Banka Dökümü'!$B$2:$B$2001,$E806))</ns0:f>
        <ns0:v/>
      </ns0:c>
      <ns0:c r="C806" s="33" t="str">
        <ns0:f>IF($E806="","",INDEX('Banka Dökümü'!$C$2:$C$2001,$E806))</ns0:f>
        <ns0:v/>
      </ns0:c>
      <ns0:c r="D806" s="28" t="str">
        <ns0:f>IF(E806="","","Müşteri adı / aranacak ad / il bilgisini kontrol edin")</ns0:f>
        <ns0:v/>
      </ns0:c>
      <ns0:c r="E806" s="28" t="str">
        <ns0:f>IFERROR(MATCH(802,'Banka Dökümü'!$I$2:$I$2001,0),"")</ns0:f>
        <ns0:v/>
      </ns0:c>
    </ns0:row>
    <ns0:row r="807" ht="21" customHeight="1">
      <ns0:c r="A807" s="32" t="str">
        <ns0:f>IF($E807="","",INDEX('Banka Dökümü'!$A$2:$A$2001,$E807))</ns0:f>
        <ns0:v/>
      </ns0:c>
      <ns0:c r="B807" s="28" t="str">
        <ns0:f>IF($E807="","",INDEX('Banka Dökümü'!$B$2:$B$2001,$E807))</ns0:f>
        <ns0:v/>
      </ns0:c>
      <ns0:c r="C807" s="33" t="str">
        <ns0:f>IF($E807="","",INDEX('Banka Dökümü'!$C$2:$C$2001,$E807))</ns0:f>
        <ns0:v/>
      </ns0:c>
      <ns0:c r="D807" s="28" t="str">
        <ns0:f>IF(E807="","","Müşteri adı / aranacak ad / il bilgisini kontrol edin")</ns0:f>
        <ns0:v/>
      </ns0:c>
      <ns0:c r="E807" s="28" t="str">
        <ns0:f>IFERROR(MATCH(803,'Banka Dökümü'!$I$2:$I$2001,0),"")</ns0:f>
        <ns0:v/>
      </ns0:c>
    </ns0:row>
    <ns0:row r="808" ht="21" customHeight="1">
      <ns0:c r="A808" s="32" t="str">
        <ns0:f>IF($E808="","",INDEX('Banka Dökümü'!$A$2:$A$2001,$E808))</ns0:f>
        <ns0:v/>
      </ns0:c>
      <ns0:c r="B808" s="28" t="str">
        <ns0:f>IF($E808="","",INDEX('Banka Dökümü'!$B$2:$B$2001,$E808))</ns0:f>
        <ns0:v/>
      </ns0:c>
      <ns0:c r="C808" s="33" t="str">
        <ns0:f>IF($E808="","",INDEX('Banka Dökümü'!$C$2:$C$2001,$E808))</ns0:f>
        <ns0:v/>
      </ns0:c>
      <ns0:c r="D808" s="28" t="str">
        <ns0:f>IF(E808="","","Müşteri adı / aranacak ad / il bilgisini kontrol edin")</ns0:f>
        <ns0:v/>
      </ns0:c>
      <ns0:c r="E808" s="28" t="str">
        <ns0:f>IFERROR(MATCH(804,'Banka Dökümü'!$I$2:$I$2001,0),"")</ns0:f>
        <ns0:v/>
      </ns0:c>
    </ns0:row>
    <ns0:row r="809" ht="21" customHeight="1">
      <ns0:c r="A809" s="32" t="str">
        <ns0:f>IF($E809="","",INDEX('Banka Dökümü'!$A$2:$A$2001,$E809))</ns0:f>
        <ns0:v/>
      </ns0:c>
      <ns0:c r="B809" s="28" t="str">
        <ns0:f>IF($E809="","",INDEX('Banka Dökümü'!$B$2:$B$2001,$E809))</ns0:f>
        <ns0:v/>
      </ns0:c>
      <ns0:c r="C809" s="33" t="str">
        <ns0:f>IF($E809="","",INDEX('Banka Dökümü'!$C$2:$C$2001,$E809))</ns0:f>
        <ns0:v/>
      </ns0:c>
      <ns0:c r="D809" s="28" t="str">
        <ns0:f>IF(E809="","","Müşteri adı / aranacak ad / il bilgisini kontrol edin")</ns0:f>
        <ns0:v/>
      </ns0:c>
      <ns0:c r="E809" s="28" t="str">
        <ns0:f>IFERROR(MATCH(805,'Banka Dökümü'!$I$2:$I$2001,0),"")</ns0:f>
        <ns0:v/>
      </ns0:c>
    </ns0:row>
    <ns0:row r="810" ht="21" customHeight="1">
      <ns0:c r="A810" s="32" t="str">
        <ns0:f>IF($E810="","",INDEX('Banka Dökümü'!$A$2:$A$2001,$E810))</ns0:f>
        <ns0:v/>
      </ns0:c>
      <ns0:c r="B810" s="28" t="str">
        <ns0:f>IF($E810="","",INDEX('Banka Dökümü'!$B$2:$B$2001,$E810))</ns0:f>
        <ns0:v/>
      </ns0:c>
      <ns0:c r="C810" s="33" t="str">
        <ns0:f>IF($E810="","",INDEX('Banka Dökümü'!$C$2:$C$2001,$E810))</ns0:f>
        <ns0:v/>
      </ns0:c>
      <ns0:c r="D810" s="28" t="str">
        <ns0:f>IF(E810="","","Müşteri adı / aranacak ad / il bilgisini kontrol edin")</ns0:f>
        <ns0:v/>
      </ns0:c>
      <ns0:c r="E810" s="28" t="str">
        <ns0:f>IFERROR(MATCH(806,'Banka Dökümü'!$I$2:$I$2001,0),"")</ns0:f>
        <ns0:v/>
      </ns0:c>
    </ns0:row>
    <ns0:row r="811" ht="21" customHeight="1">
      <ns0:c r="A811" s="32" t="str">
        <ns0:f>IF($E811="","",INDEX('Banka Dökümü'!$A$2:$A$2001,$E811))</ns0:f>
        <ns0:v/>
      </ns0:c>
      <ns0:c r="B811" s="28" t="str">
        <ns0:f>IF($E811="","",INDEX('Banka Dökümü'!$B$2:$B$2001,$E811))</ns0:f>
        <ns0:v/>
      </ns0:c>
      <ns0:c r="C811" s="33" t="str">
        <ns0:f>IF($E811="","",INDEX('Banka Dökümü'!$C$2:$C$2001,$E811))</ns0:f>
        <ns0:v/>
      </ns0:c>
      <ns0:c r="D811" s="28" t="str">
        <ns0:f>IF(E811="","","Müşteri adı / aranacak ad / il bilgisini kontrol edin")</ns0:f>
        <ns0:v/>
      </ns0:c>
      <ns0:c r="E811" s="28" t="str">
        <ns0:f>IFERROR(MATCH(807,'Banka Dökümü'!$I$2:$I$2001,0),"")</ns0:f>
        <ns0:v/>
      </ns0:c>
    </ns0:row>
    <ns0:row r="812" ht="21" customHeight="1">
      <ns0:c r="A812" s="32" t="str">
        <ns0:f>IF($E812="","",INDEX('Banka Dökümü'!$A$2:$A$2001,$E812))</ns0:f>
        <ns0:v/>
      </ns0:c>
      <ns0:c r="B812" s="28" t="str">
        <ns0:f>IF($E812="","",INDEX('Banka Dökümü'!$B$2:$B$2001,$E812))</ns0:f>
        <ns0:v/>
      </ns0:c>
      <ns0:c r="C812" s="33" t="str">
        <ns0:f>IF($E812="","",INDEX('Banka Dökümü'!$C$2:$C$2001,$E812))</ns0:f>
        <ns0:v/>
      </ns0:c>
      <ns0:c r="D812" s="28" t="str">
        <ns0:f>IF(E812="","","Müşteri adı / aranacak ad / il bilgisini kontrol edin")</ns0:f>
        <ns0:v/>
      </ns0:c>
      <ns0:c r="E812" s="28" t="str">
        <ns0:f>IFERROR(MATCH(808,'Banka Dökümü'!$I$2:$I$2001,0),"")</ns0:f>
        <ns0:v/>
      </ns0:c>
    </ns0:row>
    <ns0:row r="813" ht="21" customHeight="1">
      <ns0:c r="A813" s="32" t="str">
        <ns0:f>IF($E813="","",INDEX('Banka Dökümü'!$A$2:$A$2001,$E813))</ns0:f>
        <ns0:v/>
      </ns0:c>
      <ns0:c r="B813" s="28" t="str">
        <ns0:f>IF($E813="","",INDEX('Banka Dökümü'!$B$2:$B$2001,$E813))</ns0:f>
        <ns0:v/>
      </ns0:c>
      <ns0:c r="C813" s="33" t="str">
        <ns0:f>IF($E813="","",INDEX('Banka Dökümü'!$C$2:$C$2001,$E813))</ns0:f>
        <ns0:v/>
      </ns0:c>
      <ns0:c r="D813" s="28" t="str">
        <ns0:f>IF(E813="","","Müşteri adı / aranacak ad / il bilgisini kontrol edin")</ns0:f>
        <ns0:v/>
      </ns0:c>
      <ns0:c r="E813" s="28" t="str">
        <ns0:f>IFERROR(MATCH(809,'Banka Dökümü'!$I$2:$I$2001,0),"")</ns0:f>
        <ns0:v/>
      </ns0:c>
    </ns0:row>
    <ns0:row r="814" ht="21" customHeight="1">
      <ns0:c r="A814" s="32" t="str">
        <ns0:f>IF($E814="","",INDEX('Banka Dökümü'!$A$2:$A$2001,$E814))</ns0:f>
        <ns0:v/>
      </ns0:c>
      <ns0:c r="B814" s="28" t="str">
        <ns0:f>IF($E814="","",INDEX('Banka Dökümü'!$B$2:$B$2001,$E814))</ns0:f>
        <ns0:v/>
      </ns0:c>
      <ns0:c r="C814" s="33" t="str">
        <ns0:f>IF($E814="","",INDEX('Banka Dökümü'!$C$2:$C$2001,$E814))</ns0:f>
        <ns0:v/>
      </ns0:c>
      <ns0:c r="D814" s="28" t="str">
        <ns0:f>IF(E814="","","Müşteri adı / aranacak ad / il bilgisini kontrol edin")</ns0:f>
        <ns0:v/>
      </ns0:c>
      <ns0:c r="E814" s="28" t="str">
        <ns0:f>IFERROR(MATCH(810,'Banka Dökümü'!$I$2:$I$2001,0),"")</ns0:f>
        <ns0:v/>
      </ns0:c>
    </ns0:row>
    <ns0:row r="815" ht="21" customHeight="1">
      <ns0:c r="A815" s="32" t="str">
        <ns0:f>IF($E815="","",INDEX('Banka Dökümü'!$A$2:$A$2001,$E815))</ns0:f>
        <ns0:v/>
      </ns0:c>
      <ns0:c r="B815" s="28" t="str">
        <ns0:f>IF($E815="","",INDEX('Banka Dökümü'!$B$2:$B$2001,$E815))</ns0:f>
        <ns0:v/>
      </ns0:c>
      <ns0:c r="C815" s="33" t="str">
        <ns0:f>IF($E815="","",INDEX('Banka Dökümü'!$C$2:$C$2001,$E815))</ns0:f>
        <ns0:v/>
      </ns0:c>
      <ns0:c r="D815" s="28" t="str">
        <ns0:f>IF(E815="","","Müşteri adı / aranacak ad / il bilgisini kontrol edin")</ns0:f>
        <ns0:v/>
      </ns0:c>
      <ns0:c r="E815" s="28" t="str">
        <ns0:f>IFERROR(MATCH(811,'Banka Dökümü'!$I$2:$I$2001,0),"")</ns0:f>
        <ns0:v/>
      </ns0:c>
    </ns0:row>
    <ns0:row r="816" ht="21" customHeight="1">
      <ns0:c r="A816" s="32" t="str">
        <ns0:f>IF($E816="","",INDEX('Banka Dökümü'!$A$2:$A$2001,$E816))</ns0:f>
        <ns0:v/>
      </ns0:c>
      <ns0:c r="B816" s="28" t="str">
        <ns0:f>IF($E816="","",INDEX('Banka Dökümü'!$B$2:$B$2001,$E816))</ns0:f>
        <ns0:v/>
      </ns0:c>
      <ns0:c r="C816" s="33" t="str">
        <ns0:f>IF($E816="","",INDEX('Banka Dökümü'!$C$2:$C$2001,$E816))</ns0:f>
        <ns0:v/>
      </ns0:c>
      <ns0:c r="D816" s="28" t="str">
        <ns0:f>IF(E816="","","Müşteri adı / aranacak ad / il bilgisini kontrol edin")</ns0:f>
        <ns0:v/>
      </ns0:c>
      <ns0:c r="E816" s="28" t="str">
        <ns0:f>IFERROR(MATCH(812,'Banka Dökümü'!$I$2:$I$2001,0),"")</ns0:f>
        <ns0:v/>
      </ns0:c>
    </ns0:row>
    <ns0:row r="817" ht="21" customHeight="1">
      <ns0:c r="A817" s="32" t="str">
        <ns0:f>IF($E817="","",INDEX('Banka Dökümü'!$A$2:$A$2001,$E817))</ns0:f>
        <ns0:v/>
      </ns0:c>
      <ns0:c r="B817" s="28" t="str">
        <ns0:f>IF($E817="","",INDEX('Banka Dökümü'!$B$2:$B$2001,$E817))</ns0:f>
        <ns0:v/>
      </ns0:c>
      <ns0:c r="C817" s="33" t="str">
        <ns0:f>IF($E817="","",INDEX('Banka Dökümü'!$C$2:$C$2001,$E817))</ns0:f>
        <ns0:v/>
      </ns0:c>
      <ns0:c r="D817" s="28" t="str">
        <ns0:f>IF(E817="","","Müşteri adı / aranacak ad / il bilgisini kontrol edin")</ns0:f>
        <ns0:v/>
      </ns0:c>
      <ns0:c r="E817" s="28" t="str">
        <ns0:f>IFERROR(MATCH(813,'Banka Dökümü'!$I$2:$I$2001,0),"")</ns0:f>
        <ns0:v/>
      </ns0:c>
    </ns0:row>
    <ns0:row r="818" ht="21" customHeight="1">
      <ns0:c r="A818" s="32" t="str">
        <ns0:f>IF($E818="","",INDEX('Banka Dökümü'!$A$2:$A$2001,$E818))</ns0:f>
        <ns0:v/>
      </ns0:c>
      <ns0:c r="B818" s="28" t="str">
        <ns0:f>IF($E818="","",INDEX('Banka Dökümü'!$B$2:$B$2001,$E818))</ns0:f>
        <ns0:v/>
      </ns0:c>
      <ns0:c r="C818" s="33" t="str">
        <ns0:f>IF($E818="","",INDEX('Banka Dökümü'!$C$2:$C$2001,$E818))</ns0:f>
        <ns0:v/>
      </ns0:c>
      <ns0:c r="D818" s="28" t="str">
        <ns0:f>IF(E818="","","Müşteri adı / aranacak ad / il bilgisini kontrol edin")</ns0:f>
        <ns0:v/>
      </ns0:c>
      <ns0:c r="E818" s="28" t="str">
        <ns0:f>IFERROR(MATCH(814,'Banka Dökümü'!$I$2:$I$2001,0),"")</ns0:f>
        <ns0:v/>
      </ns0:c>
    </ns0:row>
    <ns0:row r="819" ht="21" customHeight="1">
      <ns0:c r="A819" s="32" t="str">
        <ns0:f>IF($E819="","",INDEX('Banka Dökümü'!$A$2:$A$2001,$E819))</ns0:f>
        <ns0:v/>
      </ns0:c>
      <ns0:c r="B819" s="28" t="str">
        <ns0:f>IF($E819="","",INDEX('Banka Dökümü'!$B$2:$B$2001,$E819))</ns0:f>
        <ns0:v/>
      </ns0:c>
      <ns0:c r="C819" s="33" t="str">
        <ns0:f>IF($E819="","",INDEX('Banka Dökümü'!$C$2:$C$2001,$E819))</ns0:f>
        <ns0:v/>
      </ns0:c>
      <ns0:c r="D819" s="28" t="str">
        <ns0:f>IF(E819="","","Müşteri adı / aranacak ad / il bilgisini kontrol edin")</ns0:f>
        <ns0:v/>
      </ns0:c>
      <ns0:c r="E819" s="28" t="str">
        <ns0:f>IFERROR(MATCH(815,'Banka Dökümü'!$I$2:$I$2001,0),"")</ns0:f>
        <ns0:v/>
      </ns0:c>
    </ns0:row>
    <ns0:row r="820" ht="21" customHeight="1">
      <ns0:c r="A820" s="32" t="str">
        <ns0:f>IF($E820="","",INDEX('Banka Dökümü'!$A$2:$A$2001,$E820))</ns0:f>
        <ns0:v/>
      </ns0:c>
      <ns0:c r="B820" s="28" t="str">
        <ns0:f>IF($E820="","",INDEX('Banka Dökümü'!$B$2:$B$2001,$E820))</ns0:f>
        <ns0:v/>
      </ns0:c>
      <ns0:c r="C820" s="33" t="str">
        <ns0:f>IF($E820="","",INDEX('Banka Dökümü'!$C$2:$C$2001,$E820))</ns0:f>
        <ns0:v/>
      </ns0:c>
      <ns0:c r="D820" s="28" t="str">
        <ns0:f>IF(E820="","","Müşteri adı / aranacak ad / il bilgisini kontrol edin")</ns0:f>
        <ns0:v/>
      </ns0:c>
      <ns0:c r="E820" s="28" t="str">
        <ns0:f>IFERROR(MATCH(816,'Banka Dökümü'!$I$2:$I$2001,0),"")</ns0:f>
        <ns0:v/>
      </ns0:c>
    </ns0:row>
    <ns0:row r="821" ht="21" customHeight="1">
      <ns0:c r="A821" s="32" t="str">
        <ns0:f>IF($E821="","",INDEX('Banka Dökümü'!$A$2:$A$2001,$E821))</ns0:f>
        <ns0:v/>
      </ns0:c>
      <ns0:c r="B821" s="28" t="str">
        <ns0:f>IF($E821="","",INDEX('Banka Dökümü'!$B$2:$B$2001,$E821))</ns0:f>
        <ns0:v/>
      </ns0:c>
      <ns0:c r="C821" s="33" t="str">
        <ns0:f>IF($E821="","",INDEX('Banka Dökümü'!$C$2:$C$2001,$E821))</ns0:f>
        <ns0:v/>
      </ns0:c>
      <ns0:c r="D821" s="28" t="str">
        <ns0:f>IF(E821="","","Müşteri adı / aranacak ad / il bilgisini kontrol edin")</ns0:f>
        <ns0:v/>
      </ns0:c>
      <ns0:c r="E821" s="28" t="str">
        <ns0:f>IFERROR(MATCH(817,'Banka Dökümü'!$I$2:$I$2001,0),"")</ns0:f>
        <ns0:v/>
      </ns0:c>
    </ns0:row>
    <ns0:row r="822" ht="21" customHeight="1">
      <ns0:c r="A822" s="32" t="str">
        <ns0:f>IF($E822="","",INDEX('Banka Dökümü'!$A$2:$A$2001,$E822))</ns0:f>
        <ns0:v/>
      </ns0:c>
      <ns0:c r="B822" s="28" t="str">
        <ns0:f>IF($E822="","",INDEX('Banka Dökümü'!$B$2:$B$2001,$E822))</ns0:f>
        <ns0:v/>
      </ns0:c>
      <ns0:c r="C822" s="33" t="str">
        <ns0:f>IF($E822="","",INDEX('Banka Dökümü'!$C$2:$C$2001,$E822))</ns0:f>
        <ns0:v/>
      </ns0:c>
      <ns0:c r="D822" s="28" t="str">
        <ns0:f>IF(E822="","","Müşteri adı / aranacak ad / il bilgisini kontrol edin")</ns0:f>
        <ns0:v/>
      </ns0:c>
      <ns0:c r="E822" s="28" t="str">
        <ns0:f>IFERROR(MATCH(818,'Banka Dökümü'!$I$2:$I$2001,0),"")</ns0:f>
        <ns0:v/>
      </ns0:c>
    </ns0:row>
    <ns0:row r="823" ht="21" customHeight="1">
      <ns0:c r="A823" s="32" t="str">
        <ns0:f>IF($E823="","",INDEX('Banka Dökümü'!$A$2:$A$2001,$E823))</ns0:f>
        <ns0:v/>
      </ns0:c>
      <ns0:c r="B823" s="28" t="str">
        <ns0:f>IF($E823="","",INDEX('Banka Dökümü'!$B$2:$B$2001,$E823))</ns0:f>
        <ns0:v/>
      </ns0:c>
      <ns0:c r="C823" s="33" t="str">
        <ns0:f>IF($E823="","",INDEX('Banka Dökümü'!$C$2:$C$2001,$E823))</ns0:f>
        <ns0:v/>
      </ns0:c>
      <ns0:c r="D823" s="28" t="str">
        <ns0:f>IF(E823="","","Müşteri adı / aranacak ad / il bilgisini kontrol edin")</ns0:f>
        <ns0:v/>
      </ns0:c>
      <ns0:c r="E823" s="28" t="str">
        <ns0:f>IFERROR(MATCH(819,'Banka Dökümü'!$I$2:$I$2001,0),"")</ns0:f>
        <ns0:v/>
      </ns0:c>
    </ns0:row>
    <ns0:row r="824" ht="21" customHeight="1">
      <ns0:c r="A824" s="32" t="str">
        <ns0:f>IF($E824="","",INDEX('Banka Dökümü'!$A$2:$A$2001,$E824))</ns0:f>
        <ns0:v/>
      </ns0:c>
      <ns0:c r="B824" s="28" t="str">
        <ns0:f>IF($E824="","",INDEX('Banka Dökümü'!$B$2:$B$2001,$E824))</ns0:f>
        <ns0:v/>
      </ns0:c>
      <ns0:c r="C824" s="33" t="str">
        <ns0:f>IF($E824="","",INDEX('Banka Dökümü'!$C$2:$C$2001,$E824))</ns0:f>
        <ns0:v/>
      </ns0:c>
      <ns0:c r="D824" s="28" t="str">
        <ns0:f>IF(E824="","","Müşteri adı / aranacak ad / il bilgisini kontrol edin")</ns0:f>
        <ns0:v/>
      </ns0:c>
      <ns0:c r="E824" s="28" t="str">
        <ns0:f>IFERROR(MATCH(820,'Banka Dökümü'!$I$2:$I$2001,0),"")</ns0:f>
        <ns0:v/>
      </ns0:c>
    </ns0:row>
    <ns0:row r="825" ht="21" customHeight="1">
      <ns0:c r="A825" s="32" t="str">
        <ns0:f>IF($E825="","",INDEX('Banka Dökümü'!$A$2:$A$2001,$E825))</ns0:f>
        <ns0:v/>
      </ns0:c>
      <ns0:c r="B825" s="28" t="str">
        <ns0:f>IF($E825="","",INDEX('Banka Dökümü'!$B$2:$B$2001,$E825))</ns0:f>
        <ns0:v/>
      </ns0:c>
      <ns0:c r="C825" s="33" t="str">
        <ns0:f>IF($E825="","",INDEX('Banka Dökümü'!$C$2:$C$2001,$E825))</ns0:f>
        <ns0:v/>
      </ns0:c>
      <ns0:c r="D825" s="28" t="str">
        <ns0:f>IF(E825="","","Müşteri adı / aranacak ad / il bilgisini kontrol edin")</ns0:f>
        <ns0:v/>
      </ns0:c>
      <ns0:c r="E825" s="28" t="str">
        <ns0:f>IFERROR(MATCH(821,'Banka Dökümü'!$I$2:$I$2001,0),"")</ns0:f>
        <ns0:v/>
      </ns0:c>
    </ns0:row>
    <ns0:row r="826" ht="21" customHeight="1">
      <ns0:c r="A826" s="32" t="str">
        <ns0:f>IF($E826="","",INDEX('Banka Dökümü'!$A$2:$A$2001,$E826))</ns0:f>
        <ns0:v/>
      </ns0:c>
      <ns0:c r="B826" s="28" t="str">
        <ns0:f>IF($E826="","",INDEX('Banka Dökümü'!$B$2:$B$2001,$E826))</ns0:f>
        <ns0:v/>
      </ns0:c>
      <ns0:c r="C826" s="33" t="str">
        <ns0:f>IF($E826="","",INDEX('Banka Dökümü'!$C$2:$C$2001,$E826))</ns0:f>
        <ns0:v/>
      </ns0:c>
      <ns0:c r="D826" s="28" t="str">
        <ns0:f>IF(E826="","","Müşteri adı / aranacak ad / il bilgisini kontrol edin")</ns0:f>
        <ns0:v/>
      </ns0:c>
      <ns0:c r="E826" s="28" t="str">
        <ns0:f>IFERROR(MATCH(822,'Banka Dökümü'!$I$2:$I$2001,0),"")</ns0:f>
        <ns0:v/>
      </ns0:c>
    </ns0:row>
    <ns0:row r="827" ht="21" customHeight="1">
      <ns0:c r="A827" s="32" t="str">
        <ns0:f>IF($E827="","",INDEX('Banka Dökümü'!$A$2:$A$2001,$E827))</ns0:f>
        <ns0:v/>
      </ns0:c>
      <ns0:c r="B827" s="28" t="str">
        <ns0:f>IF($E827="","",INDEX('Banka Dökümü'!$B$2:$B$2001,$E827))</ns0:f>
        <ns0:v/>
      </ns0:c>
      <ns0:c r="C827" s="33" t="str">
        <ns0:f>IF($E827="","",INDEX('Banka Dökümü'!$C$2:$C$2001,$E827))</ns0:f>
        <ns0:v/>
      </ns0:c>
      <ns0:c r="D827" s="28" t="str">
        <ns0:f>IF(E827="","","Müşteri adı / aranacak ad / il bilgisini kontrol edin")</ns0:f>
        <ns0:v/>
      </ns0:c>
      <ns0:c r="E827" s="28" t="str">
        <ns0:f>IFERROR(MATCH(823,'Banka Dökümü'!$I$2:$I$2001,0),"")</ns0:f>
        <ns0:v/>
      </ns0:c>
    </ns0:row>
    <ns0:row r="828" ht="21" customHeight="1">
      <ns0:c r="A828" s="32" t="str">
        <ns0:f>IF($E828="","",INDEX('Banka Dökümü'!$A$2:$A$2001,$E828))</ns0:f>
        <ns0:v/>
      </ns0:c>
      <ns0:c r="B828" s="28" t="str">
        <ns0:f>IF($E828="","",INDEX('Banka Dökümü'!$B$2:$B$2001,$E828))</ns0:f>
        <ns0:v/>
      </ns0:c>
      <ns0:c r="C828" s="33" t="str">
        <ns0:f>IF($E828="","",INDEX('Banka Dökümü'!$C$2:$C$2001,$E828))</ns0:f>
        <ns0:v/>
      </ns0:c>
      <ns0:c r="D828" s="28" t="str">
        <ns0:f>IF(E828="","","Müşteri adı / aranacak ad / il bilgisini kontrol edin")</ns0:f>
        <ns0:v/>
      </ns0:c>
      <ns0:c r="E828" s="28" t="str">
        <ns0:f>IFERROR(MATCH(824,'Banka Dökümü'!$I$2:$I$2001,0),"")</ns0:f>
        <ns0:v/>
      </ns0:c>
    </ns0:row>
    <ns0:row r="829" ht="21" customHeight="1">
      <ns0:c r="A829" s="32" t="str">
        <ns0:f>IF($E829="","",INDEX('Banka Dökümü'!$A$2:$A$2001,$E829))</ns0:f>
        <ns0:v/>
      </ns0:c>
      <ns0:c r="B829" s="28" t="str">
        <ns0:f>IF($E829="","",INDEX('Banka Dökümü'!$B$2:$B$2001,$E829))</ns0:f>
        <ns0:v/>
      </ns0:c>
      <ns0:c r="C829" s="33" t="str">
        <ns0:f>IF($E829="","",INDEX('Banka Dökümü'!$C$2:$C$2001,$E829))</ns0:f>
        <ns0:v/>
      </ns0:c>
      <ns0:c r="D829" s="28" t="str">
        <ns0:f>IF(E829="","","Müşteri adı / aranacak ad / il bilgisini kontrol edin")</ns0:f>
        <ns0:v/>
      </ns0:c>
      <ns0:c r="E829" s="28" t="str">
        <ns0:f>IFERROR(MATCH(825,'Banka Dökümü'!$I$2:$I$2001,0),"")</ns0:f>
        <ns0:v/>
      </ns0:c>
    </ns0:row>
    <ns0:row r="830" ht="21" customHeight="1">
      <ns0:c r="A830" s="32" t="str">
        <ns0:f>IF($E830="","",INDEX('Banka Dökümü'!$A$2:$A$2001,$E830))</ns0:f>
        <ns0:v/>
      </ns0:c>
      <ns0:c r="B830" s="28" t="str">
        <ns0:f>IF($E830="","",INDEX('Banka Dökümü'!$B$2:$B$2001,$E830))</ns0:f>
        <ns0:v/>
      </ns0:c>
      <ns0:c r="C830" s="33" t="str">
        <ns0:f>IF($E830="","",INDEX('Banka Dökümü'!$C$2:$C$2001,$E830))</ns0:f>
        <ns0:v/>
      </ns0:c>
      <ns0:c r="D830" s="28" t="str">
        <ns0:f>IF(E830="","","Müşteri adı / aranacak ad / il bilgisini kontrol edin")</ns0:f>
        <ns0:v/>
      </ns0:c>
      <ns0:c r="E830" s="28" t="str">
        <ns0:f>IFERROR(MATCH(826,'Banka Dökümü'!$I$2:$I$2001,0),"")</ns0:f>
        <ns0:v/>
      </ns0:c>
    </ns0:row>
    <ns0:row r="831" ht="21" customHeight="1">
      <ns0:c r="A831" s="32" t="str">
        <ns0:f>IF($E831="","",INDEX('Banka Dökümü'!$A$2:$A$2001,$E831))</ns0:f>
        <ns0:v/>
      </ns0:c>
      <ns0:c r="B831" s="28" t="str">
        <ns0:f>IF($E831="","",INDEX('Banka Dökümü'!$B$2:$B$2001,$E831))</ns0:f>
        <ns0:v/>
      </ns0:c>
      <ns0:c r="C831" s="33" t="str">
        <ns0:f>IF($E831="","",INDEX('Banka Dökümü'!$C$2:$C$2001,$E831))</ns0:f>
        <ns0:v/>
      </ns0:c>
      <ns0:c r="D831" s="28" t="str">
        <ns0:f>IF(E831="","","Müşteri adı / aranacak ad / il bilgisini kontrol edin")</ns0:f>
        <ns0:v/>
      </ns0:c>
      <ns0:c r="E831" s="28" t="str">
        <ns0:f>IFERROR(MATCH(827,'Banka Dökümü'!$I$2:$I$2001,0),"")</ns0:f>
        <ns0:v/>
      </ns0:c>
    </ns0:row>
    <ns0:row r="832" ht="21" customHeight="1">
      <ns0:c r="A832" s="32" t="str">
        <ns0:f>IF($E832="","",INDEX('Banka Dökümü'!$A$2:$A$2001,$E832))</ns0:f>
        <ns0:v/>
      </ns0:c>
      <ns0:c r="B832" s="28" t="str">
        <ns0:f>IF($E832="","",INDEX('Banka Dökümü'!$B$2:$B$2001,$E832))</ns0:f>
        <ns0:v/>
      </ns0:c>
      <ns0:c r="C832" s="33" t="str">
        <ns0:f>IF($E832="","",INDEX('Banka Dökümü'!$C$2:$C$2001,$E832))</ns0:f>
        <ns0:v/>
      </ns0:c>
      <ns0:c r="D832" s="28" t="str">
        <ns0:f>IF(E832="","","Müşteri adı / aranacak ad / il bilgisini kontrol edin")</ns0:f>
        <ns0:v/>
      </ns0:c>
      <ns0:c r="E832" s="28" t="str">
        <ns0:f>IFERROR(MATCH(828,'Banka Dökümü'!$I$2:$I$2001,0),"")</ns0:f>
        <ns0:v/>
      </ns0:c>
    </ns0:row>
    <ns0:row r="833" ht="21" customHeight="1">
      <ns0:c r="A833" s="32" t="str">
        <ns0:f>IF($E833="","",INDEX('Banka Dökümü'!$A$2:$A$2001,$E833))</ns0:f>
        <ns0:v/>
      </ns0:c>
      <ns0:c r="B833" s="28" t="str">
        <ns0:f>IF($E833="","",INDEX('Banka Dökümü'!$B$2:$B$2001,$E833))</ns0:f>
        <ns0:v/>
      </ns0:c>
      <ns0:c r="C833" s="33" t="str">
        <ns0:f>IF($E833="","",INDEX('Banka Dökümü'!$C$2:$C$2001,$E833))</ns0:f>
        <ns0:v/>
      </ns0:c>
      <ns0:c r="D833" s="28" t="str">
        <ns0:f>IF(E833="","","Müşteri adı / aranacak ad / il bilgisini kontrol edin")</ns0:f>
        <ns0:v/>
      </ns0:c>
      <ns0:c r="E833" s="28" t="str">
        <ns0:f>IFERROR(MATCH(829,'Banka Dökümü'!$I$2:$I$2001,0),"")</ns0:f>
        <ns0:v/>
      </ns0:c>
    </ns0:row>
    <ns0:row r="834" ht="21" customHeight="1">
      <ns0:c r="A834" s="32" t="str">
        <ns0:f>IF($E834="","",INDEX('Banka Dökümü'!$A$2:$A$2001,$E834))</ns0:f>
        <ns0:v/>
      </ns0:c>
      <ns0:c r="B834" s="28" t="str">
        <ns0:f>IF($E834="","",INDEX('Banka Dökümü'!$B$2:$B$2001,$E834))</ns0:f>
        <ns0:v/>
      </ns0:c>
      <ns0:c r="C834" s="33" t="str">
        <ns0:f>IF($E834="","",INDEX('Banka Dökümü'!$C$2:$C$2001,$E834))</ns0:f>
        <ns0:v/>
      </ns0:c>
      <ns0:c r="D834" s="28" t="str">
        <ns0:f>IF(E834="","","Müşteri adı / aranacak ad / il bilgisini kontrol edin")</ns0:f>
        <ns0:v/>
      </ns0:c>
      <ns0:c r="E834" s="28" t="str">
        <ns0:f>IFERROR(MATCH(830,'Banka Dökümü'!$I$2:$I$2001,0),"")</ns0:f>
        <ns0:v/>
      </ns0:c>
    </ns0:row>
    <ns0:row r="835" ht="21" customHeight="1">
      <ns0:c r="A835" s="32" t="str">
        <ns0:f>IF($E835="","",INDEX('Banka Dökümü'!$A$2:$A$2001,$E835))</ns0:f>
        <ns0:v/>
      </ns0:c>
      <ns0:c r="B835" s="28" t="str">
        <ns0:f>IF($E835="","",INDEX('Banka Dökümü'!$B$2:$B$2001,$E835))</ns0:f>
        <ns0:v/>
      </ns0:c>
      <ns0:c r="C835" s="33" t="str">
        <ns0:f>IF($E835="","",INDEX('Banka Dökümü'!$C$2:$C$2001,$E835))</ns0:f>
        <ns0:v/>
      </ns0:c>
      <ns0:c r="D835" s="28" t="str">
        <ns0:f>IF(E835="","","Müşteri adı / aranacak ad / il bilgisini kontrol edin")</ns0:f>
        <ns0:v/>
      </ns0:c>
      <ns0:c r="E835" s="28" t="str">
        <ns0:f>IFERROR(MATCH(831,'Banka Dökümü'!$I$2:$I$2001,0),"")</ns0:f>
        <ns0:v/>
      </ns0:c>
    </ns0:row>
    <ns0:row r="836" ht="21" customHeight="1">
      <ns0:c r="A836" s="32" t="str">
        <ns0:f>IF($E836="","",INDEX('Banka Dökümü'!$A$2:$A$2001,$E836))</ns0:f>
        <ns0:v/>
      </ns0:c>
      <ns0:c r="B836" s="28" t="str">
        <ns0:f>IF($E836="","",INDEX('Banka Dökümü'!$B$2:$B$2001,$E836))</ns0:f>
        <ns0:v/>
      </ns0:c>
      <ns0:c r="C836" s="33" t="str">
        <ns0:f>IF($E836="","",INDEX('Banka Dökümü'!$C$2:$C$2001,$E836))</ns0:f>
        <ns0:v/>
      </ns0:c>
      <ns0:c r="D836" s="28" t="str">
        <ns0:f>IF(E836="","","Müşteri adı / aranacak ad / il bilgisini kontrol edin")</ns0:f>
        <ns0:v/>
      </ns0:c>
      <ns0:c r="E836" s="28" t="str">
        <ns0:f>IFERROR(MATCH(832,'Banka Dökümü'!$I$2:$I$2001,0),"")</ns0:f>
        <ns0:v/>
      </ns0:c>
    </ns0:row>
    <ns0:row r="837" ht="21" customHeight="1">
      <ns0:c r="A837" s="32" t="str">
        <ns0:f>IF($E837="","",INDEX('Banka Dökümü'!$A$2:$A$2001,$E837))</ns0:f>
        <ns0:v/>
      </ns0:c>
      <ns0:c r="B837" s="28" t="str">
        <ns0:f>IF($E837="","",INDEX('Banka Dökümü'!$B$2:$B$2001,$E837))</ns0:f>
        <ns0:v/>
      </ns0:c>
      <ns0:c r="C837" s="33" t="str">
        <ns0:f>IF($E837="","",INDEX('Banka Dökümü'!$C$2:$C$2001,$E837))</ns0:f>
        <ns0:v/>
      </ns0:c>
      <ns0:c r="D837" s="28" t="str">
        <ns0:f>IF(E837="","","Müşteri adı / aranacak ad / il bilgisini kontrol edin")</ns0:f>
        <ns0:v/>
      </ns0:c>
      <ns0:c r="E837" s="28" t="str">
        <ns0:f>IFERROR(MATCH(833,'Banka Dökümü'!$I$2:$I$2001,0),"")</ns0:f>
        <ns0:v/>
      </ns0:c>
    </ns0:row>
    <ns0:row r="838" ht="21" customHeight="1">
      <ns0:c r="A838" s="32" t="str">
        <ns0:f>IF($E838="","",INDEX('Banka Dökümü'!$A$2:$A$2001,$E838))</ns0:f>
        <ns0:v/>
      </ns0:c>
      <ns0:c r="B838" s="28" t="str">
        <ns0:f>IF($E838="","",INDEX('Banka Dökümü'!$B$2:$B$2001,$E838))</ns0:f>
        <ns0:v/>
      </ns0:c>
      <ns0:c r="C838" s="33" t="str">
        <ns0:f>IF($E838="","",INDEX('Banka Dökümü'!$C$2:$C$2001,$E838))</ns0:f>
        <ns0:v/>
      </ns0:c>
      <ns0:c r="D838" s="28" t="str">
        <ns0:f>IF(E838="","","Müşteri adı / aranacak ad / il bilgisini kontrol edin")</ns0:f>
        <ns0:v/>
      </ns0:c>
      <ns0:c r="E838" s="28" t="str">
        <ns0:f>IFERROR(MATCH(834,'Banka Dökümü'!$I$2:$I$2001,0),"")</ns0:f>
        <ns0:v/>
      </ns0:c>
    </ns0:row>
    <ns0:row r="839" ht="21" customHeight="1">
      <ns0:c r="A839" s="32" t="str">
        <ns0:f>IF($E839="","",INDEX('Banka Dökümü'!$A$2:$A$2001,$E839))</ns0:f>
        <ns0:v/>
      </ns0:c>
      <ns0:c r="B839" s="28" t="str">
        <ns0:f>IF($E839="","",INDEX('Banka Dökümü'!$B$2:$B$2001,$E839))</ns0:f>
        <ns0:v/>
      </ns0:c>
      <ns0:c r="C839" s="33" t="str">
        <ns0:f>IF($E839="","",INDEX('Banka Dökümü'!$C$2:$C$2001,$E839))</ns0:f>
        <ns0:v/>
      </ns0:c>
      <ns0:c r="D839" s="28" t="str">
        <ns0:f>IF(E839="","","Müşteri adı / aranacak ad / il bilgisini kontrol edin")</ns0:f>
        <ns0:v/>
      </ns0:c>
      <ns0:c r="E839" s="28" t="str">
        <ns0:f>IFERROR(MATCH(835,'Banka Dökümü'!$I$2:$I$2001,0),"")</ns0:f>
        <ns0:v/>
      </ns0:c>
    </ns0:row>
    <ns0:row r="840" ht="21" customHeight="1">
      <ns0:c r="A840" s="32" t="str">
        <ns0:f>IF($E840="","",INDEX('Banka Dökümü'!$A$2:$A$2001,$E840))</ns0:f>
        <ns0:v/>
      </ns0:c>
      <ns0:c r="B840" s="28" t="str">
        <ns0:f>IF($E840="","",INDEX('Banka Dökümü'!$B$2:$B$2001,$E840))</ns0:f>
        <ns0:v/>
      </ns0:c>
      <ns0:c r="C840" s="33" t="str">
        <ns0:f>IF($E840="","",INDEX('Banka Dökümü'!$C$2:$C$2001,$E840))</ns0:f>
        <ns0:v/>
      </ns0:c>
      <ns0:c r="D840" s="28" t="str">
        <ns0:f>IF(E840="","","Müşteri adı / aranacak ad / il bilgisini kontrol edin")</ns0:f>
        <ns0:v/>
      </ns0:c>
      <ns0:c r="E840" s="28" t="str">
        <ns0:f>IFERROR(MATCH(836,'Banka Dökümü'!$I$2:$I$2001,0),"")</ns0:f>
        <ns0:v/>
      </ns0:c>
    </ns0:row>
    <ns0:row r="841" ht="21" customHeight="1">
      <ns0:c r="A841" s="32" t="str">
        <ns0:f>IF($E841="","",INDEX('Banka Dökümü'!$A$2:$A$2001,$E841))</ns0:f>
        <ns0:v/>
      </ns0:c>
      <ns0:c r="B841" s="28" t="str">
        <ns0:f>IF($E841="","",INDEX('Banka Dökümü'!$B$2:$B$2001,$E841))</ns0:f>
        <ns0:v/>
      </ns0:c>
      <ns0:c r="C841" s="33" t="str">
        <ns0:f>IF($E841="","",INDEX('Banka Dökümü'!$C$2:$C$2001,$E841))</ns0:f>
        <ns0:v/>
      </ns0:c>
      <ns0:c r="D841" s="28" t="str">
        <ns0:f>IF(E841="","","Müşteri adı / aranacak ad / il bilgisini kontrol edin")</ns0:f>
        <ns0:v/>
      </ns0:c>
      <ns0:c r="E841" s="28" t="str">
        <ns0:f>IFERROR(MATCH(837,'Banka Dökümü'!$I$2:$I$2001,0),"")</ns0:f>
        <ns0:v/>
      </ns0:c>
    </ns0:row>
    <ns0:row r="842" ht="21" customHeight="1">
      <ns0:c r="A842" s="32" t="str">
        <ns0:f>IF($E842="","",INDEX('Banka Dökümü'!$A$2:$A$2001,$E842))</ns0:f>
        <ns0:v/>
      </ns0:c>
      <ns0:c r="B842" s="28" t="str">
        <ns0:f>IF($E842="","",INDEX('Banka Dökümü'!$B$2:$B$2001,$E842))</ns0:f>
        <ns0:v/>
      </ns0:c>
      <ns0:c r="C842" s="33" t="str">
        <ns0:f>IF($E842="","",INDEX('Banka Dökümü'!$C$2:$C$2001,$E842))</ns0:f>
        <ns0:v/>
      </ns0:c>
      <ns0:c r="D842" s="28" t="str">
        <ns0:f>IF(E842="","","Müşteri adı / aranacak ad / il bilgisini kontrol edin")</ns0:f>
        <ns0:v/>
      </ns0:c>
      <ns0:c r="E842" s="28" t="str">
        <ns0:f>IFERROR(MATCH(838,'Banka Dökümü'!$I$2:$I$2001,0),"")</ns0:f>
        <ns0:v/>
      </ns0:c>
    </ns0:row>
    <ns0:row r="843" ht="21" customHeight="1">
      <ns0:c r="A843" s="32" t="str">
        <ns0:f>IF($E843="","",INDEX('Banka Dökümü'!$A$2:$A$2001,$E843))</ns0:f>
        <ns0:v/>
      </ns0:c>
      <ns0:c r="B843" s="28" t="str">
        <ns0:f>IF($E843="","",INDEX('Banka Dökümü'!$B$2:$B$2001,$E843))</ns0:f>
        <ns0:v/>
      </ns0:c>
      <ns0:c r="C843" s="33" t="str">
        <ns0:f>IF($E843="","",INDEX('Banka Dökümü'!$C$2:$C$2001,$E843))</ns0:f>
        <ns0:v/>
      </ns0:c>
      <ns0:c r="D843" s="28" t="str">
        <ns0:f>IF(E843="","","Müşteri adı / aranacak ad / il bilgisini kontrol edin")</ns0:f>
        <ns0:v/>
      </ns0:c>
      <ns0:c r="E843" s="28" t="str">
        <ns0:f>IFERROR(MATCH(839,'Banka Dökümü'!$I$2:$I$2001,0),"")</ns0:f>
        <ns0:v/>
      </ns0:c>
    </ns0:row>
    <ns0:row r="844" ht="21" customHeight="1">
      <ns0:c r="A844" s="32" t="str">
        <ns0:f>IF($E844="","",INDEX('Banka Dökümü'!$A$2:$A$2001,$E844))</ns0:f>
        <ns0:v/>
      </ns0:c>
      <ns0:c r="B844" s="28" t="str">
        <ns0:f>IF($E844="","",INDEX('Banka Dökümü'!$B$2:$B$2001,$E844))</ns0:f>
        <ns0:v/>
      </ns0:c>
      <ns0:c r="C844" s="33" t="str">
        <ns0:f>IF($E844="","",INDEX('Banka Dökümü'!$C$2:$C$2001,$E844))</ns0:f>
        <ns0:v/>
      </ns0:c>
      <ns0:c r="D844" s="28" t="str">
        <ns0:f>IF(E844="","","Müşteri adı / aranacak ad / il bilgisini kontrol edin")</ns0:f>
        <ns0:v/>
      </ns0:c>
      <ns0:c r="E844" s="28" t="str">
        <ns0:f>IFERROR(MATCH(840,'Banka Dökümü'!$I$2:$I$2001,0),"")</ns0:f>
        <ns0:v/>
      </ns0:c>
    </ns0:row>
    <ns0:row r="845" ht="21" customHeight="1">
      <ns0:c r="A845" s="32" t="str">
        <ns0:f>IF($E845="","",INDEX('Banka Dökümü'!$A$2:$A$2001,$E845))</ns0:f>
        <ns0:v/>
      </ns0:c>
      <ns0:c r="B845" s="28" t="str">
        <ns0:f>IF($E845="","",INDEX('Banka Dökümü'!$B$2:$B$2001,$E845))</ns0:f>
        <ns0:v/>
      </ns0:c>
      <ns0:c r="C845" s="33" t="str">
        <ns0:f>IF($E845="","",INDEX('Banka Dökümü'!$C$2:$C$2001,$E845))</ns0:f>
        <ns0:v/>
      </ns0:c>
      <ns0:c r="D845" s="28" t="str">
        <ns0:f>IF(E845="","","Müşteri adı / aranacak ad / il bilgisini kontrol edin")</ns0:f>
        <ns0:v/>
      </ns0:c>
      <ns0:c r="E845" s="28" t="str">
        <ns0:f>IFERROR(MATCH(841,'Banka Dökümü'!$I$2:$I$2001,0),"")</ns0:f>
        <ns0:v/>
      </ns0:c>
    </ns0:row>
    <ns0:row r="846" ht="21" customHeight="1">
      <ns0:c r="A846" s="32" t="str">
        <ns0:f>IF($E846="","",INDEX('Banka Dökümü'!$A$2:$A$2001,$E846))</ns0:f>
        <ns0:v/>
      </ns0:c>
      <ns0:c r="B846" s="28" t="str">
        <ns0:f>IF($E846="","",INDEX('Banka Dökümü'!$B$2:$B$2001,$E846))</ns0:f>
        <ns0:v/>
      </ns0:c>
      <ns0:c r="C846" s="33" t="str">
        <ns0:f>IF($E846="","",INDEX('Banka Dökümü'!$C$2:$C$2001,$E846))</ns0:f>
        <ns0:v/>
      </ns0:c>
      <ns0:c r="D846" s="28" t="str">
        <ns0:f>IF(E846="","","Müşteri adı / aranacak ad / il bilgisini kontrol edin")</ns0:f>
        <ns0:v/>
      </ns0:c>
      <ns0:c r="E846" s="28" t="str">
        <ns0:f>IFERROR(MATCH(842,'Banka Dökümü'!$I$2:$I$2001,0),"")</ns0:f>
        <ns0:v/>
      </ns0:c>
    </ns0:row>
    <ns0:row r="847" ht="21" customHeight="1">
      <ns0:c r="A847" s="32" t="str">
        <ns0:f>IF($E847="","",INDEX('Banka Dökümü'!$A$2:$A$2001,$E847))</ns0:f>
        <ns0:v/>
      </ns0:c>
      <ns0:c r="B847" s="28" t="str">
        <ns0:f>IF($E847="","",INDEX('Banka Dökümü'!$B$2:$B$2001,$E847))</ns0:f>
        <ns0:v/>
      </ns0:c>
      <ns0:c r="C847" s="33" t="str">
        <ns0:f>IF($E847="","",INDEX('Banka Dökümü'!$C$2:$C$2001,$E847))</ns0:f>
        <ns0:v/>
      </ns0:c>
      <ns0:c r="D847" s="28" t="str">
        <ns0:f>IF(E847="","","Müşteri adı / aranacak ad / il bilgisini kontrol edin")</ns0:f>
        <ns0:v/>
      </ns0:c>
      <ns0:c r="E847" s="28" t="str">
        <ns0:f>IFERROR(MATCH(843,'Banka Dökümü'!$I$2:$I$2001,0),"")</ns0:f>
        <ns0:v/>
      </ns0:c>
    </ns0:row>
    <ns0:row r="848" ht="21" customHeight="1">
      <ns0:c r="A848" s="32" t="str">
        <ns0:f>IF($E848="","",INDEX('Banka Dökümü'!$A$2:$A$2001,$E848))</ns0:f>
        <ns0:v/>
      </ns0:c>
      <ns0:c r="B848" s="28" t="str">
        <ns0:f>IF($E848="","",INDEX('Banka Dökümü'!$B$2:$B$2001,$E848))</ns0:f>
        <ns0:v/>
      </ns0:c>
      <ns0:c r="C848" s="33" t="str">
        <ns0:f>IF($E848="","",INDEX('Banka Dökümü'!$C$2:$C$2001,$E848))</ns0:f>
        <ns0:v/>
      </ns0:c>
      <ns0:c r="D848" s="28" t="str">
        <ns0:f>IF(E848="","","Müşteri adı / aranacak ad / il bilgisini kontrol edin")</ns0:f>
        <ns0:v/>
      </ns0:c>
      <ns0:c r="E848" s="28" t="str">
        <ns0:f>IFERROR(MATCH(844,'Banka Dökümü'!$I$2:$I$2001,0),"")</ns0:f>
        <ns0:v/>
      </ns0:c>
    </ns0:row>
    <ns0:row r="849" ht="21" customHeight="1">
      <ns0:c r="A849" s="32" t="str">
        <ns0:f>IF($E849="","",INDEX('Banka Dökümü'!$A$2:$A$2001,$E849))</ns0:f>
        <ns0:v/>
      </ns0:c>
      <ns0:c r="B849" s="28" t="str">
        <ns0:f>IF($E849="","",INDEX('Banka Dökümü'!$B$2:$B$2001,$E849))</ns0:f>
        <ns0:v/>
      </ns0:c>
      <ns0:c r="C849" s="33" t="str">
        <ns0:f>IF($E849="","",INDEX('Banka Dökümü'!$C$2:$C$2001,$E849))</ns0:f>
        <ns0:v/>
      </ns0:c>
      <ns0:c r="D849" s="28" t="str">
        <ns0:f>IF(E849="","","Müşteri adı / aranacak ad / il bilgisini kontrol edin")</ns0:f>
        <ns0:v/>
      </ns0:c>
      <ns0:c r="E849" s="28" t="str">
        <ns0:f>IFERROR(MATCH(845,'Banka Dökümü'!$I$2:$I$2001,0),"")</ns0:f>
        <ns0:v/>
      </ns0:c>
    </ns0:row>
    <ns0:row r="850" ht="21" customHeight="1">
      <ns0:c r="A850" s="32" t="str">
        <ns0:f>IF($E850="","",INDEX('Banka Dökümü'!$A$2:$A$2001,$E850))</ns0:f>
        <ns0:v/>
      </ns0:c>
      <ns0:c r="B850" s="28" t="str">
        <ns0:f>IF($E850="","",INDEX('Banka Dökümü'!$B$2:$B$2001,$E850))</ns0:f>
        <ns0:v/>
      </ns0:c>
      <ns0:c r="C850" s="33" t="str">
        <ns0:f>IF($E850="","",INDEX('Banka Dökümü'!$C$2:$C$2001,$E850))</ns0:f>
        <ns0:v/>
      </ns0:c>
      <ns0:c r="D850" s="28" t="str">
        <ns0:f>IF(E850="","","Müşteri adı / aranacak ad / il bilgisini kontrol edin")</ns0:f>
        <ns0:v/>
      </ns0:c>
      <ns0:c r="E850" s="28" t="str">
        <ns0:f>IFERROR(MATCH(846,'Banka Dökümü'!$I$2:$I$2001,0),"")</ns0:f>
        <ns0:v/>
      </ns0:c>
    </ns0:row>
    <ns0:row r="851" ht="21" customHeight="1">
      <ns0:c r="A851" s="32" t="str">
        <ns0:f>IF($E851="","",INDEX('Banka Dökümü'!$A$2:$A$2001,$E851))</ns0:f>
        <ns0:v/>
      </ns0:c>
      <ns0:c r="B851" s="28" t="str">
        <ns0:f>IF($E851="","",INDEX('Banka Dökümü'!$B$2:$B$2001,$E851))</ns0:f>
        <ns0:v/>
      </ns0:c>
      <ns0:c r="C851" s="33" t="str">
        <ns0:f>IF($E851="","",INDEX('Banka Dökümü'!$C$2:$C$2001,$E851))</ns0:f>
        <ns0:v/>
      </ns0:c>
      <ns0:c r="D851" s="28" t="str">
        <ns0:f>IF(E851="","","Müşteri adı / aranacak ad / il bilgisini kontrol edin")</ns0:f>
        <ns0:v/>
      </ns0:c>
      <ns0:c r="E851" s="28" t="str">
        <ns0:f>IFERROR(MATCH(847,'Banka Dökümü'!$I$2:$I$2001,0),"")</ns0:f>
        <ns0:v/>
      </ns0:c>
    </ns0:row>
    <ns0:row r="852" ht="21" customHeight="1">
      <ns0:c r="A852" s="32" t="str">
        <ns0:f>IF($E852="","",INDEX('Banka Dökümü'!$A$2:$A$2001,$E852))</ns0:f>
        <ns0:v/>
      </ns0:c>
      <ns0:c r="B852" s="28" t="str">
        <ns0:f>IF($E852="","",INDEX('Banka Dökümü'!$B$2:$B$2001,$E852))</ns0:f>
        <ns0:v/>
      </ns0:c>
      <ns0:c r="C852" s="33" t="str">
        <ns0:f>IF($E852="","",INDEX('Banka Dökümü'!$C$2:$C$2001,$E852))</ns0:f>
        <ns0:v/>
      </ns0:c>
      <ns0:c r="D852" s="28" t="str">
        <ns0:f>IF(E852="","","Müşteri adı / aranacak ad / il bilgisini kontrol edin")</ns0:f>
        <ns0:v/>
      </ns0:c>
      <ns0:c r="E852" s="28" t="str">
        <ns0:f>IFERROR(MATCH(848,'Banka Dökümü'!$I$2:$I$2001,0),"")</ns0:f>
        <ns0:v/>
      </ns0:c>
    </ns0:row>
    <ns0:row r="853" ht="21" customHeight="1">
      <ns0:c r="A853" s="32" t="str">
        <ns0:f>IF($E853="","",INDEX('Banka Dökümü'!$A$2:$A$2001,$E853))</ns0:f>
        <ns0:v/>
      </ns0:c>
      <ns0:c r="B853" s="28" t="str">
        <ns0:f>IF($E853="","",INDEX('Banka Dökümü'!$B$2:$B$2001,$E853))</ns0:f>
        <ns0:v/>
      </ns0:c>
      <ns0:c r="C853" s="33" t="str">
        <ns0:f>IF($E853="","",INDEX('Banka Dökümü'!$C$2:$C$2001,$E853))</ns0:f>
        <ns0:v/>
      </ns0:c>
      <ns0:c r="D853" s="28" t="str">
        <ns0:f>IF(E853="","","Müşteri adı / aranacak ad / il bilgisini kontrol edin")</ns0:f>
        <ns0:v/>
      </ns0:c>
      <ns0:c r="E853" s="28" t="str">
        <ns0:f>IFERROR(MATCH(849,'Banka Dökümü'!$I$2:$I$2001,0),"")</ns0:f>
        <ns0:v/>
      </ns0:c>
    </ns0:row>
    <ns0:row r="854" ht="21" customHeight="1">
      <ns0:c r="A854" s="32" t="str">
        <ns0:f>IF($E854="","",INDEX('Banka Dökümü'!$A$2:$A$2001,$E854))</ns0:f>
        <ns0:v/>
      </ns0:c>
      <ns0:c r="B854" s="28" t="str">
        <ns0:f>IF($E854="","",INDEX('Banka Dökümü'!$B$2:$B$2001,$E854))</ns0:f>
        <ns0:v/>
      </ns0:c>
      <ns0:c r="C854" s="33" t="str">
        <ns0:f>IF($E854="","",INDEX('Banka Dökümü'!$C$2:$C$2001,$E854))</ns0:f>
        <ns0:v/>
      </ns0:c>
      <ns0:c r="D854" s="28" t="str">
        <ns0:f>IF(E854="","","Müşteri adı / aranacak ad / il bilgisini kontrol edin")</ns0:f>
        <ns0:v/>
      </ns0:c>
      <ns0:c r="E854" s="28" t="str">
        <ns0:f>IFERROR(MATCH(850,'Banka Dökümü'!$I$2:$I$2001,0),"")</ns0:f>
        <ns0:v/>
      </ns0:c>
    </ns0:row>
    <ns0:row r="855" ht="21" customHeight="1">
      <ns0:c r="A855" s="32" t="str">
        <ns0:f>IF($E855="","",INDEX('Banka Dökümü'!$A$2:$A$2001,$E855))</ns0:f>
        <ns0:v/>
      </ns0:c>
      <ns0:c r="B855" s="28" t="str">
        <ns0:f>IF($E855="","",INDEX('Banka Dökümü'!$B$2:$B$2001,$E855))</ns0:f>
        <ns0:v/>
      </ns0:c>
      <ns0:c r="C855" s="33" t="str">
        <ns0:f>IF($E855="","",INDEX('Banka Dökümü'!$C$2:$C$2001,$E855))</ns0:f>
        <ns0:v/>
      </ns0:c>
      <ns0:c r="D855" s="28" t="str">
        <ns0:f>IF(E855="","","Müşteri adı / aranacak ad / il bilgisini kontrol edin")</ns0:f>
        <ns0:v/>
      </ns0:c>
      <ns0:c r="E855" s="28" t="str">
        <ns0:f>IFERROR(MATCH(851,'Banka Dökümü'!$I$2:$I$2001,0),"")</ns0:f>
        <ns0:v/>
      </ns0:c>
    </ns0:row>
    <ns0:row r="856" ht="21" customHeight="1">
      <ns0:c r="A856" s="32" t="str">
        <ns0:f>IF($E856="","",INDEX('Banka Dökümü'!$A$2:$A$2001,$E856))</ns0:f>
        <ns0:v/>
      </ns0:c>
      <ns0:c r="B856" s="28" t="str">
        <ns0:f>IF($E856="","",INDEX('Banka Dökümü'!$B$2:$B$2001,$E856))</ns0:f>
        <ns0:v/>
      </ns0:c>
      <ns0:c r="C856" s="33" t="str">
        <ns0:f>IF($E856="","",INDEX('Banka Dökümü'!$C$2:$C$2001,$E856))</ns0:f>
        <ns0:v/>
      </ns0:c>
      <ns0:c r="D856" s="28" t="str">
        <ns0:f>IF(E856="","","Müşteri adı / aranacak ad / il bilgisini kontrol edin")</ns0:f>
        <ns0:v/>
      </ns0:c>
      <ns0:c r="E856" s="28" t="str">
        <ns0:f>IFERROR(MATCH(852,'Banka Dökümü'!$I$2:$I$2001,0),"")</ns0:f>
        <ns0:v/>
      </ns0:c>
    </ns0:row>
    <ns0:row r="857" ht="21" customHeight="1">
      <ns0:c r="A857" s="32" t="str">
        <ns0:f>IF($E857="","",INDEX('Banka Dökümü'!$A$2:$A$2001,$E857))</ns0:f>
        <ns0:v/>
      </ns0:c>
      <ns0:c r="B857" s="28" t="str">
        <ns0:f>IF($E857="","",INDEX('Banka Dökümü'!$B$2:$B$2001,$E857))</ns0:f>
        <ns0:v/>
      </ns0:c>
      <ns0:c r="C857" s="33" t="str">
        <ns0:f>IF($E857="","",INDEX('Banka Dökümü'!$C$2:$C$2001,$E857))</ns0:f>
        <ns0:v/>
      </ns0:c>
      <ns0:c r="D857" s="28" t="str">
        <ns0:f>IF(E857="","","Müşteri adı / aranacak ad / il bilgisini kontrol edin")</ns0:f>
        <ns0:v/>
      </ns0:c>
      <ns0:c r="E857" s="28" t="str">
        <ns0:f>IFERROR(MATCH(853,'Banka Dökümü'!$I$2:$I$2001,0),"")</ns0:f>
        <ns0:v/>
      </ns0:c>
    </ns0:row>
    <ns0:row r="858" ht="21" customHeight="1">
      <ns0:c r="A858" s="32" t="str">
        <ns0:f>IF($E858="","",INDEX('Banka Dökümü'!$A$2:$A$2001,$E858))</ns0:f>
        <ns0:v/>
      </ns0:c>
      <ns0:c r="B858" s="28" t="str">
        <ns0:f>IF($E858="","",INDEX('Banka Dökümü'!$B$2:$B$2001,$E858))</ns0:f>
        <ns0:v/>
      </ns0:c>
      <ns0:c r="C858" s="33" t="str">
        <ns0:f>IF($E858="","",INDEX('Banka Dökümü'!$C$2:$C$2001,$E858))</ns0:f>
        <ns0:v/>
      </ns0:c>
      <ns0:c r="D858" s="28" t="str">
        <ns0:f>IF(E858="","","Müşteri adı / aranacak ad / il bilgisini kontrol edin")</ns0:f>
        <ns0:v/>
      </ns0:c>
      <ns0:c r="E858" s="28" t="str">
        <ns0:f>IFERROR(MATCH(854,'Banka Dökümü'!$I$2:$I$2001,0),"")</ns0:f>
        <ns0:v/>
      </ns0:c>
    </ns0:row>
    <ns0:row r="859" ht="21" customHeight="1">
      <ns0:c r="A859" s="32" t="str">
        <ns0:f>IF($E859="","",INDEX('Banka Dökümü'!$A$2:$A$2001,$E859))</ns0:f>
        <ns0:v/>
      </ns0:c>
      <ns0:c r="B859" s="28" t="str">
        <ns0:f>IF($E859="","",INDEX('Banka Dökümü'!$B$2:$B$2001,$E859))</ns0:f>
        <ns0:v/>
      </ns0:c>
      <ns0:c r="C859" s="33" t="str">
        <ns0:f>IF($E859="","",INDEX('Banka Dökümü'!$C$2:$C$2001,$E859))</ns0:f>
        <ns0:v/>
      </ns0:c>
      <ns0:c r="D859" s="28" t="str">
        <ns0:f>IF(E859="","","Müşteri adı / aranacak ad / il bilgisini kontrol edin")</ns0:f>
        <ns0:v/>
      </ns0:c>
      <ns0:c r="E859" s="28" t="str">
        <ns0:f>IFERROR(MATCH(855,'Banka Dökümü'!$I$2:$I$2001,0),"")</ns0:f>
        <ns0:v/>
      </ns0:c>
    </ns0:row>
    <ns0:row r="860" ht="21" customHeight="1">
      <ns0:c r="A860" s="32" t="str">
        <ns0:f>IF($E860="","",INDEX('Banka Dökümü'!$A$2:$A$2001,$E860))</ns0:f>
        <ns0:v/>
      </ns0:c>
      <ns0:c r="B860" s="28" t="str">
        <ns0:f>IF($E860="","",INDEX('Banka Dökümü'!$B$2:$B$2001,$E860))</ns0:f>
        <ns0:v/>
      </ns0:c>
      <ns0:c r="C860" s="33" t="str">
        <ns0:f>IF($E860="","",INDEX('Banka Dökümü'!$C$2:$C$2001,$E860))</ns0:f>
        <ns0:v/>
      </ns0:c>
      <ns0:c r="D860" s="28" t="str">
        <ns0:f>IF(E860="","","Müşteri adı / aranacak ad / il bilgisini kontrol edin")</ns0:f>
        <ns0:v/>
      </ns0:c>
      <ns0:c r="E860" s="28" t="str">
        <ns0:f>IFERROR(MATCH(856,'Banka Dökümü'!$I$2:$I$2001,0),"")</ns0:f>
        <ns0:v/>
      </ns0:c>
    </ns0:row>
    <ns0:row r="861" ht="21" customHeight="1">
      <ns0:c r="A861" s="32" t="str">
        <ns0:f>IF($E861="","",INDEX('Banka Dökümü'!$A$2:$A$2001,$E861))</ns0:f>
        <ns0:v/>
      </ns0:c>
      <ns0:c r="B861" s="28" t="str">
        <ns0:f>IF($E861="","",INDEX('Banka Dökümü'!$B$2:$B$2001,$E861))</ns0:f>
        <ns0:v/>
      </ns0:c>
      <ns0:c r="C861" s="33" t="str">
        <ns0:f>IF($E861="","",INDEX('Banka Dökümü'!$C$2:$C$2001,$E861))</ns0:f>
        <ns0:v/>
      </ns0:c>
      <ns0:c r="D861" s="28" t="str">
        <ns0:f>IF(E861="","","Müşteri adı / aranacak ad / il bilgisini kontrol edin")</ns0:f>
        <ns0:v/>
      </ns0:c>
      <ns0:c r="E861" s="28" t="str">
        <ns0:f>IFERROR(MATCH(857,'Banka Dökümü'!$I$2:$I$2001,0),"")</ns0:f>
        <ns0:v/>
      </ns0:c>
    </ns0:row>
    <ns0:row r="862" ht="21" customHeight="1">
      <ns0:c r="A862" s="32" t="str">
        <ns0:f>IF($E862="","",INDEX('Banka Dökümü'!$A$2:$A$2001,$E862))</ns0:f>
        <ns0:v/>
      </ns0:c>
      <ns0:c r="B862" s="28" t="str">
        <ns0:f>IF($E862="","",INDEX('Banka Dökümü'!$B$2:$B$2001,$E862))</ns0:f>
        <ns0:v/>
      </ns0:c>
      <ns0:c r="C862" s="33" t="str">
        <ns0:f>IF($E862="","",INDEX('Banka Dökümü'!$C$2:$C$2001,$E862))</ns0:f>
        <ns0:v/>
      </ns0:c>
      <ns0:c r="D862" s="28" t="str">
        <ns0:f>IF(E862="","","Müşteri adı / aranacak ad / il bilgisini kontrol edin")</ns0:f>
        <ns0:v/>
      </ns0:c>
      <ns0:c r="E862" s="28" t="str">
        <ns0:f>IFERROR(MATCH(858,'Banka Dökümü'!$I$2:$I$2001,0),"")</ns0:f>
        <ns0:v/>
      </ns0:c>
    </ns0:row>
    <ns0:row r="863" ht="21" customHeight="1">
      <ns0:c r="A863" s="32" t="str">
        <ns0:f>IF($E863="","",INDEX('Banka Dökümü'!$A$2:$A$2001,$E863))</ns0:f>
        <ns0:v/>
      </ns0:c>
      <ns0:c r="B863" s="28" t="str">
        <ns0:f>IF($E863="","",INDEX('Banka Dökümü'!$B$2:$B$2001,$E863))</ns0:f>
        <ns0:v/>
      </ns0:c>
      <ns0:c r="C863" s="33" t="str">
        <ns0:f>IF($E863="","",INDEX('Banka Dökümü'!$C$2:$C$2001,$E863))</ns0:f>
        <ns0:v/>
      </ns0:c>
      <ns0:c r="D863" s="28" t="str">
        <ns0:f>IF(E863="","","Müşteri adı / aranacak ad / il bilgisini kontrol edin")</ns0:f>
        <ns0:v/>
      </ns0:c>
      <ns0:c r="E863" s="28" t="str">
        <ns0:f>IFERROR(MATCH(859,'Banka Dökümü'!$I$2:$I$2001,0),"")</ns0:f>
        <ns0:v/>
      </ns0:c>
    </ns0:row>
    <ns0:row r="864" ht="21" customHeight="1">
      <ns0:c r="A864" s="32" t="str">
        <ns0:f>IF($E864="","",INDEX('Banka Dökümü'!$A$2:$A$2001,$E864))</ns0:f>
        <ns0:v/>
      </ns0:c>
      <ns0:c r="B864" s="28" t="str">
        <ns0:f>IF($E864="","",INDEX('Banka Dökümü'!$B$2:$B$2001,$E864))</ns0:f>
        <ns0:v/>
      </ns0:c>
      <ns0:c r="C864" s="33" t="str">
        <ns0:f>IF($E864="","",INDEX('Banka Dökümü'!$C$2:$C$2001,$E864))</ns0:f>
        <ns0:v/>
      </ns0:c>
      <ns0:c r="D864" s="28" t="str">
        <ns0:f>IF(E864="","","Müşteri adı / aranacak ad / il bilgisini kontrol edin")</ns0:f>
        <ns0:v/>
      </ns0:c>
      <ns0:c r="E864" s="28" t="str">
        <ns0:f>IFERROR(MATCH(860,'Banka Dökümü'!$I$2:$I$2001,0),"")</ns0:f>
        <ns0:v/>
      </ns0:c>
    </ns0:row>
    <ns0:row r="865" ht="21" customHeight="1">
      <ns0:c r="A865" s="32" t="str">
        <ns0:f>IF($E865="","",INDEX('Banka Dökümü'!$A$2:$A$2001,$E865))</ns0:f>
        <ns0:v/>
      </ns0:c>
      <ns0:c r="B865" s="28" t="str">
        <ns0:f>IF($E865="","",INDEX('Banka Dökümü'!$B$2:$B$2001,$E865))</ns0:f>
        <ns0:v/>
      </ns0:c>
      <ns0:c r="C865" s="33" t="str">
        <ns0:f>IF($E865="","",INDEX('Banka Dökümü'!$C$2:$C$2001,$E865))</ns0:f>
        <ns0:v/>
      </ns0:c>
      <ns0:c r="D865" s="28" t="str">
        <ns0:f>IF(E865="","","Müşteri adı / aranacak ad / il bilgisini kontrol edin")</ns0:f>
        <ns0:v/>
      </ns0:c>
      <ns0:c r="E865" s="28" t="str">
        <ns0:f>IFERROR(MATCH(861,'Banka Dökümü'!$I$2:$I$2001,0),"")</ns0:f>
        <ns0:v/>
      </ns0:c>
    </ns0:row>
    <ns0:row r="866" ht="21" customHeight="1">
      <ns0:c r="A866" s="32" t="str">
        <ns0:f>IF($E866="","",INDEX('Banka Dökümü'!$A$2:$A$2001,$E866))</ns0:f>
        <ns0:v/>
      </ns0:c>
      <ns0:c r="B866" s="28" t="str">
        <ns0:f>IF($E866="","",INDEX('Banka Dökümü'!$B$2:$B$2001,$E866))</ns0:f>
        <ns0:v/>
      </ns0:c>
      <ns0:c r="C866" s="33" t="str">
        <ns0:f>IF($E866="","",INDEX('Banka Dökümü'!$C$2:$C$2001,$E866))</ns0:f>
        <ns0:v/>
      </ns0:c>
      <ns0:c r="D866" s="28" t="str">
        <ns0:f>IF(E866="","","Müşteri adı / aranacak ad / il bilgisini kontrol edin")</ns0:f>
        <ns0:v/>
      </ns0:c>
      <ns0:c r="E866" s="28" t="str">
        <ns0:f>IFERROR(MATCH(862,'Banka Dökümü'!$I$2:$I$2001,0),"")</ns0:f>
        <ns0:v/>
      </ns0:c>
    </ns0:row>
    <ns0:row r="867" ht="21" customHeight="1">
      <ns0:c r="A867" s="32" t="str">
        <ns0:f>IF($E867="","",INDEX('Banka Dökümü'!$A$2:$A$2001,$E867))</ns0:f>
        <ns0:v/>
      </ns0:c>
      <ns0:c r="B867" s="28" t="str">
        <ns0:f>IF($E867="","",INDEX('Banka Dökümü'!$B$2:$B$2001,$E867))</ns0:f>
        <ns0:v/>
      </ns0:c>
      <ns0:c r="C867" s="33" t="str">
        <ns0:f>IF($E867="","",INDEX('Banka Dökümü'!$C$2:$C$2001,$E867))</ns0:f>
        <ns0:v/>
      </ns0:c>
      <ns0:c r="D867" s="28" t="str">
        <ns0:f>IF(E867="","","Müşteri adı / aranacak ad / il bilgisini kontrol edin")</ns0:f>
        <ns0:v/>
      </ns0:c>
      <ns0:c r="E867" s="28" t="str">
        <ns0:f>IFERROR(MATCH(863,'Banka Dökümü'!$I$2:$I$2001,0),"")</ns0:f>
        <ns0:v/>
      </ns0:c>
    </ns0:row>
    <ns0:row r="868" ht="21" customHeight="1">
      <ns0:c r="A868" s="32" t="str">
        <ns0:f>IF($E868="","",INDEX('Banka Dökümü'!$A$2:$A$2001,$E868))</ns0:f>
        <ns0:v/>
      </ns0:c>
      <ns0:c r="B868" s="28" t="str">
        <ns0:f>IF($E868="","",INDEX('Banka Dökümü'!$B$2:$B$2001,$E868))</ns0:f>
        <ns0:v/>
      </ns0:c>
      <ns0:c r="C868" s="33" t="str">
        <ns0:f>IF($E868="","",INDEX('Banka Dökümü'!$C$2:$C$2001,$E868))</ns0:f>
        <ns0:v/>
      </ns0:c>
      <ns0:c r="D868" s="28" t="str">
        <ns0:f>IF(E868="","","Müşteri adı / aranacak ad / il bilgisini kontrol edin")</ns0:f>
        <ns0:v/>
      </ns0:c>
      <ns0:c r="E868" s="28" t="str">
        <ns0:f>IFERROR(MATCH(864,'Banka Dökümü'!$I$2:$I$2001,0),"")</ns0:f>
        <ns0:v/>
      </ns0:c>
    </ns0:row>
    <ns0:row r="869" ht="21" customHeight="1">
      <ns0:c r="A869" s="32" t="str">
        <ns0:f>IF($E869="","",INDEX('Banka Dökümü'!$A$2:$A$2001,$E869))</ns0:f>
        <ns0:v/>
      </ns0:c>
      <ns0:c r="B869" s="28" t="str">
        <ns0:f>IF($E869="","",INDEX('Banka Dökümü'!$B$2:$B$2001,$E869))</ns0:f>
        <ns0:v/>
      </ns0:c>
      <ns0:c r="C869" s="33" t="str">
        <ns0:f>IF($E869="","",INDEX('Banka Dökümü'!$C$2:$C$2001,$E869))</ns0:f>
        <ns0:v/>
      </ns0:c>
      <ns0:c r="D869" s="28" t="str">
        <ns0:f>IF(E869="","","Müşteri adı / aranacak ad / il bilgisini kontrol edin")</ns0:f>
        <ns0:v/>
      </ns0:c>
      <ns0:c r="E869" s="28" t="str">
        <ns0:f>IFERROR(MATCH(865,'Banka Dökümü'!$I$2:$I$2001,0),"")</ns0:f>
        <ns0:v/>
      </ns0:c>
    </ns0:row>
    <ns0:row r="870" ht="21" customHeight="1">
      <ns0:c r="A870" s="32" t="str">
        <ns0:f>IF($E870="","",INDEX('Banka Dökümü'!$A$2:$A$2001,$E870))</ns0:f>
        <ns0:v/>
      </ns0:c>
      <ns0:c r="B870" s="28" t="str">
        <ns0:f>IF($E870="","",INDEX('Banka Dökümü'!$B$2:$B$2001,$E870))</ns0:f>
        <ns0:v/>
      </ns0:c>
      <ns0:c r="C870" s="33" t="str">
        <ns0:f>IF($E870="","",INDEX('Banka Dökümü'!$C$2:$C$2001,$E870))</ns0:f>
        <ns0:v/>
      </ns0:c>
      <ns0:c r="D870" s="28" t="str">
        <ns0:f>IF(E870="","","Müşteri adı / aranacak ad / il bilgisini kontrol edin")</ns0:f>
        <ns0:v/>
      </ns0:c>
      <ns0:c r="E870" s="28" t="str">
        <ns0:f>IFERROR(MATCH(866,'Banka Dökümü'!$I$2:$I$2001,0),"")</ns0:f>
        <ns0:v/>
      </ns0:c>
    </ns0:row>
    <ns0:row r="871" ht="21" customHeight="1">
      <ns0:c r="A871" s="32" t="str">
        <ns0:f>IF($E871="","",INDEX('Banka Dökümü'!$A$2:$A$2001,$E871))</ns0:f>
        <ns0:v/>
      </ns0:c>
      <ns0:c r="B871" s="28" t="str">
        <ns0:f>IF($E871="","",INDEX('Banka Dökümü'!$B$2:$B$2001,$E871))</ns0:f>
        <ns0:v/>
      </ns0:c>
      <ns0:c r="C871" s="33" t="str">
        <ns0:f>IF($E871="","",INDEX('Banka Dökümü'!$C$2:$C$2001,$E871))</ns0:f>
        <ns0:v/>
      </ns0:c>
      <ns0:c r="D871" s="28" t="str">
        <ns0:f>IF(E871="","","Müşteri adı / aranacak ad / il bilgisini kontrol edin")</ns0:f>
        <ns0:v/>
      </ns0:c>
      <ns0:c r="E871" s="28" t="str">
        <ns0:f>IFERROR(MATCH(867,'Banka Dökümü'!$I$2:$I$2001,0),"")</ns0:f>
        <ns0:v/>
      </ns0:c>
    </ns0:row>
    <ns0:row r="872" ht="21" customHeight="1">
      <ns0:c r="A872" s="32" t="str">
        <ns0:f>IF($E872="","",INDEX('Banka Dökümü'!$A$2:$A$2001,$E872))</ns0:f>
        <ns0:v/>
      </ns0:c>
      <ns0:c r="B872" s="28" t="str">
        <ns0:f>IF($E872="","",INDEX('Banka Dökümü'!$B$2:$B$2001,$E872))</ns0:f>
        <ns0:v/>
      </ns0:c>
      <ns0:c r="C872" s="33" t="str">
        <ns0:f>IF($E872="","",INDEX('Banka Dökümü'!$C$2:$C$2001,$E872))</ns0:f>
        <ns0:v/>
      </ns0:c>
      <ns0:c r="D872" s="28" t="str">
        <ns0:f>IF(E872="","","Müşteri adı / aranacak ad / il bilgisini kontrol edin")</ns0:f>
        <ns0:v/>
      </ns0:c>
      <ns0:c r="E872" s="28" t="str">
        <ns0:f>IFERROR(MATCH(868,'Banka Dökümü'!$I$2:$I$2001,0),"")</ns0:f>
        <ns0:v/>
      </ns0:c>
    </ns0:row>
    <ns0:row r="873" ht="21" customHeight="1">
      <ns0:c r="A873" s="32" t="str">
        <ns0:f>IF($E873="","",INDEX('Banka Dökümü'!$A$2:$A$2001,$E873))</ns0:f>
        <ns0:v/>
      </ns0:c>
      <ns0:c r="B873" s="28" t="str">
        <ns0:f>IF($E873="","",INDEX('Banka Dökümü'!$B$2:$B$2001,$E873))</ns0:f>
        <ns0:v/>
      </ns0:c>
      <ns0:c r="C873" s="33" t="str">
        <ns0:f>IF($E873="","",INDEX('Banka Dökümü'!$C$2:$C$2001,$E873))</ns0:f>
        <ns0:v/>
      </ns0:c>
      <ns0:c r="D873" s="28" t="str">
        <ns0:f>IF(E873="","","Müşteri adı / aranacak ad / il bilgisini kontrol edin")</ns0:f>
        <ns0:v/>
      </ns0:c>
      <ns0:c r="E873" s="28" t="str">
        <ns0:f>IFERROR(MATCH(869,'Banka Dökümü'!$I$2:$I$2001,0),"")</ns0:f>
        <ns0:v/>
      </ns0:c>
    </ns0:row>
    <ns0:row r="874" ht="21" customHeight="1">
      <ns0:c r="A874" s="32" t="str">
        <ns0:f>IF($E874="","",INDEX('Banka Dökümü'!$A$2:$A$2001,$E874))</ns0:f>
        <ns0:v/>
      </ns0:c>
      <ns0:c r="B874" s="28" t="str">
        <ns0:f>IF($E874="","",INDEX('Banka Dökümü'!$B$2:$B$2001,$E874))</ns0:f>
        <ns0:v/>
      </ns0:c>
      <ns0:c r="C874" s="33" t="str">
        <ns0:f>IF($E874="","",INDEX('Banka Dökümü'!$C$2:$C$2001,$E874))</ns0:f>
        <ns0:v/>
      </ns0:c>
      <ns0:c r="D874" s="28" t="str">
        <ns0:f>IF(E874="","","Müşteri adı / aranacak ad / il bilgisini kontrol edin")</ns0:f>
        <ns0:v/>
      </ns0:c>
      <ns0:c r="E874" s="28" t="str">
        <ns0:f>IFERROR(MATCH(870,'Banka Dökümü'!$I$2:$I$2001,0),"")</ns0:f>
        <ns0:v/>
      </ns0:c>
    </ns0:row>
    <ns0:row r="875" ht="21" customHeight="1">
      <ns0:c r="A875" s="32" t="str">
        <ns0:f>IF($E875="","",INDEX('Banka Dökümü'!$A$2:$A$2001,$E875))</ns0:f>
        <ns0:v/>
      </ns0:c>
      <ns0:c r="B875" s="28" t="str">
        <ns0:f>IF($E875="","",INDEX('Banka Dökümü'!$B$2:$B$2001,$E875))</ns0:f>
        <ns0:v/>
      </ns0:c>
      <ns0:c r="C875" s="33" t="str">
        <ns0:f>IF($E875="","",INDEX('Banka Dökümü'!$C$2:$C$2001,$E875))</ns0:f>
        <ns0:v/>
      </ns0:c>
      <ns0:c r="D875" s="28" t="str">
        <ns0:f>IF(E875="","","Müşteri adı / aranacak ad / il bilgisini kontrol edin")</ns0:f>
        <ns0:v/>
      </ns0:c>
      <ns0:c r="E875" s="28" t="str">
        <ns0:f>IFERROR(MATCH(871,'Banka Dökümü'!$I$2:$I$2001,0),"")</ns0:f>
        <ns0:v/>
      </ns0:c>
    </ns0:row>
    <ns0:row r="876" ht="21" customHeight="1">
      <ns0:c r="A876" s="32" t="str">
        <ns0:f>IF($E876="","",INDEX('Banka Dökümü'!$A$2:$A$2001,$E876))</ns0:f>
        <ns0:v/>
      </ns0:c>
      <ns0:c r="B876" s="28" t="str">
        <ns0:f>IF($E876="","",INDEX('Banka Dökümü'!$B$2:$B$2001,$E876))</ns0:f>
        <ns0:v/>
      </ns0:c>
      <ns0:c r="C876" s="33" t="str">
        <ns0:f>IF($E876="","",INDEX('Banka Dökümü'!$C$2:$C$2001,$E876))</ns0:f>
        <ns0:v/>
      </ns0:c>
      <ns0:c r="D876" s="28" t="str">
        <ns0:f>IF(E876="","","Müşteri adı / aranacak ad / il bilgisini kontrol edin")</ns0:f>
        <ns0:v/>
      </ns0:c>
      <ns0:c r="E876" s="28" t="str">
        <ns0:f>IFERROR(MATCH(872,'Banka Dökümü'!$I$2:$I$2001,0),"")</ns0:f>
        <ns0:v/>
      </ns0:c>
    </ns0:row>
    <ns0:row r="877" ht="21" customHeight="1">
      <ns0:c r="A877" s="32" t="str">
        <ns0:f>IF($E877="","",INDEX('Banka Dökümü'!$A$2:$A$2001,$E877))</ns0:f>
        <ns0:v/>
      </ns0:c>
      <ns0:c r="B877" s="28" t="str">
        <ns0:f>IF($E877="","",INDEX('Banka Dökümü'!$B$2:$B$2001,$E877))</ns0:f>
        <ns0:v/>
      </ns0:c>
      <ns0:c r="C877" s="33" t="str">
        <ns0:f>IF($E877="","",INDEX('Banka Dökümü'!$C$2:$C$2001,$E877))</ns0:f>
        <ns0:v/>
      </ns0:c>
      <ns0:c r="D877" s="28" t="str">
        <ns0:f>IF(E877="","","Müşteri adı / aranacak ad / il bilgisini kontrol edin")</ns0:f>
        <ns0:v/>
      </ns0:c>
      <ns0:c r="E877" s="28" t="str">
        <ns0:f>IFERROR(MATCH(873,'Banka Dökümü'!$I$2:$I$2001,0),"")</ns0:f>
        <ns0:v/>
      </ns0:c>
    </ns0:row>
    <ns0:row r="878" ht="21" customHeight="1">
      <ns0:c r="A878" s="32" t="str">
        <ns0:f>IF($E878="","",INDEX('Banka Dökümü'!$A$2:$A$2001,$E878))</ns0:f>
        <ns0:v/>
      </ns0:c>
      <ns0:c r="B878" s="28" t="str">
        <ns0:f>IF($E878="","",INDEX('Banka Dökümü'!$B$2:$B$2001,$E878))</ns0:f>
        <ns0:v/>
      </ns0:c>
      <ns0:c r="C878" s="33" t="str">
        <ns0:f>IF($E878="","",INDEX('Banka Dökümü'!$C$2:$C$2001,$E878))</ns0:f>
        <ns0:v/>
      </ns0:c>
      <ns0:c r="D878" s="28" t="str">
        <ns0:f>IF(E878="","","Müşteri adı / aranacak ad / il bilgisini kontrol edin")</ns0:f>
        <ns0:v/>
      </ns0:c>
      <ns0:c r="E878" s="28" t="str">
        <ns0:f>IFERROR(MATCH(874,'Banka Dökümü'!$I$2:$I$2001,0),"")</ns0:f>
        <ns0:v/>
      </ns0:c>
    </ns0:row>
    <ns0:row r="879" ht="21" customHeight="1">
      <ns0:c r="A879" s="32" t="str">
        <ns0:f>IF($E879="","",INDEX('Banka Dökümü'!$A$2:$A$2001,$E879))</ns0:f>
        <ns0:v/>
      </ns0:c>
      <ns0:c r="B879" s="28" t="str">
        <ns0:f>IF($E879="","",INDEX('Banka Dökümü'!$B$2:$B$2001,$E879))</ns0:f>
        <ns0:v/>
      </ns0:c>
      <ns0:c r="C879" s="33" t="str">
        <ns0:f>IF($E879="","",INDEX('Banka Dökümü'!$C$2:$C$2001,$E879))</ns0:f>
        <ns0:v/>
      </ns0:c>
      <ns0:c r="D879" s="28" t="str">
        <ns0:f>IF(E879="","","Müşteri adı / aranacak ad / il bilgisini kontrol edin")</ns0:f>
        <ns0:v/>
      </ns0:c>
      <ns0:c r="E879" s="28" t="str">
        <ns0:f>IFERROR(MATCH(875,'Banka Dökümü'!$I$2:$I$2001,0),"")</ns0:f>
        <ns0:v/>
      </ns0:c>
    </ns0:row>
    <ns0:row r="880" ht="21" customHeight="1">
      <ns0:c r="A880" s="32" t="str">
        <ns0:f>IF($E880="","",INDEX('Banka Dökümü'!$A$2:$A$2001,$E880))</ns0:f>
        <ns0:v/>
      </ns0:c>
      <ns0:c r="B880" s="28" t="str">
        <ns0:f>IF($E880="","",INDEX('Banka Dökümü'!$B$2:$B$2001,$E880))</ns0:f>
        <ns0:v/>
      </ns0:c>
      <ns0:c r="C880" s="33" t="str">
        <ns0:f>IF($E880="","",INDEX('Banka Dökümü'!$C$2:$C$2001,$E880))</ns0:f>
        <ns0:v/>
      </ns0:c>
      <ns0:c r="D880" s="28" t="str">
        <ns0:f>IF(E880="","","Müşteri adı / aranacak ad / il bilgisini kontrol edin")</ns0:f>
        <ns0:v/>
      </ns0:c>
      <ns0:c r="E880" s="28" t="str">
        <ns0:f>IFERROR(MATCH(876,'Banka Dökümü'!$I$2:$I$2001,0),"")</ns0:f>
        <ns0:v/>
      </ns0:c>
    </ns0:row>
    <ns0:row r="881" ht="21" customHeight="1">
      <ns0:c r="A881" s="32" t="str">
        <ns0:f>IF($E881="","",INDEX('Banka Dökümü'!$A$2:$A$2001,$E881))</ns0:f>
        <ns0:v/>
      </ns0:c>
      <ns0:c r="B881" s="28" t="str">
        <ns0:f>IF($E881="","",INDEX('Banka Dökümü'!$B$2:$B$2001,$E881))</ns0:f>
        <ns0:v/>
      </ns0:c>
      <ns0:c r="C881" s="33" t="str">
        <ns0:f>IF($E881="","",INDEX('Banka Dökümü'!$C$2:$C$2001,$E881))</ns0:f>
        <ns0:v/>
      </ns0:c>
      <ns0:c r="D881" s="28" t="str">
        <ns0:f>IF(E881="","","Müşteri adı / aranacak ad / il bilgisini kontrol edin")</ns0:f>
        <ns0:v/>
      </ns0:c>
      <ns0:c r="E881" s="28" t="str">
        <ns0:f>IFERROR(MATCH(877,'Banka Dökümü'!$I$2:$I$2001,0),"")</ns0:f>
        <ns0:v/>
      </ns0:c>
    </ns0:row>
    <ns0:row r="882" ht="21" customHeight="1">
      <ns0:c r="A882" s="32" t="str">
        <ns0:f>IF($E882="","",INDEX('Banka Dökümü'!$A$2:$A$2001,$E882))</ns0:f>
        <ns0:v/>
      </ns0:c>
      <ns0:c r="B882" s="28" t="str">
        <ns0:f>IF($E882="","",INDEX('Banka Dökümü'!$B$2:$B$2001,$E882))</ns0:f>
        <ns0:v/>
      </ns0:c>
      <ns0:c r="C882" s="33" t="str">
        <ns0:f>IF($E882="","",INDEX('Banka Dökümü'!$C$2:$C$2001,$E882))</ns0:f>
        <ns0:v/>
      </ns0:c>
      <ns0:c r="D882" s="28" t="str">
        <ns0:f>IF(E882="","","Müşteri adı / aranacak ad / il bilgisini kontrol edin")</ns0:f>
        <ns0:v/>
      </ns0:c>
      <ns0:c r="E882" s="28" t="str">
        <ns0:f>IFERROR(MATCH(878,'Banka Dökümü'!$I$2:$I$2001,0),"")</ns0:f>
        <ns0:v/>
      </ns0:c>
    </ns0:row>
    <ns0:row r="883" ht="21" customHeight="1">
      <ns0:c r="A883" s="32" t="str">
        <ns0:f>IF($E883="","",INDEX('Banka Dökümü'!$A$2:$A$2001,$E883))</ns0:f>
        <ns0:v/>
      </ns0:c>
      <ns0:c r="B883" s="28" t="str">
        <ns0:f>IF($E883="","",INDEX('Banka Dökümü'!$B$2:$B$2001,$E883))</ns0:f>
        <ns0:v/>
      </ns0:c>
      <ns0:c r="C883" s="33" t="str">
        <ns0:f>IF($E883="","",INDEX('Banka Dökümü'!$C$2:$C$2001,$E883))</ns0:f>
        <ns0:v/>
      </ns0:c>
      <ns0:c r="D883" s="28" t="str">
        <ns0:f>IF(E883="","","Müşteri adı / aranacak ad / il bilgisini kontrol edin")</ns0:f>
        <ns0:v/>
      </ns0:c>
      <ns0:c r="E883" s="28" t="str">
        <ns0:f>IFERROR(MATCH(879,'Banka Dökümü'!$I$2:$I$2001,0),"")</ns0:f>
        <ns0:v/>
      </ns0:c>
    </ns0:row>
    <ns0:row r="884" ht="21" customHeight="1">
      <ns0:c r="A884" s="32" t="str">
        <ns0:f>IF($E884="","",INDEX('Banka Dökümü'!$A$2:$A$2001,$E884))</ns0:f>
        <ns0:v/>
      </ns0:c>
      <ns0:c r="B884" s="28" t="str">
        <ns0:f>IF($E884="","",INDEX('Banka Dökümü'!$B$2:$B$2001,$E884))</ns0:f>
        <ns0:v/>
      </ns0:c>
      <ns0:c r="C884" s="33" t="str">
        <ns0:f>IF($E884="","",INDEX('Banka Dökümü'!$C$2:$C$2001,$E884))</ns0:f>
        <ns0:v/>
      </ns0:c>
      <ns0:c r="D884" s="28" t="str">
        <ns0:f>IF(E884="","","Müşteri adı / aranacak ad / il bilgisini kontrol edin")</ns0:f>
        <ns0:v/>
      </ns0:c>
      <ns0:c r="E884" s="28" t="str">
        <ns0:f>IFERROR(MATCH(880,'Banka Dökümü'!$I$2:$I$2001,0),"")</ns0:f>
        <ns0:v/>
      </ns0:c>
    </ns0:row>
    <ns0:row r="885" ht="21" customHeight="1">
      <ns0:c r="A885" s="32" t="str">
        <ns0:f>IF($E885="","",INDEX('Banka Dökümü'!$A$2:$A$2001,$E885))</ns0:f>
        <ns0:v/>
      </ns0:c>
      <ns0:c r="B885" s="28" t="str">
        <ns0:f>IF($E885="","",INDEX('Banka Dökümü'!$B$2:$B$2001,$E885))</ns0:f>
        <ns0:v/>
      </ns0:c>
      <ns0:c r="C885" s="33" t="str">
        <ns0:f>IF($E885="","",INDEX('Banka Dökümü'!$C$2:$C$2001,$E885))</ns0:f>
        <ns0:v/>
      </ns0:c>
      <ns0:c r="D885" s="28" t="str">
        <ns0:f>IF(E885="","","Müşteri adı / aranacak ad / il bilgisini kontrol edin")</ns0:f>
        <ns0:v/>
      </ns0:c>
      <ns0:c r="E885" s="28" t="str">
        <ns0:f>IFERROR(MATCH(881,'Banka Dökümü'!$I$2:$I$2001,0),"")</ns0:f>
        <ns0:v/>
      </ns0:c>
    </ns0:row>
    <ns0:row r="886" ht="21" customHeight="1">
      <ns0:c r="A886" s="32" t="str">
        <ns0:f>IF($E886="","",INDEX('Banka Dökümü'!$A$2:$A$2001,$E886))</ns0:f>
        <ns0:v/>
      </ns0:c>
      <ns0:c r="B886" s="28" t="str">
        <ns0:f>IF($E886="","",INDEX('Banka Dökümü'!$B$2:$B$2001,$E886))</ns0:f>
        <ns0:v/>
      </ns0:c>
      <ns0:c r="C886" s="33" t="str">
        <ns0:f>IF($E886="","",INDEX('Banka Dökümü'!$C$2:$C$2001,$E886))</ns0:f>
        <ns0:v/>
      </ns0:c>
      <ns0:c r="D886" s="28" t="str">
        <ns0:f>IF(E886="","","Müşteri adı / aranacak ad / il bilgisini kontrol edin")</ns0:f>
        <ns0:v/>
      </ns0:c>
      <ns0:c r="E886" s="28" t="str">
        <ns0:f>IFERROR(MATCH(882,'Banka Dökümü'!$I$2:$I$2001,0),"")</ns0:f>
        <ns0:v/>
      </ns0:c>
    </ns0:row>
    <ns0:row r="887" ht="21" customHeight="1">
      <ns0:c r="A887" s="32" t="str">
        <ns0:f>IF($E887="","",INDEX('Banka Dökümü'!$A$2:$A$2001,$E887))</ns0:f>
        <ns0:v/>
      </ns0:c>
      <ns0:c r="B887" s="28" t="str">
        <ns0:f>IF($E887="","",INDEX('Banka Dökümü'!$B$2:$B$2001,$E887))</ns0:f>
        <ns0:v/>
      </ns0:c>
      <ns0:c r="C887" s="33" t="str">
        <ns0:f>IF($E887="","",INDEX('Banka Dökümü'!$C$2:$C$2001,$E887))</ns0:f>
        <ns0:v/>
      </ns0:c>
      <ns0:c r="D887" s="28" t="str">
        <ns0:f>IF(E887="","","Müşteri adı / aranacak ad / il bilgisini kontrol edin")</ns0:f>
        <ns0:v/>
      </ns0:c>
      <ns0:c r="E887" s="28" t="str">
        <ns0:f>IFERROR(MATCH(883,'Banka Dökümü'!$I$2:$I$2001,0),"")</ns0:f>
        <ns0:v/>
      </ns0:c>
    </ns0:row>
    <ns0:row r="888" ht="21" customHeight="1">
      <ns0:c r="A888" s="32" t="str">
        <ns0:f>IF($E888="","",INDEX('Banka Dökümü'!$A$2:$A$2001,$E888))</ns0:f>
        <ns0:v/>
      </ns0:c>
      <ns0:c r="B888" s="28" t="str">
        <ns0:f>IF($E888="","",INDEX('Banka Dökümü'!$B$2:$B$2001,$E888))</ns0:f>
        <ns0:v/>
      </ns0:c>
      <ns0:c r="C888" s="33" t="str">
        <ns0:f>IF($E888="","",INDEX('Banka Dökümü'!$C$2:$C$2001,$E888))</ns0:f>
        <ns0:v/>
      </ns0:c>
      <ns0:c r="D888" s="28" t="str">
        <ns0:f>IF(E888="","","Müşteri adı / aranacak ad / il bilgisini kontrol edin")</ns0:f>
        <ns0:v/>
      </ns0:c>
      <ns0:c r="E888" s="28" t="str">
        <ns0:f>IFERROR(MATCH(884,'Banka Dökümü'!$I$2:$I$2001,0),"")</ns0:f>
        <ns0:v/>
      </ns0:c>
    </ns0:row>
    <ns0:row r="889" ht="21" customHeight="1">
      <ns0:c r="A889" s="32" t="str">
        <ns0:f>IF($E889="","",INDEX('Banka Dökümü'!$A$2:$A$2001,$E889))</ns0:f>
        <ns0:v/>
      </ns0:c>
      <ns0:c r="B889" s="28" t="str">
        <ns0:f>IF($E889="","",INDEX('Banka Dökümü'!$B$2:$B$2001,$E889))</ns0:f>
        <ns0:v/>
      </ns0:c>
      <ns0:c r="C889" s="33" t="str">
        <ns0:f>IF($E889="","",INDEX('Banka Dökümü'!$C$2:$C$2001,$E889))</ns0:f>
        <ns0:v/>
      </ns0:c>
      <ns0:c r="D889" s="28" t="str">
        <ns0:f>IF(E889="","","Müşteri adı / aranacak ad / il bilgisini kontrol edin")</ns0:f>
        <ns0:v/>
      </ns0:c>
      <ns0:c r="E889" s="28" t="str">
        <ns0:f>IFERROR(MATCH(885,'Banka Dökümü'!$I$2:$I$2001,0),"")</ns0:f>
        <ns0:v/>
      </ns0:c>
    </ns0:row>
    <ns0:row r="890" ht="21" customHeight="1">
      <ns0:c r="A890" s="32" t="str">
        <ns0:f>IF($E890="","",INDEX('Banka Dökümü'!$A$2:$A$2001,$E890))</ns0:f>
        <ns0:v/>
      </ns0:c>
      <ns0:c r="B890" s="28" t="str">
        <ns0:f>IF($E890="","",INDEX('Banka Dökümü'!$B$2:$B$2001,$E890))</ns0:f>
        <ns0:v/>
      </ns0:c>
      <ns0:c r="C890" s="33" t="str">
        <ns0:f>IF($E890="","",INDEX('Banka Dökümü'!$C$2:$C$2001,$E890))</ns0:f>
        <ns0:v/>
      </ns0:c>
      <ns0:c r="D890" s="28" t="str">
        <ns0:f>IF(E890="","","Müşteri adı / aranacak ad / il bilgisini kontrol edin")</ns0:f>
        <ns0:v/>
      </ns0:c>
      <ns0:c r="E890" s="28" t="str">
        <ns0:f>IFERROR(MATCH(886,'Banka Dökümü'!$I$2:$I$2001,0),"")</ns0:f>
        <ns0:v/>
      </ns0:c>
    </ns0:row>
    <ns0:row r="891" ht="21" customHeight="1">
      <ns0:c r="A891" s="32" t="str">
        <ns0:f>IF($E891="","",INDEX('Banka Dökümü'!$A$2:$A$2001,$E891))</ns0:f>
        <ns0:v/>
      </ns0:c>
      <ns0:c r="B891" s="28" t="str">
        <ns0:f>IF($E891="","",INDEX('Banka Dökümü'!$B$2:$B$2001,$E891))</ns0:f>
        <ns0:v/>
      </ns0:c>
      <ns0:c r="C891" s="33" t="str">
        <ns0:f>IF($E891="","",INDEX('Banka Dökümü'!$C$2:$C$2001,$E891))</ns0:f>
        <ns0:v/>
      </ns0:c>
      <ns0:c r="D891" s="28" t="str">
        <ns0:f>IF(E891="","","Müşteri adı / aranacak ad / il bilgisini kontrol edin")</ns0:f>
        <ns0:v/>
      </ns0:c>
      <ns0:c r="E891" s="28" t="str">
        <ns0:f>IFERROR(MATCH(887,'Banka Dökümü'!$I$2:$I$2001,0),"")</ns0:f>
        <ns0:v/>
      </ns0:c>
    </ns0:row>
    <ns0:row r="892" ht="21" customHeight="1">
      <ns0:c r="A892" s="32" t="str">
        <ns0:f>IF($E892="","",INDEX('Banka Dökümü'!$A$2:$A$2001,$E892))</ns0:f>
        <ns0:v/>
      </ns0:c>
      <ns0:c r="B892" s="28" t="str">
        <ns0:f>IF($E892="","",INDEX('Banka Dökümü'!$B$2:$B$2001,$E892))</ns0:f>
        <ns0:v/>
      </ns0:c>
      <ns0:c r="C892" s="33" t="str">
        <ns0:f>IF($E892="","",INDEX('Banka Dökümü'!$C$2:$C$2001,$E892))</ns0:f>
        <ns0:v/>
      </ns0:c>
      <ns0:c r="D892" s="28" t="str">
        <ns0:f>IF(E892="","","Müşteri adı / aranacak ad / il bilgisini kontrol edin")</ns0:f>
        <ns0:v/>
      </ns0:c>
      <ns0:c r="E892" s="28" t="str">
        <ns0:f>IFERROR(MATCH(888,'Banka Dökümü'!$I$2:$I$2001,0),"")</ns0:f>
        <ns0:v/>
      </ns0:c>
    </ns0:row>
    <ns0:row r="893" ht="21" customHeight="1">
      <ns0:c r="A893" s="32" t="str">
        <ns0:f>IF($E893="","",INDEX('Banka Dökümü'!$A$2:$A$2001,$E893))</ns0:f>
        <ns0:v/>
      </ns0:c>
      <ns0:c r="B893" s="28" t="str">
        <ns0:f>IF($E893="","",INDEX('Banka Dökümü'!$B$2:$B$2001,$E893))</ns0:f>
        <ns0:v/>
      </ns0:c>
      <ns0:c r="C893" s="33" t="str">
        <ns0:f>IF($E893="","",INDEX('Banka Dökümü'!$C$2:$C$2001,$E893))</ns0:f>
        <ns0:v/>
      </ns0:c>
      <ns0:c r="D893" s="28" t="str">
        <ns0:f>IF(E893="","","Müşteri adı / aranacak ad / il bilgisini kontrol edin")</ns0:f>
        <ns0:v/>
      </ns0:c>
      <ns0:c r="E893" s="28" t="str">
        <ns0:f>IFERROR(MATCH(889,'Banka Dökümü'!$I$2:$I$2001,0),"")</ns0:f>
        <ns0:v/>
      </ns0:c>
    </ns0:row>
    <ns0:row r="894" ht="21" customHeight="1">
      <ns0:c r="A894" s="32" t="str">
        <ns0:f>IF($E894="","",INDEX('Banka Dökümü'!$A$2:$A$2001,$E894))</ns0:f>
        <ns0:v/>
      </ns0:c>
      <ns0:c r="B894" s="28" t="str">
        <ns0:f>IF($E894="","",INDEX('Banka Dökümü'!$B$2:$B$2001,$E894))</ns0:f>
        <ns0:v/>
      </ns0:c>
      <ns0:c r="C894" s="33" t="str">
        <ns0:f>IF($E894="","",INDEX('Banka Dökümü'!$C$2:$C$2001,$E894))</ns0:f>
        <ns0:v/>
      </ns0:c>
      <ns0:c r="D894" s="28" t="str">
        <ns0:f>IF(E894="","","Müşteri adı / aranacak ad / il bilgisini kontrol edin")</ns0:f>
        <ns0:v/>
      </ns0:c>
      <ns0:c r="E894" s="28" t="str">
        <ns0:f>IFERROR(MATCH(890,'Banka Dökümü'!$I$2:$I$2001,0),"")</ns0:f>
        <ns0:v/>
      </ns0:c>
    </ns0:row>
    <ns0:row r="895" ht="21" customHeight="1">
      <ns0:c r="A895" s="32" t="str">
        <ns0:f>IF($E895="","",INDEX('Banka Dökümü'!$A$2:$A$2001,$E895))</ns0:f>
        <ns0:v/>
      </ns0:c>
      <ns0:c r="B895" s="28" t="str">
        <ns0:f>IF($E895="","",INDEX('Banka Dökümü'!$B$2:$B$2001,$E895))</ns0:f>
        <ns0:v/>
      </ns0:c>
      <ns0:c r="C895" s="33" t="str">
        <ns0:f>IF($E895="","",INDEX('Banka Dökümü'!$C$2:$C$2001,$E895))</ns0:f>
        <ns0:v/>
      </ns0:c>
      <ns0:c r="D895" s="28" t="str">
        <ns0:f>IF(E895="","","Müşteri adı / aranacak ad / il bilgisini kontrol edin")</ns0:f>
        <ns0:v/>
      </ns0:c>
      <ns0:c r="E895" s="28" t="str">
        <ns0:f>IFERROR(MATCH(891,'Banka Dökümü'!$I$2:$I$2001,0),"")</ns0:f>
        <ns0:v/>
      </ns0:c>
    </ns0:row>
    <ns0:row r="896" ht="21" customHeight="1">
      <ns0:c r="A896" s="32" t="str">
        <ns0:f>IF($E896="","",INDEX('Banka Dökümü'!$A$2:$A$2001,$E896))</ns0:f>
        <ns0:v/>
      </ns0:c>
      <ns0:c r="B896" s="28" t="str">
        <ns0:f>IF($E896="","",INDEX('Banka Dökümü'!$B$2:$B$2001,$E896))</ns0:f>
        <ns0:v/>
      </ns0:c>
      <ns0:c r="C896" s="33" t="str">
        <ns0:f>IF($E896="","",INDEX('Banka Dökümü'!$C$2:$C$2001,$E896))</ns0:f>
        <ns0:v/>
      </ns0:c>
      <ns0:c r="D896" s="28" t="str">
        <ns0:f>IF(E896="","","Müşteri adı / aranacak ad / il bilgisini kontrol edin")</ns0:f>
        <ns0:v/>
      </ns0:c>
      <ns0:c r="E896" s="28" t="str">
        <ns0:f>IFERROR(MATCH(892,'Banka Dökümü'!$I$2:$I$2001,0),"")</ns0:f>
        <ns0:v/>
      </ns0:c>
    </ns0:row>
    <ns0:row r="897" ht="21" customHeight="1">
      <ns0:c r="A897" s="32" t="str">
        <ns0:f>IF($E897="","",INDEX('Banka Dökümü'!$A$2:$A$2001,$E897))</ns0:f>
        <ns0:v/>
      </ns0:c>
      <ns0:c r="B897" s="28" t="str">
        <ns0:f>IF($E897="","",INDEX('Banka Dökümü'!$B$2:$B$2001,$E897))</ns0:f>
        <ns0:v/>
      </ns0:c>
      <ns0:c r="C897" s="33" t="str">
        <ns0:f>IF($E897="","",INDEX('Banka Dökümü'!$C$2:$C$2001,$E897))</ns0:f>
        <ns0:v/>
      </ns0:c>
      <ns0:c r="D897" s="28" t="str">
        <ns0:f>IF(E897="","","Müşteri adı / aranacak ad / il bilgisini kontrol edin")</ns0:f>
        <ns0:v/>
      </ns0:c>
      <ns0:c r="E897" s="28" t="str">
        <ns0:f>IFERROR(MATCH(893,'Banka Dökümü'!$I$2:$I$2001,0),"")</ns0:f>
        <ns0:v/>
      </ns0:c>
    </ns0:row>
    <ns0:row r="898" ht="21" customHeight="1">
      <ns0:c r="A898" s="32" t="str">
        <ns0:f>IF($E898="","",INDEX('Banka Dökümü'!$A$2:$A$2001,$E898))</ns0:f>
        <ns0:v/>
      </ns0:c>
      <ns0:c r="B898" s="28" t="str">
        <ns0:f>IF($E898="","",INDEX('Banka Dökümü'!$B$2:$B$2001,$E898))</ns0:f>
        <ns0:v/>
      </ns0:c>
      <ns0:c r="C898" s="33" t="str">
        <ns0:f>IF($E898="","",INDEX('Banka Dökümü'!$C$2:$C$2001,$E898))</ns0:f>
        <ns0:v/>
      </ns0:c>
      <ns0:c r="D898" s="28" t="str">
        <ns0:f>IF(E898="","","Müşteri adı / aranacak ad / il bilgisini kontrol edin")</ns0:f>
        <ns0:v/>
      </ns0:c>
      <ns0:c r="E898" s="28" t="str">
        <ns0:f>IFERROR(MATCH(894,'Banka Dökümü'!$I$2:$I$2001,0),"")</ns0:f>
        <ns0:v/>
      </ns0:c>
    </ns0:row>
    <ns0:row r="899" ht="21" customHeight="1">
      <ns0:c r="A899" s="32" t="str">
        <ns0:f>IF($E899="","",INDEX('Banka Dökümü'!$A$2:$A$2001,$E899))</ns0:f>
        <ns0:v/>
      </ns0:c>
      <ns0:c r="B899" s="28" t="str">
        <ns0:f>IF($E899="","",INDEX('Banka Dökümü'!$B$2:$B$2001,$E899))</ns0:f>
        <ns0:v/>
      </ns0:c>
      <ns0:c r="C899" s="33" t="str">
        <ns0:f>IF($E899="","",INDEX('Banka Dökümü'!$C$2:$C$2001,$E899))</ns0:f>
        <ns0:v/>
      </ns0:c>
      <ns0:c r="D899" s="28" t="str">
        <ns0:f>IF(E899="","","Müşteri adı / aranacak ad / il bilgisini kontrol edin")</ns0:f>
        <ns0:v/>
      </ns0:c>
      <ns0:c r="E899" s="28" t="str">
        <ns0:f>IFERROR(MATCH(895,'Banka Dökümü'!$I$2:$I$2001,0),"")</ns0:f>
        <ns0:v/>
      </ns0:c>
    </ns0:row>
    <ns0:row r="900" ht="21" customHeight="1">
      <ns0:c r="A900" s="32" t="str">
        <ns0:f>IF($E900="","",INDEX('Banka Dökümü'!$A$2:$A$2001,$E900))</ns0:f>
        <ns0:v/>
      </ns0:c>
      <ns0:c r="B900" s="28" t="str">
        <ns0:f>IF($E900="","",INDEX('Banka Dökümü'!$B$2:$B$2001,$E900))</ns0:f>
        <ns0:v/>
      </ns0:c>
      <ns0:c r="C900" s="33" t="str">
        <ns0:f>IF($E900="","",INDEX('Banka Dökümü'!$C$2:$C$2001,$E900))</ns0:f>
        <ns0:v/>
      </ns0:c>
      <ns0:c r="D900" s="28" t="str">
        <ns0:f>IF(E900="","","Müşteri adı / aranacak ad / il bilgisini kontrol edin")</ns0:f>
        <ns0:v/>
      </ns0:c>
      <ns0:c r="E900" s="28" t="str">
        <ns0:f>IFERROR(MATCH(896,'Banka Dökümü'!$I$2:$I$2001,0),"")</ns0:f>
        <ns0:v/>
      </ns0:c>
    </ns0:row>
    <ns0:row r="901" ht="21" customHeight="1">
      <ns0:c r="A901" s="32" t="str">
        <ns0:f>IF($E901="","",INDEX('Banka Dökümü'!$A$2:$A$2001,$E901))</ns0:f>
        <ns0:v/>
      </ns0:c>
      <ns0:c r="B901" s="28" t="str">
        <ns0:f>IF($E901="","",INDEX('Banka Dökümü'!$B$2:$B$2001,$E901))</ns0:f>
        <ns0:v/>
      </ns0:c>
      <ns0:c r="C901" s="33" t="str">
        <ns0:f>IF($E901="","",INDEX('Banka Dökümü'!$C$2:$C$2001,$E901))</ns0:f>
        <ns0:v/>
      </ns0:c>
      <ns0:c r="D901" s="28" t="str">
        <ns0:f>IF(E901="","","Müşteri adı / aranacak ad / il bilgisini kontrol edin")</ns0:f>
        <ns0:v/>
      </ns0:c>
      <ns0:c r="E901" s="28" t="str">
        <ns0:f>IFERROR(MATCH(897,'Banka Dökümü'!$I$2:$I$2001,0),"")</ns0:f>
        <ns0:v/>
      </ns0:c>
    </ns0:row>
    <ns0:row r="902" ht="21" customHeight="1">
      <ns0:c r="A902" s="32" t="str">
        <ns0:f>IF($E902="","",INDEX('Banka Dökümü'!$A$2:$A$2001,$E902))</ns0:f>
        <ns0:v/>
      </ns0:c>
      <ns0:c r="B902" s="28" t="str">
        <ns0:f>IF($E902="","",INDEX('Banka Dökümü'!$B$2:$B$2001,$E902))</ns0:f>
        <ns0:v/>
      </ns0:c>
      <ns0:c r="C902" s="33" t="str">
        <ns0:f>IF($E902="","",INDEX('Banka Dökümü'!$C$2:$C$2001,$E902))</ns0:f>
        <ns0:v/>
      </ns0:c>
      <ns0:c r="D902" s="28" t="str">
        <ns0:f>IF(E902="","","Müşteri adı / aranacak ad / il bilgisini kontrol edin")</ns0:f>
        <ns0:v/>
      </ns0:c>
      <ns0:c r="E902" s="28" t="str">
        <ns0:f>IFERROR(MATCH(898,'Banka Dökümü'!$I$2:$I$2001,0),"")</ns0:f>
        <ns0:v/>
      </ns0:c>
    </ns0:row>
    <ns0:row r="903" ht="21" customHeight="1">
      <ns0:c r="A903" s="32" t="str">
        <ns0:f>IF($E903="","",INDEX('Banka Dökümü'!$A$2:$A$2001,$E903))</ns0:f>
        <ns0:v/>
      </ns0:c>
      <ns0:c r="B903" s="28" t="str">
        <ns0:f>IF($E903="","",INDEX('Banka Dökümü'!$B$2:$B$2001,$E903))</ns0:f>
        <ns0:v/>
      </ns0:c>
      <ns0:c r="C903" s="33" t="str">
        <ns0:f>IF($E903="","",INDEX('Banka Dökümü'!$C$2:$C$2001,$E903))</ns0:f>
        <ns0:v/>
      </ns0:c>
      <ns0:c r="D903" s="28" t="str">
        <ns0:f>IF(E903="","","Müşteri adı / aranacak ad / il bilgisini kontrol edin")</ns0:f>
        <ns0:v/>
      </ns0:c>
      <ns0:c r="E903" s="28" t="str">
        <ns0:f>IFERROR(MATCH(899,'Banka Dökümü'!$I$2:$I$2001,0),"")</ns0:f>
        <ns0:v/>
      </ns0:c>
    </ns0:row>
    <ns0:row r="904" ht="21" customHeight="1">
      <ns0:c r="A904" s="32" t="str">
        <ns0:f>IF($E904="","",INDEX('Banka Dökümü'!$A$2:$A$2001,$E904))</ns0:f>
        <ns0:v/>
      </ns0:c>
      <ns0:c r="B904" s="28" t="str">
        <ns0:f>IF($E904="","",INDEX('Banka Dökümü'!$B$2:$B$2001,$E904))</ns0:f>
        <ns0:v/>
      </ns0:c>
      <ns0:c r="C904" s="33" t="str">
        <ns0:f>IF($E904="","",INDEX('Banka Dökümü'!$C$2:$C$2001,$E904))</ns0:f>
        <ns0:v/>
      </ns0:c>
      <ns0:c r="D904" s="28" t="str">
        <ns0:f>IF(E904="","","Müşteri adı / aranacak ad / il bilgisini kontrol edin")</ns0:f>
        <ns0:v/>
      </ns0:c>
      <ns0:c r="E904" s="28" t="str">
        <ns0:f>IFERROR(MATCH(900,'Banka Dökümü'!$I$2:$I$2001,0),"")</ns0:f>
        <ns0:v/>
      </ns0:c>
    </ns0:row>
    <ns0:row r="905" ht="21" customHeight="1">
      <ns0:c r="A905" s="32" t="str">
        <ns0:f>IF($E905="","",INDEX('Banka Dökümü'!$A$2:$A$2001,$E905))</ns0:f>
        <ns0:v/>
      </ns0:c>
      <ns0:c r="B905" s="28" t="str">
        <ns0:f>IF($E905="","",INDEX('Banka Dökümü'!$B$2:$B$2001,$E905))</ns0:f>
        <ns0:v/>
      </ns0:c>
      <ns0:c r="C905" s="33" t="str">
        <ns0:f>IF($E905="","",INDEX('Banka Dökümü'!$C$2:$C$2001,$E905))</ns0:f>
        <ns0:v/>
      </ns0:c>
      <ns0:c r="D905" s="28" t="str">
        <ns0:f>IF(E905="","","Müşteri adı / aranacak ad / il bilgisini kontrol edin")</ns0:f>
        <ns0:v/>
      </ns0:c>
      <ns0:c r="E905" s="28" t="str">
        <ns0:f>IFERROR(MATCH(901,'Banka Dökümü'!$I$2:$I$2001,0),"")</ns0:f>
        <ns0:v/>
      </ns0:c>
    </ns0:row>
    <ns0:row r="906" ht="21" customHeight="1">
      <ns0:c r="A906" s="32" t="str">
        <ns0:f>IF($E906="","",INDEX('Banka Dökümü'!$A$2:$A$2001,$E906))</ns0:f>
        <ns0:v/>
      </ns0:c>
      <ns0:c r="B906" s="28" t="str">
        <ns0:f>IF($E906="","",INDEX('Banka Dökümü'!$B$2:$B$2001,$E906))</ns0:f>
        <ns0:v/>
      </ns0:c>
      <ns0:c r="C906" s="33" t="str">
        <ns0:f>IF($E906="","",INDEX('Banka Dökümü'!$C$2:$C$2001,$E906))</ns0:f>
        <ns0:v/>
      </ns0:c>
      <ns0:c r="D906" s="28" t="str">
        <ns0:f>IF(E906="","","Müşteri adı / aranacak ad / il bilgisini kontrol edin")</ns0:f>
        <ns0:v/>
      </ns0:c>
      <ns0:c r="E906" s="28" t="str">
        <ns0:f>IFERROR(MATCH(902,'Banka Dökümü'!$I$2:$I$2001,0),"")</ns0:f>
        <ns0:v/>
      </ns0:c>
    </ns0:row>
    <ns0:row r="907" ht="21" customHeight="1">
      <ns0:c r="A907" s="32" t="str">
        <ns0:f>IF($E907="","",INDEX('Banka Dökümü'!$A$2:$A$2001,$E907))</ns0:f>
        <ns0:v/>
      </ns0:c>
      <ns0:c r="B907" s="28" t="str">
        <ns0:f>IF($E907="","",INDEX('Banka Dökümü'!$B$2:$B$2001,$E907))</ns0:f>
        <ns0:v/>
      </ns0:c>
      <ns0:c r="C907" s="33" t="str">
        <ns0:f>IF($E907="","",INDEX('Banka Dökümü'!$C$2:$C$2001,$E907))</ns0:f>
        <ns0:v/>
      </ns0:c>
      <ns0:c r="D907" s="28" t="str">
        <ns0:f>IF(E907="","","Müşteri adı / aranacak ad / il bilgisini kontrol edin")</ns0:f>
        <ns0:v/>
      </ns0:c>
      <ns0:c r="E907" s="28" t="str">
        <ns0:f>IFERROR(MATCH(903,'Banka Dökümü'!$I$2:$I$2001,0),"")</ns0:f>
        <ns0:v/>
      </ns0:c>
    </ns0:row>
    <ns0:row r="908" ht="21" customHeight="1">
      <ns0:c r="A908" s="32" t="str">
        <ns0:f>IF($E908="","",INDEX('Banka Dökümü'!$A$2:$A$2001,$E908))</ns0:f>
        <ns0:v/>
      </ns0:c>
      <ns0:c r="B908" s="28" t="str">
        <ns0:f>IF($E908="","",INDEX('Banka Dökümü'!$B$2:$B$2001,$E908))</ns0:f>
        <ns0:v/>
      </ns0:c>
      <ns0:c r="C908" s="33" t="str">
        <ns0:f>IF($E908="","",INDEX('Banka Dökümü'!$C$2:$C$2001,$E908))</ns0:f>
        <ns0:v/>
      </ns0:c>
      <ns0:c r="D908" s="28" t="str">
        <ns0:f>IF(E908="","","Müşteri adı / aranacak ad / il bilgisini kontrol edin")</ns0:f>
        <ns0:v/>
      </ns0:c>
      <ns0:c r="E908" s="28" t="str">
        <ns0:f>IFERROR(MATCH(904,'Banka Dökümü'!$I$2:$I$2001,0),"")</ns0:f>
        <ns0:v/>
      </ns0:c>
    </ns0:row>
    <ns0:row r="909" ht="21" customHeight="1">
      <ns0:c r="A909" s="32" t="str">
        <ns0:f>IF($E909="","",INDEX('Banka Dökümü'!$A$2:$A$2001,$E909))</ns0:f>
        <ns0:v/>
      </ns0:c>
      <ns0:c r="B909" s="28" t="str">
        <ns0:f>IF($E909="","",INDEX('Banka Dökümü'!$B$2:$B$2001,$E909))</ns0:f>
        <ns0:v/>
      </ns0:c>
      <ns0:c r="C909" s="33" t="str">
        <ns0:f>IF($E909="","",INDEX('Banka Dökümü'!$C$2:$C$2001,$E909))</ns0:f>
        <ns0:v/>
      </ns0:c>
      <ns0:c r="D909" s="28" t="str">
        <ns0:f>IF(E909="","","Müşteri adı / aranacak ad / il bilgisini kontrol edin")</ns0:f>
        <ns0:v/>
      </ns0:c>
      <ns0:c r="E909" s="28" t="str">
        <ns0:f>IFERROR(MATCH(905,'Banka Dökümü'!$I$2:$I$2001,0),"")</ns0:f>
        <ns0:v/>
      </ns0:c>
    </ns0:row>
    <ns0:row r="910" ht="21" customHeight="1">
      <ns0:c r="A910" s="32" t="str">
        <ns0:f>IF($E910="","",INDEX('Banka Dökümü'!$A$2:$A$2001,$E910))</ns0:f>
        <ns0:v/>
      </ns0:c>
      <ns0:c r="B910" s="28" t="str">
        <ns0:f>IF($E910="","",INDEX('Banka Dökümü'!$B$2:$B$2001,$E910))</ns0:f>
        <ns0:v/>
      </ns0:c>
      <ns0:c r="C910" s="33" t="str">
        <ns0:f>IF($E910="","",INDEX('Banka Dökümü'!$C$2:$C$2001,$E910))</ns0:f>
        <ns0:v/>
      </ns0:c>
      <ns0:c r="D910" s="28" t="str">
        <ns0:f>IF(E910="","","Müşteri adı / aranacak ad / il bilgisini kontrol edin")</ns0:f>
        <ns0:v/>
      </ns0:c>
      <ns0:c r="E910" s="28" t="str">
        <ns0:f>IFERROR(MATCH(906,'Banka Dökümü'!$I$2:$I$2001,0),"")</ns0:f>
        <ns0:v/>
      </ns0:c>
    </ns0:row>
    <ns0:row r="911" ht="21" customHeight="1">
      <ns0:c r="A911" s="32" t="str">
        <ns0:f>IF($E911="","",INDEX('Banka Dökümü'!$A$2:$A$2001,$E911))</ns0:f>
        <ns0:v/>
      </ns0:c>
      <ns0:c r="B911" s="28" t="str">
        <ns0:f>IF($E911="","",INDEX('Banka Dökümü'!$B$2:$B$2001,$E911))</ns0:f>
        <ns0:v/>
      </ns0:c>
      <ns0:c r="C911" s="33" t="str">
        <ns0:f>IF($E911="","",INDEX('Banka Dökümü'!$C$2:$C$2001,$E911))</ns0:f>
        <ns0:v/>
      </ns0:c>
      <ns0:c r="D911" s="28" t="str">
        <ns0:f>IF(E911="","","Müşteri adı / aranacak ad / il bilgisini kontrol edin")</ns0:f>
        <ns0:v/>
      </ns0:c>
      <ns0:c r="E911" s="28" t="str">
        <ns0:f>IFERROR(MATCH(907,'Banka Dökümü'!$I$2:$I$2001,0),"")</ns0:f>
        <ns0:v/>
      </ns0:c>
    </ns0:row>
    <ns0:row r="912" ht="21" customHeight="1">
      <ns0:c r="A912" s="32" t="str">
        <ns0:f>IF($E912="","",INDEX('Banka Dökümü'!$A$2:$A$2001,$E912))</ns0:f>
        <ns0:v/>
      </ns0:c>
      <ns0:c r="B912" s="28" t="str">
        <ns0:f>IF($E912="","",INDEX('Banka Dökümü'!$B$2:$B$2001,$E912))</ns0:f>
        <ns0:v/>
      </ns0:c>
      <ns0:c r="C912" s="33" t="str">
        <ns0:f>IF($E912="","",INDEX('Banka Dökümü'!$C$2:$C$2001,$E912))</ns0:f>
        <ns0:v/>
      </ns0:c>
      <ns0:c r="D912" s="28" t="str">
        <ns0:f>IF(E912="","","Müşteri adı / aranacak ad / il bilgisini kontrol edin")</ns0:f>
        <ns0:v/>
      </ns0:c>
      <ns0:c r="E912" s="28" t="str">
        <ns0:f>IFERROR(MATCH(908,'Banka Dökümü'!$I$2:$I$2001,0),"")</ns0:f>
        <ns0:v/>
      </ns0:c>
    </ns0:row>
    <ns0:row r="913" ht="21" customHeight="1">
      <ns0:c r="A913" s="32" t="str">
        <ns0:f>IF($E913="","",INDEX('Banka Dökümü'!$A$2:$A$2001,$E913))</ns0:f>
        <ns0:v/>
      </ns0:c>
      <ns0:c r="B913" s="28" t="str">
        <ns0:f>IF($E913="","",INDEX('Banka Dökümü'!$B$2:$B$2001,$E913))</ns0:f>
        <ns0:v/>
      </ns0:c>
      <ns0:c r="C913" s="33" t="str">
        <ns0:f>IF($E913="","",INDEX('Banka Dökümü'!$C$2:$C$2001,$E913))</ns0:f>
        <ns0:v/>
      </ns0:c>
      <ns0:c r="D913" s="28" t="str">
        <ns0:f>IF(E913="","","Müşteri adı / aranacak ad / il bilgisini kontrol edin")</ns0:f>
        <ns0:v/>
      </ns0:c>
      <ns0:c r="E913" s="28" t="str">
        <ns0:f>IFERROR(MATCH(909,'Banka Dökümü'!$I$2:$I$2001,0),"")</ns0:f>
        <ns0:v/>
      </ns0:c>
    </ns0:row>
    <ns0:row r="914" ht="21" customHeight="1">
      <ns0:c r="A914" s="32" t="str">
        <ns0:f>IF($E914="","",INDEX('Banka Dökümü'!$A$2:$A$2001,$E914))</ns0:f>
        <ns0:v/>
      </ns0:c>
      <ns0:c r="B914" s="28" t="str">
        <ns0:f>IF($E914="","",INDEX('Banka Dökümü'!$B$2:$B$2001,$E914))</ns0:f>
        <ns0:v/>
      </ns0:c>
      <ns0:c r="C914" s="33" t="str">
        <ns0:f>IF($E914="","",INDEX('Banka Dökümü'!$C$2:$C$2001,$E914))</ns0:f>
        <ns0:v/>
      </ns0:c>
      <ns0:c r="D914" s="28" t="str">
        <ns0:f>IF(E914="","","Müşteri adı / aranacak ad / il bilgisini kontrol edin")</ns0:f>
        <ns0:v/>
      </ns0:c>
      <ns0:c r="E914" s="28" t="str">
        <ns0:f>IFERROR(MATCH(910,'Banka Dökümü'!$I$2:$I$2001,0),"")</ns0:f>
        <ns0:v/>
      </ns0:c>
    </ns0:row>
    <ns0:row r="915" ht="21" customHeight="1">
      <ns0:c r="A915" s="32" t="str">
        <ns0:f>IF($E915="","",INDEX('Banka Dökümü'!$A$2:$A$2001,$E915))</ns0:f>
        <ns0:v/>
      </ns0:c>
      <ns0:c r="B915" s="28" t="str">
        <ns0:f>IF($E915="","",INDEX('Banka Dökümü'!$B$2:$B$2001,$E915))</ns0:f>
        <ns0:v/>
      </ns0:c>
      <ns0:c r="C915" s="33" t="str">
        <ns0:f>IF($E915="","",INDEX('Banka Dökümü'!$C$2:$C$2001,$E915))</ns0:f>
        <ns0:v/>
      </ns0:c>
      <ns0:c r="D915" s="28" t="str">
        <ns0:f>IF(E915="","","Müşteri adı / aranacak ad / il bilgisini kontrol edin")</ns0:f>
        <ns0:v/>
      </ns0:c>
      <ns0:c r="E915" s="28" t="str">
        <ns0:f>IFERROR(MATCH(911,'Banka Dökümü'!$I$2:$I$2001,0),"")</ns0:f>
        <ns0:v/>
      </ns0:c>
    </ns0:row>
    <ns0:row r="916" ht="21" customHeight="1">
      <ns0:c r="A916" s="32" t="str">
        <ns0:f>IF($E916="","",INDEX('Banka Dökümü'!$A$2:$A$2001,$E916))</ns0:f>
        <ns0:v/>
      </ns0:c>
      <ns0:c r="B916" s="28" t="str">
        <ns0:f>IF($E916="","",INDEX('Banka Dökümü'!$B$2:$B$2001,$E916))</ns0:f>
        <ns0:v/>
      </ns0:c>
      <ns0:c r="C916" s="33" t="str">
        <ns0:f>IF($E916="","",INDEX('Banka Dökümü'!$C$2:$C$2001,$E916))</ns0:f>
        <ns0:v/>
      </ns0:c>
      <ns0:c r="D916" s="28" t="str">
        <ns0:f>IF(E916="","","Müşteri adı / aranacak ad / il bilgisini kontrol edin")</ns0:f>
        <ns0:v/>
      </ns0:c>
      <ns0:c r="E916" s="28" t="str">
        <ns0:f>IFERROR(MATCH(912,'Banka Dökümü'!$I$2:$I$2001,0),"")</ns0:f>
        <ns0:v/>
      </ns0:c>
    </ns0:row>
    <ns0:row r="917" ht="21" customHeight="1">
      <ns0:c r="A917" s="32" t="str">
        <ns0:f>IF($E917="","",INDEX('Banka Dökümü'!$A$2:$A$2001,$E917))</ns0:f>
        <ns0:v/>
      </ns0:c>
      <ns0:c r="B917" s="28" t="str">
        <ns0:f>IF($E917="","",INDEX('Banka Dökümü'!$B$2:$B$2001,$E917))</ns0:f>
        <ns0:v/>
      </ns0:c>
      <ns0:c r="C917" s="33" t="str">
        <ns0:f>IF($E917="","",INDEX('Banka Dökümü'!$C$2:$C$2001,$E917))</ns0:f>
        <ns0:v/>
      </ns0:c>
      <ns0:c r="D917" s="28" t="str">
        <ns0:f>IF(E917="","","Müşteri adı / aranacak ad / il bilgisini kontrol edin")</ns0:f>
        <ns0:v/>
      </ns0:c>
      <ns0:c r="E917" s="28" t="str">
        <ns0:f>IFERROR(MATCH(913,'Banka Dökümü'!$I$2:$I$2001,0),"")</ns0:f>
        <ns0:v/>
      </ns0:c>
    </ns0:row>
    <ns0:row r="918" ht="21" customHeight="1">
      <ns0:c r="A918" s="32" t="str">
        <ns0:f>IF($E918="","",INDEX('Banka Dökümü'!$A$2:$A$2001,$E918))</ns0:f>
        <ns0:v/>
      </ns0:c>
      <ns0:c r="B918" s="28" t="str">
        <ns0:f>IF($E918="","",INDEX('Banka Dökümü'!$B$2:$B$2001,$E918))</ns0:f>
        <ns0:v/>
      </ns0:c>
      <ns0:c r="C918" s="33" t="str">
        <ns0:f>IF($E918="","",INDEX('Banka Dökümü'!$C$2:$C$2001,$E918))</ns0:f>
        <ns0:v/>
      </ns0:c>
      <ns0:c r="D918" s="28" t="str">
        <ns0:f>IF(E918="","","Müşteri adı / aranacak ad / il bilgisini kontrol edin")</ns0:f>
        <ns0:v/>
      </ns0:c>
      <ns0:c r="E918" s="28" t="str">
        <ns0:f>IFERROR(MATCH(914,'Banka Dökümü'!$I$2:$I$2001,0),"")</ns0:f>
        <ns0:v/>
      </ns0:c>
    </ns0:row>
    <ns0:row r="919" ht="21" customHeight="1">
      <ns0:c r="A919" s="32" t="str">
        <ns0:f>IF($E919="","",INDEX('Banka Dökümü'!$A$2:$A$2001,$E919))</ns0:f>
        <ns0:v/>
      </ns0:c>
      <ns0:c r="B919" s="28" t="str">
        <ns0:f>IF($E919="","",INDEX('Banka Dökümü'!$B$2:$B$2001,$E919))</ns0:f>
        <ns0:v/>
      </ns0:c>
      <ns0:c r="C919" s="33" t="str">
        <ns0:f>IF($E919="","",INDEX('Banka Dökümü'!$C$2:$C$2001,$E919))</ns0:f>
        <ns0:v/>
      </ns0:c>
      <ns0:c r="D919" s="28" t="str">
        <ns0:f>IF(E919="","","Müşteri adı / aranacak ad / il bilgisini kontrol edin")</ns0:f>
        <ns0:v/>
      </ns0:c>
      <ns0:c r="E919" s="28" t="str">
        <ns0:f>IFERROR(MATCH(915,'Banka Dökümü'!$I$2:$I$2001,0),"")</ns0:f>
        <ns0:v/>
      </ns0:c>
    </ns0:row>
    <ns0:row r="920" ht="21" customHeight="1">
      <ns0:c r="A920" s="32" t="str">
        <ns0:f>IF($E920="","",INDEX('Banka Dökümü'!$A$2:$A$2001,$E920))</ns0:f>
        <ns0:v/>
      </ns0:c>
      <ns0:c r="B920" s="28" t="str">
        <ns0:f>IF($E920="","",INDEX('Banka Dökümü'!$B$2:$B$2001,$E920))</ns0:f>
        <ns0:v/>
      </ns0:c>
      <ns0:c r="C920" s="33" t="str">
        <ns0:f>IF($E920="","",INDEX('Banka Dökümü'!$C$2:$C$2001,$E920))</ns0:f>
        <ns0:v/>
      </ns0:c>
      <ns0:c r="D920" s="28" t="str">
        <ns0:f>IF(E920="","","Müşteri adı / aranacak ad / il bilgisini kontrol edin")</ns0:f>
        <ns0:v/>
      </ns0:c>
      <ns0:c r="E920" s="28" t="str">
        <ns0:f>IFERROR(MATCH(916,'Banka Dökümü'!$I$2:$I$2001,0),"")</ns0:f>
        <ns0:v/>
      </ns0:c>
    </ns0:row>
    <ns0:row r="921" ht="21" customHeight="1">
      <ns0:c r="A921" s="32" t="str">
        <ns0:f>IF($E921="","",INDEX('Banka Dökümü'!$A$2:$A$2001,$E921))</ns0:f>
        <ns0:v/>
      </ns0:c>
      <ns0:c r="B921" s="28" t="str">
        <ns0:f>IF($E921="","",INDEX('Banka Dökümü'!$B$2:$B$2001,$E921))</ns0:f>
        <ns0:v/>
      </ns0:c>
      <ns0:c r="C921" s="33" t="str">
        <ns0:f>IF($E921="","",INDEX('Banka Dökümü'!$C$2:$C$2001,$E921))</ns0:f>
        <ns0:v/>
      </ns0:c>
      <ns0:c r="D921" s="28" t="str">
        <ns0:f>IF(E921="","","Müşteri adı / aranacak ad / il bilgisini kontrol edin")</ns0:f>
        <ns0:v/>
      </ns0:c>
      <ns0:c r="E921" s="28" t="str">
        <ns0:f>IFERROR(MATCH(917,'Banka Dökümü'!$I$2:$I$2001,0),"")</ns0:f>
        <ns0:v/>
      </ns0:c>
    </ns0:row>
    <ns0:row r="922" ht="21" customHeight="1">
      <ns0:c r="A922" s="32" t="str">
        <ns0:f>IF($E922="","",INDEX('Banka Dökümü'!$A$2:$A$2001,$E922))</ns0:f>
        <ns0:v/>
      </ns0:c>
      <ns0:c r="B922" s="28" t="str">
        <ns0:f>IF($E922="","",INDEX('Banka Dökümü'!$B$2:$B$2001,$E922))</ns0:f>
        <ns0:v/>
      </ns0:c>
      <ns0:c r="C922" s="33" t="str">
        <ns0:f>IF($E922="","",INDEX('Banka Dökümü'!$C$2:$C$2001,$E922))</ns0:f>
        <ns0:v/>
      </ns0:c>
      <ns0:c r="D922" s="28" t="str">
        <ns0:f>IF(E922="","","Müşteri adı / aranacak ad / il bilgisini kontrol edin")</ns0:f>
        <ns0:v/>
      </ns0:c>
      <ns0:c r="E922" s="28" t="str">
        <ns0:f>IFERROR(MATCH(918,'Banka Dökümü'!$I$2:$I$2001,0),"")</ns0:f>
        <ns0:v/>
      </ns0:c>
    </ns0:row>
    <ns0:row r="923" ht="21" customHeight="1">
      <ns0:c r="A923" s="32" t="str">
        <ns0:f>IF($E923="","",INDEX('Banka Dökümü'!$A$2:$A$2001,$E923))</ns0:f>
        <ns0:v/>
      </ns0:c>
      <ns0:c r="B923" s="28" t="str">
        <ns0:f>IF($E923="","",INDEX('Banka Dökümü'!$B$2:$B$2001,$E923))</ns0:f>
        <ns0:v/>
      </ns0:c>
      <ns0:c r="C923" s="33" t="str">
        <ns0:f>IF($E923="","",INDEX('Banka Dökümü'!$C$2:$C$2001,$E923))</ns0:f>
        <ns0:v/>
      </ns0:c>
      <ns0:c r="D923" s="28" t="str">
        <ns0:f>IF(E923="","","Müşteri adı / aranacak ad / il bilgisini kontrol edin")</ns0:f>
        <ns0:v/>
      </ns0:c>
      <ns0:c r="E923" s="28" t="str">
        <ns0:f>IFERROR(MATCH(919,'Banka Dökümü'!$I$2:$I$2001,0),"")</ns0:f>
        <ns0:v/>
      </ns0:c>
    </ns0:row>
    <ns0:row r="924" ht="21" customHeight="1">
      <ns0:c r="A924" s="32" t="str">
        <ns0:f>IF($E924="","",INDEX('Banka Dökümü'!$A$2:$A$2001,$E924))</ns0:f>
        <ns0:v/>
      </ns0:c>
      <ns0:c r="B924" s="28" t="str">
        <ns0:f>IF($E924="","",INDEX('Banka Dökümü'!$B$2:$B$2001,$E924))</ns0:f>
        <ns0:v/>
      </ns0:c>
      <ns0:c r="C924" s="33" t="str">
        <ns0:f>IF($E924="","",INDEX('Banka Dökümü'!$C$2:$C$2001,$E924))</ns0:f>
        <ns0:v/>
      </ns0:c>
      <ns0:c r="D924" s="28" t="str">
        <ns0:f>IF(E924="","","Müşteri adı / aranacak ad / il bilgisini kontrol edin")</ns0:f>
        <ns0:v/>
      </ns0:c>
      <ns0:c r="E924" s="28" t="str">
        <ns0:f>IFERROR(MATCH(920,'Banka Dökümü'!$I$2:$I$2001,0),"")</ns0:f>
        <ns0:v/>
      </ns0:c>
    </ns0:row>
    <ns0:row r="925" ht="21" customHeight="1">
      <ns0:c r="A925" s="32" t="str">
        <ns0:f>IF($E925="","",INDEX('Banka Dökümü'!$A$2:$A$2001,$E925))</ns0:f>
        <ns0:v/>
      </ns0:c>
      <ns0:c r="B925" s="28" t="str">
        <ns0:f>IF($E925="","",INDEX('Banka Dökümü'!$B$2:$B$2001,$E925))</ns0:f>
        <ns0:v/>
      </ns0:c>
      <ns0:c r="C925" s="33" t="str">
        <ns0:f>IF($E925="","",INDEX('Banka Dökümü'!$C$2:$C$2001,$E925))</ns0:f>
        <ns0:v/>
      </ns0:c>
      <ns0:c r="D925" s="28" t="str">
        <ns0:f>IF(E925="","","Müşteri adı / aranacak ad / il bilgisini kontrol edin")</ns0:f>
        <ns0:v/>
      </ns0:c>
      <ns0:c r="E925" s="28" t="str">
        <ns0:f>IFERROR(MATCH(921,'Banka Dökümü'!$I$2:$I$2001,0),"")</ns0:f>
        <ns0:v/>
      </ns0:c>
    </ns0:row>
    <ns0:row r="926" ht="21" customHeight="1">
      <ns0:c r="A926" s="32" t="str">
        <ns0:f>IF($E926="","",INDEX('Banka Dökümü'!$A$2:$A$2001,$E926))</ns0:f>
        <ns0:v/>
      </ns0:c>
      <ns0:c r="B926" s="28" t="str">
        <ns0:f>IF($E926="","",INDEX('Banka Dökümü'!$B$2:$B$2001,$E926))</ns0:f>
        <ns0:v/>
      </ns0:c>
      <ns0:c r="C926" s="33" t="str">
        <ns0:f>IF($E926="","",INDEX('Banka Dökümü'!$C$2:$C$2001,$E926))</ns0:f>
        <ns0:v/>
      </ns0:c>
      <ns0:c r="D926" s="28" t="str">
        <ns0:f>IF(E926="","","Müşteri adı / aranacak ad / il bilgisini kontrol edin")</ns0:f>
        <ns0:v/>
      </ns0:c>
      <ns0:c r="E926" s="28" t="str">
        <ns0:f>IFERROR(MATCH(922,'Banka Dökümü'!$I$2:$I$2001,0),"")</ns0:f>
        <ns0:v/>
      </ns0:c>
    </ns0:row>
    <ns0:row r="927" ht="21" customHeight="1">
      <ns0:c r="A927" s="32" t="str">
        <ns0:f>IF($E927="","",INDEX('Banka Dökümü'!$A$2:$A$2001,$E927))</ns0:f>
        <ns0:v/>
      </ns0:c>
      <ns0:c r="B927" s="28" t="str">
        <ns0:f>IF($E927="","",INDEX('Banka Dökümü'!$B$2:$B$2001,$E927))</ns0:f>
        <ns0:v/>
      </ns0:c>
      <ns0:c r="C927" s="33" t="str">
        <ns0:f>IF($E927="","",INDEX('Banka Dökümü'!$C$2:$C$2001,$E927))</ns0:f>
        <ns0:v/>
      </ns0:c>
      <ns0:c r="D927" s="28" t="str">
        <ns0:f>IF(E927="","","Müşteri adı / aranacak ad / il bilgisini kontrol edin")</ns0:f>
        <ns0:v/>
      </ns0:c>
      <ns0:c r="E927" s="28" t="str">
        <ns0:f>IFERROR(MATCH(923,'Banka Dökümü'!$I$2:$I$2001,0),"")</ns0:f>
        <ns0:v/>
      </ns0:c>
    </ns0:row>
    <ns0:row r="928" ht="21" customHeight="1">
      <ns0:c r="A928" s="32" t="str">
        <ns0:f>IF($E928="","",INDEX('Banka Dökümü'!$A$2:$A$2001,$E928))</ns0:f>
        <ns0:v/>
      </ns0:c>
      <ns0:c r="B928" s="28" t="str">
        <ns0:f>IF($E928="","",INDEX('Banka Dökümü'!$B$2:$B$2001,$E928))</ns0:f>
        <ns0:v/>
      </ns0:c>
      <ns0:c r="C928" s="33" t="str">
        <ns0:f>IF($E928="","",INDEX('Banka Dökümü'!$C$2:$C$2001,$E928))</ns0:f>
        <ns0:v/>
      </ns0:c>
      <ns0:c r="D928" s="28" t="str">
        <ns0:f>IF(E928="","","Müşteri adı / aranacak ad / il bilgisini kontrol edin")</ns0:f>
        <ns0:v/>
      </ns0:c>
      <ns0:c r="E928" s="28" t="str">
        <ns0:f>IFERROR(MATCH(924,'Banka Dökümü'!$I$2:$I$2001,0),"")</ns0:f>
        <ns0:v/>
      </ns0:c>
    </ns0:row>
    <ns0:row r="929" ht="21" customHeight="1">
      <ns0:c r="A929" s="32" t="str">
        <ns0:f>IF($E929="","",INDEX('Banka Dökümü'!$A$2:$A$2001,$E929))</ns0:f>
        <ns0:v/>
      </ns0:c>
      <ns0:c r="B929" s="28" t="str">
        <ns0:f>IF($E929="","",INDEX('Banka Dökümü'!$B$2:$B$2001,$E929))</ns0:f>
        <ns0:v/>
      </ns0:c>
      <ns0:c r="C929" s="33" t="str">
        <ns0:f>IF($E929="","",INDEX('Banka Dökümü'!$C$2:$C$2001,$E929))</ns0:f>
        <ns0:v/>
      </ns0:c>
      <ns0:c r="D929" s="28" t="str">
        <ns0:f>IF(E929="","","Müşteri adı / aranacak ad / il bilgisini kontrol edin")</ns0:f>
        <ns0:v/>
      </ns0:c>
      <ns0:c r="E929" s="28" t="str">
        <ns0:f>IFERROR(MATCH(925,'Banka Dökümü'!$I$2:$I$2001,0),"")</ns0:f>
        <ns0:v/>
      </ns0:c>
    </ns0:row>
    <ns0:row r="930" ht="21" customHeight="1">
      <ns0:c r="A930" s="32" t="str">
        <ns0:f>IF($E930="","",INDEX('Banka Dökümü'!$A$2:$A$2001,$E930))</ns0:f>
        <ns0:v/>
      </ns0:c>
      <ns0:c r="B930" s="28" t="str">
        <ns0:f>IF($E930="","",INDEX('Banka Dökümü'!$B$2:$B$2001,$E930))</ns0:f>
        <ns0:v/>
      </ns0:c>
      <ns0:c r="C930" s="33" t="str">
        <ns0:f>IF($E930="","",INDEX('Banka Dökümü'!$C$2:$C$2001,$E930))</ns0:f>
        <ns0:v/>
      </ns0:c>
      <ns0:c r="D930" s="28" t="str">
        <ns0:f>IF(E930="","","Müşteri adı / aranacak ad / il bilgisini kontrol edin")</ns0:f>
        <ns0:v/>
      </ns0:c>
      <ns0:c r="E930" s="28" t="str">
        <ns0:f>IFERROR(MATCH(926,'Banka Dökümü'!$I$2:$I$2001,0),"")</ns0:f>
        <ns0:v/>
      </ns0:c>
    </ns0:row>
    <ns0:row r="931" ht="21" customHeight="1">
      <ns0:c r="A931" s="32" t="str">
        <ns0:f>IF($E931="","",INDEX('Banka Dökümü'!$A$2:$A$2001,$E931))</ns0:f>
        <ns0:v/>
      </ns0:c>
      <ns0:c r="B931" s="28" t="str">
        <ns0:f>IF($E931="","",INDEX('Banka Dökümü'!$B$2:$B$2001,$E931))</ns0:f>
        <ns0:v/>
      </ns0:c>
      <ns0:c r="C931" s="33" t="str">
        <ns0:f>IF($E931="","",INDEX('Banka Dökümü'!$C$2:$C$2001,$E931))</ns0:f>
        <ns0:v/>
      </ns0:c>
      <ns0:c r="D931" s="28" t="str">
        <ns0:f>IF(E931="","","Müşteri adı / aranacak ad / il bilgisini kontrol edin")</ns0:f>
        <ns0:v/>
      </ns0:c>
      <ns0:c r="E931" s="28" t="str">
        <ns0:f>IFERROR(MATCH(927,'Banka Dökümü'!$I$2:$I$2001,0),"")</ns0:f>
        <ns0:v/>
      </ns0:c>
    </ns0:row>
    <ns0:row r="932" ht="21" customHeight="1">
      <ns0:c r="A932" s="32" t="str">
        <ns0:f>IF($E932="","",INDEX('Banka Dökümü'!$A$2:$A$2001,$E932))</ns0:f>
        <ns0:v/>
      </ns0:c>
      <ns0:c r="B932" s="28" t="str">
        <ns0:f>IF($E932="","",INDEX('Banka Dökümü'!$B$2:$B$2001,$E932))</ns0:f>
        <ns0:v/>
      </ns0:c>
      <ns0:c r="C932" s="33" t="str">
        <ns0:f>IF($E932="","",INDEX('Banka Dökümü'!$C$2:$C$2001,$E932))</ns0:f>
        <ns0:v/>
      </ns0:c>
      <ns0:c r="D932" s="28" t="str">
        <ns0:f>IF(E932="","","Müşteri adı / aranacak ad / il bilgisini kontrol edin")</ns0:f>
        <ns0:v/>
      </ns0:c>
      <ns0:c r="E932" s="28" t="str">
        <ns0:f>IFERROR(MATCH(928,'Banka Dökümü'!$I$2:$I$2001,0),"")</ns0:f>
        <ns0:v/>
      </ns0:c>
    </ns0:row>
    <ns0:row r="933" ht="21" customHeight="1">
      <ns0:c r="A933" s="32" t="str">
        <ns0:f>IF($E933="","",INDEX('Banka Dökümü'!$A$2:$A$2001,$E933))</ns0:f>
        <ns0:v/>
      </ns0:c>
      <ns0:c r="B933" s="28" t="str">
        <ns0:f>IF($E933="","",INDEX('Banka Dökümü'!$B$2:$B$2001,$E933))</ns0:f>
        <ns0:v/>
      </ns0:c>
      <ns0:c r="C933" s="33" t="str">
        <ns0:f>IF($E933="","",INDEX('Banka Dökümü'!$C$2:$C$2001,$E933))</ns0:f>
        <ns0:v/>
      </ns0:c>
      <ns0:c r="D933" s="28" t="str">
        <ns0:f>IF(E933="","","Müşteri adı / aranacak ad / il bilgisini kontrol edin")</ns0:f>
        <ns0:v/>
      </ns0:c>
      <ns0:c r="E933" s="28" t="str">
        <ns0:f>IFERROR(MATCH(929,'Banka Dökümü'!$I$2:$I$2001,0),"")</ns0:f>
        <ns0:v/>
      </ns0:c>
    </ns0:row>
    <ns0:row r="934" ht="21" customHeight="1">
      <ns0:c r="A934" s="32" t="str">
        <ns0:f>IF($E934="","",INDEX('Banka Dökümü'!$A$2:$A$2001,$E934))</ns0:f>
        <ns0:v/>
      </ns0:c>
      <ns0:c r="B934" s="28" t="str">
        <ns0:f>IF($E934="","",INDEX('Banka Dökümü'!$B$2:$B$2001,$E934))</ns0:f>
        <ns0:v/>
      </ns0:c>
      <ns0:c r="C934" s="33" t="str">
        <ns0:f>IF($E934="","",INDEX('Banka Dökümü'!$C$2:$C$2001,$E934))</ns0:f>
        <ns0:v/>
      </ns0:c>
      <ns0:c r="D934" s="28" t="str">
        <ns0:f>IF(E934="","","Müşteri adı / aranacak ad / il bilgisini kontrol edin")</ns0:f>
        <ns0:v/>
      </ns0:c>
      <ns0:c r="E934" s="28" t="str">
        <ns0:f>IFERROR(MATCH(930,'Banka Dökümü'!$I$2:$I$2001,0),"")</ns0:f>
        <ns0:v/>
      </ns0:c>
    </ns0:row>
    <ns0:row r="935" ht="21" customHeight="1">
      <ns0:c r="A935" s="32" t="str">
        <ns0:f>IF($E935="","",INDEX('Banka Dökümü'!$A$2:$A$2001,$E935))</ns0:f>
        <ns0:v/>
      </ns0:c>
      <ns0:c r="B935" s="28" t="str">
        <ns0:f>IF($E935="","",INDEX('Banka Dökümü'!$B$2:$B$2001,$E935))</ns0:f>
        <ns0:v/>
      </ns0:c>
      <ns0:c r="C935" s="33" t="str">
        <ns0:f>IF($E935="","",INDEX('Banka Dökümü'!$C$2:$C$2001,$E935))</ns0:f>
        <ns0:v/>
      </ns0:c>
      <ns0:c r="D935" s="28" t="str">
        <ns0:f>IF(E935="","","Müşteri adı / aranacak ad / il bilgisini kontrol edin")</ns0:f>
        <ns0:v/>
      </ns0:c>
      <ns0:c r="E935" s="28" t="str">
        <ns0:f>IFERROR(MATCH(931,'Banka Dökümü'!$I$2:$I$2001,0),"")</ns0:f>
        <ns0:v/>
      </ns0:c>
    </ns0:row>
    <ns0:row r="936" ht="21" customHeight="1">
      <ns0:c r="A936" s="32" t="str">
        <ns0:f>IF($E936="","",INDEX('Banka Dökümü'!$A$2:$A$2001,$E936))</ns0:f>
        <ns0:v/>
      </ns0:c>
      <ns0:c r="B936" s="28" t="str">
        <ns0:f>IF($E936="","",INDEX('Banka Dökümü'!$B$2:$B$2001,$E936))</ns0:f>
        <ns0:v/>
      </ns0:c>
      <ns0:c r="C936" s="33" t="str">
        <ns0:f>IF($E936="","",INDEX('Banka Dökümü'!$C$2:$C$2001,$E936))</ns0:f>
        <ns0:v/>
      </ns0:c>
      <ns0:c r="D936" s="28" t="str">
        <ns0:f>IF(E936="","","Müşteri adı / aranacak ad / il bilgisini kontrol edin")</ns0:f>
        <ns0:v/>
      </ns0:c>
      <ns0:c r="E936" s="28" t="str">
        <ns0:f>IFERROR(MATCH(932,'Banka Dökümü'!$I$2:$I$2001,0),"")</ns0:f>
        <ns0:v/>
      </ns0:c>
    </ns0:row>
    <ns0:row r="937" ht="21" customHeight="1">
      <ns0:c r="A937" s="32" t="str">
        <ns0:f>IF($E937="","",INDEX('Banka Dökümü'!$A$2:$A$2001,$E937))</ns0:f>
        <ns0:v/>
      </ns0:c>
      <ns0:c r="B937" s="28" t="str">
        <ns0:f>IF($E937="","",INDEX('Banka Dökümü'!$B$2:$B$2001,$E937))</ns0:f>
        <ns0:v/>
      </ns0:c>
      <ns0:c r="C937" s="33" t="str">
        <ns0:f>IF($E937="","",INDEX('Banka Dökümü'!$C$2:$C$2001,$E937))</ns0:f>
        <ns0:v/>
      </ns0:c>
      <ns0:c r="D937" s="28" t="str">
        <ns0:f>IF(E937="","","Müşteri adı / aranacak ad / il bilgisini kontrol edin")</ns0:f>
        <ns0:v/>
      </ns0:c>
      <ns0:c r="E937" s="28" t="str">
        <ns0:f>IFERROR(MATCH(933,'Banka Dökümü'!$I$2:$I$2001,0),"")</ns0:f>
        <ns0:v/>
      </ns0:c>
    </ns0:row>
    <ns0:row r="938" ht="21" customHeight="1">
      <ns0:c r="A938" s="32" t="str">
        <ns0:f>IF($E938="","",INDEX('Banka Dökümü'!$A$2:$A$2001,$E938))</ns0:f>
        <ns0:v/>
      </ns0:c>
      <ns0:c r="B938" s="28" t="str">
        <ns0:f>IF($E938="","",INDEX('Banka Dökümü'!$B$2:$B$2001,$E938))</ns0:f>
        <ns0:v/>
      </ns0:c>
      <ns0:c r="C938" s="33" t="str">
        <ns0:f>IF($E938="","",INDEX('Banka Dökümü'!$C$2:$C$2001,$E938))</ns0:f>
        <ns0:v/>
      </ns0:c>
      <ns0:c r="D938" s="28" t="str">
        <ns0:f>IF(E938="","","Müşteri adı / aranacak ad / il bilgisini kontrol edin")</ns0:f>
        <ns0:v/>
      </ns0:c>
      <ns0:c r="E938" s="28" t="str">
        <ns0:f>IFERROR(MATCH(934,'Banka Dökümü'!$I$2:$I$2001,0),"")</ns0:f>
        <ns0:v/>
      </ns0:c>
    </ns0:row>
    <ns0:row r="939" ht="21" customHeight="1">
      <ns0:c r="A939" s="32" t="str">
        <ns0:f>IF($E939="","",INDEX('Banka Dökümü'!$A$2:$A$2001,$E939))</ns0:f>
        <ns0:v/>
      </ns0:c>
      <ns0:c r="B939" s="28" t="str">
        <ns0:f>IF($E939="","",INDEX('Banka Dökümü'!$B$2:$B$2001,$E939))</ns0:f>
        <ns0:v/>
      </ns0:c>
      <ns0:c r="C939" s="33" t="str">
        <ns0:f>IF($E939="","",INDEX('Banka Dökümü'!$C$2:$C$2001,$E939))</ns0:f>
        <ns0:v/>
      </ns0:c>
      <ns0:c r="D939" s="28" t="str">
        <ns0:f>IF(E939="","","Müşteri adı / aranacak ad / il bilgisini kontrol edin")</ns0:f>
        <ns0:v/>
      </ns0:c>
      <ns0:c r="E939" s="28" t="str">
        <ns0:f>IFERROR(MATCH(935,'Banka Dökümü'!$I$2:$I$2001,0),"")</ns0:f>
        <ns0:v/>
      </ns0:c>
    </ns0:row>
    <ns0:row r="940" ht="21" customHeight="1">
      <ns0:c r="A940" s="32" t="str">
        <ns0:f>IF($E940="","",INDEX('Banka Dökümü'!$A$2:$A$2001,$E940))</ns0:f>
        <ns0:v/>
      </ns0:c>
      <ns0:c r="B940" s="28" t="str">
        <ns0:f>IF($E940="","",INDEX('Banka Dökümü'!$B$2:$B$2001,$E940))</ns0:f>
        <ns0:v/>
      </ns0:c>
      <ns0:c r="C940" s="33" t="str">
        <ns0:f>IF($E940="","",INDEX('Banka Dökümü'!$C$2:$C$2001,$E940))</ns0:f>
        <ns0:v/>
      </ns0:c>
      <ns0:c r="D940" s="28" t="str">
        <ns0:f>IF(E940="","","Müşteri adı / aranacak ad / il bilgisini kontrol edin")</ns0:f>
        <ns0:v/>
      </ns0:c>
      <ns0:c r="E940" s="28" t="str">
        <ns0:f>IFERROR(MATCH(936,'Banka Dökümü'!$I$2:$I$2001,0),"")</ns0:f>
        <ns0:v/>
      </ns0:c>
    </ns0:row>
    <ns0:row r="941" ht="21" customHeight="1">
      <ns0:c r="A941" s="32" t="str">
        <ns0:f>IF($E941="","",INDEX('Banka Dökümü'!$A$2:$A$2001,$E941))</ns0:f>
        <ns0:v/>
      </ns0:c>
      <ns0:c r="B941" s="28" t="str">
        <ns0:f>IF($E941="","",INDEX('Banka Dökümü'!$B$2:$B$2001,$E941))</ns0:f>
        <ns0:v/>
      </ns0:c>
      <ns0:c r="C941" s="33" t="str">
        <ns0:f>IF($E941="","",INDEX('Banka Dökümü'!$C$2:$C$2001,$E941))</ns0:f>
        <ns0:v/>
      </ns0:c>
      <ns0:c r="D941" s="28" t="str">
        <ns0:f>IF(E941="","","Müşteri adı / aranacak ad / il bilgisini kontrol edin")</ns0:f>
        <ns0:v/>
      </ns0:c>
      <ns0:c r="E941" s="28" t="str">
        <ns0:f>IFERROR(MATCH(937,'Banka Dökümü'!$I$2:$I$2001,0),"")</ns0:f>
        <ns0:v/>
      </ns0:c>
    </ns0:row>
    <ns0:row r="942" ht="21" customHeight="1">
      <ns0:c r="A942" s="32" t="str">
        <ns0:f>IF($E942="","",INDEX('Banka Dökümü'!$A$2:$A$2001,$E942))</ns0:f>
        <ns0:v/>
      </ns0:c>
      <ns0:c r="B942" s="28" t="str">
        <ns0:f>IF($E942="","",INDEX('Banka Dökümü'!$B$2:$B$2001,$E942))</ns0:f>
        <ns0:v/>
      </ns0:c>
      <ns0:c r="C942" s="33" t="str">
        <ns0:f>IF($E942="","",INDEX('Banka Dökümü'!$C$2:$C$2001,$E942))</ns0:f>
        <ns0:v/>
      </ns0:c>
      <ns0:c r="D942" s="28" t="str">
        <ns0:f>IF(E942="","","Müşteri adı / aranacak ad / il bilgisini kontrol edin")</ns0:f>
        <ns0:v/>
      </ns0:c>
      <ns0:c r="E942" s="28" t="str">
        <ns0:f>IFERROR(MATCH(938,'Banka Dökümü'!$I$2:$I$2001,0),"")</ns0:f>
        <ns0:v/>
      </ns0:c>
    </ns0:row>
    <ns0:row r="943" ht="21" customHeight="1">
      <ns0:c r="A943" s="32" t="str">
        <ns0:f>IF($E943="","",INDEX('Banka Dökümü'!$A$2:$A$2001,$E943))</ns0:f>
        <ns0:v/>
      </ns0:c>
      <ns0:c r="B943" s="28" t="str">
        <ns0:f>IF($E943="","",INDEX('Banka Dökümü'!$B$2:$B$2001,$E943))</ns0:f>
        <ns0:v/>
      </ns0:c>
      <ns0:c r="C943" s="33" t="str">
        <ns0:f>IF($E943="","",INDEX('Banka Dökümü'!$C$2:$C$2001,$E943))</ns0:f>
        <ns0:v/>
      </ns0:c>
      <ns0:c r="D943" s="28" t="str">
        <ns0:f>IF(E943="","","Müşteri adı / aranacak ad / il bilgisini kontrol edin")</ns0:f>
        <ns0:v/>
      </ns0:c>
      <ns0:c r="E943" s="28" t="str">
        <ns0:f>IFERROR(MATCH(939,'Banka Dökümü'!$I$2:$I$2001,0),"")</ns0:f>
        <ns0:v/>
      </ns0:c>
    </ns0:row>
    <ns0:row r="944" ht="21" customHeight="1">
      <ns0:c r="A944" s="32" t="str">
        <ns0:f>IF($E944="","",INDEX('Banka Dökümü'!$A$2:$A$2001,$E944))</ns0:f>
        <ns0:v/>
      </ns0:c>
      <ns0:c r="B944" s="28" t="str">
        <ns0:f>IF($E944="","",INDEX('Banka Dökümü'!$B$2:$B$2001,$E944))</ns0:f>
        <ns0:v/>
      </ns0:c>
      <ns0:c r="C944" s="33" t="str">
        <ns0:f>IF($E944="","",INDEX('Banka Dökümü'!$C$2:$C$2001,$E944))</ns0:f>
        <ns0:v/>
      </ns0:c>
      <ns0:c r="D944" s="28" t="str">
        <ns0:f>IF(E944="","","Müşteri adı / aranacak ad / il bilgisini kontrol edin")</ns0:f>
        <ns0:v/>
      </ns0:c>
      <ns0:c r="E944" s="28" t="str">
        <ns0:f>IFERROR(MATCH(940,'Banka Dökümü'!$I$2:$I$2001,0),"")</ns0:f>
        <ns0:v/>
      </ns0:c>
    </ns0:row>
    <ns0:row r="945" ht="21" customHeight="1">
      <ns0:c r="A945" s="32" t="str">
        <ns0:f>IF($E945="","",INDEX('Banka Dökümü'!$A$2:$A$2001,$E945))</ns0:f>
        <ns0:v/>
      </ns0:c>
      <ns0:c r="B945" s="28" t="str">
        <ns0:f>IF($E945="","",INDEX('Banka Dökümü'!$B$2:$B$2001,$E945))</ns0:f>
        <ns0:v/>
      </ns0:c>
      <ns0:c r="C945" s="33" t="str">
        <ns0:f>IF($E945="","",INDEX('Banka Dökümü'!$C$2:$C$2001,$E945))</ns0:f>
        <ns0:v/>
      </ns0:c>
      <ns0:c r="D945" s="28" t="str">
        <ns0:f>IF(E945="","","Müşteri adı / aranacak ad / il bilgisini kontrol edin")</ns0:f>
        <ns0:v/>
      </ns0:c>
      <ns0:c r="E945" s="28" t="str">
        <ns0:f>IFERROR(MATCH(941,'Banka Dökümü'!$I$2:$I$2001,0),"")</ns0:f>
        <ns0:v/>
      </ns0:c>
    </ns0:row>
    <ns0:row r="946" ht="21" customHeight="1">
      <ns0:c r="A946" s="32" t="str">
        <ns0:f>IF($E946="","",INDEX('Banka Dökümü'!$A$2:$A$2001,$E946))</ns0:f>
        <ns0:v/>
      </ns0:c>
      <ns0:c r="B946" s="28" t="str">
        <ns0:f>IF($E946="","",INDEX('Banka Dökümü'!$B$2:$B$2001,$E946))</ns0:f>
        <ns0:v/>
      </ns0:c>
      <ns0:c r="C946" s="33" t="str">
        <ns0:f>IF($E946="","",INDEX('Banka Dökümü'!$C$2:$C$2001,$E946))</ns0:f>
        <ns0:v/>
      </ns0:c>
      <ns0:c r="D946" s="28" t="str">
        <ns0:f>IF(E946="","","Müşteri adı / aranacak ad / il bilgisini kontrol edin")</ns0:f>
        <ns0:v/>
      </ns0:c>
      <ns0:c r="E946" s="28" t="str">
        <ns0:f>IFERROR(MATCH(942,'Banka Dökümü'!$I$2:$I$2001,0),"")</ns0:f>
        <ns0:v/>
      </ns0:c>
    </ns0:row>
    <ns0:row r="947" ht="21" customHeight="1">
      <ns0:c r="A947" s="32" t="str">
        <ns0:f>IF($E947="","",INDEX('Banka Dökümü'!$A$2:$A$2001,$E947))</ns0:f>
        <ns0:v/>
      </ns0:c>
      <ns0:c r="B947" s="28" t="str">
        <ns0:f>IF($E947="","",INDEX('Banka Dökümü'!$B$2:$B$2001,$E947))</ns0:f>
        <ns0:v/>
      </ns0:c>
      <ns0:c r="C947" s="33" t="str">
        <ns0:f>IF($E947="","",INDEX('Banka Dökümü'!$C$2:$C$2001,$E947))</ns0:f>
        <ns0:v/>
      </ns0:c>
      <ns0:c r="D947" s="28" t="str">
        <ns0:f>IF(E947="","","Müşteri adı / aranacak ad / il bilgisini kontrol edin")</ns0:f>
        <ns0:v/>
      </ns0:c>
      <ns0:c r="E947" s="28" t="str">
        <ns0:f>IFERROR(MATCH(943,'Banka Dökümü'!$I$2:$I$2001,0),"")</ns0:f>
        <ns0:v/>
      </ns0:c>
    </ns0:row>
    <ns0:row r="948" ht="21" customHeight="1">
      <ns0:c r="A948" s="32" t="str">
        <ns0:f>IF($E948="","",INDEX('Banka Dökümü'!$A$2:$A$2001,$E948))</ns0:f>
        <ns0:v/>
      </ns0:c>
      <ns0:c r="B948" s="28" t="str">
        <ns0:f>IF($E948="","",INDEX('Banka Dökümü'!$B$2:$B$2001,$E948))</ns0:f>
        <ns0:v/>
      </ns0:c>
      <ns0:c r="C948" s="33" t="str">
        <ns0:f>IF($E948="","",INDEX('Banka Dökümü'!$C$2:$C$2001,$E948))</ns0:f>
        <ns0:v/>
      </ns0:c>
      <ns0:c r="D948" s="28" t="str">
        <ns0:f>IF(E948="","","Müşteri adı / aranacak ad / il bilgisini kontrol edin")</ns0:f>
        <ns0:v/>
      </ns0:c>
      <ns0:c r="E948" s="28" t="str">
        <ns0:f>IFERROR(MATCH(944,'Banka Dökümü'!$I$2:$I$2001,0),"")</ns0:f>
        <ns0:v/>
      </ns0:c>
    </ns0:row>
    <ns0:row r="949" ht="21" customHeight="1">
      <ns0:c r="A949" s="32" t="str">
        <ns0:f>IF($E949="","",INDEX('Banka Dökümü'!$A$2:$A$2001,$E949))</ns0:f>
        <ns0:v/>
      </ns0:c>
      <ns0:c r="B949" s="28" t="str">
        <ns0:f>IF($E949="","",INDEX('Banka Dökümü'!$B$2:$B$2001,$E949))</ns0:f>
        <ns0:v/>
      </ns0:c>
      <ns0:c r="C949" s="33" t="str">
        <ns0:f>IF($E949="","",INDEX('Banka Dökümü'!$C$2:$C$2001,$E949))</ns0:f>
        <ns0:v/>
      </ns0:c>
      <ns0:c r="D949" s="28" t="str">
        <ns0:f>IF(E949="","","Müşteri adı / aranacak ad / il bilgisini kontrol edin")</ns0:f>
        <ns0:v/>
      </ns0:c>
      <ns0:c r="E949" s="28" t="str">
        <ns0:f>IFERROR(MATCH(945,'Banka Dökümü'!$I$2:$I$2001,0),"")</ns0:f>
        <ns0:v/>
      </ns0:c>
    </ns0:row>
    <ns0:row r="950" ht="21" customHeight="1">
      <ns0:c r="A950" s="32" t="str">
        <ns0:f>IF($E950="","",INDEX('Banka Dökümü'!$A$2:$A$2001,$E950))</ns0:f>
        <ns0:v/>
      </ns0:c>
      <ns0:c r="B950" s="28" t="str">
        <ns0:f>IF($E950="","",INDEX('Banka Dökümü'!$B$2:$B$2001,$E950))</ns0:f>
        <ns0:v/>
      </ns0:c>
      <ns0:c r="C950" s="33" t="str">
        <ns0:f>IF($E950="","",INDEX('Banka Dökümü'!$C$2:$C$2001,$E950))</ns0:f>
        <ns0:v/>
      </ns0:c>
      <ns0:c r="D950" s="28" t="str">
        <ns0:f>IF(E950="","","Müşteri adı / aranacak ad / il bilgisini kontrol edin")</ns0:f>
        <ns0:v/>
      </ns0:c>
      <ns0:c r="E950" s="28" t="str">
        <ns0:f>IFERROR(MATCH(946,'Banka Dökümü'!$I$2:$I$2001,0),"")</ns0:f>
        <ns0:v/>
      </ns0:c>
    </ns0:row>
    <ns0:row r="951" ht="21" customHeight="1">
      <ns0:c r="A951" s="32" t="str">
        <ns0:f>IF($E951="","",INDEX('Banka Dökümü'!$A$2:$A$2001,$E951))</ns0:f>
        <ns0:v/>
      </ns0:c>
      <ns0:c r="B951" s="28" t="str">
        <ns0:f>IF($E951="","",INDEX('Banka Dökümü'!$B$2:$B$2001,$E951))</ns0:f>
        <ns0:v/>
      </ns0:c>
      <ns0:c r="C951" s="33" t="str">
        <ns0:f>IF($E951="","",INDEX('Banka Dökümü'!$C$2:$C$2001,$E951))</ns0:f>
        <ns0:v/>
      </ns0:c>
      <ns0:c r="D951" s="28" t="str">
        <ns0:f>IF(E951="","","Müşteri adı / aranacak ad / il bilgisini kontrol edin")</ns0:f>
        <ns0:v/>
      </ns0:c>
      <ns0:c r="E951" s="28" t="str">
        <ns0:f>IFERROR(MATCH(947,'Banka Dökümü'!$I$2:$I$2001,0),"")</ns0:f>
        <ns0:v/>
      </ns0:c>
    </ns0:row>
    <ns0:row r="952" ht="21" customHeight="1">
      <ns0:c r="A952" s="32" t="str">
        <ns0:f>IF($E952="","",INDEX('Banka Dökümü'!$A$2:$A$2001,$E952))</ns0:f>
        <ns0:v/>
      </ns0:c>
      <ns0:c r="B952" s="28" t="str">
        <ns0:f>IF($E952="","",INDEX('Banka Dökümü'!$B$2:$B$2001,$E952))</ns0:f>
        <ns0:v/>
      </ns0:c>
      <ns0:c r="C952" s="33" t="str">
        <ns0:f>IF($E952="","",INDEX('Banka Dökümü'!$C$2:$C$2001,$E952))</ns0:f>
        <ns0:v/>
      </ns0:c>
      <ns0:c r="D952" s="28" t="str">
        <ns0:f>IF(E952="","","Müşteri adı / aranacak ad / il bilgisini kontrol edin")</ns0:f>
        <ns0:v/>
      </ns0:c>
      <ns0:c r="E952" s="28" t="str">
        <ns0:f>IFERROR(MATCH(948,'Banka Dökümü'!$I$2:$I$2001,0),"")</ns0:f>
        <ns0:v/>
      </ns0:c>
    </ns0:row>
    <ns0:row r="953" ht="21" customHeight="1">
      <ns0:c r="A953" s="32" t="str">
        <ns0:f>IF($E953="","",INDEX('Banka Dökümü'!$A$2:$A$2001,$E953))</ns0:f>
        <ns0:v/>
      </ns0:c>
      <ns0:c r="B953" s="28" t="str">
        <ns0:f>IF($E953="","",INDEX('Banka Dökümü'!$B$2:$B$2001,$E953))</ns0:f>
        <ns0:v/>
      </ns0:c>
      <ns0:c r="C953" s="33" t="str">
        <ns0:f>IF($E953="","",INDEX('Banka Dökümü'!$C$2:$C$2001,$E953))</ns0:f>
        <ns0:v/>
      </ns0:c>
      <ns0:c r="D953" s="28" t="str">
        <ns0:f>IF(E953="","","Müşteri adı / aranacak ad / il bilgisini kontrol edin")</ns0:f>
        <ns0:v/>
      </ns0:c>
      <ns0:c r="E953" s="28" t="str">
        <ns0:f>IFERROR(MATCH(949,'Banka Dökümü'!$I$2:$I$2001,0),"")</ns0:f>
        <ns0:v/>
      </ns0:c>
    </ns0:row>
    <ns0:row r="954" ht="21" customHeight="1">
      <ns0:c r="A954" s="32" t="str">
        <ns0:f>IF($E954="","",INDEX('Banka Dökümü'!$A$2:$A$2001,$E954))</ns0:f>
        <ns0:v/>
      </ns0:c>
      <ns0:c r="B954" s="28" t="str">
        <ns0:f>IF($E954="","",INDEX('Banka Dökümü'!$B$2:$B$2001,$E954))</ns0:f>
        <ns0:v/>
      </ns0:c>
      <ns0:c r="C954" s="33" t="str">
        <ns0:f>IF($E954="","",INDEX('Banka Dökümü'!$C$2:$C$2001,$E954))</ns0:f>
        <ns0:v/>
      </ns0:c>
      <ns0:c r="D954" s="28" t="str">
        <ns0:f>IF(E954="","","Müşteri adı / aranacak ad / il bilgisini kontrol edin")</ns0:f>
        <ns0:v/>
      </ns0:c>
      <ns0:c r="E954" s="28" t="str">
        <ns0:f>IFERROR(MATCH(950,'Banka Dökümü'!$I$2:$I$2001,0),"")</ns0:f>
        <ns0:v/>
      </ns0:c>
    </ns0:row>
    <ns0:row r="955" ht="21" customHeight="1">
      <ns0:c r="A955" s="32" t="str">
        <ns0:f>IF($E955="","",INDEX('Banka Dökümü'!$A$2:$A$2001,$E955))</ns0:f>
        <ns0:v/>
      </ns0:c>
      <ns0:c r="B955" s="28" t="str">
        <ns0:f>IF($E955="","",INDEX('Banka Dökümü'!$B$2:$B$2001,$E955))</ns0:f>
        <ns0:v/>
      </ns0:c>
      <ns0:c r="C955" s="33" t="str">
        <ns0:f>IF($E955="","",INDEX('Banka Dökümü'!$C$2:$C$2001,$E955))</ns0:f>
        <ns0:v/>
      </ns0:c>
      <ns0:c r="D955" s="28" t="str">
        <ns0:f>IF(E955="","","Müşteri adı / aranacak ad / il bilgisini kontrol edin")</ns0:f>
        <ns0:v/>
      </ns0:c>
      <ns0:c r="E955" s="28" t="str">
        <ns0:f>IFERROR(MATCH(951,'Banka Dökümü'!$I$2:$I$2001,0),"")</ns0:f>
        <ns0:v/>
      </ns0:c>
    </ns0:row>
    <ns0:row r="956" ht="21" customHeight="1">
      <ns0:c r="A956" s="32" t="str">
        <ns0:f>IF($E956="","",INDEX('Banka Dökümü'!$A$2:$A$2001,$E956))</ns0:f>
        <ns0:v/>
      </ns0:c>
      <ns0:c r="B956" s="28" t="str">
        <ns0:f>IF($E956="","",INDEX('Banka Dökümü'!$B$2:$B$2001,$E956))</ns0:f>
        <ns0:v/>
      </ns0:c>
      <ns0:c r="C956" s="33" t="str">
        <ns0:f>IF($E956="","",INDEX('Banka Dökümü'!$C$2:$C$2001,$E956))</ns0:f>
        <ns0:v/>
      </ns0:c>
      <ns0:c r="D956" s="28" t="str">
        <ns0:f>IF(E956="","","Müşteri adı / aranacak ad / il bilgisini kontrol edin")</ns0:f>
        <ns0:v/>
      </ns0:c>
      <ns0:c r="E956" s="28" t="str">
        <ns0:f>IFERROR(MATCH(952,'Banka Dökümü'!$I$2:$I$2001,0),"")</ns0:f>
        <ns0:v/>
      </ns0:c>
    </ns0:row>
    <ns0:row r="957" ht="21" customHeight="1">
      <ns0:c r="A957" s="32" t="str">
        <ns0:f>IF($E957="","",INDEX('Banka Dökümü'!$A$2:$A$2001,$E957))</ns0:f>
        <ns0:v/>
      </ns0:c>
      <ns0:c r="B957" s="28" t="str">
        <ns0:f>IF($E957="","",INDEX('Banka Dökümü'!$B$2:$B$2001,$E957))</ns0:f>
        <ns0:v/>
      </ns0:c>
      <ns0:c r="C957" s="33" t="str">
        <ns0:f>IF($E957="","",INDEX('Banka Dökümü'!$C$2:$C$2001,$E957))</ns0:f>
        <ns0:v/>
      </ns0:c>
      <ns0:c r="D957" s="28" t="str">
        <ns0:f>IF(E957="","","Müşteri adı / aranacak ad / il bilgisini kontrol edin")</ns0:f>
        <ns0:v/>
      </ns0:c>
      <ns0:c r="E957" s="28" t="str">
        <ns0:f>IFERROR(MATCH(953,'Banka Dökümü'!$I$2:$I$2001,0),"")</ns0:f>
        <ns0:v/>
      </ns0:c>
    </ns0:row>
    <ns0:row r="958" ht="21" customHeight="1">
      <ns0:c r="A958" s="32" t="str">
        <ns0:f>IF($E958="","",INDEX('Banka Dökümü'!$A$2:$A$2001,$E958))</ns0:f>
        <ns0:v/>
      </ns0:c>
      <ns0:c r="B958" s="28" t="str">
        <ns0:f>IF($E958="","",INDEX('Banka Dökümü'!$B$2:$B$2001,$E958))</ns0:f>
        <ns0:v/>
      </ns0:c>
      <ns0:c r="C958" s="33" t="str">
        <ns0:f>IF($E958="","",INDEX('Banka Dökümü'!$C$2:$C$2001,$E958))</ns0:f>
        <ns0:v/>
      </ns0:c>
      <ns0:c r="D958" s="28" t="str">
        <ns0:f>IF(E958="","","Müşteri adı / aranacak ad / il bilgisini kontrol edin")</ns0:f>
        <ns0:v/>
      </ns0:c>
      <ns0:c r="E958" s="28" t="str">
        <ns0:f>IFERROR(MATCH(954,'Banka Dökümü'!$I$2:$I$2001,0),"")</ns0:f>
        <ns0:v/>
      </ns0:c>
    </ns0:row>
    <ns0:row r="959" ht="21" customHeight="1">
      <ns0:c r="A959" s="32" t="str">
        <ns0:f>IF($E959="","",INDEX('Banka Dökümü'!$A$2:$A$2001,$E959))</ns0:f>
        <ns0:v/>
      </ns0:c>
      <ns0:c r="B959" s="28" t="str">
        <ns0:f>IF($E959="","",INDEX('Banka Dökümü'!$B$2:$B$2001,$E959))</ns0:f>
        <ns0:v/>
      </ns0:c>
      <ns0:c r="C959" s="33" t="str">
        <ns0:f>IF($E959="","",INDEX('Banka Dökümü'!$C$2:$C$2001,$E959))</ns0:f>
        <ns0:v/>
      </ns0:c>
      <ns0:c r="D959" s="28" t="str">
        <ns0:f>IF(E959="","","Müşteri adı / aranacak ad / il bilgisini kontrol edin")</ns0:f>
        <ns0:v/>
      </ns0:c>
      <ns0:c r="E959" s="28" t="str">
        <ns0:f>IFERROR(MATCH(955,'Banka Dökümü'!$I$2:$I$2001,0),"")</ns0:f>
        <ns0:v/>
      </ns0:c>
    </ns0:row>
    <ns0:row r="960" ht="21" customHeight="1">
      <ns0:c r="A960" s="32" t="str">
        <ns0:f>IF($E960="","",INDEX('Banka Dökümü'!$A$2:$A$2001,$E960))</ns0:f>
        <ns0:v/>
      </ns0:c>
      <ns0:c r="B960" s="28" t="str">
        <ns0:f>IF($E960="","",INDEX('Banka Dökümü'!$B$2:$B$2001,$E960))</ns0:f>
        <ns0:v/>
      </ns0:c>
      <ns0:c r="C960" s="33" t="str">
        <ns0:f>IF($E960="","",INDEX('Banka Dökümü'!$C$2:$C$2001,$E960))</ns0:f>
        <ns0:v/>
      </ns0:c>
      <ns0:c r="D960" s="28" t="str">
        <ns0:f>IF(E960="","","Müşteri adı / aranacak ad / il bilgisini kontrol edin")</ns0:f>
        <ns0:v/>
      </ns0:c>
      <ns0:c r="E960" s="28" t="str">
        <ns0:f>IFERROR(MATCH(956,'Banka Dökümü'!$I$2:$I$2001,0),"")</ns0:f>
        <ns0:v/>
      </ns0:c>
    </ns0:row>
    <ns0:row r="961" ht="21" customHeight="1">
      <ns0:c r="A961" s="32" t="str">
        <ns0:f>IF($E961="","",INDEX('Banka Dökümü'!$A$2:$A$2001,$E961))</ns0:f>
        <ns0:v/>
      </ns0:c>
      <ns0:c r="B961" s="28" t="str">
        <ns0:f>IF($E961="","",INDEX('Banka Dökümü'!$B$2:$B$2001,$E961))</ns0:f>
        <ns0:v/>
      </ns0:c>
      <ns0:c r="C961" s="33" t="str">
        <ns0:f>IF($E961="","",INDEX('Banka Dökümü'!$C$2:$C$2001,$E961))</ns0:f>
        <ns0:v/>
      </ns0:c>
      <ns0:c r="D961" s="28" t="str">
        <ns0:f>IF(E961="","","Müşteri adı / aranacak ad / il bilgisini kontrol edin")</ns0:f>
        <ns0:v/>
      </ns0:c>
      <ns0:c r="E961" s="28" t="str">
        <ns0:f>IFERROR(MATCH(957,'Banka Dökümü'!$I$2:$I$2001,0),"")</ns0:f>
        <ns0:v/>
      </ns0:c>
    </ns0:row>
    <ns0:row r="962" ht="21" customHeight="1">
      <ns0:c r="A962" s="32" t="str">
        <ns0:f>IF($E962="","",INDEX('Banka Dökümü'!$A$2:$A$2001,$E962))</ns0:f>
        <ns0:v/>
      </ns0:c>
      <ns0:c r="B962" s="28" t="str">
        <ns0:f>IF($E962="","",INDEX('Banka Dökümü'!$B$2:$B$2001,$E962))</ns0:f>
        <ns0:v/>
      </ns0:c>
      <ns0:c r="C962" s="33" t="str">
        <ns0:f>IF($E962="","",INDEX('Banka Dökümü'!$C$2:$C$2001,$E962))</ns0:f>
        <ns0:v/>
      </ns0:c>
      <ns0:c r="D962" s="28" t="str">
        <ns0:f>IF(E962="","","Müşteri adı / aranacak ad / il bilgisini kontrol edin")</ns0:f>
        <ns0:v/>
      </ns0:c>
      <ns0:c r="E962" s="28" t="str">
        <ns0:f>IFERROR(MATCH(958,'Banka Dökümü'!$I$2:$I$2001,0),"")</ns0:f>
        <ns0:v/>
      </ns0:c>
    </ns0:row>
    <ns0:row r="963" ht="21" customHeight="1">
      <ns0:c r="A963" s="32" t="str">
        <ns0:f>IF($E963="","",INDEX('Banka Dökümü'!$A$2:$A$2001,$E963))</ns0:f>
        <ns0:v/>
      </ns0:c>
      <ns0:c r="B963" s="28" t="str">
        <ns0:f>IF($E963="","",INDEX('Banka Dökümü'!$B$2:$B$2001,$E963))</ns0:f>
        <ns0:v/>
      </ns0:c>
      <ns0:c r="C963" s="33" t="str">
        <ns0:f>IF($E963="","",INDEX('Banka Dökümü'!$C$2:$C$2001,$E963))</ns0:f>
        <ns0:v/>
      </ns0:c>
      <ns0:c r="D963" s="28" t="str">
        <ns0:f>IF(E963="","","Müşteri adı / aranacak ad / il bilgisini kontrol edin")</ns0:f>
        <ns0:v/>
      </ns0:c>
      <ns0:c r="E963" s="28" t="str">
        <ns0:f>IFERROR(MATCH(959,'Banka Dökümü'!$I$2:$I$2001,0),"")</ns0:f>
        <ns0:v/>
      </ns0:c>
    </ns0:row>
    <ns0:row r="964" ht="21" customHeight="1">
      <ns0:c r="A964" s="32" t="str">
        <ns0:f>IF($E964="","",INDEX('Banka Dökümü'!$A$2:$A$2001,$E964))</ns0:f>
        <ns0:v/>
      </ns0:c>
      <ns0:c r="B964" s="28" t="str">
        <ns0:f>IF($E964="","",INDEX('Banka Dökümü'!$B$2:$B$2001,$E964))</ns0:f>
        <ns0:v/>
      </ns0:c>
      <ns0:c r="C964" s="33" t="str">
        <ns0:f>IF($E964="","",INDEX('Banka Dökümü'!$C$2:$C$2001,$E964))</ns0:f>
        <ns0:v/>
      </ns0:c>
      <ns0:c r="D964" s="28" t="str">
        <ns0:f>IF(E964="","","Müşteri adı / aranacak ad / il bilgisini kontrol edin")</ns0:f>
        <ns0:v/>
      </ns0:c>
      <ns0:c r="E964" s="28" t="str">
        <ns0:f>IFERROR(MATCH(960,'Banka Dökümü'!$I$2:$I$2001,0),"")</ns0:f>
        <ns0:v/>
      </ns0:c>
    </ns0:row>
    <ns0:row r="965" ht="21" customHeight="1">
      <ns0:c r="A965" s="32" t="str">
        <ns0:f>IF($E965="","",INDEX('Banka Dökümü'!$A$2:$A$2001,$E965))</ns0:f>
        <ns0:v/>
      </ns0:c>
      <ns0:c r="B965" s="28" t="str">
        <ns0:f>IF($E965="","",INDEX('Banka Dökümü'!$B$2:$B$2001,$E965))</ns0:f>
        <ns0:v/>
      </ns0:c>
      <ns0:c r="C965" s="33" t="str">
        <ns0:f>IF($E965="","",INDEX('Banka Dökümü'!$C$2:$C$2001,$E965))</ns0:f>
        <ns0:v/>
      </ns0:c>
      <ns0:c r="D965" s="28" t="str">
        <ns0:f>IF(E965="","","Müşteri adı / aranacak ad / il bilgisini kontrol edin")</ns0:f>
        <ns0:v/>
      </ns0:c>
      <ns0:c r="E965" s="28" t="str">
        <ns0:f>IFERROR(MATCH(961,'Banka Dökümü'!$I$2:$I$2001,0),"")</ns0:f>
        <ns0:v/>
      </ns0:c>
    </ns0:row>
    <ns0:row r="966" ht="21" customHeight="1">
      <ns0:c r="A966" s="32" t="str">
        <ns0:f>IF($E966="","",INDEX('Banka Dökümü'!$A$2:$A$2001,$E966))</ns0:f>
        <ns0:v/>
      </ns0:c>
      <ns0:c r="B966" s="28" t="str">
        <ns0:f>IF($E966="","",INDEX('Banka Dökümü'!$B$2:$B$2001,$E966))</ns0:f>
        <ns0:v/>
      </ns0:c>
      <ns0:c r="C966" s="33" t="str">
        <ns0:f>IF($E966="","",INDEX('Banka Dökümü'!$C$2:$C$2001,$E966))</ns0:f>
        <ns0:v/>
      </ns0:c>
      <ns0:c r="D966" s="28" t="str">
        <ns0:f>IF(E966="","","Müşteri adı / aranacak ad / il bilgisini kontrol edin")</ns0:f>
        <ns0:v/>
      </ns0:c>
      <ns0:c r="E966" s="28" t="str">
        <ns0:f>IFERROR(MATCH(962,'Banka Dökümü'!$I$2:$I$2001,0),"")</ns0:f>
        <ns0:v/>
      </ns0:c>
    </ns0:row>
    <ns0:row r="967" ht="21" customHeight="1">
      <ns0:c r="A967" s="32" t="str">
        <ns0:f>IF($E967="","",INDEX('Banka Dökümü'!$A$2:$A$2001,$E967))</ns0:f>
        <ns0:v/>
      </ns0:c>
      <ns0:c r="B967" s="28" t="str">
        <ns0:f>IF($E967="","",INDEX('Banka Dökümü'!$B$2:$B$2001,$E967))</ns0:f>
        <ns0:v/>
      </ns0:c>
      <ns0:c r="C967" s="33" t="str">
        <ns0:f>IF($E967="","",INDEX('Banka Dökümü'!$C$2:$C$2001,$E967))</ns0:f>
        <ns0:v/>
      </ns0:c>
      <ns0:c r="D967" s="28" t="str">
        <ns0:f>IF(E967="","","Müşteri adı / aranacak ad / il bilgisini kontrol edin")</ns0:f>
        <ns0:v/>
      </ns0:c>
      <ns0:c r="E967" s="28" t="str">
        <ns0:f>IFERROR(MATCH(963,'Banka Dökümü'!$I$2:$I$2001,0),"")</ns0:f>
        <ns0:v/>
      </ns0:c>
    </ns0:row>
    <ns0:row r="968" ht="21" customHeight="1">
      <ns0:c r="A968" s="32" t="str">
        <ns0:f>IF($E968="","",INDEX('Banka Dökümü'!$A$2:$A$2001,$E968))</ns0:f>
        <ns0:v/>
      </ns0:c>
      <ns0:c r="B968" s="28" t="str">
        <ns0:f>IF($E968="","",INDEX('Banka Dökümü'!$B$2:$B$2001,$E968))</ns0:f>
        <ns0:v/>
      </ns0:c>
      <ns0:c r="C968" s="33" t="str">
        <ns0:f>IF($E968="","",INDEX('Banka Dökümü'!$C$2:$C$2001,$E968))</ns0:f>
        <ns0:v/>
      </ns0:c>
      <ns0:c r="D968" s="28" t="str">
        <ns0:f>IF(E968="","","Müşteri adı / aranacak ad / il bilgisini kontrol edin")</ns0:f>
        <ns0:v/>
      </ns0:c>
      <ns0:c r="E968" s="28" t="str">
        <ns0:f>IFERROR(MATCH(964,'Banka Dökümü'!$I$2:$I$2001,0),"")</ns0:f>
        <ns0:v/>
      </ns0:c>
    </ns0:row>
    <ns0:row r="969" ht="21" customHeight="1">
      <ns0:c r="A969" s="32" t="str">
        <ns0:f>IF($E969="","",INDEX('Banka Dökümü'!$A$2:$A$2001,$E969))</ns0:f>
        <ns0:v/>
      </ns0:c>
      <ns0:c r="B969" s="28" t="str">
        <ns0:f>IF($E969="","",INDEX('Banka Dökümü'!$B$2:$B$2001,$E969))</ns0:f>
        <ns0:v/>
      </ns0:c>
      <ns0:c r="C969" s="33" t="str">
        <ns0:f>IF($E969="","",INDEX('Banka Dökümü'!$C$2:$C$2001,$E969))</ns0:f>
        <ns0:v/>
      </ns0:c>
      <ns0:c r="D969" s="28" t="str">
        <ns0:f>IF(E969="","","Müşteri adı / aranacak ad / il bilgisini kontrol edin")</ns0:f>
        <ns0:v/>
      </ns0:c>
      <ns0:c r="E969" s="28" t="str">
        <ns0:f>IFERROR(MATCH(965,'Banka Dökümü'!$I$2:$I$2001,0),"")</ns0:f>
        <ns0:v/>
      </ns0:c>
    </ns0:row>
    <ns0:row r="970" ht="21" customHeight="1">
      <ns0:c r="A970" s="32" t="str">
        <ns0:f>IF($E970="","",INDEX('Banka Dökümü'!$A$2:$A$2001,$E970))</ns0:f>
        <ns0:v/>
      </ns0:c>
      <ns0:c r="B970" s="28" t="str">
        <ns0:f>IF($E970="","",INDEX('Banka Dökümü'!$B$2:$B$2001,$E970))</ns0:f>
        <ns0:v/>
      </ns0:c>
      <ns0:c r="C970" s="33" t="str">
        <ns0:f>IF($E970="","",INDEX('Banka Dökümü'!$C$2:$C$2001,$E970))</ns0:f>
        <ns0:v/>
      </ns0:c>
      <ns0:c r="D970" s="28" t="str">
        <ns0:f>IF(E970="","","Müşteri adı / aranacak ad / il bilgisini kontrol edin")</ns0:f>
        <ns0:v/>
      </ns0:c>
      <ns0:c r="E970" s="28" t="str">
        <ns0:f>IFERROR(MATCH(966,'Banka Dökümü'!$I$2:$I$2001,0),"")</ns0:f>
        <ns0:v/>
      </ns0:c>
    </ns0:row>
    <ns0:row r="971" ht="21" customHeight="1">
      <ns0:c r="A971" s="32" t="str">
        <ns0:f>IF($E971="","",INDEX('Banka Dökümü'!$A$2:$A$2001,$E971))</ns0:f>
        <ns0:v/>
      </ns0:c>
      <ns0:c r="B971" s="28" t="str">
        <ns0:f>IF($E971="","",INDEX('Banka Dökümü'!$B$2:$B$2001,$E971))</ns0:f>
        <ns0:v/>
      </ns0:c>
      <ns0:c r="C971" s="33" t="str">
        <ns0:f>IF($E971="","",INDEX('Banka Dökümü'!$C$2:$C$2001,$E971))</ns0:f>
        <ns0:v/>
      </ns0:c>
      <ns0:c r="D971" s="28" t="str">
        <ns0:f>IF(E971="","","Müşteri adı / aranacak ad / il bilgisini kontrol edin")</ns0:f>
        <ns0:v/>
      </ns0:c>
      <ns0:c r="E971" s="28" t="str">
        <ns0:f>IFERROR(MATCH(967,'Banka Dökümü'!$I$2:$I$2001,0),"")</ns0:f>
        <ns0:v/>
      </ns0:c>
    </ns0:row>
    <ns0:row r="972" ht="21" customHeight="1">
      <ns0:c r="A972" s="32" t="str">
        <ns0:f>IF($E972="","",INDEX('Banka Dökümü'!$A$2:$A$2001,$E972))</ns0:f>
        <ns0:v/>
      </ns0:c>
      <ns0:c r="B972" s="28" t="str">
        <ns0:f>IF($E972="","",INDEX('Banka Dökümü'!$B$2:$B$2001,$E972))</ns0:f>
        <ns0:v/>
      </ns0:c>
      <ns0:c r="C972" s="33" t="str">
        <ns0:f>IF($E972="","",INDEX('Banka Dökümü'!$C$2:$C$2001,$E972))</ns0:f>
        <ns0:v/>
      </ns0:c>
      <ns0:c r="D972" s="28" t="str">
        <ns0:f>IF(E972="","","Müşteri adı / aranacak ad / il bilgisini kontrol edin")</ns0:f>
        <ns0:v/>
      </ns0:c>
      <ns0:c r="E972" s="28" t="str">
        <ns0:f>IFERROR(MATCH(968,'Banka Dökümü'!$I$2:$I$2001,0),"")</ns0:f>
        <ns0:v/>
      </ns0:c>
    </ns0:row>
    <ns0:row r="973" ht="21" customHeight="1">
      <ns0:c r="A973" s="32" t="str">
        <ns0:f>IF($E973="","",INDEX('Banka Dökümü'!$A$2:$A$2001,$E973))</ns0:f>
        <ns0:v/>
      </ns0:c>
      <ns0:c r="B973" s="28" t="str">
        <ns0:f>IF($E973="","",INDEX('Banka Dökümü'!$B$2:$B$2001,$E973))</ns0:f>
        <ns0:v/>
      </ns0:c>
      <ns0:c r="C973" s="33" t="str">
        <ns0:f>IF($E973="","",INDEX('Banka Dökümü'!$C$2:$C$2001,$E973))</ns0:f>
        <ns0:v/>
      </ns0:c>
      <ns0:c r="D973" s="28" t="str">
        <ns0:f>IF(E973="","","Müşteri adı / aranacak ad / il bilgisini kontrol edin")</ns0:f>
        <ns0:v/>
      </ns0:c>
      <ns0:c r="E973" s="28" t="str">
        <ns0:f>IFERROR(MATCH(969,'Banka Dökümü'!$I$2:$I$2001,0),"")</ns0:f>
        <ns0:v/>
      </ns0:c>
    </ns0:row>
    <ns0:row r="974" ht="21" customHeight="1">
      <ns0:c r="A974" s="32" t="str">
        <ns0:f>IF($E974="","",INDEX('Banka Dökümü'!$A$2:$A$2001,$E974))</ns0:f>
        <ns0:v/>
      </ns0:c>
      <ns0:c r="B974" s="28" t="str">
        <ns0:f>IF($E974="","",INDEX('Banka Dökümü'!$B$2:$B$2001,$E974))</ns0:f>
        <ns0:v/>
      </ns0:c>
      <ns0:c r="C974" s="33" t="str">
        <ns0:f>IF($E974="","",INDEX('Banka Dökümü'!$C$2:$C$2001,$E974))</ns0:f>
        <ns0:v/>
      </ns0:c>
      <ns0:c r="D974" s="28" t="str">
        <ns0:f>IF(E974="","","Müşteri adı / aranacak ad / il bilgisini kontrol edin")</ns0:f>
        <ns0:v/>
      </ns0:c>
      <ns0:c r="E974" s="28" t="str">
        <ns0:f>IFERROR(MATCH(970,'Banka Dökümü'!$I$2:$I$2001,0),"")</ns0:f>
        <ns0:v/>
      </ns0:c>
    </ns0:row>
    <ns0:row r="975" ht="21" customHeight="1">
      <ns0:c r="A975" s="32" t="str">
        <ns0:f>IF($E975="","",INDEX('Banka Dökümü'!$A$2:$A$2001,$E975))</ns0:f>
        <ns0:v/>
      </ns0:c>
      <ns0:c r="B975" s="28" t="str">
        <ns0:f>IF($E975="","",INDEX('Banka Dökümü'!$B$2:$B$2001,$E975))</ns0:f>
        <ns0:v/>
      </ns0:c>
      <ns0:c r="C975" s="33" t="str">
        <ns0:f>IF($E975="","",INDEX('Banka Dökümü'!$C$2:$C$2001,$E975))</ns0:f>
        <ns0:v/>
      </ns0:c>
      <ns0:c r="D975" s="28" t="str">
        <ns0:f>IF(E975="","","Müşteri adı / aranacak ad / il bilgisini kontrol edin")</ns0:f>
        <ns0:v/>
      </ns0:c>
      <ns0:c r="E975" s="28" t="str">
        <ns0:f>IFERROR(MATCH(971,'Banka Dökümü'!$I$2:$I$2001,0),"")</ns0:f>
        <ns0:v/>
      </ns0:c>
    </ns0:row>
    <ns0:row r="976" ht="21" customHeight="1">
      <ns0:c r="A976" s="32" t="str">
        <ns0:f>IF($E976="","",INDEX('Banka Dökümü'!$A$2:$A$2001,$E976))</ns0:f>
        <ns0:v/>
      </ns0:c>
      <ns0:c r="B976" s="28" t="str">
        <ns0:f>IF($E976="","",INDEX('Banka Dökümü'!$B$2:$B$2001,$E976))</ns0:f>
        <ns0:v/>
      </ns0:c>
      <ns0:c r="C976" s="33" t="str">
        <ns0:f>IF($E976="","",INDEX('Banka Dökümü'!$C$2:$C$2001,$E976))</ns0:f>
        <ns0:v/>
      </ns0:c>
      <ns0:c r="D976" s="28" t="str">
        <ns0:f>IF(E976="","","Müşteri adı / aranacak ad / il bilgisini kontrol edin")</ns0:f>
        <ns0:v/>
      </ns0:c>
      <ns0:c r="E976" s="28" t="str">
        <ns0:f>IFERROR(MATCH(972,'Banka Dökümü'!$I$2:$I$2001,0),"")</ns0:f>
        <ns0:v/>
      </ns0:c>
    </ns0:row>
    <ns0:row r="977" ht="21" customHeight="1">
      <ns0:c r="A977" s="32" t="str">
        <ns0:f>IF($E977="","",INDEX('Banka Dökümü'!$A$2:$A$2001,$E977))</ns0:f>
        <ns0:v/>
      </ns0:c>
      <ns0:c r="B977" s="28" t="str">
        <ns0:f>IF($E977="","",INDEX('Banka Dökümü'!$B$2:$B$2001,$E977))</ns0:f>
        <ns0:v/>
      </ns0:c>
      <ns0:c r="C977" s="33" t="str">
        <ns0:f>IF($E977="","",INDEX('Banka Dökümü'!$C$2:$C$2001,$E977))</ns0:f>
        <ns0:v/>
      </ns0:c>
      <ns0:c r="D977" s="28" t="str">
        <ns0:f>IF(E977="","","Müşteri adı / aranacak ad / il bilgisini kontrol edin")</ns0:f>
        <ns0:v/>
      </ns0:c>
      <ns0:c r="E977" s="28" t="str">
        <ns0:f>IFERROR(MATCH(973,'Banka Dökümü'!$I$2:$I$2001,0),"")</ns0:f>
        <ns0:v/>
      </ns0:c>
    </ns0:row>
    <ns0:row r="978" ht="21" customHeight="1">
      <ns0:c r="A978" s="32" t="str">
        <ns0:f>IF($E978="","",INDEX('Banka Dökümü'!$A$2:$A$2001,$E978))</ns0:f>
        <ns0:v/>
      </ns0:c>
      <ns0:c r="B978" s="28" t="str">
        <ns0:f>IF($E978="","",INDEX('Banka Dökümü'!$B$2:$B$2001,$E978))</ns0:f>
        <ns0:v/>
      </ns0:c>
      <ns0:c r="C978" s="33" t="str">
        <ns0:f>IF($E978="","",INDEX('Banka Dökümü'!$C$2:$C$2001,$E978))</ns0:f>
        <ns0:v/>
      </ns0:c>
      <ns0:c r="D978" s="28" t="str">
        <ns0:f>IF(E978="","","Müşteri adı / aranacak ad / il bilgisini kontrol edin")</ns0:f>
        <ns0:v/>
      </ns0:c>
      <ns0:c r="E978" s="28" t="str">
        <ns0:f>IFERROR(MATCH(974,'Banka Dökümü'!$I$2:$I$2001,0),"")</ns0:f>
        <ns0:v/>
      </ns0:c>
    </ns0:row>
    <ns0:row r="979" ht="21" customHeight="1">
      <ns0:c r="A979" s="32" t="str">
        <ns0:f>IF($E979="","",INDEX('Banka Dökümü'!$A$2:$A$2001,$E979))</ns0:f>
        <ns0:v/>
      </ns0:c>
      <ns0:c r="B979" s="28" t="str">
        <ns0:f>IF($E979="","",INDEX('Banka Dökümü'!$B$2:$B$2001,$E979))</ns0:f>
        <ns0:v/>
      </ns0:c>
      <ns0:c r="C979" s="33" t="str">
        <ns0:f>IF($E979="","",INDEX('Banka Dökümü'!$C$2:$C$2001,$E979))</ns0:f>
        <ns0:v/>
      </ns0:c>
      <ns0:c r="D979" s="28" t="str">
        <ns0:f>IF(E979="","","Müşteri adı / aranacak ad / il bilgisini kontrol edin")</ns0:f>
        <ns0:v/>
      </ns0:c>
      <ns0:c r="E979" s="28" t="str">
        <ns0:f>IFERROR(MATCH(975,'Banka Dökümü'!$I$2:$I$2001,0),"")</ns0:f>
        <ns0:v/>
      </ns0:c>
    </ns0:row>
    <ns0:row r="980" ht="21" customHeight="1">
      <ns0:c r="A980" s="32" t="str">
        <ns0:f>IF($E980="","",INDEX('Banka Dökümü'!$A$2:$A$2001,$E980))</ns0:f>
        <ns0:v/>
      </ns0:c>
      <ns0:c r="B980" s="28" t="str">
        <ns0:f>IF($E980="","",INDEX('Banka Dökümü'!$B$2:$B$2001,$E980))</ns0:f>
        <ns0:v/>
      </ns0:c>
      <ns0:c r="C980" s="33" t="str">
        <ns0:f>IF($E980="","",INDEX('Banka Dökümü'!$C$2:$C$2001,$E980))</ns0:f>
        <ns0:v/>
      </ns0:c>
      <ns0:c r="D980" s="28" t="str">
        <ns0:f>IF(E980="","","Müşteri adı / aranacak ad / il bilgisini kontrol edin")</ns0:f>
        <ns0:v/>
      </ns0:c>
      <ns0:c r="E980" s="28" t="str">
        <ns0:f>IFERROR(MATCH(976,'Banka Dökümü'!$I$2:$I$2001,0),"")</ns0:f>
        <ns0:v/>
      </ns0:c>
    </ns0:row>
    <ns0:row r="981" ht="21" customHeight="1">
      <ns0:c r="A981" s="32" t="str">
        <ns0:f>IF($E981="","",INDEX('Banka Dökümü'!$A$2:$A$2001,$E981))</ns0:f>
        <ns0:v/>
      </ns0:c>
      <ns0:c r="B981" s="28" t="str">
        <ns0:f>IF($E981="","",INDEX('Banka Dökümü'!$B$2:$B$2001,$E981))</ns0:f>
        <ns0:v/>
      </ns0:c>
      <ns0:c r="C981" s="33" t="str">
        <ns0:f>IF($E981="","",INDEX('Banka Dökümü'!$C$2:$C$2001,$E981))</ns0:f>
        <ns0:v/>
      </ns0:c>
      <ns0:c r="D981" s="28" t="str">
        <ns0:f>IF(E981="","","Müşteri adı / aranacak ad / il bilgisini kontrol edin")</ns0:f>
        <ns0:v/>
      </ns0:c>
      <ns0:c r="E981" s="28" t="str">
        <ns0:f>IFERROR(MATCH(977,'Banka Dökümü'!$I$2:$I$2001,0),"")</ns0:f>
        <ns0:v/>
      </ns0:c>
    </ns0:row>
    <ns0:row r="982" ht="21" customHeight="1">
      <ns0:c r="A982" s="32" t="str">
        <ns0:f>IF($E982="","",INDEX('Banka Dökümü'!$A$2:$A$2001,$E982))</ns0:f>
        <ns0:v/>
      </ns0:c>
      <ns0:c r="B982" s="28" t="str">
        <ns0:f>IF($E982="","",INDEX('Banka Dökümü'!$B$2:$B$2001,$E982))</ns0:f>
        <ns0:v/>
      </ns0:c>
      <ns0:c r="C982" s="33" t="str">
        <ns0:f>IF($E982="","",INDEX('Banka Dökümü'!$C$2:$C$2001,$E982))</ns0:f>
        <ns0:v/>
      </ns0:c>
      <ns0:c r="D982" s="28" t="str">
        <ns0:f>IF(E982="","","Müşteri adı / aranacak ad / il bilgisini kontrol edin")</ns0:f>
        <ns0:v/>
      </ns0:c>
      <ns0:c r="E982" s="28" t="str">
        <ns0:f>IFERROR(MATCH(978,'Banka Dökümü'!$I$2:$I$2001,0),"")</ns0:f>
        <ns0:v/>
      </ns0:c>
    </ns0:row>
    <ns0:row r="983" ht="21" customHeight="1">
      <ns0:c r="A983" s="32" t="str">
        <ns0:f>IF($E983="","",INDEX('Banka Dökümü'!$A$2:$A$2001,$E983))</ns0:f>
        <ns0:v/>
      </ns0:c>
      <ns0:c r="B983" s="28" t="str">
        <ns0:f>IF($E983="","",INDEX('Banka Dökümü'!$B$2:$B$2001,$E983))</ns0:f>
        <ns0:v/>
      </ns0:c>
      <ns0:c r="C983" s="33" t="str">
        <ns0:f>IF($E983="","",INDEX('Banka Dökümü'!$C$2:$C$2001,$E983))</ns0:f>
        <ns0:v/>
      </ns0:c>
      <ns0:c r="D983" s="28" t="str">
        <ns0:f>IF(E983="","","Müşteri adı / aranacak ad / il bilgisini kontrol edin")</ns0:f>
        <ns0:v/>
      </ns0:c>
      <ns0:c r="E983" s="28" t="str">
        <ns0:f>IFERROR(MATCH(979,'Banka Dökümü'!$I$2:$I$2001,0),"")</ns0:f>
        <ns0:v/>
      </ns0:c>
    </ns0:row>
    <ns0:row r="984" ht="21" customHeight="1">
      <ns0:c r="A984" s="32" t="str">
        <ns0:f>IF($E984="","",INDEX('Banka Dökümü'!$A$2:$A$2001,$E984))</ns0:f>
        <ns0:v/>
      </ns0:c>
      <ns0:c r="B984" s="28" t="str">
        <ns0:f>IF($E984="","",INDEX('Banka Dökümü'!$B$2:$B$2001,$E984))</ns0:f>
        <ns0:v/>
      </ns0:c>
      <ns0:c r="C984" s="33" t="str">
        <ns0:f>IF($E984="","",INDEX('Banka Dökümü'!$C$2:$C$2001,$E984))</ns0:f>
        <ns0:v/>
      </ns0:c>
      <ns0:c r="D984" s="28" t="str">
        <ns0:f>IF(E984="","","Müşteri adı / aranacak ad / il bilgisini kontrol edin")</ns0:f>
        <ns0:v/>
      </ns0:c>
      <ns0:c r="E984" s="28" t="str">
        <ns0:f>IFERROR(MATCH(980,'Banka Dökümü'!$I$2:$I$2001,0),"")</ns0:f>
        <ns0:v/>
      </ns0:c>
    </ns0:row>
    <ns0:row r="985" ht="21" customHeight="1">
      <ns0:c r="A985" s="32" t="str">
        <ns0:f>IF($E985="","",INDEX('Banka Dökümü'!$A$2:$A$2001,$E985))</ns0:f>
        <ns0:v/>
      </ns0:c>
      <ns0:c r="B985" s="28" t="str">
        <ns0:f>IF($E985="","",INDEX('Banka Dökümü'!$B$2:$B$2001,$E985))</ns0:f>
        <ns0:v/>
      </ns0:c>
      <ns0:c r="C985" s="33" t="str">
        <ns0:f>IF($E985="","",INDEX('Banka Dökümü'!$C$2:$C$2001,$E985))</ns0:f>
        <ns0:v/>
      </ns0:c>
      <ns0:c r="D985" s="28" t="str">
        <ns0:f>IF(E985="","","Müşteri adı / aranacak ad / il bilgisini kontrol edin")</ns0:f>
        <ns0:v/>
      </ns0:c>
      <ns0:c r="E985" s="28" t="str">
        <ns0:f>IFERROR(MATCH(981,'Banka Dökümü'!$I$2:$I$2001,0),"")</ns0:f>
        <ns0:v/>
      </ns0:c>
    </ns0:row>
    <ns0:row r="986" ht="21" customHeight="1">
      <ns0:c r="A986" s="32" t="str">
        <ns0:f>IF($E986="","",INDEX('Banka Dökümü'!$A$2:$A$2001,$E986))</ns0:f>
        <ns0:v/>
      </ns0:c>
      <ns0:c r="B986" s="28" t="str">
        <ns0:f>IF($E986="","",INDEX('Banka Dökümü'!$B$2:$B$2001,$E986))</ns0:f>
        <ns0:v/>
      </ns0:c>
      <ns0:c r="C986" s="33" t="str">
        <ns0:f>IF($E986="","",INDEX('Banka Dökümü'!$C$2:$C$2001,$E986))</ns0:f>
        <ns0:v/>
      </ns0:c>
      <ns0:c r="D986" s="28" t="str">
        <ns0:f>IF(E986="","","Müşteri adı / aranacak ad / il bilgisini kontrol edin")</ns0:f>
        <ns0:v/>
      </ns0:c>
      <ns0:c r="E986" s="28" t="str">
        <ns0:f>IFERROR(MATCH(982,'Banka Dökümü'!$I$2:$I$2001,0),"")</ns0:f>
        <ns0:v/>
      </ns0:c>
    </ns0:row>
    <ns0:row r="987" ht="21" customHeight="1">
      <ns0:c r="A987" s="32" t="str">
        <ns0:f>IF($E987="","",INDEX('Banka Dökümü'!$A$2:$A$2001,$E987))</ns0:f>
        <ns0:v/>
      </ns0:c>
      <ns0:c r="B987" s="28" t="str">
        <ns0:f>IF($E987="","",INDEX('Banka Dökümü'!$B$2:$B$2001,$E987))</ns0:f>
        <ns0:v/>
      </ns0:c>
      <ns0:c r="C987" s="33" t="str">
        <ns0:f>IF($E987="","",INDEX('Banka Dökümü'!$C$2:$C$2001,$E987))</ns0:f>
        <ns0:v/>
      </ns0:c>
      <ns0:c r="D987" s="28" t="str">
        <ns0:f>IF(E987="","","Müşteri adı / aranacak ad / il bilgisini kontrol edin")</ns0:f>
        <ns0:v/>
      </ns0:c>
      <ns0:c r="E987" s="28" t="str">
        <ns0:f>IFERROR(MATCH(983,'Banka Dökümü'!$I$2:$I$2001,0),"")</ns0:f>
        <ns0:v/>
      </ns0:c>
    </ns0:row>
    <ns0:row r="988" ht="21" customHeight="1">
      <ns0:c r="A988" s="32" t="str">
        <ns0:f>IF($E988="","",INDEX('Banka Dökümü'!$A$2:$A$2001,$E988))</ns0:f>
        <ns0:v/>
      </ns0:c>
      <ns0:c r="B988" s="28" t="str">
        <ns0:f>IF($E988="","",INDEX('Banka Dökümü'!$B$2:$B$2001,$E988))</ns0:f>
        <ns0:v/>
      </ns0:c>
      <ns0:c r="C988" s="33" t="str">
        <ns0:f>IF($E988="","",INDEX('Banka Dökümü'!$C$2:$C$2001,$E988))</ns0:f>
        <ns0:v/>
      </ns0:c>
      <ns0:c r="D988" s="28" t="str">
        <ns0:f>IF(E988="","","Müşteri adı / aranacak ad / il bilgisini kontrol edin")</ns0:f>
        <ns0:v/>
      </ns0:c>
      <ns0:c r="E988" s="28" t="str">
        <ns0:f>IFERROR(MATCH(984,'Banka Dökümü'!$I$2:$I$2001,0),"")</ns0:f>
        <ns0:v/>
      </ns0:c>
    </ns0:row>
    <ns0:row r="989" ht="21" customHeight="1">
      <ns0:c r="A989" s="32" t="str">
        <ns0:f>IF($E989="","",INDEX('Banka Dökümü'!$A$2:$A$2001,$E989))</ns0:f>
        <ns0:v/>
      </ns0:c>
      <ns0:c r="B989" s="28" t="str">
        <ns0:f>IF($E989="","",INDEX('Banka Dökümü'!$B$2:$B$2001,$E989))</ns0:f>
        <ns0:v/>
      </ns0:c>
      <ns0:c r="C989" s="33" t="str">
        <ns0:f>IF($E989="","",INDEX('Banka Dökümü'!$C$2:$C$2001,$E989))</ns0:f>
        <ns0:v/>
      </ns0:c>
      <ns0:c r="D989" s="28" t="str">
        <ns0:f>IF(E989="","","Müşteri adı / aranacak ad / il bilgisini kontrol edin")</ns0:f>
        <ns0:v/>
      </ns0:c>
      <ns0:c r="E989" s="28" t="str">
        <ns0:f>IFERROR(MATCH(985,'Banka Dökümü'!$I$2:$I$2001,0),"")</ns0:f>
        <ns0:v/>
      </ns0:c>
    </ns0:row>
    <ns0:row r="990" ht="21" customHeight="1">
      <ns0:c r="A990" s="32" t="str">
        <ns0:f>IF($E990="","",INDEX('Banka Dökümü'!$A$2:$A$2001,$E990))</ns0:f>
        <ns0:v/>
      </ns0:c>
      <ns0:c r="B990" s="28" t="str">
        <ns0:f>IF($E990="","",INDEX('Banka Dökümü'!$B$2:$B$2001,$E990))</ns0:f>
        <ns0:v/>
      </ns0:c>
      <ns0:c r="C990" s="33" t="str">
        <ns0:f>IF($E990="","",INDEX('Banka Dökümü'!$C$2:$C$2001,$E990))</ns0:f>
        <ns0:v/>
      </ns0:c>
      <ns0:c r="D990" s="28" t="str">
        <ns0:f>IF(E990="","","Müşteri adı / aranacak ad / il bilgisini kontrol edin")</ns0:f>
        <ns0:v/>
      </ns0:c>
      <ns0:c r="E990" s="28" t="str">
        <ns0:f>IFERROR(MATCH(986,'Banka Dökümü'!$I$2:$I$2001,0),"")</ns0:f>
        <ns0:v/>
      </ns0:c>
    </ns0:row>
    <ns0:row r="991" ht="21" customHeight="1">
      <ns0:c r="A991" s="32" t="str">
        <ns0:f>IF($E991="","",INDEX('Banka Dökümü'!$A$2:$A$2001,$E991))</ns0:f>
        <ns0:v/>
      </ns0:c>
      <ns0:c r="B991" s="28" t="str">
        <ns0:f>IF($E991="","",INDEX('Banka Dökümü'!$B$2:$B$2001,$E991))</ns0:f>
        <ns0:v/>
      </ns0:c>
      <ns0:c r="C991" s="33" t="str">
        <ns0:f>IF($E991="","",INDEX('Banka Dökümü'!$C$2:$C$2001,$E991))</ns0:f>
        <ns0:v/>
      </ns0:c>
      <ns0:c r="D991" s="28" t="str">
        <ns0:f>IF(E991="","","Müşteri adı / aranacak ad / il bilgisini kontrol edin")</ns0:f>
        <ns0:v/>
      </ns0:c>
      <ns0:c r="E991" s="28" t="str">
        <ns0:f>IFERROR(MATCH(987,'Banka Dökümü'!$I$2:$I$2001,0),"")</ns0:f>
        <ns0:v/>
      </ns0:c>
    </ns0:row>
    <ns0:row r="992" ht="21" customHeight="1">
      <ns0:c r="A992" s="32" t="str">
        <ns0:f>IF($E992="","",INDEX('Banka Dökümü'!$A$2:$A$2001,$E992))</ns0:f>
        <ns0:v/>
      </ns0:c>
      <ns0:c r="B992" s="28" t="str">
        <ns0:f>IF($E992="","",INDEX('Banka Dökümü'!$B$2:$B$2001,$E992))</ns0:f>
        <ns0:v/>
      </ns0:c>
      <ns0:c r="C992" s="33" t="str">
        <ns0:f>IF($E992="","",INDEX('Banka Dökümü'!$C$2:$C$2001,$E992))</ns0:f>
        <ns0:v/>
      </ns0:c>
      <ns0:c r="D992" s="28" t="str">
        <ns0:f>IF(E992="","","Müşteri adı / aranacak ad / il bilgisini kontrol edin")</ns0:f>
        <ns0:v/>
      </ns0:c>
      <ns0:c r="E992" s="28" t="str">
        <ns0:f>IFERROR(MATCH(988,'Banka Dökümü'!$I$2:$I$2001,0),"")</ns0:f>
        <ns0:v/>
      </ns0:c>
    </ns0:row>
    <ns0:row r="993" ht="21" customHeight="1">
      <ns0:c r="A993" s="32" t="str">
        <ns0:f>IF($E993="","",INDEX('Banka Dökümü'!$A$2:$A$2001,$E993))</ns0:f>
        <ns0:v/>
      </ns0:c>
      <ns0:c r="B993" s="28" t="str">
        <ns0:f>IF($E993="","",INDEX('Banka Dökümü'!$B$2:$B$2001,$E993))</ns0:f>
        <ns0:v/>
      </ns0:c>
      <ns0:c r="C993" s="33" t="str">
        <ns0:f>IF($E993="","",INDEX('Banka Dökümü'!$C$2:$C$2001,$E993))</ns0:f>
        <ns0:v/>
      </ns0:c>
      <ns0:c r="D993" s="28" t="str">
        <ns0:f>IF(E993="","","Müşteri adı / aranacak ad / il bilgisini kontrol edin")</ns0:f>
        <ns0:v/>
      </ns0:c>
      <ns0:c r="E993" s="28" t="str">
        <ns0:f>IFERROR(MATCH(989,'Banka Dökümü'!$I$2:$I$2001,0),"")</ns0:f>
        <ns0:v/>
      </ns0:c>
    </ns0:row>
    <ns0:row r="994" ht="21" customHeight="1">
      <ns0:c r="A994" s="32" t="str">
        <ns0:f>IF($E994="","",INDEX('Banka Dökümü'!$A$2:$A$2001,$E994))</ns0:f>
        <ns0:v/>
      </ns0:c>
      <ns0:c r="B994" s="28" t="str">
        <ns0:f>IF($E994="","",INDEX('Banka Dökümü'!$B$2:$B$2001,$E994))</ns0:f>
        <ns0:v/>
      </ns0:c>
      <ns0:c r="C994" s="33" t="str">
        <ns0:f>IF($E994="","",INDEX('Banka Dökümü'!$C$2:$C$2001,$E994))</ns0:f>
        <ns0:v/>
      </ns0:c>
      <ns0:c r="D994" s="28" t="str">
        <ns0:f>IF(E994="","","Müşteri adı / aranacak ad / il bilgisini kontrol edin")</ns0:f>
        <ns0:v/>
      </ns0:c>
      <ns0:c r="E994" s="28" t="str">
        <ns0:f>IFERROR(MATCH(990,'Banka Dökümü'!$I$2:$I$2001,0),"")</ns0:f>
        <ns0:v/>
      </ns0:c>
    </ns0:row>
    <ns0:row r="995" ht="21" customHeight="1">
      <ns0:c r="A995" s="32" t="str">
        <ns0:f>IF($E995="","",INDEX('Banka Dökümü'!$A$2:$A$2001,$E995))</ns0:f>
        <ns0:v/>
      </ns0:c>
      <ns0:c r="B995" s="28" t="str">
        <ns0:f>IF($E995="","",INDEX('Banka Dökümü'!$B$2:$B$2001,$E995))</ns0:f>
        <ns0:v/>
      </ns0:c>
      <ns0:c r="C995" s="33" t="str">
        <ns0:f>IF($E995="","",INDEX('Banka Dökümü'!$C$2:$C$2001,$E995))</ns0:f>
        <ns0:v/>
      </ns0:c>
      <ns0:c r="D995" s="28" t="str">
        <ns0:f>IF(E995="","","Müşteri adı / aranacak ad / il bilgisini kontrol edin")</ns0:f>
        <ns0:v/>
      </ns0:c>
      <ns0:c r="E995" s="28" t="str">
        <ns0:f>IFERROR(MATCH(991,'Banka Dökümü'!$I$2:$I$2001,0),"")</ns0:f>
        <ns0:v/>
      </ns0:c>
    </ns0:row>
    <ns0:row r="996" ht="21" customHeight="1">
      <ns0:c r="A996" s="32" t="str">
        <ns0:f>IF($E996="","",INDEX('Banka Dökümü'!$A$2:$A$2001,$E996))</ns0:f>
        <ns0:v/>
      </ns0:c>
      <ns0:c r="B996" s="28" t="str">
        <ns0:f>IF($E996="","",INDEX('Banka Dökümü'!$B$2:$B$2001,$E996))</ns0:f>
        <ns0:v/>
      </ns0:c>
      <ns0:c r="C996" s="33" t="str">
        <ns0:f>IF($E996="","",INDEX('Banka Dökümü'!$C$2:$C$2001,$E996))</ns0:f>
        <ns0:v/>
      </ns0:c>
      <ns0:c r="D996" s="28" t="str">
        <ns0:f>IF(E996="","","Müşteri adı / aranacak ad / il bilgisini kontrol edin")</ns0:f>
        <ns0:v/>
      </ns0:c>
      <ns0:c r="E996" s="28" t="str">
        <ns0:f>IFERROR(MATCH(992,'Banka Dökümü'!$I$2:$I$2001,0),"")</ns0:f>
        <ns0:v/>
      </ns0:c>
    </ns0:row>
    <ns0:row r="997" ht="21" customHeight="1">
      <ns0:c r="A997" s="32" t="str">
        <ns0:f>IF($E997="","",INDEX('Banka Dökümü'!$A$2:$A$2001,$E997))</ns0:f>
        <ns0:v/>
      </ns0:c>
      <ns0:c r="B997" s="28" t="str">
        <ns0:f>IF($E997="","",INDEX('Banka Dökümü'!$B$2:$B$2001,$E997))</ns0:f>
        <ns0:v/>
      </ns0:c>
      <ns0:c r="C997" s="33" t="str">
        <ns0:f>IF($E997="","",INDEX('Banka Dökümü'!$C$2:$C$2001,$E997))</ns0:f>
        <ns0:v/>
      </ns0:c>
      <ns0:c r="D997" s="28" t="str">
        <ns0:f>IF(E997="","","Müşteri adı / aranacak ad / il bilgisini kontrol edin")</ns0:f>
        <ns0:v/>
      </ns0:c>
      <ns0:c r="E997" s="28" t="str">
        <ns0:f>IFERROR(MATCH(993,'Banka Dökümü'!$I$2:$I$2001,0),"")</ns0:f>
        <ns0:v/>
      </ns0:c>
    </ns0:row>
    <ns0:row r="998" ht="21" customHeight="1">
      <ns0:c r="A998" s="32" t="str">
        <ns0:f>IF($E998="","",INDEX('Banka Dökümü'!$A$2:$A$2001,$E998))</ns0:f>
        <ns0:v/>
      </ns0:c>
      <ns0:c r="B998" s="28" t="str">
        <ns0:f>IF($E998="","",INDEX('Banka Dökümü'!$B$2:$B$2001,$E998))</ns0:f>
        <ns0:v/>
      </ns0:c>
      <ns0:c r="C998" s="33" t="str">
        <ns0:f>IF($E998="","",INDEX('Banka Dökümü'!$C$2:$C$2001,$E998))</ns0:f>
        <ns0:v/>
      </ns0:c>
      <ns0:c r="D998" s="28" t="str">
        <ns0:f>IF(E998="","","Müşteri adı / aranacak ad / il bilgisini kontrol edin")</ns0:f>
        <ns0:v/>
      </ns0:c>
      <ns0:c r="E998" s="28" t="str">
        <ns0:f>IFERROR(MATCH(994,'Banka Dökümü'!$I$2:$I$2001,0),"")</ns0:f>
        <ns0:v/>
      </ns0:c>
    </ns0:row>
    <ns0:row r="999" ht="21" customHeight="1">
      <ns0:c r="A999" s="32" t="str">
        <ns0:f>IF($E999="","",INDEX('Banka Dökümü'!$A$2:$A$2001,$E999))</ns0:f>
        <ns0:v/>
      </ns0:c>
      <ns0:c r="B999" s="28" t="str">
        <ns0:f>IF($E999="","",INDEX('Banka Dökümü'!$B$2:$B$2001,$E999))</ns0:f>
        <ns0:v/>
      </ns0:c>
      <ns0:c r="C999" s="33" t="str">
        <ns0:f>IF($E999="","",INDEX('Banka Dökümü'!$C$2:$C$2001,$E999))</ns0:f>
        <ns0:v/>
      </ns0:c>
      <ns0:c r="D999" s="28" t="str">
        <ns0:f>IF(E999="","","Müşteri adı / aranacak ad / il bilgisini kontrol edin")</ns0:f>
        <ns0:v/>
      </ns0:c>
      <ns0:c r="E999" s="28" t="str">
        <ns0:f>IFERROR(MATCH(995,'Banka Dökümü'!$I$2:$I$2001,0),"")</ns0:f>
        <ns0:v/>
      </ns0:c>
    </ns0:row>
    <ns0:row r="1000" ht="21" customHeight="1">
      <ns0:c r="A1000" s="32" t="str">
        <ns0:f>IF($E1000="","",INDEX('Banka Dökümü'!$A$2:$A$2001,$E1000))</ns0:f>
        <ns0:v/>
      </ns0:c>
      <ns0:c r="B1000" s="28" t="str">
        <ns0:f>IF($E1000="","",INDEX('Banka Dökümü'!$B$2:$B$2001,$E1000))</ns0:f>
        <ns0:v/>
      </ns0:c>
      <ns0:c r="C1000" s="33" t="str">
        <ns0:f>IF($E1000="","",INDEX('Banka Dökümü'!$C$2:$C$2001,$E1000))</ns0:f>
        <ns0:v/>
      </ns0:c>
      <ns0:c r="D1000" s="28" t="str">
        <ns0:f>IF(E1000="","","Müşteri adı / aranacak ad / il bilgisini kontrol edin")</ns0:f>
        <ns0:v/>
      </ns0:c>
      <ns0:c r="E1000" s="28" t="str">
        <ns0:f>IFERROR(MATCH(996,'Banka Dökümü'!$I$2:$I$2001,0),"")</ns0:f>
        <ns0:v/>
      </ns0:c>
    </ns0:row>
    <ns0:row r="1001" ht="21" customHeight="1">
      <ns0:c r="A1001" s="32" t="str">
        <ns0:f>IF($E1001="","",INDEX('Banka Dökümü'!$A$2:$A$2001,$E1001))</ns0:f>
        <ns0:v/>
      </ns0:c>
      <ns0:c r="B1001" s="28" t="str">
        <ns0:f>IF($E1001="","",INDEX('Banka Dökümü'!$B$2:$B$2001,$E1001))</ns0:f>
        <ns0:v/>
      </ns0:c>
      <ns0:c r="C1001" s="33" t="str">
        <ns0:f>IF($E1001="","",INDEX('Banka Dökümü'!$C$2:$C$2001,$E1001))</ns0:f>
        <ns0:v/>
      </ns0:c>
      <ns0:c r="D1001" s="28" t="str">
        <ns0:f>IF(E1001="","","Müşteri adı / aranacak ad / il bilgisini kontrol edin")</ns0:f>
        <ns0:v/>
      </ns0:c>
      <ns0:c r="E1001" s="28" t="str">
        <ns0:f>IFERROR(MATCH(997,'Banka Dökümü'!$I$2:$I$2001,0),"")</ns0:f>
        <ns0:v/>
      </ns0:c>
    </ns0:row>
    <ns0:row r="1002" ht="21" customHeight="1">
      <ns0:c r="A1002" s="32" t="str">
        <ns0:f>IF($E1002="","",INDEX('Banka Dökümü'!$A$2:$A$2001,$E1002))</ns0:f>
        <ns0:v/>
      </ns0:c>
      <ns0:c r="B1002" s="28" t="str">
        <ns0:f>IF($E1002="","",INDEX('Banka Dökümü'!$B$2:$B$2001,$E1002))</ns0:f>
        <ns0:v/>
      </ns0:c>
      <ns0:c r="C1002" s="33" t="str">
        <ns0:f>IF($E1002="","",INDEX('Banka Dökümü'!$C$2:$C$2001,$E1002))</ns0:f>
        <ns0:v/>
      </ns0:c>
      <ns0:c r="D1002" s="28" t="str">
        <ns0:f>IF(E1002="","","Müşteri adı / aranacak ad / il bilgisini kontrol edin")</ns0:f>
        <ns0:v/>
      </ns0:c>
      <ns0:c r="E1002" s="28" t="str">
        <ns0:f>IFERROR(MATCH(998,'Banka Dökümü'!$I$2:$I$2001,0),"")</ns0:f>
        <ns0:v/>
      </ns0:c>
    </ns0:row>
    <ns0:row r="1003" ht="21" customHeight="1">
      <ns0:c r="A1003" s="32" t="str">
        <ns0:f>IF($E1003="","",INDEX('Banka Dökümü'!$A$2:$A$2001,$E1003))</ns0:f>
        <ns0:v/>
      </ns0:c>
      <ns0:c r="B1003" s="28" t="str">
        <ns0:f>IF($E1003="","",INDEX('Banka Dökümü'!$B$2:$B$2001,$E1003))</ns0:f>
        <ns0:v/>
      </ns0:c>
      <ns0:c r="C1003" s="33" t="str">
        <ns0:f>IF($E1003="","",INDEX('Banka Dökümü'!$C$2:$C$2001,$E1003))</ns0:f>
        <ns0:v/>
      </ns0:c>
      <ns0:c r="D1003" s="28" t="str">
        <ns0:f>IF(E1003="","","Müşteri adı / aranacak ad / il bilgisini kontrol edin")</ns0:f>
        <ns0:v/>
      </ns0:c>
      <ns0:c r="E1003" s="28" t="str">
        <ns0:f>IFERROR(MATCH(999,'Banka Dökümü'!$I$2:$I$2001,0),"")</ns0:f>
        <ns0:v/>
      </ns0:c>
    </ns0:row>
    <ns0:row r="1004" ht="21" customHeight="1">
      <ns0:c r="A1004" s="32" t="str">
        <ns0:f>IF($E1004="","",INDEX('Banka Dökümü'!$A$2:$A$2001,$E1004))</ns0:f>
        <ns0:v/>
      </ns0:c>
      <ns0:c r="B1004" s="28" t="str">
        <ns0:f>IF($E1004="","",INDEX('Banka Dökümü'!$B$2:$B$2001,$E1004))</ns0:f>
        <ns0:v/>
      </ns0:c>
      <ns0:c r="C1004" s="33" t="str">
        <ns0:f>IF($E1004="","",INDEX('Banka Dökümü'!$C$2:$C$2001,$E1004))</ns0:f>
        <ns0:v/>
      </ns0:c>
      <ns0:c r="D1004" s="28" t="str">
        <ns0:f>IF(E1004="","","Müşteri adı / aranacak ad / il bilgisini kontrol edin")</ns0:f>
        <ns0:v/>
      </ns0:c>
      <ns0:c r="E1004" s="28" t="str">
        <ns0:f>IFERROR(MATCH(1000,'Banka Dökümü'!$I$2:$I$2001,0),"")</ns0:f>
        <ns0:v/>
      </ns0:c>
    </ns0:row>
    <ns0:row r="1005" ht="21" customHeight="1">
      <ns0:c r="A1005" s="32" t="str">
        <ns0:f>IF($E1005="","",INDEX('Banka Dökümü'!$A$2:$A$2001,$E1005))</ns0:f>
        <ns0:v/>
      </ns0:c>
      <ns0:c r="B1005" s="28" t="str">
        <ns0:f>IF($E1005="","",INDEX('Banka Dökümü'!$B$2:$B$2001,$E1005))</ns0:f>
        <ns0:v/>
      </ns0:c>
      <ns0:c r="C1005" s="33" t="str">
        <ns0:f>IF($E1005="","",INDEX('Banka Dökümü'!$C$2:$C$2001,$E1005))</ns0:f>
        <ns0:v/>
      </ns0:c>
      <ns0:c r="D1005" s="28" t="str">
        <ns0:f>IF(E1005="","","Müşteri adı / aranacak ad / il bilgisini kontrol edin")</ns0:f>
        <ns0:v/>
      </ns0:c>
      <ns0:c r="E1005" s="28" t="str">
        <ns0:f>IFERROR(MATCH(1001,'Banka Dökümü'!$I$2:$I$2001,0),"")</ns0:f>
        <ns0:v/>
      </ns0:c>
    </ns0:row>
    <ns0:row r="1006" ht="21" customHeight="1">
      <ns0:c r="A1006" s="32" t="str">
        <ns0:f>IF($E1006="","",INDEX('Banka Dökümü'!$A$2:$A$2001,$E1006))</ns0:f>
        <ns0:v/>
      </ns0:c>
      <ns0:c r="B1006" s="28" t="str">
        <ns0:f>IF($E1006="","",INDEX('Banka Dökümü'!$B$2:$B$2001,$E1006))</ns0:f>
        <ns0:v/>
      </ns0:c>
      <ns0:c r="C1006" s="33" t="str">
        <ns0:f>IF($E1006="","",INDEX('Banka Dökümü'!$C$2:$C$2001,$E1006))</ns0:f>
        <ns0:v/>
      </ns0:c>
      <ns0:c r="D1006" s="28" t="str">
        <ns0:f>IF(E1006="","","Müşteri adı / aranacak ad / il bilgisini kontrol edin")</ns0:f>
        <ns0:v/>
      </ns0:c>
      <ns0:c r="E1006" s="28" t="str">
        <ns0:f>IFERROR(MATCH(1002,'Banka Dökümü'!$I$2:$I$2001,0),"")</ns0:f>
        <ns0:v/>
      </ns0:c>
    </ns0:row>
    <ns0:row r="1007" ht="21" customHeight="1">
      <ns0:c r="A1007" s="32" t="str">
        <ns0:f>IF($E1007="","",INDEX('Banka Dökümü'!$A$2:$A$2001,$E1007))</ns0:f>
        <ns0:v/>
      </ns0:c>
      <ns0:c r="B1007" s="28" t="str">
        <ns0:f>IF($E1007="","",INDEX('Banka Dökümü'!$B$2:$B$2001,$E1007))</ns0:f>
        <ns0:v/>
      </ns0:c>
      <ns0:c r="C1007" s="33" t="str">
        <ns0:f>IF($E1007="","",INDEX('Banka Dökümü'!$C$2:$C$2001,$E1007))</ns0:f>
        <ns0:v/>
      </ns0:c>
      <ns0:c r="D1007" s="28" t="str">
        <ns0:f>IF(E1007="","","Müşteri adı / aranacak ad / il bilgisini kontrol edin")</ns0:f>
        <ns0:v/>
      </ns0:c>
      <ns0:c r="E1007" s="28" t="str">
        <ns0:f>IFERROR(MATCH(1003,'Banka Dökümü'!$I$2:$I$2001,0),"")</ns0:f>
        <ns0:v/>
      </ns0:c>
    </ns0:row>
    <ns0:row r="1008" ht="21" customHeight="1">
      <ns0:c r="A1008" s="32" t="str">
        <ns0:f>IF($E1008="","",INDEX('Banka Dökümü'!$A$2:$A$2001,$E1008))</ns0:f>
        <ns0:v/>
      </ns0:c>
      <ns0:c r="B1008" s="28" t="str">
        <ns0:f>IF($E1008="","",INDEX('Banka Dökümü'!$B$2:$B$2001,$E1008))</ns0:f>
        <ns0:v/>
      </ns0:c>
      <ns0:c r="C1008" s="33" t="str">
        <ns0:f>IF($E1008="","",INDEX('Banka Dökümü'!$C$2:$C$2001,$E1008))</ns0:f>
        <ns0:v/>
      </ns0:c>
      <ns0:c r="D1008" s="28" t="str">
        <ns0:f>IF(E1008="","","Müşteri adı / aranacak ad / il bilgisini kontrol edin")</ns0:f>
        <ns0:v/>
      </ns0:c>
      <ns0:c r="E1008" s="28" t="str">
        <ns0:f>IFERROR(MATCH(1004,'Banka Dökümü'!$I$2:$I$2001,0),"")</ns0:f>
        <ns0:v/>
      </ns0:c>
    </ns0:row>
    <ns0:row r="1009" ht="21" customHeight="1">
      <ns0:c r="A1009" s="32" t="str">
        <ns0:f>IF($E1009="","",INDEX('Banka Dökümü'!$A$2:$A$2001,$E1009))</ns0:f>
        <ns0:v/>
      </ns0:c>
      <ns0:c r="B1009" s="28" t="str">
        <ns0:f>IF($E1009="","",INDEX('Banka Dökümü'!$B$2:$B$2001,$E1009))</ns0:f>
        <ns0:v/>
      </ns0:c>
      <ns0:c r="C1009" s="33" t="str">
        <ns0:f>IF($E1009="","",INDEX('Banka Dökümü'!$C$2:$C$2001,$E1009))</ns0:f>
        <ns0:v/>
      </ns0:c>
      <ns0:c r="D1009" s="28" t="str">
        <ns0:f>IF(E1009="","","Müşteri adı / aranacak ad / il bilgisini kontrol edin")</ns0:f>
        <ns0:v/>
      </ns0:c>
      <ns0:c r="E1009" s="28" t="str">
        <ns0:f>IFERROR(MATCH(1005,'Banka Dökümü'!$I$2:$I$2001,0),"")</ns0:f>
        <ns0:v/>
      </ns0:c>
    </ns0:row>
    <ns0:row r="1010" ht="21" customHeight="1">
      <ns0:c r="A1010" s="32" t="str">
        <ns0:f>IF($E1010="","",INDEX('Banka Dökümü'!$A$2:$A$2001,$E1010))</ns0:f>
        <ns0:v/>
      </ns0:c>
      <ns0:c r="B1010" s="28" t="str">
        <ns0:f>IF($E1010="","",INDEX('Banka Dökümü'!$B$2:$B$2001,$E1010))</ns0:f>
        <ns0:v/>
      </ns0:c>
      <ns0:c r="C1010" s="33" t="str">
        <ns0:f>IF($E1010="","",INDEX('Banka Dökümü'!$C$2:$C$2001,$E1010))</ns0:f>
        <ns0:v/>
      </ns0:c>
      <ns0:c r="D1010" s="28" t="str">
        <ns0:f>IF(E1010="","","Müşteri adı / aranacak ad / il bilgisini kontrol edin")</ns0:f>
        <ns0:v/>
      </ns0:c>
      <ns0:c r="E1010" s="28" t="str">
        <ns0:f>IFERROR(MATCH(1006,'Banka Dökümü'!$I$2:$I$2001,0),"")</ns0:f>
        <ns0:v/>
      </ns0:c>
    </ns0:row>
    <ns0:row r="1011" ht="21" customHeight="1">
      <ns0:c r="A1011" s="32" t="str">
        <ns0:f>IF($E1011="","",INDEX('Banka Dökümü'!$A$2:$A$2001,$E1011))</ns0:f>
        <ns0:v/>
      </ns0:c>
      <ns0:c r="B1011" s="28" t="str">
        <ns0:f>IF($E1011="","",INDEX('Banka Dökümü'!$B$2:$B$2001,$E1011))</ns0:f>
        <ns0:v/>
      </ns0:c>
      <ns0:c r="C1011" s="33" t="str">
        <ns0:f>IF($E1011="","",INDEX('Banka Dökümü'!$C$2:$C$2001,$E1011))</ns0:f>
        <ns0:v/>
      </ns0:c>
      <ns0:c r="D1011" s="28" t="str">
        <ns0:f>IF(E1011="","","Müşteri adı / aranacak ad / il bilgisini kontrol edin")</ns0:f>
        <ns0:v/>
      </ns0:c>
      <ns0:c r="E1011" s="28" t="str">
        <ns0:f>IFERROR(MATCH(1007,'Banka Dökümü'!$I$2:$I$2001,0),"")</ns0:f>
        <ns0:v/>
      </ns0:c>
    </ns0:row>
    <ns0:row r="1012" ht="21" customHeight="1">
      <ns0:c r="A1012" s="32" t="str">
        <ns0:f>IF($E1012="","",INDEX('Banka Dökümü'!$A$2:$A$2001,$E1012))</ns0:f>
        <ns0:v/>
      </ns0:c>
      <ns0:c r="B1012" s="28" t="str">
        <ns0:f>IF($E1012="","",INDEX('Banka Dökümü'!$B$2:$B$2001,$E1012))</ns0:f>
        <ns0:v/>
      </ns0:c>
      <ns0:c r="C1012" s="33" t="str">
        <ns0:f>IF($E1012="","",INDEX('Banka Dökümü'!$C$2:$C$2001,$E1012))</ns0:f>
        <ns0:v/>
      </ns0:c>
      <ns0:c r="D1012" s="28" t="str">
        <ns0:f>IF(E1012="","","Müşteri adı / aranacak ad / il bilgisini kontrol edin")</ns0:f>
        <ns0:v/>
      </ns0:c>
      <ns0:c r="E1012" s="28" t="str">
        <ns0:f>IFERROR(MATCH(1008,'Banka Dökümü'!$I$2:$I$2001,0),"")</ns0:f>
        <ns0:v/>
      </ns0:c>
    </ns0:row>
    <ns0:row r="1013" ht="21" customHeight="1">
      <ns0:c r="A1013" s="32" t="str">
        <ns0:f>IF($E1013="","",INDEX('Banka Dökümü'!$A$2:$A$2001,$E1013))</ns0:f>
        <ns0:v/>
      </ns0:c>
      <ns0:c r="B1013" s="28" t="str">
        <ns0:f>IF($E1013="","",INDEX('Banka Dökümü'!$B$2:$B$2001,$E1013))</ns0:f>
        <ns0:v/>
      </ns0:c>
      <ns0:c r="C1013" s="33" t="str">
        <ns0:f>IF($E1013="","",INDEX('Banka Dökümü'!$C$2:$C$2001,$E1013))</ns0:f>
        <ns0:v/>
      </ns0:c>
      <ns0:c r="D1013" s="28" t="str">
        <ns0:f>IF(E1013="","","Müşteri adı / aranacak ad / il bilgisini kontrol edin")</ns0:f>
        <ns0:v/>
      </ns0:c>
      <ns0:c r="E1013" s="28" t="str">
        <ns0:f>IFERROR(MATCH(1009,'Banka Dökümü'!$I$2:$I$2001,0),"")</ns0:f>
        <ns0:v/>
      </ns0:c>
    </ns0:row>
    <ns0:row r="1014" ht="21" customHeight="1">
      <ns0:c r="A1014" s="32" t="str">
        <ns0:f>IF($E1014="","",INDEX('Banka Dökümü'!$A$2:$A$2001,$E1014))</ns0:f>
        <ns0:v/>
      </ns0:c>
      <ns0:c r="B1014" s="28" t="str">
        <ns0:f>IF($E1014="","",INDEX('Banka Dökümü'!$B$2:$B$2001,$E1014))</ns0:f>
        <ns0:v/>
      </ns0:c>
      <ns0:c r="C1014" s="33" t="str">
        <ns0:f>IF($E1014="","",INDEX('Banka Dökümü'!$C$2:$C$2001,$E1014))</ns0:f>
        <ns0:v/>
      </ns0:c>
      <ns0:c r="D1014" s="28" t="str">
        <ns0:f>IF(E1014="","","Müşteri adı / aranacak ad / il bilgisini kontrol edin")</ns0:f>
        <ns0:v/>
      </ns0:c>
      <ns0:c r="E1014" s="28" t="str">
        <ns0:f>IFERROR(MATCH(1010,'Banka Dökümü'!$I$2:$I$2001,0),"")</ns0:f>
        <ns0:v/>
      </ns0:c>
    </ns0:row>
    <ns0:row r="1015" ht="21" customHeight="1">
      <ns0:c r="A1015" s="32" t="str">
        <ns0:f>IF($E1015="","",INDEX('Banka Dökümü'!$A$2:$A$2001,$E1015))</ns0:f>
        <ns0:v/>
      </ns0:c>
      <ns0:c r="B1015" s="28" t="str">
        <ns0:f>IF($E1015="","",INDEX('Banka Dökümü'!$B$2:$B$2001,$E1015))</ns0:f>
        <ns0:v/>
      </ns0:c>
      <ns0:c r="C1015" s="33" t="str">
        <ns0:f>IF($E1015="","",INDEX('Banka Dökümü'!$C$2:$C$2001,$E1015))</ns0:f>
        <ns0:v/>
      </ns0:c>
      <ns0:c r="D1015" s="28" t="str">
        <ns0:f>IF(E1015="","","Müşteri adı / aranacak ad / il bilgisini kontrol edin")</ns0:f>
        <ns0:v/>
      </ns0:c>
      <ns0:c r="E1015" s="28" t="str">
        <ns0:f>IFERROR(MATCH(1011,'Banka Dökümü'!$I$2:$I$2001,0),"")</ns0:f>
        <ns0:v/>
      </ns0:c>
    </ns0:row>
    <ns0:row r="1016" ht="21" customHeight="1">
      <ns0:c r="A1016" s="32" t="str">
        <ns0:f>IF($E1016="","",INDEX('Banka Dökümü'!$A$2:$A$2001,$E1016))</ns0:f>
        <ns0:v/>
      </ns0:c>
      <ns0:c r="B1016" s="28" t="str">
        <ns0:f>IF($E1016="","",INDEX('Banka Dökümü'!$B$2:$B$2001,$E1016))</ns0:f>
        <ns0:v/>
      </ns0:c>
      <ns0:c r="C1016" s="33" t="str">
        <ns0:f>IF($E1016="","",INDEX('Banka Dökümü'!$C$2:$C$2001,$E1016))</ns0:f>
        <ns0:v/>
      </ns0:c>
      <ns0:c r="D1016" s="28" t="str">
        <ns0:f>IF(E1016="","","Müşteri adı / aranacak ad / il bilgisini kontrol edin")</ns0:f>
        <ns0:v/>
      </ns0:c>
      <ns0:c r="E1016" s="28" t="str">
        <ns0:f>IFERROR(MATCH(1012,'Banka Dökümü'!$I$2:$I$2001,0),"")</ns0:f>
        <ns0:v/>
      </ns0:c>
    </ns0:row>
    <ns0:row r="1017" ht="21" customHeight="1">
      <ns0:c r="A1017" s="32" t="str">
        <ns0:f>IF($E1017="","",INDEX('Banka Dökümü'!$A$2:$A$2001,$E1017))</ns0:f>
        <ns0:v/>
      </ns0:c>
      <ns0:c r="B1017" s="28" t="str">
        <ns0:f>IF($E1017="","",INDEX('Banka Dökümü'!$B$2:$B$2001,$E1017))</ns0:f>
        <ns0:v/>
      </ns0:c>
      <ns0:c r="C1017" s="33" t="str">
        <ns0:f>IF($E1017="","",INDEX('Banka Dökümü'!$C$2:$C$2001,$E1017))</ns0:f>
        <ns0:v/>
      </ns0:c>
      <ns0:c r="D1017" s="28" t="str">
        <ns0:f>IF(E1017="","","Müşteri adı / aranacak ad / il bilgisini kontrol edin")</ns0:f>
        <ns0:v/>
      </ns0:c>
      <ns0:c r="E1017" s="28" t="str">
        <ns0:f>IFERROR(MATCH(1013,'Banka Dökümü'!$I$2:$I$2001,0),"")</ns0:f>
        <ns0:v/>
      </ns0:c>
    </ns0:row>
    <ns0:row r="1018" ht="21" customHeight="1">
      <ns0:c r="A1018" s="32" t="str">
        <ns0:f>IF($E1018="","",INDEX('Banka Dökümü'!$A$2:$A$2001,$E1018))</ns0:f>
        <ns0:v/>
      </ns0:c>
      <ns0:c r="B1018" s="28" t="str">
        <ns0:f>IF($E1018="","",INDEX('Banka Dökümü'!$B$2:$B$2001,$E1018))</ns0:f>
        <ns0:v/>
      </ns0:c>
      <ns0:c r="C1018" s="33" t="str">
        <ns0:f>IF($E1018="","",INDEX('Banka Dökümü'!$C$2:$C$2001,$E1018))</ns0:f>
        <ns0:v/>
      </ns0:c>
      <ns0:c r="D1018" s="28" t="str">
        <ns0:f>IF(E1018="","","Müşteri adı / aranacak ad / il bilgisini kontrol edin")</ns0:f>
        <ns0:v/>
      </ns0:c>
      <ns0:c r="E1018" s="28" t="str">
        <ns0:f>IFERROR(MATCH(1014,'Banka Dökümü'!$I$2:$I$2001,0),"")</ns0:f>
        <ns0:v/>
      </ns0:c>
    </ns0:row>
    <ns0:row r="1019" ht="21" customHeight="1">
      <ns0:c r="A1019" s="32" t="str">
        <ns0:f>IF($E1019="","",INDEX('Banka Dökümü'!$A$2:$A$2001,$E1019))</ns0:f>
        <ns0:v/>
      </ns0:c>
      <ns0:c r="B1019" s="28" t="str">
        <ns0:f>IF($E1019="","",INDEX('Banka Dökümü'!$B$2:$B$2001,$E1019))</ns0:f>
        <ns0:v/>
      </ns0:c>
      <ns0:c r="C1019" s="33" t="str">
        <ns0:f>IF($E1019="","",INDEX('Banka Dökümü'!$C$2:$C$2001,$E1019))</ns0:f>
        <ns0:v/>
      </ns0:c>
      <ns0:c r="D1019" s="28" t="str">
        <ns0:f>IF(E1019="","","Müşteri adı / aranacak ad / il bilgisini kontrol edin")</ns0:f>
        <ns0:v/>
      </ns0:c>
      <ns0:c r="E1019" s="28" t="str">
        <ns0:f>IFERROR(MATCH(1015,'Banka Dökümü'!$I$2:$I$2001,0),"")</ns0:f>
        <ns0:v/>
      </ns0:c>
    </ns0:row>
    <ns0:row r="1020" ht="21" customHeight="1">
      <ns0:c r="A1020" s="32" t="str">
        <ns0:f>IF($E1020="","",INDEX('Banka Dökümü'!$A$2:$A$2001,$E1020))</ns0:f>
        <ns0:v/>
      </ns0:c>
      <ns0:c r="B1020" s="28" t="str">
        <ns0:f>IF($E1020="","",INDEX('Banka Dökümü'!$B$2:$B$2001,$E1020))</ns0:f>
        <ns0:v/>
      </ns0:c>
      <ns0:c r="C1020" s="33" t="str">
        <ns0:f>IF($E1020="","",INDEX('Banka Dökümü'!$C$2:$C$2001,$E1020))</ns0:f>
        <ns0:v/>
      </ns0:c>
      <ns0:c r="D1020" s="28" t="str">
        <ns0:f>IF(E1020="","","Müşteri adı / aranacak ad / il bilgisini kontrol edin")</ns0:f>
        <ns0:v/>
      </ns0:c>
      <ns0:c r="E1020" s="28" t="str">
        <ns0:f>IFERROR(MATCH(1016,'Banka Dökümü'!$I$2:$I$2001,0),"")</ns0:f>
        <ns0:v/>
      </ns0:c>
    </ns0:row>
    <ns0:row r="1021" ht="21" customHeight="1">
      <ns0:c r="A1021" s="32" t="str">
        <ns0:f>IF($E1021="","",INDEX('Banka Dökümü'!$A$2:$A$2001,$E1021))</ns0:f>
        <ns0:v/>
      </ns0:c>
      <ns0:c r="B1021" s="28" t="str">
        <ns0:f>IF($E1021="","",INDEX('Banka Dökümü'!$B$2:$B$2001,$E1021))</ns0:f>
        <ns0:v/>
      </ns0:c>
      <ns0:c r="C1021" s="33" t="str">
        <ns0:f>IF($E1021="","",INDEX('Banka Dökümü'!$C$2:$C$2001,$E1021))</ns0:f>
        <ns0:v/>
      </ns0:c>
      <ns0:c r="D1021" s="28" t="str">
        <ns0:f>IF(E1021="","","Müşteri adı / aranacak ad / il bilgisini kontrol edin")</ns0:f>
        <ns0:v/>
      </ns0:c>
      <ns0:c r="E1021" s="28" t="str">
        <ns0:f>IFERROR(MATCH(1017,'Banka Dökümü'!$I$2:$I$2001,0),"")</ns0:f>
        <ns0:v/>
      </ns0:c>
    </ns0:row>
    <ns0:row r="1022" ht="21" customHeight="1">
      <ns0:c r="A1022" s="32" t="str">
        <ns0:f>IF($E1022="","",INDEX('Banka Dökümü'!$A$2:$A$2001,$E1022))</ns0:f>
        <ns0:v/>
      </ns0:c>
      <ns0:c r="B1022" s="28" t="str">
        <ns0:f>IF($E1022="","",INDEX('Banka Dökümü'!$B$2:$B$2001,$E1022))</ns0:f>
        <ns0:v/>
      </ns0:c>
      <ns0:c r="C1022" s="33" t="str">
        <ns0:f>IF($E1022="","",INDEX('Banka Dökümü'!$C$2:$C$2001,$E1022))</ns0:f>
        <ns0:v/>
      </ns0:c>
      <ns0:c r="D1022" s="28" t="str">
        <ns0:f>IF(E1022="","","Müşteri adı / aranacak ad / il bilgisini kontrol edin")</ns0:f>
        <ns0:v/>
      </ns0:c>
      <ns0:c r="E1022" s="28" t="str">
        <ns0:f>IFERROR(MATCH(1018,'Banka Dökümü'!$I$2:$I$2001,0),"")</ns0:f>
        <ns0:v/>
      </ns0:c>
    </ns0:row>
    <ns0:row r="1023" ht="21" customHeight="1">
      <ns0:c r="A1023" s="32" t="str">
        <ns0:f>IF($E1023="","",INDEX('Banka Dökümü'!$A$2:$A$2001,$E1023))</ns0:f>
        <ns0:v/>
      </ns0:c>
      <ns0:c r="B1023" s="28" t="str">
        <ns0:f>IF($E1023="","",INDEX('Banka Dökümü'!$B$2:$B$2001,$E1023))</ns0:f>
        <ns0:v/>
      </ns0:c>
      <ns0:c r="C1023" s="33" t="str">
        <ns0:f>IF($E1023="","",INDEX('Banka Dökümü'!$C$2:$C$2001,$E1023))</ns0:f>
        <ns0:v/>
      </ns0:c>
      <ns0:c r="D1023" s="28" t="str">
        <ns0:f>IF(E1023="","","Müşteri adı / aranacak ad / il bilgisini kontrol edin")</ns0:f>
        <ns0:v/>
      </ns0:c>
      <ns0:c r="E1023" s="28" t="str">
        <ns0:f>IFERROR(MATCH(1019,'Banka Dökümü'!$I$2:$I$2001,0),"")</ns0:f>
        <ns0:v/>
      </ns0:c>
    </ns0:row>
    <ns0:row r="1024" ht="21" customHeight="1">
      <ns0:c r="A1024" s="32" t="str">
        <ns0:f>IF($E1024="","",INDEX('Banka Dökümü'!$A$2:$A$2001,$E1024))</ns0:f>
        <ns0:v/>
      </ns0:c>
      <ns0:c r="B1024" s="28" t="str">
        <ns0:f>IF($E1024="","",INDEX('Banka Dökümü'!$B$2:$B$2001,$E1024))</ns0:f>
        <ns0:v/>
      </ns0:c>
      <ns0:c r="C1024" s="33" t="str">
        <ns0:f>IF($E1024="","",INDEX('Banka Dökümü'!$C$2:$C$2001,$E1024))</ns0:f>
        <ns0:v/>
      </ns0:c>
      <ns0:c r="D1024" s="28" t="str">
        <ns0:f>IF(E1024="","","Müşteri adı / aranacak ad / il bilgisini kontrol edin")</ns0:f>
        <ns0:v/>
      </ns0:c>
      <ns0:c r="E1024" s="28" t="str">
        <ns0:f>IFERROR(MATCH(1020,'Banka Dökümü'!$I$2:$I$2001,0),"")</ns0:f>
        <ns0:v/>
      </ns0:c>
    </ns0:row>
    <ns0:row r="1025" ht="21" customHeight="1">
      <ns0:c r="A1025" s="32" t="str">
        <ns0:f>IF($E1025="","",INDEX('Banka Dökümü'!$A$2:$A$2001,$E1025))</ns0:f>
        <ns0:v/>
      </ns0:c>
      <ns0:c r="B1025" s="28" t="str">
        <ns0:f>IF($E1025="","",INDEX('Banka Dökümü'!$B$2:$B$2001,$E1025))</ns0:f>
        <ns0:v/>
      </ns0:c>
      <ns0:c r="C1025" s="33" t="str">
        <ns0:f>IF($E1025="","",INDEX('Banka Dökümü'!$C$2:$C$2001,$E1025))</ns0:f>
        <ns0:v/>
      </ns0:c>
      <ns0:c r="D1025" s="28" t="str">
        <ns0:f>IF(E1025="","","Müşteri adı / aranacak ad / il bilgisini kontrol edin")</ns0:f>
        <ns0:v/>
      </ns0:c>
      <ns0:c r="E1025" s="28" t="str">
        <ns0:f>IFERROR(MATCH(1021,'Banka Dökümü'!$I$2:$I$2001,0),"")</ns0:f>
        <ns0:v/>
      </ns0:c>
    </ns0:row>
    <ns0:row r="1026" ht="21" customHeight="1">
      <ns0:c r="A1026" s="32" t="str">
        <ns0:f>IF($E1026="","",INDEX('Banka Dökümü'!$A$2:$A$2001,$E1026))</ns0:f>
        <ns0:v/>
      </ns0:c>
      <ns0:c r="B1026" s="28" t="str">
        <ns0:f>IF($E1026="","",INDEX('Banka Dökümü'!$B$2:$B$2001,$E1026))</ns0:f>
        <ns0:v/>
      </ns0:c>
      <ns0:c r="C1026" s="33" t="str">
        <ns0:f>IF($E1026="","",INDEX('Banka Dökümü'!$C$2:$C$2001,$E1026))</ns0:f>
        <ns0:v/>
      </ns0:c>
      <ns0:c r="D1026" s="28" t="str">
        <ns0:f>IF(E1026="","","Müşteri adı / aranacak ad / il bilgisini kontrol edin")</ns0:f>
        <ns0:v/>
      </ns0:c>
      <ns0:c r="E1026" s="28" t="str">
        <ns0:f>IFERROR(MATCH(1022,'Banka Dökümü'!$I$2:$I$2001,0),"")</ns0:f>
        <ns0:v/>
      </ns0:c>
    </ns0:row>
    <ns0:row r="1027" ht="21" customHeight="1">
      <ns0:c r="A1027" s="32" t="str">
        <ns0:f>IF($E1027="","",INDEX('Banka Dökümü'!$A$2:$A$2001,$E1027))</ns0:f>
        <ns0:v/>
      </ns0:c>
      <ns0:c r="B1027" s="28" t="str">
        <ns0:f>IF($E1027="","",INDEX('Banka Dökümü'!$B$2:$B$2001,$E1027))</ns0:f>
        <ns0:v/>
      </ns0:c>
      <ns0:c r="C1027" s="33" t="str">
        <ns0:f>IF($E1027="","",INDEX('Banka Dökümü'!$C$2:$C$2001,$E1027))</ns0:f>
        <ns0:v/>
      </ns0:c>
      <ns0:c r="D1027" s="28" t="str">
        <ns0:f>IF(E1027="","","Müşteri adı / aranacak ad / il bilgisini kontrol edin")</ns0:f>
        <ns0:v/>
      </ns0:c>
      <ns0:c r="E1027" s="28" t="str">
        <ns0:f>IFERROR(MATCH(1023,'Banka Dökümü'!$I$2:$I$2001,0),"")</ns0:f>
        <ns0:v/>
      </ns0:c>
    </ns0:row>
    <ns0:row r="1028" ht="21" customHeight="1">
      <ns0:c r="A1028" s="32" t="str">
        <ns0:f>IF($E1028="","",INDEX('Banka Dökümü'!$A$2:$A$2001,$E1028))</ns0:f>
        <ns0:v/>
      </ns0:c>
      <ns0:c r="B1028" s="28" t="str">
        <ns0:f>IF($E1028="","",INDEX('Banka Dökümü'!$B$2:$B$2001,$E1028))</ns0:f>
        <ns0:v/>
      </ns0:c>
      <ns0:c r="C1028" s="33" t="str">
        <ns0:f>IF($E1028="","",INDEX('Banka Dökümü'!$C$2:$C$2001,$E1028))</ns0:f>
        <ns0:v/>
      </ns0:c>
      <ns0:c r="D1028" s="28" t="str">
        <ns0:f>IF(E1028="","","Müşteri adı / aranacak ad / il bilgisini kontrol edin")</ns0:f>
        <ns0:v/>
      </ns0:c>
      <ns0:c r="E1028" s="28" t="str">
        <ns0:f>IFERROR(MATCH(1024,'Banka Dökümü'!$I$2:$I$2001,0),"")</ns0:f>
        <ns0:v/>
      </ns0:c>
    </ns0:row>
    <ns0:row r="1029" ht="21" customHeight="1">
      <ns0:c r="A1029" s="32" t="str">
        <ns0:f>IF($E1029="","",INDEX('Banka Dökümü'!$A$2:$A$2001,$E1029))</ns0:f>
        <ns0:v/>
      </ns0:c>
      <ns0:c r="B1029" s="28" t="str">
        <ns0:f>IF($E1029="","",INDEX('Banka Dökümü'!$B$2:$B$2001,$E1029))</ns0:f>
        <ns0:v/>
      </ns0:c>
      <ns0:c r="C1029" s="33" t="str">
        <ns0:f>IF($E1029="","",INDEX('Banka Dökümü'!$C$2:$C$2001,$E1029))</ns0:f>
        <ns0:v/>
      </ns0:c>
      <ns0:c r="D1029" s="28" t="str">
        <ns0:f>IF(E1029="","","Müşteri adı / aranacak ad / il bilgisini kontrol edin")</ns0:f>
        <ns0:v/>
      </ns0:c>
      <ns0:c r="E1029" s="28" t="str">
        <ns0:f>IFERROR(MATCH(1025,'Banka Dökümü'!$I$2:$I$2001,0),"")</ns0:f>
        <ns0:v/>
      </ns0:c>
    </ns0:row>
    <ns0:row r="1030" ht="21" customHeight="1">
      <ns0:c r="A1030" s="32" t="str">
        <ns0:f>IF($E1030="","",INDEX('Banka Dökümü'!$A$2:$A$2001,$E1030))</ns0:f>
        <ns0:v/>
      </ns0:c>
      <ns0:c r="B1030" s="28" t="str">
        <ns0:f>IF($E1030="","",INDEX('Banka Dökümü'!$B$2:$B$2001,$E1030))</ns0:f>
        <ns0:v/>
      </ns0:c>
      <ns0:c r="C1030" s="33" t="str">
        <ns0:f>IF($E1030="","",INDEX('Banka Dökümü'!$C$2:$C$2001,$E1030))</ns0:f>
        <ns0:v/>
      </ns0:c>
      <ns0:c r="D1030" s="28" t="str">
        <ns0:f>IF(E1030="","","Müşteri adı / aranacak ad / il bilgisini kontrol edin")</ns0:f>
        <ns0:v/>
      </ns0:c>
      <ns0:c r="E1030" s="28" t="str">
        <ns0:f>IFERROR(MATCH(1026,'Banka Dökümü'!$I$2:$I$2001,0),"")</ns0:f>
        <ns0:v/>
      </ns0:c>
    </ns0:row>
    <ns0:row r="1031" ht="21" customHeight="1">
      <ns0:c r="A1031" s="32" t="str">
        <ns0:f>IF($E1031="","",INDEX('Banka Dökümü'!$A$2:$A$2001,$E1031))</ns0:f>
        <ns0:v/>
      </ns0:c>
      <ns0:c r="B1031" s="28" t="str">
        <ns0:f>IF($E1031="","",INDEX('Banka Dökümü'!$B$2:$B$2001,$E1031))</ns0:f>
        <ns0:v/>
      </ns0:c>
      <ns0:c r="C1031" s="33" t="str">
        <ns0:f>IF($E1031="","",INDEX('Banka Dökümü'!$C$2:$C$2001,$E1031))</ns0:f>
        <ns0:v/>
      </ns0:c>
      <ns0:c r="D1031" s="28" t="str">
        <ns0:f>IF(E1031="","","Müşteri adı / aranacak ad / il bilgisini kontrol edin")</ns0:f>
        <ns0:v/>
      </ns0:c>
      <ns0:c r="E1031" s="28" t="str">
        <ns0:f>IFERROR(MATCH(1027,'Banka Dökümü'!$I$2:$I$2001,0),"")</ns0:f>
        <ns0:v/>
      </ns0:c>
    </ns0:row>
    <ns0:row r="1032" ht="21" customHeight="1">
      <ns0:c r="A1032" s="32" t="str">
        <ns0:f>IF($E1032="","",INDEX('Banka Dökümü'!$A$2:$A$2001,$E1032))</ns0:f>
        <ns0:v/>
      </ns0:c>
      <ns0:c r="B1032" s="28" t="str">
        <ns0:f>IF($E1032="","",INDEX('Banka Dökümü'!$B$2:$B$2001,$E1032))</ns0:f>
        <ns0:v/>
      </ns0:c>
      <ns0:c r="C1032" s="33" t="str">
        <ns0:f>IF($E1032="","",INDEX('Banka Dökümü'!$C$2:$C$2001,$E1032))</ns0:f>
        <ns0:v/>
      </ns0:c>
      <ns0:c r="D1032" s="28" t="str">
        <ns0:f>IF(E1032="","","Müşteri adı / aranacak ad / il bilgisini kontrol edin")</ns0:f>
        <ns0:v/>
      </ns0:c>
      <ns0:c r="E1032" s="28" t="str">
        <ns0:f>IFERROR(MATCH(1028,'Banka Dökümü'!$I$2:$I$2001,0),"")</ns0:f>
        <ns0:v/>
      </ns0:c>
    </ns0:row>
    <ns0:row r="1033" ht="21" customHeight="1">
      <ns0:c r="A1033" s="32" t="str">
        <ns0:f>IF($E1033="","",INDEX('Banka Dökümü'!$A$2:$A$2001,$E1033))</ns0:f>
        <ns0:v/>
      </ns0:c>
      <ns0:c r="B1033" s="28" t="str">
        <ns0:f>IF($E1033="","",INDEX('Banka Dökümü'!$B$2:$B$2001,$E1033))</ns0:f>
        <ns0:v/>
      </ns0:c>
      <ns0:c r="C1033" s="33" t="str">
        <ns0:f>IF($E1033="","",INDEX('Banka Dökümü'!$C$2:$C$2001,$E1033))</ns0:f>
        <ns0:v/>
      </ns0:c>
      <ns0:c r="D1033" s="28" t="str">
        <ns0:f>IF(E1033="","","Müşteri adı / aranacak ad / il bilgisini kontrol edin")</ns0:f>
        <ns0:v/>
      </ns0:c>
      <ns0:c r="E1033" s="28" t="str">
        <ns0:f>IFERROR(MATCH(1029,'Banka Dökümü'!$I$2:$I$2001,0),"")</ns0:f>
        <ns0:v/>
      </ns0:c>
    </ns0:row>
    <ns0:row r="1034" ht="21" customHeight="1">
      <ns0:c r="A1034" s="32" t="str">
        <ns0:f>IF($E1034="","",INDEX('Banka Dökümü'!$A$2:$A$2001,$E1034))</ns0:f>
        <ns0:v/>
      </ns0:c>
      <ns0:c r="B1034" s="28" t="str">
        <ns0:f>IF($E1034="","",INDEX('Banka Dökümü'!$B$2:$B$2001,$E1034))</ns0:f>
        <ns0:v/>
      </ns0:c>
      <ns0:c r="C1034" s="33" t="str">
        <ns0:f>IF($E1034="","",INDEX('Banka Dökümü'!$C$2:$C$2001,$E1034))</ns0:f>
        <ns0:v/>
      </ns0:c>
      <ns0:c r="D1034" s="28" t="str">
        <ns0:f>IF(E1034="","","Müşteri adı / aranacak ad / il bilgisini kontrol edin")</ns0:f>
        <ns0:v/>
      </ns0:c>
      <ns0:c r="E1034" s="28" t="str">
        <ns0:f>IFERROR(MATCH(1030,'Banka Dökümü'!$I$2:$I$2001,0),"")</ns0:f>
        <ns0:v/>
      </ns0:c>
    </ns0:row>
    <ns0:row r="1035" ht="21" customHeight="1">
      <ns0:c r="A1035" s="32" t="str">
        <ns0:f>IF($E1035="","",INDEX('Banka Dökümü'!$A$2:$A$2001,$E1035))</ns0:f>
        <ns0:v/>
      </ns0:c>
      <ns0:c r="B1035" s="28" t="str">
        <ns0:f>IF($E1035="","",INDEX('Banka Dökümü'!$B$2:$B$2001,$E1035))</ns0:f>
        <ns0:v/>
      </ns0:c>
      <ns0:c r="C1035" s="33" t="str">
        <ns0:f>IF($E1035="","",INDEX('Banka Dökümü'!$C$2:$C$2001,$E1035))</ns0:f>
        <ns0:v/>
      </ns0:c>
      <ns0:c r="D1035" s="28" t="str">
        <ns0:f>IF(E1035="","","Müşteri adı / aranacak ad / il bilgisini kontrol edin")</ns0:f>
        <ns0:v/>
      </ns0:c>
      <ns0:c r="E1035" s="28" t="str">
        <ns0:f>IFERROR(MATCH(1031,'Banka Dökümü'!$I$2:$I$2001,0),"")</ns0:f>
        <ns0:v/>
      </ns0:c>
    </ns0:row>
    <ns0:row r="1036" ht="21" customHeight="1">
      <ns0:c r="A1036" s="32" t="str">
        <ns0:f>IF($E1036="","",INDEX('Banka Dökümü'!$A$2:$A$2001,$E1036))</ns0:f>
        <ns0:v/>
      </ns0:c>
      <ns0:c r="B1036" s="28" t="str">
        <ns0:f>IF($E1036="","",INDEX('Banka Dökümü'!$B$2:$B$2001,$E1036))</ns0:f>
        <ns0:v/>
      </ns0:c>
      <ns0:c r="C1036" s="33" t="str">
        <ns0:f>IF($E1036="","",INDEX('Banka Dökümü'!$C$2:$C$2001,$E1036))</ns0:f>
        <ns0:v/>
      </ns0:c>
      <ns0:c r="D1036" s="28" t="str">
        <ns0:f>IF(E1036="","","Müşteri adı / aranacak ad / il bilgisini kontrol edin")</ns0:f>
        <ns0:v/>
      </ns0:c>
      <ns0:c r="E1036" s="28" t="str">
        <ns0:f>IFERROR(MATCH(1032,'Banka Dökümü'!$I$2:$I$2001,0),"")</ns0:f>
        <ns0:v/>
      </ns0:c>
    </ns0:row>
    <ns0:row r="1037" ht="21" customHeight="1">
      <ns0:c r="A1037" s="32" t="str">
        <ns0:f>IF($E1037="","",INDEX('Banka Dökümü'!$A$2:$A$2001,$E1037))</ns0:f>
        <ns0:v/>
      </ns0:c>
      <ns0:c r="B1037" s="28" t="str">
        <ns0:f>IF($E1037="","",INDEX('Banka Dökümü'!$B$2:$B$2001,$E1037))</ns0:f>
        <ns0:v/>
      </ns0:c>
      <ns0:c r="C1037" s="33" t="str">
        <ns0:f>IF($E1037="","",INDEX('Banka Dökümü'!$C$2:$C$2001,$E1037))</ns0:f>
        <ns0:v/>
      </ns0:c>
      <ns0:c r="D1037" s="28" t="str">
        <ns0:f>IF(E1037="","","Müşteri adı / aranacak ad / il bilgisini kontrol edin")</ns0:f>
        <ns0:v/>
      </ns0:c>
      <ns0:c r="E1037" s="28" t="str">
        <ns0:f>IFERROR(MATCH(1033,'Banka Dökümü'!$I$2:$I$2001,0),"")</ns0:f>
        <ns0:v/>
      </ns0:c>
    </ns0:row>
    <ns0:row r="1038" ht="21" customHeight="1">
      <ns0:c r="A1038" s="32" t="str">
        <ns0:f>IF($E1038="","",INDEX('Banka Dökümü'!$A$2:$A$2001,$E1038))</ns0:f>
        <ns0:v/>
      </ns0:c>
      <ns0:c r="B1038" s="28" t="str">
        <ns0:f>IF($E1038="","",INDEX('Banka Dökümü'!$B$2:$B$2001,$E1038))</ns0:f>
        <ns0:v/>
      </ns0:c>
      <ns0:c r="C1038" s="33" t="str">
        <ns0:f>IF($E1038="","",INDEX('Banka Dökümü'!$C$2:$C$2001,$E1038))</ns0:f>
        <ns0:v/>
      </ns0:c>
      <ns0:c r="D1038" s="28" t="str">
        <ns0:f>IF(E1038="","","Müşteri adı / aranacak ad / il bilgisini kontrol edin")</ns0:f>
        <ns0:v/>
      </ns0:c>
      <ns0:c r="E1038" s="28" t="str">
        <ns0:f>IFERROR(MATCH(1034,'Banka Dökümü'!$I$2:$I$2001,0),"")</ns0:f>
        <ns0:v/>
      </ns0:c>
    </ns0:row>
    <ns0:row r="1039" ht="21" customHeight="1">
      <ns0:c r="A1039" s="32" t="str">
        <ns0:f>IF($E1039="","",INDEX('Banka Dökümü'!$A$2:$A$2001,$E1039))</ns0:f>
        <ns0:v/>
      </ns0:c>
      <ns0:c r="B1039" s="28" t="str">
        <ns0:f>IF($E1039="","",INDEX('Banka Dökümü'!$B$2:$B$2001,$E1039))</ns0:f>
        <ns0:v/>
      </ns0:c>
      <ns0:c r="C1039" s="33" t="str">
        <ns0:f>IF($E1039="","",INDEX('Banka Dökümü'!$C$2:$C$2001,$E1039))</ns0:f>
        <ns0:v/>
      </ns0:c>
      <ns0:c r="D1039" s="28" t="str">
        <ns0:f>IF(E1039="","","Müşteri adı / aranacak ad / il bilgisini kontrol edin")</ns0:f>
        <ns0:v/>
      </ns0:c>
      <ns0:c r="E1039" s="28" t="str">
        <ns0:f>IFERROR(MATCH(1035,'Banka Dökümü'!$I$2:$I$2001,0),"")</ns0:f>
        <ns0:v/>
      </ns0:c>
    </ns0:row>
    <ns0:row r="1040" ht="21" customHeight="1">
      <ns0:c r="A1040" s="32" t="str">
        <ns0:f>IF($E1040="","",INDEX('Banka Dökümü'!$A$2:$A$2001,$E1040))</ns0:f>
        <ns0:v/>
      </ns0:c>
      <ns0:c r="B1040" s="28" t="str">
        <ns0:f>IF($E1040="","",INDEX('Banka Dökümü'!$B$2:$B$2001,$E1040))</ns0:f>
        <ns0:v/>
      </ns0:c>
      <ns0:c r="C1040" s="33" t="str">
        <ns0:f>IF($E1040="","",INDEX('Banka Dökümü'!$C$2:$C$2001,$E1040))</ns0:f>
        <ns0:v/>
      </ns0:c>
      <ns0:c r="D1040" s="28" t="str">
        <ns0:f>IF(E1040="","","Müşteri adı / aranacak ad / il bilgisini kontrol edin")</ns0:f>
        <ns0:v/>
      </ns0:c>
      <ns0:c r="E1040" s="28" t="str">
        <ns0:f>IFERROR(MATCH(1036,'Banka Dökümü'!$I$2:$I$2001,0),"")</ns0:f>
        <ns0:v/>
      </ns0:c>
    </ns0:row>
    <ns0:row r="1041" ht="21" customHeight="1">
      <ns0:c r="A1041" s="32" t="str">
        <ns0:f>IF($E1041="","",INDEX('Banka Dökümü'!$A$2:$A$2001,$E1041))</ns0:f>
        <ns0:v/>
      </ns0:c>
      <ns0:c r="B1041" s="28" t="str">
        <ns0:f>IF($E1041="","",INDEX('Banka Dökümü'!$B$2:$B$2001,$E1041))</ns0:f>
        <ns0:v/>
      </ns0:c>
      <ns0:c r="C1041" s="33" t="str">
        <ns0:f>IF($E1041="","",INDEX('Banka Dökümü'!$C$2:$C$2001,$E1041))</ns0:f>
        <ns0:v/>
      </ns0:c>
      <ns0:c r="D1041" s="28" t="str">
        <ns0:f>IF(E1041="","","Müşteri adı / aranacak ad / il bilgisini kontrol edin")</ns0:f>
        <ns0:v/>
      </ns0:c>
      <ns0:c r="E1041" s="28" t="str">
        <ns0:f>IFERROR(MATCH(1037,'Banka Dökümü'!$I$2:$I$2001,0),"")</ns0:f>
        <ns0:v/>
      </ns0:c>
    </ns0:row>
    <ns0:row r="1042" ht="21" customHeight="1">
      <ns0:c r="A1042" s="32" t="str">
        <ns0:f>IF($E1042="","",INDEX('Banka Dökümü'!$A$2:$A$2001,$E1042))</ns0:f>
        <ns0:v/>
      </ns0:c>
      <ns0:c r="B1042" s="28" t="str">
        <ns0:f>IF($E1042="","",INDEX('Banka Dökümü'!$B$2:$B$2001,$E1042))</ns0:f>
        <ns0:v/>
      </ns0:c>
      <ns0:c r="C1042" s="33" t="str">
        <ns0:f>IF($E1042="","",INDEX('Banka Dökümü'!$C$2:$C$2001,$E1042))</ns0:f>
        <ns0:v/>
      </ns0:c>
      <ns0:c r="D1042" s="28" t="str">
        <ns0:f>IF(E1042="","","Müşteri adı / aranacak ad / il bilgisini kontrol edin")</ns0:f>
        <ns0:v/>
      </ns0:c>
      <ns0:c r="E1042" s="28" t="str">
        <ns0:f>IFERROR(MATCH(1038,'Banka Dökümü'!$I$2:$I$2001,0),"")</ns0:f>
        <ns0:v/>
      </ns0:c>
    </ns0:row>
    <ns0:row r="1043" ht="21" customHeight="1">
      <ns0:c r="A1043" s="32" t="str">
        <ns0:f>IF($E1043="","",INDEX('Banka Dökümü'!$A$2:$A$2001,$E1043))</ns0:f>
        <ns0:v/>
      </ns0:c>
      <ns0:c r="B1043" s="28" t="str">
        <ns0:f>IF($E1043="","",INDEX('Banka Dökümü'!$B$2:$B$2001,$E1043))</ns0:f>
        <ns0:v/>
      </ns0:c>
      <ns0:c r="C1043" s="33" t="str">
        <ns0:f>IF($E1043="","",INDEX('Banka Dökümü'!$C$2:$C$2001,$E1043))</ns0:f>
        <ns0:v/>
      </ns0:c>
      <ns0:c r="D1043" s="28" t="str">
        <ns0:f>IF(E1043="","","Müşteri adı / aranacak ad / il bilgisini kontrol edin")</ns0:f>
        <ns0:v/>
      </ns0:c>
      <ns0:c r="E1043" s="28" t="str">
        <ns0:f>IFERROR(MATCH(1039,'Banka Dökümü'!$I$2:$I$2001,0),"")</ns0:f>
        <ns0:v/>
      </ns0:c>
    </ns0:row>
    <ns0:row r="1044" ht="21" customHeight="1">
      <ns0:c r="A1044" s="32" t="str">
        <ns0:f>IF($E1044="","",INDEX('Banka Dökümü'!$A$2:$A$2001,$E1044))</ns0:f>
        <ns0:v/>
      </ns0:c>
      <ns0:c r="B1044" s="28" t="str">
        <ns0:f>IF($E1044="","",INDEX('Banka Dökümü'!$B$2:$B$2001,$E1044))</ns0:f>
        <ns0:v/>
      </ns0:c>
      <ns0:c r="C1044" s="33" t="str">
        <ns0:f>IF($E1044="","",INDEX('Banka Dökümü'!$C$2:$C$2001,$E1044))</ns0:f>
        <ns0:v/>
      </ns0:c>
      <ns0:c r="D1044" s="28" t="str">
        <ns0:f>IF(E1044="","","Müşteri adı / aranacak ad / il bilgisini kontrol edin")</ns0:f>
        <ns0:v/>
      </ns0:c>
      <ns0:c r="E1044" s="28" t="str">
        <ns0:f>IFERROR(MATCH(1040,'Banka Dökümü'!$I$2:$I$2001,0),"")</ns0:f>
        <ns0:v/>
      </ns0:c>
    </ns0:row>
    <ns0:row r="1045" ht="21" customHeight="1">
      <ns0:c r="A1045" s="32" t="str">
        <ns0:f>IF($E1045="","",INDEX('Banka Dökümü'!$A$2:$A$2001,$E1045))</ns0:f>
        <ns0:v/>
      </ns0:c>
      <ns0:c r="B1045" s="28" t="str">
        <ns0:f>IF($E1045="","",INDEX('Banka Dökümü'!$B$2:$B$2001,$E1045))</ns0:f>
        <ns0:v/>
      </ns0:c>
      <ns0:c r="C1045" s="33" t="str">
        <ns0:f>IF($E1045="","",INDEX('Banka Dökümü'!$C$2:$C$2001,$E1045))</ns0:f>
        <ns0:v/>
      </ns0:c>
      <ns0:c r="D1045" s="28" t="str">
        <ns0:f>IF(E1045="","","Müşteri adı / aranacak ad / il bilgisini kontrol edin")</ns0:f>
        <ns0:v/>
      </ns0:c>
      <ns0:c r="E1045" s="28" t="str">
        <ns0:f>IFERROR(MATCH(1041,'Banka Dökümü'!$I$2:$I$2001,0),"")</ns0:f>
        <ns0:v/>
      </ns0:c>
    </ns0:row>
    <ns0:row r="1046" ht="21" customHeight="1">
      <ns0:c r="A1046" s="32" t="str">
        <ns0:f>IF($E1046="","",INDEX('Banka Dökümü'!$A$2:$A$2001,$E1046))</ns0:f>
        <ns0:v/>
      </ns0:c>
      <ns0:c r="B1046" s="28" t="str">
        <ns0:f>IF($E1046="","",INDEX('Banka Dökümü'!$B$2:$B$2001,$E1046))</ns0:f>
        <ns0:v/>
      </ns0:c>
      <ns0:c r="C1046" s="33" t="str">
        <ns0:f>IF($E1046="","",INDEX('Banka Dökümü'!$C$2:$C$2001,$E1046))</ns0:f>
        <ns0:v/>
      </ns0:c>
      <ns0:c r="D1046" s="28" t="str">
        <ns0:f>IF(E1046="","","Müşteri adı / aranacak ad / il bilgisini kontrol edin")</ns0:f>
        <ns0:v/>
      </ns0:c>
      <ns0:c r="E1046" s="28" t="str">
        <ns0:f>IFERROR(MATCH(1042,'Banka Dökümü'!$I$2:$I$2001,0),"")</ns0:f>
        <ns0:v/>
      </ns0:c>
    </ns0:row>
    <ns0:row r="1047" ht="21" customHeight="1">
      <ns0:c r="A1047" s="32" t="str">
        <ns0:f>IF($E1047="","",INDEX('Banka Dökümü'!$A$2:$A$2001,$E1047))</ns0:f>
        <ns0:v/>
      </ns0:c>
      <ns0:c r="B1047" s="28" t="str">
        <ns0:f>IF($E1047="","",INDEX('Banka Dökümü'!$B$2:$B$2001,$E1047))</ns0:f>
        <ns0:v/>
      </ns0:c>
      <ns0:c r="C1047" s="33" t="str">
        <ns0:f>IF($E1047="","",INDEX('Banka Dökümü'!$C$2:$C$2001,$E1047))</ns0:f>
        <ns0:v/>
      </ns0:c>
      <ns0:c r="D1047" s="28" t="str">
        <ns0:f>IF(E1047="","","Müşteri adı / aranacak ad / il bilgisini kontrol edin")</ns0:f>
        <ns0:v/>
      </ns0:c>
      <ns0:c r="E1047" s="28" t="str">
        <ns0:f>IFERROR(MATCH(1043,'Banka Dökümü'!$I$2:$I$2001,0),"")</ns0:f>
        <ns0:v/>
      </ns0:c>
    </ns0:row>
    <ns0:row r="1048" ht="21" customHeight="1">
      <ns0:c r="A1048" s="32" t="str">
        <ns0:f>IF($E1048="","",INDEX('Banka Dökümü'!$A$2:$A$2001,$E1048))</ns0:f>
        <ns0:v/>
      </ns0:c>
      <ns0:c r="B1048" s="28" t="str">
        <ns0:f>IF($E1048="","",INDEX('Banka Dökümü'!$B$2:$B$2001,$E1048))</ns0:f>
        <ns0:v/>
      </ns0:c>
      <ns0:c r="C1048" s="33" t="str">
        <ns0:f>IF($E1048="","",INDEX('Banka Dökümü'!$C$2:$C$2001,$E1048))</ns0:f>
        <ns0:v/>
      </ns0:c>
      <ns0:c r="D1048" s="28" t="str">
        <ns0:f>IF(E1048="","","Müşteri adı / aranacak ad / il bilgisini kontrol edin")</ns0:f>
        <ns0:v/>
      </ns0:c>
      <ns0:c r="E1048" s="28" t="str">
        <ns0:f>IFERROR(MATCH(1044,'Banka Dökümü'!$I$2:$I$2001,0),"")</ns0:f>
        <ns0:v/>
      </ns0:c>
    </ns0:row>
    <ns0:row r="1049" ht="21" customHeight="1">
      <ns0:c r="A1049" s="32" t="str">
        <ns0:f>IF($E1049="","",INDEX('Banka Dökümü'!$A$2:$A$2001,$E1049))</ns0:f>
        <ns0:v/>
      </ns0:c>
      <ns0:c r="B1049" s="28" t="str">
        <ns0:f>IF($E1049="","",INDEX('Banka Dökümü'!$B$2:$B$2001,$E1049))</ns0:f>
        <ns0:v/>
      </ns0:c>
      <ns0:c r="C1049" s="33" t="str">
        <ns0:f>IF($E1049="","",INDEX('Banka Dökümü'!$C$2:$C$2001,$E1049))</ns0:f>
        <ns0:v/>
      </ns0:c>
      <ns0:c r="D1049" s="28" t="str">
        <ns0:f>IF(E1049="","","Müşteri adı / aranacak ad / il bilgisini kontrol edin")</ns0:f>
        <ns0:v/>
      </ns0:c>
      <ns0:c r="E1049" s="28" t="str">
        <ns0:f>IFERROR(MATCH(1045,'Banka Dökümü'!$I$2:$I$2001,0),"")</ns0:f>
        <ns0:v/>
      </ns0:c>
    </ns0:row>
    <ns0:row r="1050" ht="21" customHeight="1">
      <ns0:c r="A1050" s="32" t="str">
        <ns0:f>IF($E1050="","",INDEX('Banka Dökümü'!$A$2:$A$2001,$E1050))</ns0:f>
        <ns0:v/>
      </ns0:c>
      <ns0:c r="B1050" s="28" t="str">
        <ns0:f>IF($E1050="","",INDEX('Banka Dökümü'!$B$2:$B$2001,$E1050))</ns0:f>
        <ns0:v/>
      </ns0:c>
      <ns0:c r="C1050" s="33" t="str">
        <ns0:f>IF($E1050="","",INDEX('Banka Dökümü'!$C$2:$C$2001,$E1050))</ns0:f>
        <ns0:v/>
      </ns0:c>
      <ns0:c r="D1050" s="28" t="str">
        <ns0:f>IF(E1050="","","Müşteri adı / aranacak ad / il bilgisini kontrol edin")</ns0:f>
        <ns0:v/>
      </ns0:c>
      <ns0:c r="E1050" s="28" t="str">
        <ns0:f>IFERROR(MATCH(1046,'Banka Dökümü'!$I$2:$I$2001,0),"")</ns0:f>
        <ns0:v/>
      </ns0:c>
    </ns0:row>
    <ns0:row r="1051" ht="21" customHeight="1">
      <ns0:c r="A1051" s="32" t="str">
        <ns0:f>IF($E1051="","",INDEX('Banka Dökümü'!$A$2:$A$2001,$E1051))</ns0:f>
        <ns0:v/>
      </ns0:c>
      <ns0:c r="B1051" s="28" t="str">
        <ns0:f>IF($E1051="","",INDEX('Banka Dökümü'!$B$2:$B$2001,$E1051))</ns0:f>
        <ns0:v/>
      </ns0:c>
      <ns0:c r="C1051" s="33" t="str">
        <ns0:f>IF($E1051="","",INDEX('Banka Dökümü'!$C$2:$C$2001,$E1051))</ns0:f>
        <ns0:v/>
      </ns0:c>
      <ns0:c r="D1051" s="28" t="str">
        <ns0:f>IF(E1051="","","Müşteri adı / aranacak ad / il bilgisini kontrol edin")</ns0:f>
        <ns0:v/>
      </ns0:c>
      <ns0:c r="E1051" s="28" t="str">
        <ns0:f>IFERROR(MATCH(1047,'Banka Dökümü'!$I$2:$I$2001,0),"")</ns0:f>
        <ns0:v/>
      </ns0:c>
    </ns0:row>
    <ns0:row r="1052" ht="21" customHeight="1">
      <ns0:c r="A1052" s="32" t="str">
        <ns0:f>IF($E1052="","",INDEX('Banka Dökümü'!$A$2:$A$2001,$E1052))</ns0:f>
        <ns0:v/>
      </ns0:c>
      <ns0:c r="B1052" s="28" t="str">
        <ns0:f>IF($E1052="","",INDEX('Banka Dökümü'!$B$2:$B$2001,$E1052))</ns0:f>
        <ns0:v/>
      </ns0:c>
      <ns0:c r="C1052" s="33" t="str">
        <ns0:f>IF($E1052="","",INDEX('Banka Dökümü'!$C$2:$C$2001,$E1052))</ns0:f>
        <ns0:v/>
      </ns0:c>
      <ns0:c r="D1052" s="28" t="str">
        <ns0:f>IF(E1052="","","Müşteri adı / aranacak ad / il bilgisini kontrol edin")</ns0:f>
        <ns0:v/>
      </ns0:c>
      <ns0:c r="E1052" s="28" t="str">
        <ns0:f>IFERROR(MATCH(1048,'Banka Dökümü'!$I$2:$I$2001,0),"")</ns0:f>
        <ns0:v/>
      </ns0:c>
    </ns0:row>
    <ns0:row r="1053" ht="21" customHeight="1">
      <ns0:c r="A1053" s="32" t="str">
        <ns0:f>IF($E1053="","",INDEX('Banka Dökümü'!$A$2:$A$2001,$E1053))</ns0:f>
        <ns0:v/>
      </ns0:c>
      <ns0:c r="B1053" s="28" t="str">
        <ns0:f>IF($E1053="","",INDEX('Banka Dökümü'!$B$2:$B$2001,$E1053))</ns0:f>
        <ns0:v/>
      </ns0:c>
      <ns0:c r="C1053" s="33" t="str">
        <ns0:f>IF($E1053="","",INDEX('Banka Dökümü'!$C$2:$C$2001,$E1053))</ns0:f>
        <ns0:v/>
      </ns0:c>
      <ns0:c r="D1053" s="28" t="str">
        <ns0:f>IF(E1053="","","Müşteri adı / aranacak ad / il bilgisini kontrol edin")</ns0:f>
        <ns0:v/>
      </ns0:c>
      <ns0:c r="E1053" s="28" t="str">
        <ns0:f>IFERROR(MATCH(1049,'Banka Dökümü'!$I$2:$I$2001,0),"")</ns0:f>
        <ns0:v/>
      </ns0:c>
    </ns0:row>
    <ns0:row r="1054" ht="21" customHeight="1">
      <ns0:c r="A1054" s="32" t="str">
        <ns0:f>IF($E1054="","",INDEX('Banka Dökümü'!$A$2:$A$2001,$E1054))</ns0:f>
        <ns0:v/>
      </ns0:c>
      <ns0:c r="B1054" s="28" t="str">
        <ns0:f>IF($E1054="","",INDEX('Banka Dökümü'!$B$2:$B$2001,$E1054))</ns0:f>
        <ns0:v/>
      </ns0:c>
      <ns0:c r="C1054" s="33" t="str">
        <ns0:f>IF($E1054="","",INDEX('Banka Dökümü'!$C$2:$C$2001,$E1054))</ns0:f>
        <ns0:v/>
      </ns0:c>
      <ns0:c r="D1054" s="28" t="str">
        <ns0:f>IF(E1054="","","Müşteri adı / aranacak ad / il bilgisini kontrol edin")</ns0:f>
        <ns0:v/>
      </ns0:c>
      <ns0:c r="E1054" s="28" t="str">
        <ns0:f>IFERROR(MATCH(1050,'Banka Dökümü'!$I$2:$I$2001,0),"")</ns0:f>
        <ns0:v/>
      </ns0:c>
    </ns0:row>
    <ns0:row r="1055" ht="21" customHeight="1">
      <ns0:c r="A1055" s="32" t="str">
        <ns0:f>IF($E1055="","",INDEX('Banka Dökümü'!$A$2:$A$2001,$E1055))</ns0:f>
        <ns0:v/>
      </ns0:c>
      <ns0:c r="B1055" s="28" t="str">
        <ns0:f>IF($E1055="","",INDEX('Banka Dökümü'!$B$2:$B$2001,$E1055))</ns0:f>
        <ns0:v/>
      </ns0:c>
      <ns0:c r="C1055" s="33" t="str">
        <ns0:f>IF($E1055="","",INDEX('Banka Dökümü'!$C$2:$C$2001,$E1055))</ns0:f>
        <ns0:v/>
      </ns0:c>
      <ns0:c r="D1055" s="28" t="str">
        <ns0:f>IF(E1055="","","Müşteri adı / aranacak ad / il bilgisini kontrol edin")</ns0:f>
        <ns0:v/>
      </ns0:c>
      <ns0:c r="E1055" s="28" t="str">
        <ns0:f>IFERROR(MATCH(1051,'Banka Dökümü'!$I$2:$I$2001,0),"")</ns0:f>
        <ns0:v/>
      </ns0:c>
    </ns0:row>
    <ns0:row r="1056" ht="21" customHeight="1">
      <ns0:c r="A1056" s="32" t="str">
        <ns0:f>IF($E1056="","",INDEX('Banka Dökümü'!$A$2:$A$2001,$E1056))</ns0:f>
        <ns0:v/>
      </ns0:c>
      <ns0:c r="B1056" s="28" t="str">
        <ns0:f>IF($E1056="","",INDEX('Banka Dökümü'!$B$2:$B$2001,$E1056))</ns0:f>
        <ns0:v/>
      </ns0:c>
      <ns0:c r="C1056" s="33" t="str">
        <ns0:f>IF($E1056="","",INDEX('Banka Dökümü'!$C$2:$C$2001,$E1056))</ns0:f>
        <ns0:v/>
      </ns0:c>
      <ns0:c r="D1056" s="28" t="str">
        <ns0:f>IF(E1056="","","Müşteri adı / aranacak ad / il bilgisini kontrol edin")</ns0:f>
        <ns0:v/>
      </ns0:c>
      <ns0:c r="E1056" s="28" t="str">
        <ns0:f>IFERROR(MATCH(1052,'Banka Dökümü'!$I$2:$I$2001,0),"")</ns0:f>
        <ns0:v/>
      </ns0:c>
    </ns0:row>
    <ns0:row r="1057" ht="21" customHeight="1">
      <ns0:c r="A1057" s="32" t="str">
        <ns0:f>IF($E1057="","",INDEX('Banka Dökümü'!$A$2:$A$2001,$E1057))</ns0:f>
        <ns0:v/>
      </ns0:c>
      <ns0:c r="B1057" s="28" t="str">
        <ns0:f>IF($E1057="","",INDEX('Banka Dökümü'!$B$2:$B$2001,$E1057))</ns0:f>
        <ns0:v/>
      </ns0:c>
      <ns0:c r="C1057" s="33" t="str">
        <ns0:f>IF($E1057="","",INDEX('Banka Dökümü'!$C$2:$C$2001,$E1057))</ns0:f>
        <ns0:v/>
      </ns0:c>
      <ns0:c r="D1057" s="28" t="str">
        <ns0:f>IF(E1057="","","Müşteri adı / aranacak ad / il bilgisini kontrol edin")</ns0:f>
        <ns0:v/>
      </ns0:c>
      <ns0:c r="E1057" s="28" t="str">
        <ns0:f>IFERROR(MATCH(1053,'Banka Dökümü'!$I$2:$I$2001,0),"")</ns0:f>
        <ns0:v/>
      </ns0:c>
    </ns0:row>
    <ns0:row r="1058" ht="21" customHeight="1">
      <ns0:c r="A1058" s="32" t="str">
        <ns0:f>IF($E1058="","",INDEX('Banka Dökümü'!$A$2:$A$2001,$E1058))</ns0:f>
        <ns0:v/>
      </ns0:c>
      <ns0:c r="B1058" s="28" t="str">
        <ns0:f>IF($E1058="","",INDEX('Banka Dökümü'!$B$2:$B$2001,$E1058))</ns0:f>
        <ns0:v/>
      </ns0:c>
      <ns0:c r="C1058" s="33" t="str">
        <ns0:f>IF($E1058="","",INDEX('Banka Dökümü'!$C$2:$C$2001,$E1058))</ns0:f>
        <ns0:v/>
      </ns0:c>
      <ns0:c r="D1058" s="28" t="str">
        <ns0:f>IF(E1058="","","Müşteri adı / aranacak ad / il bilgisini kontrol edin")</ns0:f>
        <ns0:v/>
      </ns0:c>
      <ns0:c r="E1058" s="28" t="str">
        <ns0:f>IFERROR(MATCH(1054,'Banka Dökümü'!$I$2:$I$2001,0),"")</ns0:f>
        <ns0:v/>
      </ns0:c>
    </ns0:row>
    <ns0:row r="1059" ht="21" customHeight="1">
      <ns0:c r="A1059" s="32" t="str">
        <ns0:f>IF($E1059="","",INDEX('Banka Dökümü'!$A$2:$A$2001,$E1059))</ns0:f>
        <ns0:v/>
      </ns0:c>
      <ns0:c r="B1059" s="28" t="str">
        <ns0:f>IF($E1059="","",INDEX('Banka Dökümü'!$B$2:$B$2001,$E1059))</ns0:f>
        <ns0:v/>
      </ns0:c>
      <ns0:c r="C1059" s="33" t="str">
        <ns0:f>IF($E1059="","",INDEX('Banka Dökümü'!$C$2:$C$2001,$E1059))</ns0:f>
        <ns0:v/>
      </ns0:c>
      <ns0:c r="D1059" s="28" t="str">
        <ns0:f>IF(E1059="","","Müşteri adı / aranacak ad / il bilgisini kontrol edin")</ns0:f>
        <ns0:v/>
      </ns0:c>
      <ns0:c r="E1059" s="28" t="str">
        <ns0:f>IFERROR(MATCH(1055,'Banka Dökümü'!$I$2:$I$2001,0),"")</ns0:f>
        <ns0:v/>
      </ns0:c>
    </ns0:row>
    <ns0:row r="1060" ht="21" customHeight="1">
      <ns0:c r="A1060" s="32" t="str">
        <ns0:f>IF($E1060="","",INDEX('Banka Dökümü'!$A$2:$A$2001,$E1060))</ns0:f>
        <ns0:v/>
      </ns0:c>
      <ns0:c r="B1060" s="28" t="str">
        <ns0:f>IF($E1060="","",INDEX('Banka Dökümü'!$B$2:$B$2001,$E1060))</ns0:f>
        <ns0:v/>
      </ns0:c>
      <ns0:c r="C1060" s="33" t="str">
        <ns0:f>IF($E1060="","",INDEX('Banka Dökümü'!$C$2:$C$2001,$E1060))</ns0:f>
        <ns0:v/>
      </ns0:c>
      <ns0:c r="D1060" s="28" t="str">
        <ns0:f>IF(E1060="","","Müşteri adı / aranacak ad / il bilgisini kontrol edin")</ns0:f>
        <ns0:v/>
      </ns0:c>
      <ns0:c r="E1060" s="28" t="str">
        <ns0:f>IFERROR(MATCH(1056,'Banka Dökümü'!$I$2:$I$2001,0),"")</ns0:f>
        <ns0:v/>
      </ns0:c>
    </ns0:row>
    <ns0:row r="1061" ht="21" customHeight="1">
      <ns0:c r="A1061" s="32" t="str">
        <ns0:f>IF($E1061="","",INDEX('Banka Dökümü'!$A$2:$A$2001,$E1061))</ns0:f>
        <ns0:v/>
      </ns0:c>
      <ns0:c r="B1061" s="28" t="str">
        <ns0:f>IF($E1061="","",INDEX('Banka Dökümü'!$B$2:$B$2001,$E1061))</ns0:f>
        <ns0:v/>
      </ns0:c>
      <ns0:c r="C1061" s="33" t="str">
        <ns0:f>IF($E1061="","",INDEX('Banka Dökümü'!$C$2:$C$2001,$E1061))</ns0:f>
        <ns0:v/>
      </ns0:c>
      <ns0:c r="D1061" s="28" t="str">
        <ns0:f>IF(E1061="","","Müşteri adı / aranacak ad / il bilgisini kontrol edin")</ns0:f>
        <ns0:v/>
      </ns0:c>
      <ns0:c r="E1061" s="28" t="str">
        <ns0:f>IFERROR(MATCH(1057,'Banka Dökümü'!$I$2:$I$2001,0),"")</ns0:f>
        <ns0:v/>
      </ns0:c>
    </ns0:row>
    <ns0:row r="1062" ht="21" customHeight="1">
      <ns0:c r="A1062" s="32" t="str">
        <ns0:f>IF($E1062="","",INDEX('Banka Dökümü'!$A$2:$A$2001,$E1062))</ns0:f>
        <ns0:v/>
      </ns0:c>
      <ns0:c r="B1062" s="28" t="str">
        <ns0:f>IF($E1062="","",INDEX('Banka Dökümü'!$B$2:$B$2001,$E1062))</ns0:f>
        <ns0:v/>
      </ns0:c>
      <ns0:c r="C1062" s="33" t="str">
        <ns0:f>IF($E1062="","",INDEX('Banka Dökümü'!$C$2:$C$2001,$E1062))</ns0:f>
        <ns0:v/>
      </ns0:c>
      <ns0:c r="D1062" s="28" t="str">
        <ns0:f>IF(E1062="","","Müşteri adı / aranacak ad / il bilgisini kontrol edin")</ns0:f>
        <ns0:v/>
      </ns0:c>
      <ns0:c r="E1062" s="28" t="str">
        <ns0:f>IFERROR(MATCH(1058,'Banka Dökümü'!$I$2:$I$2001,0),"")</ns0:f>
        <ns0:v/>
      </ns0:c>
    </ns0:row>
    <ns0:row r="1063" ht="21" customHeight="1">
      <ns0:c r="A1063" s="32" t="str">
        <ns0:f>IF($E1063="","",INDEX('Banka Dökümü'!$A$2:$A$2001,$E1063))</ns0:f>
        <ns0:v/>
      </ns0:c>
      <ns0:c r="B1063" s="28" t="str">
        <ns0:f>IF($E1063="","",INDEX('Banka Dökümü'!$B$2:$B$2001,$E1063))</ns0:f>
        <ns0:v/>
      </ns0:c>
      <ns0:c r="C1063" s="33" t="str">
        <ns0:f>IF($E1063="","",INDEX('Banka Dökümü'!$C$2:$C$2001,$E1063))</ns0:f>
        <ns0:v/>
      </ns0:c>
      <ns0:c r="D1063" s="28" t="str">
        <ns0:f>IF(E1063="","","Müşteri adı / aranacak ad / il bilgisini kontrol edin")</ns0:f>
        <ns0:v/>
      </ns0:c>
      <ns0:c r="E1063" s="28" t="str">
        <ns0:f>IFERROR(MATCH(1059,'Banka Dökümü'!$I$2:$I$2001,0),"")</ns0:f>
        <ns0:v/>
      </ns0:c>
    </ns0:row>
    <ns0:row r="1064" ht="21" customHeight="1">
      <ns0:c r="A1064" s="32" t="str">
        <ns0:f>IF($E1064="","",INDEX('Banka Dökümü'!$A$2:$A$2001,$E1064))</ns0:f>
        <ns0:v/>
      </ns0:c>
      <ns0:c r="B1064" s="28" t="str">
        <ns0:f>IF($E1064="","",INDEX('Banka Dökümü'!$B$2:$B$2001,$E1064))</ns0:f>
        <ns0:v/>
      </ns0:c>
      <ns0:c r="C1064" s="33" t="str">
        <ns0:f>IF($E1064="","",INDEX('Banka Dökümü'!$C$2:$C$2001,$E1064))</ns0:f>
        <ns0:v/>
      </ns0:c>
      <ns0:c r="D1064" s="28" t="str">
        <ns0:f>IF(E1064="","","Müşteri adı / aranacak ad / il bilgisini kontrol edin")</ns0:f>
        <ns0:v/>
      </ns0:c>
      <ns0:c r="E1064" s="28" t="str">
        <ns0:f>IFERROR(MATCH(1060,'Banka Dökümü'!$I$2:$I$2001,0),"")</ns0:f>
        <ns0:v/>
      </ns0:c>
    </ns0:row>
    <ns0:row r="1065" ht="21" customHeight="1">
      <ns0:c r="A1065" s="32" t="str">
        <ns0:f>IF($E1065="","",INDEX('Banka Dökümü'!$A$2:$A$2001,$E1065))</ns0:f>
        <ns0:v/>
      </ns0:c>
      <ns0:c r="B1065" s="28" t="str">
        <ns0:f>IF($E1065="","",INDEX('Banka Dökümü'!$B$2:$B$2001,$E1065))</ns0:f>
        <ns0:v/>
      </ns0:c>
      <ns0:c r="C1065" s="33" t="str">
        <ns0:f>IF($E1065="","",INDEX('Banka Dökümü'!$C$2:$C$2001,$E1065))</ns0:f>
        <ns0:v/>
      </ns0:c>
      <ns0:c r="D1065" s="28" t="str">
        <ns0:f>IF(E1065="","","Müşteri adı / aranacak ad / il bilgisini kontrol edin")</ns0:f>
        <ns0:v/>
      </ns0:c>
      <ns0:c r="E1065" s="28" t="str">
        <ns0:f>IFERROR(MATCH(1061,'Banka Dökümü'!$I$2:$I$2001,0),"")</ns0:f>
        <ns0:v/>
      </ns0:c>
    </ns0:row>
    <ns0:row r="1066" ht="21" customHeight="1">
      <ns0:c r="A1066" s="32" t="str">
        <ns0:f>IF($E1066="","",INDEX('Banka Dökümü'!$A$2:$A$2001,$E1066))</ns0:f>
        <ns0:v/>
      </ns0:c>
      <ns0:c r="B1066" s="28" t="str">
        <ns0:f>IF($E1066="","",INDEX('Banka Dökümü'!$B$2:$B$2001,$E1066))</ns0:f>
        <ns0:v/>
      </ns0:c>
      <ns0:c r="C1066" s="33" t="str">
        <ns0:f>IF($E1066="","",INDEX('Banka Dökümü'!$C$2:$C$2001,$E1066))</ns0:f>
        <ns0:v/>
      </ns0:c>
      <ns0:c r="D1066" s="28" t="str">
        <ns0:f>IF(E1066="","","Müşteri adı / aranacak ad / il bilgisini kontrol edin")</ns0:f>
        <ns0:v/>
      </ns0:c>
      <ns0:c r="E1066" s="28" t="str">
        <ns0:f>IFERROR(MATCH(1062,'Banka Dökümü'!$I$2:$I$2001,0),"")</ns0:f>
        <ns0:v/>
      </ns0:c>
    </ns0:row>
    <ns0:row r="1067" ht="21" customHeight="1">
      <ns0:c r="A1067" s="32" t="str">
        <ns0:f>IF($E1067="","",INDEX('Banka Dökümü'!$A$2:$A$2001,$E1067))</ns0:f>
        <ns0:v/>
      </ns0:c>
      <ns0:c r="B1067" s="28" t="str">
        <ns0:f>IF($E1067="","",INDEX('Banka Dökümü'!$B$2:$B$2001,$E1067))</ns0:f>
        <ns0:v/>
      </ns0:c>
      <ns0:c r="C1067" s="33" t="str">
        <ns0:f>IF($E1067="","",INDEX('Banka Dökümü'!$C$2:$C$2001,$E1067))</ns0:f>
        <ns0:v/>
      </ns0:c>
      <ns0:c r="D1067" s="28" t="str">
        <ns0:f>IF(E1067="","","Müşteri adı / aranacak ad / il bilgisini kontrol edin")</ns0:f>
        <ns0:v/>
      </ns0:c>
      <ns0:c r="E1067" s="28" t="str">
        <ns0:f>IFERROR(MATCH(1063,'Banka Dökümü'!$I$2:$I$2001,0),"")</ns0:f>
        <ns0:v/>
      </ns0:c>
    </ns0:row>
    <ns0:row r="1068" ht="21" customHeight="1">
      <ns0:c r="A1068" s="32" t="str">
        <ns0:f>IF($E1068="","",INDEX('Banka Dökümü'!$A$2:$A$2001,$E1068))</ns0:f>
        <ns0:v/>
      </ns0:c>
      <ns0:c r="B1068" s="28" t="str">
        <ns0:f>IF($E1068="","",INDEX('Banka Dökümü'!$B$2:$B$2001,$E1068))</ns0:f>
        <ns0:v/>
      </ns0:c>
      <ns0:c r="C1068" s="33" t="str">
        <ns0:f>IF($E1068="","",INDEX('Banka Dökümü'!$C$2:$C$2001,$E1068))</ns0:f>
        <ns0:v/>
      </ns0:c>
      <ns0:c r="D1068" s="28" t="str">
        <ns0:f>IF(E1068="","","Müşteri adı / aranacak ad / il bilgisini kontrol edin")</ns0:f>
        <ns0:v/>
      </ns0:c>
      <ns0:c r="E1068" s="28" t="str">
        <ns0:f>IFERROR(MATCH(1064,'Banka Dökümü'!$I$2:$I$2001,0),"")</ns0:f>
        <ns0:v/>
      </ns0:c>
    </ns0:row>
    <ns0:row r="1069" ht="21" customHeight="1">
      <ns0:c r="A1069" s="32" t="str">
        <ns0:f>IF($E1069="","",INDEX('Banka Dökümü'!$A$2:$A$2001,$E1069))</ns0:f>
        <ns0:v/>
      </ns0:c>
      <ns0:c r="B1069" s="28" t="str">
        <ns0:f>IF($E1069="","",INDEX('Banka Dökümü'!$B$2:$B$2001,$E1069))</ns0:f>
        <ns0:v/>
      </ns0:c>
      <ns0:c r="C1069" s="33" t="str">
        <ns0:f>IF($E1069="","",INDEX('Banka Dökümü'!$C$2:$C$2001,$E1069))</ns0:f>
        <ns0:v/>
      </ns0:c>
      <ns0:c r="D1069" s="28" t="str">
        <ns0:f>IF(E1069="","","Müşteri adı / aranacak ad / il bilgisini kontrol edin")</ns0:f>
        <ns0:v/>
      </ns0:c>
      <ns0:c r="E1069" s="28" t="str">
        <ns0:f>IFERROR(MATCH(1065,'Banka Dökümü'!$I$2:$I$2001,0),"")</ns0:f>
        <ns0:v/>
      </ns0:c>
    </ns0:row>
    <ns0:row r="1070" ht="21" customHeight="1">
      <ns0:c r="A1070" s="32" t="str">
        <ns0:f>IF($E1070="","",INDEX('Banka Dökümü'!$A$2:$A$2001,$E1070))</ns0:f>
        <ns0:v/>
      </ns0:c>
      <ns0:c r="B1070" s="28" t="str">
        <ns0:f>IF($E1070="","",INDEX('Banka Dökümü'!$B$2:$B$2001,$E1070))</ns0:f>
        <ns0:v/>
      </ns0:c>
      <ns0:c r="C1070" s="33" t="str">
        <ns0:f>IF($E1070="","",INDEX('Banka Dökümü'!$C$2:$C$2001,$E1070))</ns0:f>
        <ns0:v/>
      </ns0:c>
      <ns0:c r="D1070" s="28" t="str">
        <ns0:f>IF(E1070="","","Müşteri adı / aranacak ad / il bilgisini kontrol edin")</ns0:f>
        <ns0:v/>
      </ns0:c>
      <ns0:c r="E1070" s="28" t="str">
        <ns0:f>IFERROR(MATCH(1066,'Banka Dökümü'!$I$2:$I$2001,0),"")</ns0:f>
        <ns0:v/>
      </ns0:c>
    </ns0:row>
    <ns0:row r="1071" ht="21" customHeight="1">
      <ns0:c r="A1071" s="32" t="str">
        <ns0:f>IF($E1071="","",INDEX('Banka Dökümü'!$A$2:$A$2001,$E1071))</ns0:f>
        <ns0:v/>
      </ns0:c>
      <ns0:c r="B1071" s="28" t="str">
        <ns0:f>IF($E1071="","",INDEX('Banka Dökümü'!$B$2:$B$2001,$E1071))</ns0:f>
        <ns0:v/>
      </ns0:c>
      <ns0:c r="C1071" s="33" t="str">
        <ns0:f>IF($E1071="","",INDEX('Banka Dökümü'!$C$2:$C$2001,$E1071))</ns0:f>
        <ns0:v/>
      </ns0:c>
      <ns0:c r="D1071" s="28" t="str">
        <ns0:f>IF(E1071="","","Müşteri adı / aranacak ad / il bilgisini kontrol edin")</ns0:f>
        <ns0:v/>
      </ns0:c>
      <ns0:c r="E1071" s="28" t="str">
        <ns0:f>IFERROR(MATCH(1067,'Banka Dökümü'!$I$2:$I$2001,0),"")</ns0:f>
        <ns0:v/>
      </ns0:c>
    </ns0:row>
    <ns0:row r="1072" ht="21" customHeight="1">
      <ns0:c r="A1072" s="32" t="str">
        <ns0:f>IF($E1072="","",INDEX('Banka Dökümü'!$A$2:$A$2001,$E1072))</ns0:f>
        <ns0:v/>
      </ns0:c>
      <ns0:c r="B1072" s="28" t="str">
        <ns0:f>IF($E1072="","",INDEX('Banka Dökümü'!$B$2:$B$2001,$E1072))</ns0:f>
        <ns0:v/>
      </ns0:c>
      <ns0:c r="C1072" s="33" t="str">
        <ns0:f>IF($E1072="","",INDEX('Banka Dökümü'!$C$2:$C$2001,$E1072))</ns0:f>
        <ns0:v/>
      </ns0:c>
      <ns0:c r="D1072" s="28" t="str">
        <ns0:f>IF(E1072="","","Müşteri adı / aranacak ad / il bilgisini kontrol edin")</ns0:f>
        <ns0:v/>
      </ns0:c>
      <ns0:c r="E1072" s="28" t="str">
        <ns0:f>IFERROR(MATCH(1068,'Banka Dökümü'!$I$2:$I$2001,0),"")</ns0:f>
        <ns0:v/>
      </ns0:c>
    </ns0:row>
    <ns0:row r="1073" ht="21" customHeight="1">
      <ns0:c r="A1073" s="32" t="str">
        <ns0:f>IF($E1073="","",INDEX('Banka Dökümü'!$A$2:$A$2001,$E1073))</ns0:f>
        <ns0:v/>
      </ns0:c>
      <ns0:c r="B1073" s="28" t="str">
        <ns0:f>IF($E1073="","",INDEX('Banka Dökümü'!$B$2:$B$2001,$E1073))</ns0:f>
        <ns0:v/>
      </ns0:c>
      <ns0:c r="C1073" s="33" t="str">
        <ns0:f>IF($E1073="","",INDEX('Banka Dökümü'!$C$2:$C$2001,$E1073))</ns0:f>
        <ns0:v/>
      </ns0:c>
      <ns0:c r="D1073" s="28" t="str">
        <ns0:f>IF(E1073="","","Müşteri adı / aranacak ad / il bilgisini kontrol edin")</ns0:f>
        <ns0:v/>
      </ns0:c>
      <ns0:c r="E1073" s="28" t="str">
        <ns0:f>IFERROR(MATCH(1069,'Banka Dökümü'!$I$2:$I$2001,0),"")</ns0:f>
        <ns0:v/>
      </ns0:c>
    </ns0:row>
    <ns0:row r="1074" ht="21" customHeight="1">
      <ns0:c r="A1074" s="32" t="str">
        <ns0:f>IF($E1074="","",INDEX('Banka Dökümü'!$A$2:$A$2001,$E1074))</ns0:f>
        <ns0:v/>
      </ns0:c>
      <ns0:c r="B1074" s="28" t="str">
        <ns0:f>IF($E1074="","",INDEX('Banka Dökümü'!$B$2:$B$2001,$E1074))</ns0:f>
        <ns0:v/>
      </ns0:c>
      <ns0:c r="C1074" s="33" t="str">
        <ns0:f>IF($E1074="","",INDEX('Banka Dökümü'!$C$2:$C$2001,$E1074))</ns0:f>
        <ns0:v/>
      </ns0:c>
      <ns0:c r="D1074" s="28" t="str">
        <ns0:f>IF(E1074="","","Müşteri adı / aranacak ad / il bilgisini kontrol edin")</ns0:f>
        <ns0:v/>
      </ns0:c>
      <ns0:c r="E1074" s="28" t="str">
        <ns0:f>IFERROR(MATCH(1070,'Banka Dökümü'!$I$2:$I$2001,0),"")</ns0:f>
        <ns0:v/>
      </ns0:c>
    </ns0:row>
    <ns0:row r="1075" ht="21" customHeight="1">
      <ns0:c r="A1075" s="32" t="str">
        <ns0:f>IF($E1075="","",INDEX('Banka Dökümü'!$A$2:$A$2001,$E1075))</ns0:f>
        <ns0:v/>
      </ns0:c>
      <ns0:c r="B1075" s="28" t="str">
        <ns0:f>IF($E1075="","",INDEX('Banka Dökümü'!$B$2:$B$2001,$E1075))</ns0:f>
        <ns0:v/>
      </ns0:c>
      <ns0:c r="C1075" s="33" t="str">
        <ns0:f>IF($E1075="","",INDEX('Banka Dökümü'!$C$2:$C$2001,$E1075))</ns0:f>
        <ns0:v/>
      </ns0:c>
      <ns0:c r="D1075" s="28" t="str">
        <ns0:f>IF(E1075="","","Müşteri adı / aranacak ad / il bilgisini kontrol edin")</ns0:f>
        <ns0:v/>
      </ns0:c>
      <ns0:c r="E1075" s="28" t="str">
        <ns0:f>IFERROR(MATCH(1071,'Banka Dökümü'!$I$2:$I$2001,0),"")</ns0:f>
        <ns0:v/>
      </ns0:c>
    </ns0:row>
    <ns0:row r="1076" ht="21" customHeight="1">
      <ns0:c r="A1076" s="32" t="str">
        <ns0:f>IF($E1076="","",INDEX('Banka Dökümü'!$A$2:$A$2001,$E1076))</ns0:f>
        <ns0:v/>
      </ns0:c>
      <ns0:c r="B1076" s="28" t="str">
        <ns0:f>IF($E1076="","",INDEX('Banka Dökümü'!$B$2:$B$2001,$E1076))</ns0:f>
        <ns0:v/>
      </ns0:c>
      <ns0:c r="C1076" s="33" t="str">
        <ns0:f>IF($E1076="","",INDEX('Banka Dökümü'!$C$2:$C$2001,$E1076))</ns0:f>
        <ns0:v/>
      </ns0:c>
      <ns0:c r="D1076" s="28" t="str">
        <ns0:f>IF(E1076="","","Müşteri adı / aranacak ad / il bilgisini kontrol edin")</ns0:f>
        <ns0:v/>
      </ns0:c>
      <ns0:c r="E1076" s="28" t="str">
        <ns0:f>IFERROR(MATCH(1072,'Banka Dökümü'!$I$2:$I$2001,0),"")</ns0:f>
        <ns0:v/>
      </ns0:c>
    </ns0:row>
    <ns0:row r="1077" ht="21" customHeight="1">
      <ns0:c r="A1077" s="32" t="str">
        <ns0:f>IF($E1077="","",INDEX('Banka Dökümü'!$A$2:$A$2001,$E1077))</ns0:f>
        <ns0:v/>
      </ns0:c>
      <ns0:c r="B1077" s="28" t="str">
        <ns0:f>IF($E1077="","",INDEX('Banka Dökümü'!$B$2:$B$2001,$E1077))</ns0:f>
        <ns0:v/>
      </ns0:c>
      <ns0:c r="C1077" s="33" t="str">
        <ns0:f>IF($E1077="","",INDEX('Banka Dökümü'!$C$2:$C$2001,$E1077))</ns0:f>
        <ns0:v/>
      </ns0:c>
      <ns0:c r="D1077" s="28" t="str">
        <ns0:f>IF(E1077="","","Müşteri adı / aranacak ad / il bilgisini kontrol edin")</ns0:f>
        <ns0:v/>
      </ns0:c>
      <ns0:c r="E1077" s="28" t="str">
        <ns0:f>IFERROR(MATCH(1073,'Banka Dökümü'!$I$2:$I$2001,0),"")</ns0:f>
        <ns0:v/>
      </ns0:c>
    </ns0:row>
    <ns0:row r="1078" ht="21" customHeight="1">
      <ns0:c r="A1078" s="32" t="str">
        <ns0:f>IF($E1078="","",INDEX('Banka Dökümü'!$A$2:$A$2001,$E1078))</ns0:f>
        <ns0:v/>
      </ns0:c>
      <ns0:c r="B1078" s="28" t="str">
        <ns0:f>IF($E1078="","",INDEX('Banka Dökümü'!$B$2:$B$2001,$E1078))</ns0:f>
        <ns0:v/>
      </ns0:c>
      <ns0:c r="C1078" s="33" t="str">
        <ns0:f>IF($E1078="","",INDEX('Banka Dökümü'!$C$2:$C$2001,$E1078))</ns0:f>
        <ns0:v/>
      </ns0:c>
      <ns0:c r="D1078" s="28" t="str">
        <ns0:f>IF(E1078="","","Müşteri adı / aranacak ad / il bilgisini kontrol edin")</ns0:f>
        <ns0:v/>
      </ns0:c>
      <ns0:c r="E1078" s="28" t="str">
        <ns0:f>IFERROR(MATCH(1074,'Banka Dökümü'!$I$2:$I$2001,0),"")</ns0:f>
        <ns0:v/>
      </ns0:c>
    </ns0:row>
    <ns0:row r="1079" ht="21" customHeight="1">
      <ns0:c r="A1079" s="32" t="str">
        <ns0:f>IF($E1079="","",INDEX('Banka Dökümü'!$A$2:$A$2001,$E1079))</ns0:f>
        <ns0:v/>
      </ns0:c>
      <ns0:c r="B1079" s="28" t="str">
        <ns0:f>IF($E1079="","",INDEX('Banka Dökümü'!$B$2:$B$2001,$E1079))</ns0:f>
        <ns0:v/>
      </ns0:c>
      <ns0:c r="C1079" s="33" t="str">
        <ns0:f>IF($E1079="","",INDEX('Banka Dökümü'!$C$2:$C$2001,$E1079))</ns0:f>
        <ns0:v/>
      </ns0:c>
      <ns0:c r="D1079" s="28" t="str">
        <ns0:f>IF(E1079="","","Müşteri adı / aranacak ad / il bilgisini kontrol edin")</ns0:f>
        <ns0:v/>
      </ns0:c>
      <ns0:c r="E1079" s="28" t="str">
        <ns0:f>IFERROR(MATCH(1075,'Banka Dökümü'!$I$2:$I$2001,0),"")</ns0:f>
        <ns0:v/>
      </ns0:c>
    </ns0:row>
    <ns0:row r="1080" ht="21" customHeight="1">
      <ns0:c r="A1080" s="32" t="str">
        <ns0:f>IF($E1080="","",INDEX('Banka Dökümü'!$A$2:$A$2001,$E1080))</ns0:f>
        <ns0:v/>
      </ns0:c>
      <ns0:c r="B1080" s="28" t="str">
        <ns0:f>IF($E1080="","",INDEX('Banka Dökümü'!$B$2:$B$2001,$E1080))</ns0:f>
        <ns0:v/>
      </ns0:c>
      <ns0:c r="C1080" s="33" t="str">
        <ns0:f>IF($E1080="","",INDEX('Banka Dökümü'!$C$2:$C$2001,$E1080))</ns0:f>
        <ns0:v/>
      </ns0:c>
      <ns0:c r="D1080" s="28" t="str">
        <ns0:f>IF(E1080="","","Müşteri adı / aranacak ad / il bilgisini kontrol edin")</ns0:f>
        <ns0:v/>
      </ns0:c>
      <ns0:c r="E1080" s="28" t="str">
        <ns0:f>IFERROR(MATCH(1076,'Banka Dökümü'!$I$2:$I$2001,0),"")</ns0:f>
        <ns0:v/>
      </ns0:c>
    </ns0:row>
    <ns0:row r="1081" ht="21" customHeight="1">
      <ns0:c r="A1081" s="32" t="str">
        <ns0:f>IF($E1081="","",INDEX('Banka Dökümü'!$A$2:$A$2001,$E1081))</ns0:f>
        <ns0:v/>
      </ns0:c>
      <ns0:c r="B1081" s="28" t="str">
        <ns0:f>IF($E1081="","",INDEX('Banka Dökümü'!$B$2:$B$2001,$E1081))</ns0:f>
        <ns0:v/>
      </ns0:c>
      <ns0:c r="C1081" s="33" t="str">
        <ns0:f>IF($E1081="","",INDEX('Banka Dökümü'!$C$2:$C$2001,$E1081))</ns0:f>
        <ns0:v/>
      </ns0:c>
      <ns0:c r="D1081" s="28" t="str">
        <ns0:f>IF(E1081="","","Müşteri adı / aranacak ad / il bilgisini kontrol edin")</ns0:f>
        <ns0:v/>
      </ns0:c>
      <ns0:c r="E1081" s="28" t="str">
        <ns0:f>IFERROR(MATCH(1077,'Banka Dökümü'!$I$2:$I$2001,0),"")</ns0:f>
        <ns0:v/>
      </ns0:c>
    </ns0:row>
    <ns0:row r="1082" ht="21" customHeight="1">
      <ns0:c r="A1082" s="32" t="str">
        <ns0:f>IF($E1082="","",INDEX('Banka Dökümü'!$A$2:$A$2001,$E1082))</ns0:f>
        <ns0:v/>
      </ns0:c>
      <ns0:c r="B1082" s="28" t="str">
        <ns0:f>IF($E1082="","",INDEX('Banka Dökümü'!$B$2:$B$2001,$E1082))</ns0:f>
        <ns0:v/>
      </ns0:c>
      <ns0:c r="C1082" s="33" t="str">
        <ns0:f>IF($E1082="","",INDEX('Banka Dökümü'!$C$2:$C$2001,$E1082))</ns0:f>
        <ns0:v/>
      </ns0:c>
      <ns0:c r="D1082" s="28" t="str">
        <ns0:f>IF(E1082="","","Müşteri adı / aranacak ad / il bilgisini kontrol edin")</ns0:f>
        <ns0:v/>
      </ns0:c>
      <ns0:c r="E1082" s="28" t="str">
        <ns0:f>IFERROR(MATCH(1078,'Banka Dökümü'!$I$2:$I$2001,0),"")</ns0:f>
        <ns0:v/>
      </ns0:c>
    </ns0:row>
    <ns0:row r="1083" ht="21" customHeight="1">
      <ns0:c r="A1083" s="32" t="str">
        <ns0:f>IF($E1083="","",INDEX('Banka Dökümü'!$A$2:$A$2001,$E1083))</ns0:f>
        <ns0:v/>
      </ns0:c>
      <ns0:c r="B1083" s="28" t="str">
        <ns0:f>IF($E1083="","",INDEX('Banka Dökümü'!$B$2:$B$2001,$E1083))</ns0:f>
        <ns0:v/>
      </ns0:c>
      <ns0:c r="C1083" s="33" t="str">
        <ns0:f>IF($E1083="","",INDEX('Banka Dökümü'!$C$2:$C$2001,$E1083))</ns0:f>
        <ns0:v/>
      </ns0:c>
      <ns0:c r="D1083" s="28" t="str">
        <ns0:f>IF(E1083="","","Müşteri adı / aranacak ad / il bilgisini kontrol edin")</ns0:f>
        <ns0:v/>
      </ns0:c>
      <ns0:c r="E1083" s="28" t="str">
        <ns0:f>IFERROR(MATCH(1079,'Banka Dökümü'!$I$2:$I$2001,0),"")</ns0:f>
        <ns0:v/>
      </ns0:c>
    </ns0:row>
    <ns0:row r="1084" ht="21" customHeight="1">
      <ns0:c r="A1084" s="32" t="str">
        <ns0:f>IF($E1084="","",INDEX('Banka Dökümü'!$A$2:$A$2001,$E1084))</ns0:f>
        <ns0:v/>
      </ns0:c>
      <ns0:c r="B1084" s="28" t="str">
        <ns0:f>IF($E1084="","",INDEX('Banka Dökümü'!$B$2:$B$2001,$E1084))</ns0:f>
        <ns0:v/>
      </ns0:c>
      <ns0:c r="C1084" s="33" t="str">
        <ns0:f>IF($E1084="","",INDEX('Banka Dökümü'!$C$2:$C$2001,$E1084))</ns0:f>
        <ns0:v/>
      </ns0:c>
      <ns0:c r="D1084" s="28" t="str">
        <ns0:f>IF(E1084="","","Müşteri adı / aranacak ad / il bilgisini kontrol edin")</ns0:f>
        <ns0:v/>
      </ns0:c>
      <ns0:c r="E1084" s="28" t="str">
        <ns0:f>IFERROR(MATCH(1080,'Banka Dökümü'!$I$2:$I$2001,0),"")</ns0:f>
        <ns0:v/>
      </ns0:c>
    </ns0:row>
    <ns0:row r="1085" ht="21" customHeight="1">
      <ns0:c r="A1085" s="32" t="str">
        <ns0:f>IF($E1085="","",INDEX('Banka Dökümü'!$A$2:$A$2001,$E1085))</ns0:f>
        <ns0:v/>
      </ns0:c>
      <ns0:c r="B1085" s="28" t="str">
        <ns0:f>IF($E1085="","",INDEX('Banka Dökümü'!$B$2:$B$2001,$E1085))</ns0:f>
        <ns0:v/>
      </ns0:c>
      <ns0:c r="C1085" s="33" t="str">
        <ns0:f>IF($E1085="","",INDEX('Banka Dökümü'!$C$2:$C$2001,$E1085))</ns0:f>
        <ns0:v/>
      </ns0:c>
      <ns0:c r="D1085" s="28" t="str">
        <ns0:f>IF(E1085="","","Müşteri adı / aranacak ad / il bilgisini kontrol edin")</ns0:f>
        <ns0:v/>
      </ns0:c>
      <ns0:c r="E1085" s="28" t="str">
        <ns0:f>IFERROR(MATCH(1081,'Banka Dökümü'!$I$2:$I$2001,0),"")</ns0:f>
        <ns0:v/>
      </ns0:c>
    </ns0:row>
    <ns0:row r="1086" ht="21" customHeight="1">
      <ns0:c r="A1086" s="32" t="str">
        <ns0:f>IF($E1086="","",INDEX('Banka Dökümü'!$A$2:$A$2001,$E1086))</ns0:f>
        <ns0:v/>
      </ns0:c>
      <ns0:c r="B1086" s="28" t="str">
        <ns0:f>IF($E1086="","",INDEX('Banka Dökümü'!$B$2:$B$2001,$E1086))</ns0:f>
        <ns0:v/>
      </ns0:c>
      <ns0:c r="C1086" s="33" t="str">
        <ns0:f>IF($E1086="","",INDEX('Banka Dökümü'!$C$2:$C$2001,$E1086))</ns0:f>
        <ns0:v/>
      </ns0:c>
      <ns0:c r="D1086" s="28" t="str">
        <ns0:f>IF(E1086="","","Müşteri adı / aranacak ad / il bilgisini kontrol edin")</ns0:f>
        <ns0:v/>
      </ns0:c>
      <ns0:c r="E1086" s="28" t="str">
        <ns0:f>IFERROR(MATCH(1082,'Banka Dökümü'!$I$2:$I$2001,0),"")</ns0:f>
        <ns0:v/>
      </ns0:c>
    </ns0:row>
    <ns0:row r="1087" ht="21" customHeight="1">
      <ns0:c r="A1087" s="32" t="str">
        <ns0:f>IF($E1087="","",INDEX('Banka Dökümü'!$A$2:$A$2001,$E1087))</ns0:f>
        <ns0:v/>
      </ns0:c>
      <ns0:c r="B1087" s="28" t="str">
        <ns0:f>IF($E1087="","",INDEX('Banka Dökümü'!$B$2:$B$2001,$E1087))</ns0:f>
        <ns0:v/>
      </ns0:c>
      <ns0:c r="C1087" s="33" t="str">
        <ns0:f>IF($E1087="","",INDEX('Banka Dökümü'!$C$2:$C$2001,$E1087))</ns0:f>
        <ns0:v/>
      </ns0:c>
      <ns0:c r="D1087" s="28" t="str">
        <ns0:f>IF(E1087="","","Müşteri adı / aranacak ad / il bilgisini kontrol edin")</ns0:f>
        <ns0:v/>
      </ns0:c>
      <ns0:c r="E1087" s="28" t="str">
        <ns0:f>IFERROR(MATCH(1083,'Banka Dökümü'!$I$2:$I$2001,0),"")</ns0:f>
        <ns0:v/>
      </ns0:c>
    </ns0:row>
    <ns0:row r="1088" ht="21" customHeight="1">
      <ns0:c r="A1088" s="32" t="str">
        <ns0:f>IF($E1088="","",INDEX('Banka Dökümü'!$A$2:$A$2001,$E1088))</ns0:f>
        <ns0:v/>
      </ns0:c>
      <ns0:c r="B1088" s="28" t="str">
        <ns0:f>IF($E1088="","",INDEX('Banka Dökümü'!$B$2:$B$2001,$E1088))</ns0:f>
        <ns0:v/>
      </ns0:c>
      <ns0:c r="C1088" s="33" t="str">
        <ns0:f>IF($E1088="","",INDEX('Banka Dökümü'!$C$2:$C$2001,$E1088))</ns0:f>
        <ns0:v/>
      </ns0:c>
      <ns0:c r="D1088" s="28" t="str">
        <ns0:f>IF(E1088="","","Müşteri adı / aranacak ad / il bilgisini kontrol edin")</ns0:f>
        <ns0:v/>
      </ns0:c>
      <ns0:c r="E1088" s="28" t="str">
        <ns0:f>IFERROR(MATCH(1084,'Banka Dökümü'!$I$2:$I$2001,0),"")</ns0:f>
        <ns0:v/>
      </ns0:c>
    </ns0:row>
    <ns0:row r="1089" ht="21" customHeight="1">
      <ns0:c r="A1089" s="32" t="str">
        <ns0:f>IF($E1089="","",INDEX('Banka Dökümü'!$A$2:$A$2001,$E1089))</ns0:f>
        <ns0:v/>
      </ns0:c>
      <ns0:c r="B1089" s="28" t="str">
        <ns0:f>IF($E1089="","",INDEX('Banka Dökümü'!$B$2:$B$2001,$E1089))</ns0:f>
        <ns0:v/>
      </ns0:c>
      <ns0:c r="C1089" s="33" t="str">
        <ns0:f>IF($E1089="","",INDEX('Banka Dökümü'!$C$2:$C$2001,$E1089))</ns0:f>
        <ns0:v/>
      </ns0:c>
      <ns0:c r="D1089" s="28" t="str">
        <ns0:f>IF(E1089="","","Müşteri adı / aranacak ad / il bilgisini kontrol edin")</ns0:f>
        <ns0:v/>
      </ns0:c>
      <ns0:c r="E1089" s="28" t="str">
        <ns0:f>IFERROR(MATCH(1085,'Banka Dökümü'!$I$2:$I$2001,0),"")</ns0:f>
        <ns0:v/>
      </ns0:c>
    </ns0:row>
    <ns0:row r="1090" ht="21" customHeight="1">
      <ns0:c r="A1090" s="32" t="str">
        <ns0:f>IF($E1090="","",INDEX('Banka Dökümü'!$A$2:$A$2001,$E1090))</ns0:f>
        <ns0:v/>
      </ns0:c>
      <ns0:c r="B1090" s="28" t="str">
        <ns0:f>IF($E1090="","",INDEX('Banka Dökümü'!$B$2:$B$2001,$E1090))</ns0:f>
        <ns0:v/>
      </ns0:c>
      <ns0:c r="C1090" s="33" t="str">
        <ns0:f>IF($E1090="","",INDEX('Banka Dökümü'!$C$2:$C$2001,$E1090))</ns0:f>
        <ns0:v/>
      </ns0:c>
      <ns0:c r="D1090" s="28" t="str">
        <ns0:f>IF(E1090="","","Müşteri adı / aranacak ad / il bilgisini kontrol edin")</ns0:f>
        <ns0:v/>
      </ns0:c>
      <ns0:c r="E1090" s="28" t="str">
        <ns0:f>IFERROR(MATCH(1086,'Banka Dökümü'!$I$2:$I$2001,0),"")</ns0:f>
        <ns0:v/>
      </ns0:c>
    </ns0:row>
    <ns0:row r="1091" ht="21" customHeight="1">
      <ns0:c r="A1091" s="32" t="str">
        <ns0:f>IF($E1091="","",INDEX('Banka Dökümü'!$A$2:$A$2001,$E1091))</ns0:f>
        <ns0:v/>
      </ns0:c>
      <ns0:c r="B1091" s="28" t="str">
        <ns0:f>IF($E1091="","",INDEX('Banka Dökümü'!$B$2:$B$2001,$E1091))</ns0:f>
        <ns0:v/>
      </ns0:c>
      <ns0:c r="C1091" s="33" t="str">
        <ns0:f>IF($E1091="","",INDEX('Banka Dökümü'!$C$2:$C$2001,$E1091))</ns0:f>
        <ns0:v/>
      </ns0:c>
      <ns0:c r="D1091" s="28" t="str">
        <ns0:f>IF(E1091="","","Müşteri adı / aranacak ad / il bilgisini kontrol edin")</ns0:f>
        <ns0:v/>
      </ns0:c>
      <ns0:c r="E1091" s="28" t="str">
        <ns0:f>IFERROR(MATCH(1087,'Banka Dökümü'!$I$2:$I$2001,0),"")</ns0:f>
        <ns0:v/>
      </ns0:c>
    </ns0:row>
    <ns0:row r="1092" ht="21" customHeight="1">
      <ns0:c r="A1092" s="32" t="str">
        <ns0:f>IF($E1092="","",INDEX('Banka Dökümü'!$A$2:$A$2001,$E1092))</ns0:f>
        <ns0:v/>
      </ns0:c>
      <ns0:c r="B1092" s="28" t="str">
        <ns0:f>IF($E1092="","",INDEX('Banka Dökümü'!$B$2:$B$2001,$E1092))</ns0:f>
        <ns0:v/>
      </ns0:c>
      <ns0:c r="C1092" s="33" t="str">
        <ns0:f>IF($E1092="","",INDEX('Banka Dökümü'!$C$2:$C$2001,$E1092))</ns0:f>
        <ns0:v/>
      </ns0:c>
      <ns0:c r="D1092" s="28" t="str">
        <ns0:f>IF(E1092="","","Müşteri adı / aranacak ad / il bilgisini kontrol edin")</ns0:f>
        <ns0:v/>
      </ns0:c>
      <ns0:c r="E1092" s="28" t="str">
        <ns0:f>IFERROR(MATCH(1088,'Banka Dökümü'!$I$2:$I$2001,0),"")</ns0:f>
        <ns0:v/>
      </ns0:c>
    </ns0:row>
    <ns0:row r="1093" ht="21" customHeight="1">
      <ns0:c r="A1093" s="32" t="str">
        <ns0:f>IF($E1093="","",INDEX('Banka Dökümü'!$A$2:$A$2001,$E1093))</ns0:f>
        <ns0:v/>
      </ns0:c>
      <ns0:c r="B1093" s="28" t="str">
        <ns0:f>IF($E1093="","",INDEX('Banka Dökümü'!$B$2:$B$2001,$E1093))</ns0:f>
        <ns0:v/>
      </ns0:c>
      <ns0:c r="C1093" s="33" t="str">
        <ns0:f>IF($E1093="","",INDEX('Banka Dökümü'!$C$2:$C$2001,$E1093))</ns0:f>
        <ns0:v/>
      </ns0:c>
      <ns0:c r="D1093" s="28" t="str">
        <ns0:f>IF(E1093="","","Müşteri adı / aranacak ad / il bilgisini kontrol edin")</ns0:f>
        <ns0:v/>
      </ns0:c>
      <ns0:c r="E1093" s="28" t="str">
        <ns0:f>IFERROR(MATCH(1089,'Banka Dökümü'!$I$2:$I$2001,0),"")</ns0:f>
        <ns0:v/>
      </ns0:c>
    </ns0:row>
    <ns0:row r="1094" ht="21" customHeight="1">
      <ns0:c r="A1094" s="32" t="str">
        <ns0:f>IF($E1094="","",INDEX('Banka Dökümü'!$A$2:$A$2001,$E1094))</ns0:f>
        <ns0:v/>
      </ns0:c>
      <ns0:c r="B1094" s="28" t="str">
        <ns0:f>IF($E1094="","",INDEX('Banka Dökümü'!$B$2:$B$2001,$E1094))</ns0:f>
        <ns0:v/>
      </ns0:c>
      <ns0:c r="C1094" s="33" t="str">
        <ns0:f>IF($E1094="","",INDEX('Banka Dökümü'!$C$2:$C$2001,$E1094))</ns0:f>
        <ns0:v/>
      </ns0:c>
      <ns0:c r="D1094" s="28" t="str">
        <ns0:f>IF(E1094="","","Müşteri adı / aranacak ad / il bilgisini kontrol edin")</ns0:f>
        <ns0:v/>
      </ns0:c>
      <ns0:c r="E1094" s="28" t="str">
        <ns0:f>IFERROR(MATCH(1090,'Banka Dökümü'!$I$2:$I$2001,0),"")</ns0:f>
        <ns0:v/>
      </ns0:c>
    </ns0:row>
    <ns0:row r="1095" ht="21" customHeight="1">
      <ns0:c r="A1095" s="32" t="str">
        <ns0:f>IF($E1095="","",INDEX('Banka Dökümü'!$A$2:$A$2001,$E1095))</ns0:f>
        <ns0:v/>
      </ns0:c>
      <ns0:c r="B1095" s="28" t="str">
        <ns0:f>IF($E1095="","",INDEX('Banka Dökümü'!$B$2:$B$2001,$E1095))</ns0:f>
        <ns0:v/>
      </ns0:c>
      <ns0:c r="C1095" s="33" t="str">
        <ns0:f>IF($E1095="","",INDEX('Banka Dökümü'!$C$2:$C$2001,$E1095))</ns0:f>
        <ns0:v/>
      </ns0:c>
      <ns0:c r="D1095" s="28" t="str">
        <ns0:f>IF(E1095="","","Müşteri adı / aranacak ad / il bilgisini kontrol edin")</ns0:f>
        <ns0:v/>
      </ns0:c>
      <ns0:c r="E1095" s="28" t="str">
        <ns0:f>IFERROR(MATCH(1091,'Banka Dökümü'!$I$2:$I$2001,0),"")</ns0:f>
        <ns0:v/>
      </ns0:c>
    </ns0:row>
    <ns0:row r="1096" ht="21" customHeight="1">
      <ns0:c r="A1096" s="32" t="str">
        <ns0:f>IF($E1096="","",INDEX('Banka Dökümü'!$A$2:$A$2001,$E1096))</ns0:f>
        <ns0:v/>
      </ns0:c>
      <ns0:c r="B1096" s="28" t="str">
        <ns0:f>IF($E1096="","",INDEX('Banka Dökümü'!$B$2:$B$2001,$E1096))</ns0:f>
        <ns0:v/>
      </ns0:c>
      <ns0:c r="C1096" s="33" t="str">
        <ns0:f>IF($E1096="","",INDEX('Banka Dökümü'!$C$2:$C$2001,$E1096))</ns0:f>
        <ns0:v/>
      </ns0:c>
      <ns0:c r="D1096" s="28" t="str">
        <ns0:f>IF(E1096="","","Müşteri adı / aranacak ad / il bilgisini kontrol edin")</ns0:f>
        <ns0:v/>
      </ns0:c>
      <ns0:c r="E1096" s="28" t="str">
        <ns0:f>IFERROR(MATCH(1092,'Banka Dökümü'!$I$2:$I$2001,0),"")</ns0:f>
        <ns0:v/>
      </ns0:c>
    </ns0:row>
    <ns0:row r="1097" ht="21" customHeight="1">
      <ns0:c r="A1097" s="32" t="str">
        <ns0:f>IF($E1097="","",INDEX('Banka Dökümü'!$A$2:$A$2001,$E1097))</ns0:f>
        <ns0:v/>
      </ns0:c>
      <ns0:c r="B1097" s="28" t="str">
        <ns0:f>IF($E1097="","",INDEX('Banka Dökümü'!$B$2:$B$2001,$E1097))</ns0:f>
        <ns0:v/>
      </ns0:c>
      <ns0:c r="C1097" s="33" t="str">
        <ns0:f>IF($E1097="","",INDEX('Banka Dökümü'!$C$2:$C$2001,$E1097))</ns0:f>
        <ns0:v/>
      </ns0:c>
      <ns0:c r="D1097" s="28" t="str">
        <ns0:f>IF(E1097="","","Müşteri adı / aranacak ad / il bilgisini kontrol edin")</ns0:f>
        <ns0:v/>
      </ns0:c>
      <ns0:c r="E1097" s="28" t="str">
        <ns0:f>IFERROR(MATCH(1093,'Banka Dökümü'!$I$2:$I$2001,0),"")</ns0:f>
        <ns0:v/>
      </ns0:c>
    </ns0:row>
    <ns0:row r="1098" ht="21" customHeight="1">
      <ns0:c r="A1098" s="32" t="str">
        <ns0:f>IF($E1098="","",INDEX('Banka Dökümü'!$A$2:$A$2001,$E1098))</ns0:f>
        <ns0:v/>
      </ns0:c>
      <ns0:c r="B1098" s="28" t="str">
        <ns0:f>IF($E1098="","",INDEX('Banka Dökümü'!$B$2:$B$2001,$E1098))</ns0:f>
        <ns0:v/>
      </ns0:c>
      <ns0:c r="C1098" s="33" t="str">
        <ns0:f>IF($E1098="","",INDEX('Banka Dökümü'!$C$2:$C$2001,$E1098))</ns0:f>
        <ns0:v/>
      </ns0:c>
      <ns0:c r="D1098" s="28" t="str">
        <ns0:f>IF(E1098="","","Müşteri adı / aranacak ad / il bilgisini kontrol edin")</ns0:f>
        <ns0:v/>
      </ns0:c>
      <ns0:c r="E1098" s="28" t="str">
        <ns0:f>IFERROR(MATCH(1094,'Banka Dökümü'!$I$2:$I$2001,0),"")</ns0:f>
        <ns0:v/>
      </ns0:c>
    </ns0:row>
    <ns0:row r="1099" ht="21" customHeight="1">
      <ns0:c r="A1099" s="32" t="str">
        <ns0:f>IF($E1099="","",INDEX('Banka Dökümü'!$A$2:$A$2001,$E1099))</ns0:f>
        <ns0:v/>
      </ns0:c>
      <ns0:c r="B1099" s="28" t="str">
        <ns0:f>IF($E1099="","",INDEX('Banka Dökümü'!$B$2:$B$2001,$E1099))</ns0:f>
        <ns0:v/>
      </ns0:c>
      <ns0:c r="C1099" s="33" t="str">
        <ns0:f>IF($E1099="","",INDEX('Banka Dökümü'!$C$2:$C$2001,$E1099))</ns0:f>
        <ns0:v/>
      </ns0:c>
      <ns0:c r="D1099" s="28" t="str">
        <ns0:f>IF(E1099="","","Müşteri adı / aranacak ad / il bilgisini kontrol edin")</ns0:f>
        <ns0:v/>
      </ns0:c>
      <ns0:c r="E1099" s="28" t="str">
        <ns0:f>IFERROR(MATCH(1095,'Banka Dökümü'!$I$2:$I$2001,0),"")</ns0:f>
        <ns0:v/>
      </ns0:c>
    </ns0:row>
    <ns0:row r="1100" ht="21" customHeight="1">
      <ns0:c r="A1100" s="32" t="str">
        <ns0:f>IF($E1100="","",INDEX('Banka Dökümü'!$A$2:$A$2001,$E1100))</ns0:f>
        <ns0:v/>
      </ns0:c>
      <ns0:c r="B1100" s="28" t="str">
        <ns0:f>IF($E1100="","",INDEX('Banka Dökümü'!$B$2:$B$2001,$E1100))</ns0:f>
        <ns0:v/>
      </ns0:c>
      <ns0:c r="C1100" s="33" t="str">
        <ns0:f>IF($E1100="","",INDEX('Banka Dökümü'!$C$2:$C$2001,$E1100))</ns0:f>
        <ns0:v/>
      </ns0:c>
      <ns0:c r="D1100" s="28" t="str">
        <ns0:f>IF(E1100="","","Müşteri adı / aranacak ad / il bilgisini kontrol edin")</ns0:f>
        <ns0:v/>
      </ns0:c>
      <ns0:c r="E1100" s="28" t="str">
        <ns0:f>IFERROR(MATCH(1096,'Banka Dökümü'!$I$2:$I$2001,0),"")</ns0:f>
        <ns0:v/>
      </ns0:c>
    </ns0:row>
    <ns0:row r="1101" ht="21" customHeight="1">
      <ns0:c r="A1101" s="32" t="str">
        <ns0:f>IF($E1101="","",INDEX('Banka Dökümü'!$A$2:$A$2001,$E1101))</ns0:f>
        <ns0:v/>
      </ns0:c>
      <ns0:c r="B1101" s="28" t="str">
        <ns0:f>IF($E1101="","",INDEX('Banka Dökümü'!$B$2:$B$2001,$E1101))</ns0:f>
        <ns0:v/>
      </ns0:c>
      <ns0:c r="C1101" s="33" t="str">
        <ns0:f>IF($E1101="","",INDEX('Banka Dökümü'!$C$2:$C$2001,$E1101))</ns0:f>
        <ns0:v/>
      </ns0:c>
      <ns0:c r="D1101" s="28" t="str">
        <ns0:f>IF(E1101="","","Müşteri adı / aranacak ad / il bilgisini kontrol edin")</ns0:f>
        <ns0:v/>
      </ns0:c>
      <ns0:c r="E1101" s="28" t="str">
        <ns0:f>IFERROR(MATCH(1097,'Banka Dökümü'!$I$2:$I$2001,0),"")</ns0:f>
        <ns0:v/>
      </ns0:c>
    </ns0:row>
    <ns0:row r="1102" ht="21" customHeight="1">
      <ns0:c r="A1102" s="32" t="str">
        <ns0:f>IF($E1102="","",INDEX('Banka Dökümü'!$A$2:$A$2001,$E1102))</ns0:f>
        <ns0:v/>
      </ns0:c>
      <ns0:c r="B1102" s="28" t="str">
        <ns0:f>IF($E1102="","",INDEX('Banka Dökümü'!$B$2:$B$2001,$E1102))</ns0:f>
        <ns0:v/>
      </ns0:c>
      <ns0:c r="C1102" s="33" t="str">
        <ns0:f>IF($E1102="","",INDEX('Banka Dökümü'!$C$2:$C$2001,$E1102))</ns0:f>
        <ns0:v/>
      </ns0:c>
      <ns0:c r="D1102" s="28" t="str">
        <ns0:f>IF(E1102="","","Müşteri adı / aranacak ad / il bilgisini kontrol edin")</ns0:f>
        <ns0:v/>
      </ns0:c>
      <ns0:c r="E1102" s="28" t="str">
        <ns0:f>IFERROR(MATCH(1098,'Banka Dökümü'!$I$2:$I$2001,0),"")</ns0:f>
        <ns0:v/>
      </ns0:c>
    </ns0:row>
    <ns0:row r="1103" ht="21" customHeight="1">
      <ns0:c r="A1103" s="32" t="str">
        <ns0:f>IF($E1103="","",INDEX('Banka Dökümü'!$A$2:$A$2001,$E1103))</ns0:f>
        <ns0:v/>
      </ns0:c>
      <ns0:c r="B1103" s="28" t="str">
        <ns0:f>IF($E1103="","",INDEX('Banka Dökümü'!$B$2:$B$2001,$E1103))</ns0:f>
        <ns0:v/>
      </ns0:c>
      <ns0:c r="C1103" s="33" t="str">
        <ns0:f>IF($E1103="","",INDEX('Banka Dökümü'!$C$2:$C$2001,$E1103))</ns0:f>
        <ns0:v/>
      </ns0:c>
      <ns0:c r="D1103" s="28" t="str">
        <ns0:f>IF(E1103="","","Müşteri adı / aranacak ad / il bilgisini kontrol edin")</ns0:f>
        <ns0:v/>
      </ns0:c>
      <ns0:c r="E1103" s="28" t="str">
        <ns0:f>IFERROR(MATCH(1099,'Banka Dökümü'!$I$2:$I$2001,0),"")</ns0:f>
        <ns0:v/>
      </ns0:c>
    </ns0:row>
    <ns0:row r="1104" ht="21" customHeight="1">
      <ns0:c r="A1104" s="32" t="str">
        <ns0:f>IF($E1104="","",INDEX('Banka Dökümü'!$A$2:$A$2001,$E1104))</ns0:f>
        <ns0:v/>
      </ns0:c>
      <ns0:c r="B1104" s="28" t="str">
        <ns0:f>IF($E1104="","",INDEX('Banka Dökümü'!$B$2:$B$2001,$E1104))</ns0:f>
        <ns0:v/>
      </ns0:c>
      <ns0:c r="C1104" s="33" t="str">
        <ns0:f>IF($E1104="","",INDEX('Banka Dökümü'!$C$2:$C$2001,$E1104))</ns0:f>
        <ns0:v/>
      </ns0:c>
      <ns0:c r="D1104" s="28" t="str">
        <ns0:f>IF(E1104="","","Müşteri adı / aranacak ad / il bilgisini kontrol edin")</ns0:f>
        <ns0:v/>
      </ns0:c>
      <ns0:c r="E1104" s="28" t="str">
        <ns0:f>IFERROR(MATCH(1100,'Banka Dökümü'!$I$2:$I$2001,0),"")</ns0:f>
        <ns0:v/>
      </ns0:c>
    </ns0:row>
    <ns0:row r="1105" ht="21" customHeight="1">
      <ns0:c r="A1105" s="32" t="str">
        <ns0:f>IF($E1105="","",INDEX('Banka Dökümü'!$A$2:$A$2001,$E1105))</ns0:f>
        <ns0:v/>
      </ns0:c>
      <ns0:c r="B1105" s="28" t="str">
        <ns0:f>IF($E1105="","",INDEX('Banka Dökümü'!$B$2:$B$2001,$E1105))</ns0:f>
        <ns0:v/>
      </ns0:c>
      <ns0:c r="C1105" s="33" t="str">
        <ns0:f>IF($E1105="","",INDEX('Banka Dökümü'!$C$2:$C$2001,$E1105))</ns0:f>
        <ns0:v/>
      </ns0:c>
      <ns0:c r="D1105" s="28" t="str">
        <ns0:f>IF(E1105="","","Müşteri adı / aranacak ad / il bilgisini kontrol edin")</ns0:f>
        <ns0:v/>
      </ns0:c>
      <ns0:c r="E1105" s="28" t="str">
        <ns0:f>IFERROR(MATCH(1101,'Banka Dökümü'!$I$2:$I$2001,0),"")</ns0:f>
        <ns0:v/>
      </ns0:c>
    </ns0:row>
    <ns0:row r="1106" ht="21" customHeight="1">
      <ns0:c r="A1106" s="32" t="str">
        <ns0:f>IF($E1106="","",INDEX('Banka Dökümü'!$A$2:$A$2001,$E1106))</ns0:f>
        <ns0:v/>
      </ns0:c>
      <ns0:c r="B1106" s="28" t="str">
        <ns0:f>IF($E1106="","",INDEX('Banka Dökümü'!$B$2:$B$2001,$E1106))</ns0:f>
        <ns0:v/>
      </ns0:c>
      <ns0:c r="C1106" s="33" t="str">
        <ns0:f>IF($E1106="","",INDEX('Banka Dökümü'!$C$2:$C$2001,$E1106))</ns0:f>
        <ns0:v/>
      </ns0:c>
      <ns0:c r="D1106" s="28" t="str">
        <ns0:f>IF(E1106="","","Müşteri adı / aranacak ad / il bilgisini kontrol edin")</ns0:f>
        <ns0:v/>
      </ns0:c>
      <ns0:c r="E1106" s="28" t="str">
        <ns0:f>IFERROR(MATCH(1102,'Banka Dökümü'!$I$2:$I$2001,0),"")</ns0:f>
        <ns0:v/>
      </ns0:c>
    </ns0:row>
    <ns0:row r="1107" ht="21" customHeight="1">
      <ns0:c r="A1107" s="32" t="str">
        <ns0:f>IF($E1107="","",INDEX('Banka Dökümü'!$A$2:$A$2001,$E1107))</ns0:f>
        <ns0:v/>
      </ns0:c>
      <ns0:c r="B1107" s="28" t="str">
        <ns0:f>IF($E1107="","",INDEX('Banka Dökümü'!$B$2:$B$2001,$E1107))</ns0:f>
        <ns0:v/>
      </ns0:c>
      <ns0:c r="C1107" s="33" t="str">
        <ns0:f>IF($E1107="","",INDEX('Banka Dökümü'!$C$2:$C$2001,$E1107))</ns0:f>
        <ns0:v/>
      </ns0:c>
      <ns0:c r="D1107" s="28" t="str">
        <ns0:f>IF(E1107="","","Müşteri adı / aranacak ad / il bilgisini kontrol edin")</ns0:f>
        <ns0:v/>
      </ns0:c>
      <ns0:c r="E1107" s="28" t="str">
        <ns0:f>IFERROR(MATCH(1103,'Banka Dökümü'!$I$2:$I$2001,0),"")</ns0:f>
        <ns0:v/>
      </ns0:c>
    </ns0:row>
    <ns0:row r="1108" ht="21" customHeight="1">
      <ns0:c r="A1108" s="32" t="str">
        <ns0:f>IF($E1108="","",INDEX('Banka Dökümü'!$A$2:$A$2001,$E1108))</ns0:f>
        <ns0:v/>
      </ns0:c>
      <ns0:c r="B1108" s="28" t="str">
        <ns0:f>IF($E1108="","",INDEX('Banka Dökümü'!$B$2:$B$2001,$E1108))</ns0:f>
        <ns0:v/>
      </ns0:c>
      <ns0:c r="C1108" s="33" t="str">
        <ns0:f>IF($E1108="","",INDEX('Banka Dökümü'!$C$2:$C$2001,$E1108))</ns0:f>
        <ns0:v/>
      </ns0:c>
      <ns0:c r="D1108" s="28" t="str">
        <ns0:f>IF(E1108="","","Müşteri adı / aranacak ad / il bilgisini kontrol edin")</ns0:f>
        <ns0:v/>
      </ns0:c>
      <ns0:c r="E1108" s="28" t="str">
        <ns0:f>IFERROR(MATCH(1104,'Banka Dökümü'!$I$2:$I$2001,0),"")</ns0:f>
        <ns0:v/>
      </ns0:c>
    </ns0:row>
    <ns0:row r="1109" ht="21" customHeight="1">
      <ns0:c r="A1109" s="32" t="str">
        <ns0:f>IF($E1109="","",INDEX('Banka Dökümü'!$A$2:$A$2001,$E1109))</ns0:f>
        <ns0:v/>
      </ns0:c>
      <ns0:c r="B1109" s="28" t="str">
        <ns0:f>IF($E1109="","",INDEX('Banka Dökümü'!$B$2:$B$2001,$E1109))</ns0:f>
        <ns0:v/>
      </ns0:c>
      <ns0:c r="C1109" s="33" t="str">
        <ns0:f>IF($E1109="","",INDEX('Banka Dökümü'!$C$2:$C$2001,$E1109))</ns0:f>
        <ns0:v/>
      </ns0:c>
      <ns0:c r="D1109" s="28" t="str">
        <ns0:f>IF(E1109="","","Müşteri adı / aranacak ad / il bilgisini kontrol edin")</ns0:f>
        <ns0:v/>
      </ns0:c>
      <ns0:c r="E1109" s="28" t="str">
        <ns0:f>IFERROR(MATCH(1105,'Banka Dökümü'!$I$2:$I$2001,0),"")</ns0:f>
        <ns0:v/>
      </ns0:c>
    </ns0:row>
    <ns0:row r="1110" ht="21" customHeight="1">
      <ns0:c r="A1110" s="32" t="str">
        <ns0:f>IF($E1110="","",INDEX('Banka Dökümü'!$A$2:$A$2001,$E1110))</ns0:f>
        <ns0:v/>
      </ns0:c>
      <ns0:c r="B1110" s="28" t="str">
        <ns0:f>IF($E1110="","",INDEX('Banka Dökümü'!$B$2:$B$2001,$E1110))</ns0:f>
        <ns0:v/>
      </ns0:c>
      <ns0:c r="C1110" s="33" t="str">
        <ns0:f>IF($E1110="","",INDEX('Banka Dökümü'!$C$2:$C$2001,$E1110))</ns0:f>
        <ns0:v/>
      </ns0:c>
      <ns0:c r="D1110" s="28" t="str">
        <ns0:f>IF(E1110="","","Müşteri adı / aranacak ad / il bilgisini kontrol edin")</ns0:f>
        <ns0:v/>
      </ns0:c>
      <ns0:c r="E1110" s="28" t="str">
        <ns0:f>IFERROR(MATCH(1106,'Banka Dökümü'!$I$2:$I$2001,0),"")</ns0:f>
        <ns0:v/>
      </ns0:c>
    </ns0:row>
    <ns0:row r="1111" ht="21" customHeight="1">
      <ns0:c r="A1111" s="32" t="str">
        <ns0:f>IF($E1111="","",INDEX('Banka Dökümü'!$A$2:$A$2001,$E1111))</ns0:f>
        <ns0:v/>
      </ns0:c>
      <ns0:c r="B1111" s="28" t="str">
        <ns0:f>IF($E1111="","",INDEX('Banka Dökümü'!$B$2:$B$2001,$E1111))</ns0:f>
        <ns0:v/>
      </ns0:c>
      <ns0:c r="C1111" s="33" t="str">
        <ns0:f>IF($E1111="","",INDEX('Banka Dökümü'!$C$2:$C$2001,$E1111))</ns0:f>
        <ns0:v/>
      </ns0:c>
      <ns0:c r="D1111" s="28" t="str">
        <ns0:f>IF(E1111="","","Müşteri adı / aranacak ad / il bilgisini kontrol edin")</ns0:f>
        <ns0:v/>
      </ns0:c>
      <ns0:c r="E1111" s="28" t="str">
        <ns0:f>IFERROR(MATCH(1107,'Banka Dökümü'!$I$2:$I$2001,0),"")</ns0:f>
        <ns0:v/>
      </ns0:c>
    </ns0:row>
    <ns0:row r="1112" ht="21" customHeight="1">
      <ns0:c r="A1112" s="32" t="str">
        <ns0:f>IF($E1112="","",INDEX('Banka Dökümü'!$A$2:$A$2001,$E1112))</ns0:f>
        <ns0:v/>
      </ns0:c>
      <ns0:c r="B1112" s="28" t="str">
        <ns0:f>IF($E1112="","",INDEX('Banka Dökümü'!$B$2:$B$2001,$E1112))</ns0:f>
        <ns0:v/>
      </ns0:c>
      <ns0:c r="C1112" s="33" t="str">
        <ns0:f>IF($E1112="","",INDEX('Banka Dökümü'!$C$2:$C$2001,$E1112))</ns0:f>
        <ns0:v/>
      </ns0:c>
      <ns0:c r="D1112" s="28" t="str">
        <ns0:f>IF(E1112="","","Müşteri adı / aranacak ad / il bilgisini kontrol edin")</ns0:f>
        <ns0:v/>
      </ns0:c>
      <ns0:c r="E1112" s="28" t="str">
        <ns0:f>IFERROR(MATCH(1108,'Banka Dökümü'!$I$2:$I$2001,0),"")</ns0:f>
        <ns0:v/>
      </ns0:c>
    </ns0:row>
    <ns0:row r="1113" ht="21" customHeight="1">
      <ns0:c r="A1113" s="32" t="str">
        <ns0:f>IF($E1113="","",INDEX('Banka Dökümü'!$A$2:$A$2001,$E1113))</ns0:f>
        <ns0:v/>
      </ns0:c>
      <ns0:c r="B1113" s="28" t="str">
        <ns0:f>IF($E1113="","",INDEX('Banka Dökümü'!$B$2:$B$2001,$E1113))</ns0:f>
        <ns0:v/>
      </ns0:c>
      <ns0:c r="C1113" s="33" t="str">
        <ns0:f>IF($E1113="","",INDEX('Banka Dökümü'!$C$2:$C$2001,$E1113))</ns0:f>
        <ns0:v/>
      </ns0:c>
      <ns0:c r="D1113" s="28" t="str">
        <ns0:f>IF(E1113="","","Müşteri adı / aranacak ad / il bilgisini kontrol edin")</ns0:f>
        <ns0:v/>
      </ns0:c>
      <ns0:c r="E1113" s="28" t="str">
        <ns0:f>IFERROR(MATCH(1109,'Banka Dökümü'!$I$2:$I$2001,0),"")</ns0:f>
        <ns0:v/>
      </ns0:c>
    </ns0:row>
    <ns0:row r="1114" ht="21" customHeight="1">
      <ns0:c r="A1114" s="32" t="str">
        <ns0:f>IF($E1114="","",INDEX('Banka Dökümü'!$A$2:$A$2001,$E1114))</ns0:f>
        <ns0:v/>
      </ns0:c>
      <ns0:c r="B1114" s="28" t="str">
        <ns0:f>IF($E1114="","",INDEX('Banka Dökümü'!$B$2:$B$2001,$E1114))</ns0:f>
        <ns0:v/>
      </ns0:c>
      <ns0:c r="C1114" s="33" t="str">
        <ns0:f>IF($E1114="","",INDEX('Banka Dökümü'!$C$2:$C$2001,$E1114))</ns0:f>
        <ns0:v/>
      </ns0:c>
      <ns0:c r="D1114" s="28" t="str">
        <ns0:f>IF(E1114="","","Müşteri adı / aranacak ad / il bilgisini kontrol edin")</ns0:f>
        <ns0:v/>
      </ns0:c>
      <ns0:c r="E1114" s="28" t="str">
        <ns0:f>IFERROR(MATCH(1110,'Banka Dökümü'!$I$2:$I$2001,0),"")</ns0:f>
        <ns0:v/>
      </ns0:c>
    </ns0:row>
    <ns0:row r="1115" ht="21" customHeight="1">
      <ns0:c r="A1115" s="32" t="str">
        <ns0:f>IF($E1115="","",INDEX('Banka Dökümü'!$A$2:$A$2001,$E1115))</ns0:f>
        <ns0:v/>
      </ns0:c>
      <ns0:c r="B1115" s="28" t="str">
        <ns0:f>IF($E1115="","",INDEX('Banka Dökümü'!$B$2:$B$2001,$E1115))</ns0:f>
        <ns0:v/>
      </ns0:c>
      <ns0:c r="C1115" s="33" t="str">
        <ns0:f>IF($E1115="","",INDEX('Banka Dökümü'!$C$2:$C$2001,$E1115))</ns0:f>
        <ns0:v/>
      </ns0:c>
      <ns0:c r="D1115" s="28" t="str">
        <ns0:f>IF(E1115="","","Müşteri adı / aranacak ad / il bilgisini kontrol edin")</ns0:f>
        <ns0:v/>
      </ns0:c>
      <ns0:c r="E1115" s="28" t="str">
        <ns0:f>IFERROR(MATCH(1111,'Banka Dökümü'!$I$2:$I$2001,0),"")</ns0:f>
        <ns0:v/>
      </ns0:c>
    </ns0:row>
    <ns0:row r="1116" ht="21" customHeight="1">
      <ns0:c r="A1116" s="32" t="str">
        <ns0:f>IF($E1116="","",INDEX('Banka Dökümü'!$A$2:$A$2001,$E1116))</ns0:f>
        <ns0:v/>
      </ns0:c>
      <ns0:c r="B1116" s="28" t="str">
        <ns0:f>IF($E1116="","",INDEX('Banka Dökümü'!$B$2:$B$2001,$E1116))</ns0:f>
        <ns0:v/>
      </ns0:c>
      <ns0:c r="C1116" s="33" t="str">
        <ns0:f>IF($E1116="","",INDEX('Banka Dökümü'!$C$2:$C$2001,$E1116))</ns0:f>
        <ns0:v/>
      </ns0:c>
      <ns0:c r="D1116" s="28" t="str">
        <ns0:f>IF(E1116="","","Müşteri adı / aranacak ad / il bilgisini kontrol edin")</ns0:f>
        <ns0:v/>
      </ns0:c>
      <ns0:c r="E1116" s="28" t="str">
        <ns0:f>IFERROR(MATCH(1112,'Banka Dökümü'!$I$2:$I$2001,0),"")</ns0:f>
        <ns0:v/>
      </ns0:c>
    </ns0:row>
    <ns0:row r="1117" ht="21" customHeight="1">
      <ns0:c r="A1117" s="32" t="str">
        <ns0:f>IF($E1117="","",INDEX('Banka Dökümü'!$A$2:$A$2001,$E1117))</ns0:f>
        <ns0:v/>
      </ns0:c>
      <ns0:c r="B1117" s="28" t="str">
        <ns0:f>IF($E1117="","",INDEX('Banka Dökümü'!$B$2:$B$2001,$E1117))</ns0:f>
        <ns0:v/>
      </ns0:c>
      <ns0:c r="C1117" s="33" t="str">
        <ns0:f>IF($E1117="","",INDEX('Banka Dökümü'!$C$2:$C$2001,$E1117))</ns0:f>
        <ns0:v/>
      </ns0:c>
      <ns0:c r="D1117" s="28" t="str">
        <ns0:f>IF(E1117="","","Müşteri adı / aranacak ad / il bilgisini kontrol edin")</ns0:f>
        <ns0:v/>
      </ns0:c>
      <ns0:c r="E1117" s="28" t="str">
        <ns0:f>IFERROR(MATCH(1113,'Banka Dökümü'!$I$2:$I$2001,0),"")</ns0:f>
        <ns0:v/>
      </ns0:c>
    </ns0:row>
    <ns0:row r="1118" ht="21" customHeight="1">
      <ns0:c r="A1118" s="32" t="str">
        <ns0:f>IF($E1118="","",INDEX('Banka Dökümü'!$A$2:$A$2001,$E1118))</ns0:f>
        <ns0:v/>
      </ns0:c>
      <ns0:c r="B1118" s="28" t="str">
        <ns0:f>IF($E1118="","",INDEX('Banka Dökümü'!$B$2:$B$2001,$E1118))</ns0:f>
        <ns0:v/>
      </ns0:c>
      <ns0:c r="C1118" s="33" t="str">
        <ns0:f>IF($E1118="","",INDEX('Banka Dökümü'!$C$2:$C$2001,$E1118))</ns0:f>
        <ns0:v/>
      </ns0:c>
      <ns0:c r="D1118" s="28" t="str">
        <ns0:f>IF(E1118="","","Müşteri adı / aranacak ad / il bilgisini kontrol edin")</ns0:f>
        <ns0:v/>
      </ns0:c>
      <ns0:c r="E1118" s="28" t="str">
        <ns0:f>IFERROR(MATCH(1114,'Banka Dökümü'!$I$2:$I$2001,0),"")</ns0:f>
        <ns0:v/>
      </ns0:c>
    </ns0:row>
    <ns0:row r="1119" ht="21" customHeight="1">
      <ns0:c r="A1119" s="32" t="str">
        <ns0:f>IF($E1119="","",INDEX('Banka Dökümü'!$A$2:$A$2001,$E1119))</ns0:f>
        <ns0:v/>
      </ns0:c>
      <ns0:c r="B1119" s="28" t="str">
        <ns0:f>IF($E1119="","",INDEX('Banka Dökümü'!$B$2:$B$2001,$E1119))</ns0:f>
        <ns0:v/>
      </ns0:c>
      <ns0:c r="C1119" s="33" t="str">
        <ns0:f>IF($E1119="","",INDEX('Banka Dökümü'!$C$2:$C$2001,$E1119))</ns0:f>
        <ns0:v/>
      </ns0:c>
      <ns0:c r="D1119" s="28" t="str">
        <ns0:f>IF(E1119="","","Müşteri adı / aranacak ad / il bilgisini kontrol edin")</ns0:f>
        <ns0:v/>
      </ns0:c>
      <ns0:c r="E1119" s="28" t="str">
        <ns0:f>IFERROR(MATCH(1115,'Banka Dökümü'!$I$2:$I$2001,0),"")</ns0:f>
        <ns0:v/>
      </ns0:c>
    </ns0:row>
    <ns0:row r="1120" ht="21" customHeight="1">
      <ns0:c r="A1120" s="32" t="str">
        <ns0:f>IF($E1120="","",INDEX('Banka Dökümü'!$A$2:$A$2001,$E1120))</ns0:f>
        <ns0:v/>
      </ns0:c>
      <ns0:c r="B1120" s="28" t="str">
        <ns0:f>IF($E1120="","",INDEX('Banka Dökümü'!$B$2:$B$2001,$E1120))</ns0:f>
        <ns0:v/>
      </ns0:c>
      <ns0:c r="C1120" s="33" t="str">
        <ns0:f>IF($E1120="","",INDEX('Banka Dökümü'!$C$2:$C$2001,$E1120))</ns0:f>
        <ns0:v/>
      </ns0:c>
      <ns0:c r="D1120" s="28" t="str">
        <ns0:f>IF(E1120="","","Müşteri adı / aranacak ad / il bilgisini kontrol edin")</ns0:f>
        <ns0:v/>
      </ns0:c>
      <ns0:c r="E1120" s="28" t="str">
        <ns0:f>IFERROR(MATCH(1116,'Banka Dökümü'!$I$2:$I$2001,0),"")</ns0:f>
        <ns0:v/>
      </ns0:c>
    </ns0:row>
    <ns0:row r="1121" ht="21" customHeight="1">
      <ns0:c r="A1121" s="32" t="str">
        <ns0:f>IF($E1121="","",INDEX('Banka Dökümü'!$A$2:$A$2001,$E1121))</ns0:f>
        <ns0:v/>
      </ns0:c>
      <ns0:c r="B1121" s="28" t="str">
        <ns0:f>IF($E1121="","",INDEX('Banka Dökümü'!$B$2:$B$2001,$E1121))</ns0:f>
        <ns0:v/>
      </ns0:c>
      <ns0:c r="C1121" s="33" t="str">
        <ns0:f>IF($E1121="","",INDEX('Banka Dökümü'!$C$2:$C$2001,$E1121))</ns0:f>
        <ns0:v/>
      </ns0:c>
      <ns0:c r="D1121" s="28" t="str">
        <ns0:f>IF(E1121="","","Müşteri adı / aranacak ad / il bilgisini kontrol edin")</ns0:f>
        <ns0:v/>
      </ns0:c>
      <ns0:c r="E1121" s="28" t="str">
        <ns0:f>IFERROR(MATCH(1117,'Banka Dökümü'!$I$2:$I$2001,0),"")</ns0:f>
        <ns0:v/>
      </ns0:c>
    </ns0:row>
    <ns0:row r="1122" ht="21" customHeight="1">
      <ns0:c r="A1122" s="32" t="str">
        <ns0:f>IF($E1122="","",INDEX('Banka Dökümü'!$A$2:$A$2001,$E1122))</ns0:f>
        <ns0:v/>
      </ns0:c>
      <ns0:c r="B1122" s="28" t="str">
        <ns0:f>IF($E1122="","",INDEX('Banka Dökümü'!$B$2:$B$2001,$E1122))</ns0:f>
        <ns0:v/>
      </ns0:c>
      <ns0:c r="C1122" s="33" t="str">
        <ns0:f>IF($E1122="","",INDEX('Banka Dökümü'!$C$2:$C$2001,$E1122))</ns0:f>
        <ns0:v/>
      </ns0:c>
      <ns0:c r="D1122" s="28" t="str">
        <ns0:f>IF(E1122="","","Müşteri adı / aranacak ad / il bilgisini kontrol edin")</ns0:f>
        <ns0:v/>
      </ns0:c>
      <ns0:c r="E1122" s="28" t="str">
        <ns0:f>IFERROR(MATCH(1118,'Banka Dökümü'!$I$2:$I$2001,0),"")</ns0:f>
        <ns0:v/>
      </ns0:c>
    </ns0:row>
    <ns0:row r="1123" ht="21" customHeight="1">
      <ns0:c r="A1123" s="32" t="str">
        <ns0:f>IF($E1123="","",INDEX('Banka Dökümü'!$A$2:$A$2001,$E1123))</ns0:f>
        <ns0:v/>
      </ns0:c>
      <ns0:c r="B1123" s="28" t="str">
        <ns0:f>IF($E1123="","",INDEX('Banka Dökümü'!$B$2:$B$2001,$E1123))</ns0:f>
        <ns0:v/>
      </ns0:c>
      <ns0:c r="C1123" s="33" t="str">
        <ns0:f>IF($E1123="","",INDEX('Banka Dökümü'!$C$2:$C$2001,$E1123))</ns0:f>
        <ns0:v/>
      </ns0:c>
      <ns0:c r="D1123" s="28" t="str">
        <ns0:f>IF(E1123="","","Müşteri adı / aranacak ad / il bilgisini kontrol edin")</ns0:f>
        <ns0:v/>
      </ns0:c>
      <ns0:c r="E1123" s="28" t="str">
        <ns0:f>IFERROR(MATCH(1119,'Banka Dökümü'!$I$2:$I$2001,0),"")</ns0:f>
        <ns0:v/>
      </ns0:c>
    </ns0:row>
    <ns0:row r="1124" ht="21" customHeight="1">
      <ns0:c r="A1124" s="32" t="str">
        <ns0:f>IF($E1124="","",INDEX('Banka Dökümü'!$A$2:$A$2001,$E1124))</ns0:f>
        <ns0:v/>
      </ns0:c>
      <ns0:c r="B1124" s="28" t="str">
        <ns0:f>IF($E1124="","",INDEX('Banka Dökümü'!$B$2:$B$2001,$E1124))</ns0:f>
        <ns0:v/>
      </ns0:c>
      <ns0:c r="C1124" s="33" t="str">
        <ns0:f>IF($E1124="","",INDEX('Banka Dökümü'!$C$2:$C$2001,$E1124))</ns0:f>
        <ns0:v/>
      </ns0:c>
      <ns0:c r="D1124" s="28" t="str">
        <ns0:f>IF(E1124="","","Müşteri adı / aranacak ad / il bilgisini kontrol edin")</ns0:f>
        <ns0:v/>
      </ns0:c>
      <ns0:c r="E1124" s="28" t="str">
        <ns0:f>IFERROR(MATCH(1120,'Banka Dökümü'!$I$2:$I$2001,0),"")</ns0:f>
        <ns0:v/>
      </ns0:c>
    </ns0:row>
    <ns0:row r="1125" ht="21" customHeight="1">
      <ns0:c r="A1125" s="32" t="str">
        <ns0:f>IF($E1125="","",INDEX('Banka Dökümü'!$A$2:$A$2001,$E1125))</ns0:f>
        <ns0:v/>
      </ns0:c>
      <ns0:c r="B1125" s="28" t="str">
        <ns0:f>IF($E1125="","",INDEX('Banka Dökümü'!$B$2:$B$2001,$E1125))</ns0:f>
        <ns0:v/>
      </ns0:c>
      <ns0:c r="C1125" s="33" t="str">
        <ns0:f>IF($E1125="","",INDEX('Banka Dökümü'!$C$2:$C$2001,$E1125))</ns0:f>
        <ns0:v/>
      </ns0:c>
      <ns0:c r="D1125" s="28" t="str">
        <ns0:f>IF(E1125="","","Müşteri adı / aranacak ad / il bilgisini kontrol edin")</ns0:f>
        <ns0:v/>
      </ns0:c>
      <ns0:c r="E1125" s="28" t="str">
        <ns0:f>IFERROR(MATCH(1121,'Banka Dökümü'!$I$2:$I$2001,0),"")</ns0:f>
        <ns0:v/>
      </ns0:c>
    </ns0:row>
    <ns0:row r="1126" ht="21" customHeight="1">
      <ns0:c r="A1126" s="32" t="str">
        <ns0:f>IF($E1126="","",INDEX('Banka Dökümü'!$A$2:$A$2001,$E1126))</ns0:f>
        <ns0:v/>
      </ns0:c>
      <ns0:c r="B1126" s="28" t="str">
        <ns0:f>IF($E1126="","",INDEX('Banka Dökümü'!$B$2:$B$2001,$E1126))</ns0:f>
        <ns0:v/>
      </ns0:c>
      <ns0:c r="C1126" s="33" t="str">
        <ns0:f>IF($E1126="","",INDEX('Banka Dökümü'!$C$2:$C$2001,$E1126))</ns0:f>
        <ns0:v/>
      </ns0:c>
      <ns0:c r="D1126" s="28" t="str">
        <ns0:f>IF(E1126="","","Müşteri adı / aranacak ad / il bilgisini kontrol edin")</ns0:f>
        <ns0:v/>
      </ns0:c>
      <ns0:c r="E1126" s="28" t="str">
        <ns0:f>IFERROR(MATCH(1122,'Banka Dökümü'!$I$2:$I$2001,0),"")</ns0:f>
        <ns0:v/>
      </ns0:c>
    </ns0:row>
    <ns0:row r="1127" ht="21" customHeight="1">
      <ns0:c r="A1127" s="32" t="str">
        <ns0:f>IF($E1127="","",INDEX('Banka Dökümü'!$A$2:$A$2001,$E1127))</ns0:f>
        <ns0:v/>
      </ns0:c>
      <ns0:c r="B1127" s="28" t="str">
        <ns0:f>IF($E1127="","",INDEX('Banka Dökümü'!$B$2:$B$2001,$E1127))</ns0:f>
        <ns0:v/>
      </ns0:c>
      <ns0:c r="C1127" s="33" t="str">
        <ns0:f>IF($E1127="","",INDEX('Banka Dökümü'!$C$2:$C$2001,$E1127))</ns0:f>
        <ns0:v/>
      </ns0:c>
      <ns0:c r="D1127" s="28" t="str">
        <ns0:f>IF(E1127="","","Müşteri adı / aranacak ad / il bilgisini kontrol edin")</ns0:f>
        <ns0:v/>
      </ns0:c>
      <ns0:c r="E1127" s="28" t="str">
        <ns0:f>IFERROR(MATCH(1123,'Banka Dökümü'!$I$2:$I$2001,0),"")</ns0:f>
        <ns0:v/>
      </ns0:c>
    </ns0:row>
    <ns0:row r="1128" ht="21" customHeight="1">
      <ns0:c r="A1128" s="32" t="str">
        <ns0:f>IF($E1128="","",INDEX('Banka Dökümü'!$A$2:$A$2001,$E1128))</ns0:f>
        <ns0:v/>
      </ns0:c>
      <ns0:c r="B1128" s="28" t="str">
        <ns0:f>IF($E1128="","",INDEX('Banka Dökümü'!$B$2:$B$2001,$E1128))</ns0:f>
        <ns0:v/>
      </ns0:c>
      <ns0:c r="C1128" s="33" t="str">
        <ns0:f>IF($E1128="","",INDEX('Banka Dökümü'!$C$2:$C$2001,$E1128))</ns0:f>
        <ns0:v/>
      </ns0:c>
      <ns0:c r="D1128" s="28" t="str">
        <ns0:f>IF(E1128="","","Müşteri adı / aranacak ad / il bilgisini kontrol edin")</ns0:f>
        <ns0:v/>
      </ns0:c>
      <ns0:c r="E1128" s="28" t="str">
        <ns0:f>IFERROR(MATCH(1124,'Banka Dökümü'!$I$2:$I$2001,0),"")</ns0:f>
        <ns0:v/>
      </ns0:c>
    </ns0:row>
    <ns0:row r="1129" ht="21" customHeight="1">
      <ns0:c r="A1129" s="32" t="str">
        <ns0:f>IF($E1129="","",INDEX('Banka Dökümü'!$A$2:$A$2001,$E1129))</ns0:f>
        <ns0:v/>
      </ns0:c>
      <ns0:c r="B1129" s="28" t="str">
        <ns0:f>IF($E1129="","",INDEX('Banka Dökümü'!$B$2:$B$2001,$E1129))</ns0:f>
        <ns0:v/>
      </ns0:c>
      <ns0:c r="C1129" s="33" t="str">
        <ns0:f>IF($E1129="","",INDEX('Banka Dökümü'!$C$2:$C$2001,$E1129))</ns0:f>
        <ns0:v/>
      </ns0:c>
      <ns0:c r="D1129" s="28" t="str">
        <ns0:f>IF(E1129="","","Müşteri adı / aranacak ad / il bilgisini kontrol edin")</ns0:f>
        <ns0:v/>
      </ns0:c>
      <ns0:c r="E1129" s="28" t="str">
        <ns0:f>IFERROR(MATCH(1125,'Banka Dökümü'!$I$2:$I$2001,0),"")</ns0:f>
        <ns0:v/>
      </ns0:c>
    </ns0:row>
    <ns0:row r="1130" ht="21" customHeight="1">
      <ns0:c r="A1130" s="32" t="str">
        <ns0:f>IF($E1130="","",INDEX('Banka Dökümü'!$A$2:$A$2001,$E1130))</ns0:f>
        <ns0:v/>
      </ns0:c>
      <ns0:c r="B1130" s="28" t="str">
        <ns0:f>IF($E1130="","",INDEX('Banka Dökümü'!$B$2:$B$2001,$E1130))</ns0:f>
        <ns0:v/>
      </ns0:c>
      <ns0:c r="C1130" s="33" t="str">
        <ns0:f>IF($E1130="","",INDEX('Banka Dökümü'!$C$2:$C$2001,$E1130))</ns0:f>
        <ns0:v/>
      </ns0:c>
      <ns0:c r="D1130" s="28" t="str">
        <ns0:f>IF(E1130="","","Müşteri adı / aranacak ad / il bilgisini kontrol edin")</ns0:f>
        <ns0:v/>
      </ns0:c>
      <ns0:c r="E1130" s="28" t="str">
        <ns0:f>IFERROR(MATCH(1126,'Banka Dökümü'!$I$2:$I$2001,0),"")</ns0:f>
        <ns0:v/>
      </ns0:c>
    </ns0:row>
    <ns0:row r="1131" ht="21" customHeight="1">
      <ns0:c r="A1131" s="32" t="str">
        <ns0:f>IF($E1131="","",INDEX('Banka Dökümü'!$A$2:$A$2001,$E1131))</ns0:f>
        <ns0:v/>
      </ns0:c>
      <ns0:c r="B1131" s="28" t="str">
        <ns0:f>IF($E1131="","",INDEX('Banka Dökümü'!$B$2:$B$2001,$E1131))</ns0:f>
        <ns0:v/>
      </ns0:c>
      <ns0:c r="C1131" s="33" t="str">
        <ns0:f>IF($E1131="","",INDEX('Banka Dökümü'!$C$2:$C$2001,$E1131))</ns0:f>
        <ns0:v/>
      </ns0:c>
      <ns0:c r="D1131" s="28" t="str">
        <ns0:f>IF(E1131="","","Müşteri adı / aranacak ad / il bilgisini kontrol edin")</ns0:f>
        <ns0:v/>
      </ns0:c>
      <ns0:c r="E1131" s="28" t="str">
        <ns0:f>IFERROR(MATCH(1127,'Banka Dökümü'!$I$2:$I$2001,0),"")</ns0:f>
        <ns0:v/>
      </ns0:c>
    </ns0:row>
    <ns0:row r="1132" ht="21" customHeight="1">
      <ns0:c r="A1132" s="32" t="str">
        <ns0:f>IF($E1132="","",INDEX('Banka Dökümü'!$A$2:$A$2001,$E1132))</ns0:f>
        <ns0:v/>
      </ns0:c>
      <ns0:c r="B1132" s="28" t="str">
        <ns0:f>IF($E1132="","",INDEX('Banka Dökümü'!$B$2:$B$2001,$E1132))</ns0:f>
        <ns0:v/>
      </ns0:c>
      <ns0:c r="C1132" s="33" t="str">
        <ns0:f>IF($E1132="","",INDEX('Banka Dökümü'!$C$2:$C$2001,$E1132))</ns0:f>
        <ns0:v/>
      </ns0:c>
      <ns0:c r="D1132" s="28" t="str">
        <ns0:f>IF(E1132="","","Müşteri adı / aranacak ad / il bilgisini kontrol edin")</ns0:f>
        <ns0:v/>
      </ns0:c>
      <ns0:c r="E1132" s="28" t="str">
        <ns0:f>IFERROR(MATCH(1128,'Banka Dökümü'!$I$2:$I$2001,0),"")</ns0:f>
        <ns0:v/>
      </ns0:c>
    </ns0:row>
    <ns0:row r="1133" ht="21" customHeight="1">
      <ns0:c r="A1133" s="32" t="str">
        <ns0:f>IF($E1133="","",INDEX('Banka Dökümü'!$A$2:$A$2001,$E1133))</ns0:f>
        <ns0:v/>
      </ns0:c>
      <ns0:c r="B1133" s="28" t="str">
        <ns0:f>IF($E1133="","",INDEX('Banka Dökümü'!$B$2:$B$2001,$E1133))</ns0:f>
        <ns0:v/>
      </ns0:c>
      <ns0:c r="C1133" s="33" t="str">
        <ns0:f>IF($E1133="","",INDEX('Banka Dökümü'!$C$2:$C$2001,$E1133))</ns0:f>
        <ns0:v/>
      </ns0:c>
      <ns0:c r="D1133" s="28" t="str">
        <ns0:f>IF(E1133="","","Müşteri adı / aranacak ad / il bilgisini kontrol edin")</ns0:f>
        <ns0:v/>
      </ns0:c>
      <ns0:c r="E1133" s="28" t="str">
        <ns0:f>IFERROR(MATCH(1129,'Banka Dökümü'!$I$2:$I$2001,0),"")</ns0:f>
        <ns0:v/>
      </ns0:c>
    </ns0:row>
    <ns0:row r="1134" ht="21" customHeight="1">
      <ns0:c r="A1134" s="32" t="str">
        <ns0:f>IF($E1134="","",INDEX('Banka Dökümü'!$A$2:$A$2001,$E1134))</ns0:f>
        <ns0:v/>
      </ns0:c>
      <ns0:c r="B1134" s="28" t="str">
        <ns0:f>IF($E1134="","",INDEX('Banka Dökümü'!$B$2:$B$2001,$E1134))</ns0:f>
        <ns0:v/>
      </ns0:c>
      <ns0:c r="C1134" s="33" t="str">
        <ns0:f>IF($E1134="","",INDEX('Banka Dökümü'!$C$2:$C$2001,$E1134))</ns0:f>
        <ns0:v/>
      </ns0:c>
      <ns0:c r="D1134" s="28" t="str">
        <ns0:f>IF(E1134="","","Müşteri adı / aranacak ad / il bilgisini kontrol edin")</ns0:f>
        <ns0:v/>
      </ns0:c>
      <ns0:c r="E1134" s="28" t="str">
        <ns0:f>IFERROR(MATCH(1130,'Banka Dökümü'!$I$2:$I$2001,0),"")</ns0:f>
        <ns0:v/>
      </ns0:c>
    </ns0:row>
    <ns0:row r="1135" ht="21" customHeight="1">
      <ns0:c r="A1135" s="32" t="str">
        <ns0:f>IF($E1135="","",INDEX('Banka Dökümü'!$A$2:$A$2001,$E1135))</ns0:f>
        <ns0:v/>
      </ns0:c>
      <ns0:c r="B1135" s="28" t="str">
        <ns0:f>IF($E1135="","",INDEX('Banka Dökümü'!$B$2:$B$2001,$E1135))</ns0:f>
        <ns0:v/>
      </ns0:c>
      <ns0:c r="C1135" s="33" t="str">
        <ns0:f>IF($E1135="","",INDEX('Banka Dökümü'!$C$2:$C$2001,$E1135))</ns0:f>
        <ns0:v/>
      </ns0:c>
      <ns0:c r="D1135" s="28" t="str">
        <ns0:f>IF(E1135="","","Müşteri adı / aranacak ad / il bilgisini kontrol edin")</ns0:f>
        <ns0:v/>
      </ns0:c>
      <ns0:c r="E1135" s="28" t="str">
        <ns0:f>IFERROR(MATCH(1131,'Banka Dökümü'!$I$2:$I$2001,0),"")</ns0:f>
        <ns0:v/>
      </ns0:c>
    </ns0:row>
    <ns0:row r="1136" ht="21" customHeight="1">
      <ns0:c r="A1136" s="32" t="str">
        <ns0:f>IF($E1136="","",INDEX('Banka Dökümü'!$A$2:$A$2001,$E1136))</ns0:f>
        <ns0:v/>
      </ns0:c>
      <ns0:c r="B1136" s="28" t="str">
        <ns0:f>IF($E1136="","",INDEX('Banka Dökümü'!$B$2:$B$2001,$E1136))</ns0:f>
        <ns0:v/>
      </ns0:c>
      <ns0:c r="C1136" s="33" t="str">
        <ns0:f>IF($E1136="","",INDEX('Banka Dökümü'!$C$2:$C$2001,$E1136))</ns0:f>
        <ns0:v/>
      </ns0:c>
      <ns0:c r="D1136" s="28" t="str">
        <ns0:f>IF(E1136="","","Müşteri adı / aranacak ad / il bilgisini kontrol edin")</ns0:f>
        <ns0:v/>
      </ns0:c>
      <ns0:c r="E1136" s="28" t="str">
        <ns0:f>IFERROR(MATCH(1132,'Banka Dökümü'!$I$2:$I$2001,0),"")</ns0:f>
        <ns0:v/>
      </ns0:c>
    </ns0:row>
    <ns0:row r="1137" ht="21" customHeight="1">
      <ns0:c r="A1137" s="32" t="str">
        <ns0:f>IF($E1137="","",INDEX('Banka Dökümü'!$A$2:$A$2001,$E1137))</ns0:f>
        <ns0:v/>
      </ns0:c>
      <ns0:c r="B1137" s="28" t="str">
        <ns0:f>IF($E1137="","",INDEX('Banka Dökümü'!$B$2:$B$2001,$E1137))</ns0:f>
        <ns0:v/>
      </ns0:c>
      <ns0:c r="C1137" s="33" t="str">
        <ns0:f>IF($E1137="","",INDEX('Banka Dökümü'!$C$2:$C$2001,$E1137))</ns0:f>
        <ns0:v/>
      </ns0:c>
      <ns0:c r="D1137" s="28" t="str">
        <ns0:f>IF(E1137="","","Müşteri adı / aranacak ad / il bilgisini kontrol edin")</ns0:f>
        <ns0:v/>
      </ns0:c>
      <ns0:c r="E1137" s="28" t="str">
        <ns0:f>IFERROR(MATCH(1133,'Banka Dökümü'!$I$2:$I$2001,0),"")</ns0:f>
        <ns0:v/>
      </ns0:c>
    </ns0:row>
    <ns0:row r="1138" ht="21" customHeight="1">
      <ns0:c r="A1138" s="32" t="str">
        <ns0:f>IF($E1138="","",INDEX('Banka Dökümü'!$A$2:$A$2001,$E1138))</ns0:f>
        <ns0:v/>
      </ns0:c>
      <ns0:c r="B1138" s="28" t="str">
        <ns0:f>IF($E1138="","",INDEX('Banka Dökümü'!$B$2:$B$2001,$E1138))</ns0:f>
        <ns0:v/>
      </ns0:c>
      <ns0:c r="C1138" s="33" t="str">
        <ns0:f>IF($E1138="","",INDEX('Banka Dökümü'!$C$2:$C$2001,$E1138))</ns0:f>
        <ns0:v/>
      </ns0:c>
      <ns0:c r="D1138" s="28" t="str">
        <ns0:f>IF(E1138="","","Müşteri adı / aranacak ad / il bilgisini kontrol edin")</ns0:f>
        <ns0:v/>
      </ns0:c>
      <ns0:c r="E1138" s="28" t="str">
        <ns0:f>IFERROR(MATCH(1134,'Banka Dökümü'!$I$2:$I$2001,0),"")</ns0:f>
        <ns0:v/>
      </ns0:c>
    </ns0:row>
    <ns0:row r="1139" ht="21" customHeight="1">
      <ns0:c r="A1139" s="32" t="str">
        <ns0:f>IF($E1139="","",INDEX('Banka Dökümü'!$A$2:$A$2001,$E1139))</ns0:f>
        <ns0:v/>
      </ns0:c>
      <ns0:c r="B1139" s="28" t="str">
        <ns0:f>IF($E1139="","",INDEX('Banka Dökümü'!$B$2:$B$2001,$E1139))</ns0:f>
        <ns0:v/>
      </ns0:c>
      <ns0:c r="C1139" s="33" t="str">
        <ns0:f>IF($E1139="","",INDEX('Banka Dökümü'!$C$2:$C$2001,$E1139))</ns0:f>
        <ns0:v/>
      </ns0:c>
      <ns0:c r="D1139" s="28" t="str">
        <ns0:f>IF(E1139="","","Müşteri adı / aranacak ad / il bilgisini kontrol edin")</ns0:f>
        <ns0:v/>
      </ns0:c>
      <ns0:c r="E1139" s="28" t="str">
        <ns0:f>IFERROR(MATCH(1135,'Banka Dökümü'!$I$2:$I$2001,0),"")</ns0:f>
        <ns0:v/>
      </ns0:c>
    </ns0:row>
    <ns0:row r="1140" ht="21" customHeight="1">
      <ns0:c r="A1140" s="32" t="str">
        <ns0:f>IF($E1140="","",INDEX('Banka Dökümü'!$A$2:$A$2001,$E1140))</ns0:f>
        <ns0:v/>
      </ns0:c>
      <ns0:c r="B1140" s="28" t="str">
        <ns0:f>IF($E1140="","",INDEX('Banka Dökümü'!$B$2:$B$2001,$E1140))</ns0:f>
        <ns0:v/>
      </ns0:c>
      <ns0:c r="C1140" s="33" t="str">
        <ns0:f>IF($E1140="","",INDEX('Banka Dökümü'!$C$2:$C$2001,$E1140))</ns0:f>
        <ns0:v/>
      </ns0:c>
      <ns0:c r="D1140" s="28" t="str">
        <ns0:f>IF(E1140="","","Müşteri adı / aranacak ad / il bilgisini kontrol edin")</ns0:f>
        <ns0:v/>
      </ns0:c>
      <ns0:c r="E1140" s="28" t="str">
        <ns0:f>IFERROR(MATCH(1136,'Banka Dökümü'!$I$2:$I$2001,0),"")</ns0:f>
        <ns0:v/>
      </ns0:c>
    </ns0:row>
    <ns0:row r="1141" ht="21" customHeight="1">
      <ns0:c r="A1141" s="32" t="str">
        <ns0:f>IF($E1141="","",INDEX('Banka Dökümü'!$A$2:$A$2001,$E1141))</ns0:f>
        <ns0:v/>
      </ns0:c>
      <ns0:c r="B1141" s="28" t="str">
        <ns0:f>IF($E1141="","",INDEX('Banka Dökümü'!$B$2:$B$2001,$E1141))</ns0:f>
        <ns0:v/>
      </ns0:c>
      <ns0:c r="C1141" s="33" t="str">
        <ns0:f>IF($E1141="","",INDEX('Banka Dökümü'!$C$2:$C$2001,$E1141))</ns0:f>
        <ns0:v/>
      </ns0:c>
      <ns0:c r="D1141" s="28" t="str">
        <ns0:f>IF(E1141="","","Müşteri adı / aranacak ad / il bilgisini kontrol edin")</ns0:f>
        <ns0:v/>
      </ns0:c>
      <ns0:c r="E1141" s="28" t="str">
        <ns0:f>IFERROR(MATCH(1137,'Banka Dökümü'!$I$2:$I$2001,0),"")</ns0:f>
        <ns0:v/>
      </ns0:c>
    </ns0:row>
    <ns0:row r="1142" ht="21" customHeight="1">
      <ns0:c r="A1142" s="32" t="str">
        <ns0:f>IF($E1142="","",INDEX('Banka Dökümü'!$A$2:$A$2001,$E1142))</ns0:f>
        <ns0:v/>
      </ns0:c>
      <ns0:c r="B1142" s="28" t="str">
        <ns0:f>IF($E1142="","",INDEX('Banka Dökümü'!$B$2:$B$2001,$E1142))</ns0:f>
        <ns0:v/>
      </ns0:c>
      <ns0:c r="C1142" s="33" t="str">
        <ns0:f>IF($E1142="","",INDEX('Banka Dökümü'!$C$2:$C$2001,$E1142))</ns0:f>
        <ns0:v/>
      </ns0:c>
      <ns0:c r="D1142" s="28" t="str">
        <ns0:f>IF(E1142="","","Müşteri adı / aranacak ad / il bilgisini kontrol edin")</ns0:f>
        <ns0:v/>
      </ns0:c>
      <ns0:c r="E1142" s="28" t="str">
        <ns0:f>IFERROR(MATCH(1138,'Banka Dökümü'!$I$2:$I$2001,0),"")</ns0:f>
        <ns0:v/>
      </ns0:c>
    </ns0:row>
    <ns0:row r="1143" ht="21" customHeight="1">
      <ns0:c r="A1143" s="32" t="str">
        <ns0:f>IF($E1143="","",INDEX('Banka Dökümü'!$A$2:$A$2001,$E1143))</ns0:f>
        <ns0:v/>
      </ns0:c>
      <ns0:c r="B1143" s="28" t="str">
        <ns0:f>IF($E1143="","",INDEX('Banka Dökümü'!$B$2:$B$2001,$E1143))</ns0:f>
        <ns0:v/>
      </ns0:c>
      <ns0:c r="C1143" s="33" t="str">
        <ns0:f>IF($E1143="","",INDEX('Banka Dökümü'!$C$2:$C$2001,$E1143))</ns0:f>
        <ns0:v/>
      </ns0:c>
      <ns0:c r="D1143" s="28" t="str">
        <ns0:f>IF(E1143="","","Müşteri adı / aranacak ad / il bilgisini kontrol edin")</ns0:f>
        <ns0:v/>
      </ns0:c>
      <ns0:c r="E1143" s="28" t="str">
        <ns0:f>IFERROR(MATCH(1139,'Banka Dökümü'!$I$2:$I$2001,0),"")</ns0:f>
        <ns0:v/>
      </ns0:c>
    </ns0:row>
    <ns0:row r="1144" ht="21" customHeight="1">
      <ns0:c r="A1144" s="32" t="str">
        <ns0:f>IF($E1144="","",INDEX('Banka Dökümü'!$A$2:$A$2001,$E1144))</ns0:f>
        <ns0:v/>
      </ns0:c>
      <ns0:c r="B1144" s="28" t="str">
        <ns0:f>IF($E1144="","",INDEX('Banka Dökümü'!$B$2:$B$2001,$E1144))</ns0:f>
        <ns0:v/>
      </ns0:c>
      <ns0:c r="C1144" s="33" t="str">
        <ns0:f>IF($E1144="","",INDEX('Banka Dökümü'!$C$2:$C$2001,$E1144))</ns0:f>
        <ns0:v/>
      </ns0:c>
      <ns0:c r="D1144" s="28" t="str">
        <ns0:f>IF(E1144="","","Müşteri adı / aranacak ad / il bilgisini kontrol edin")</ns0:f>
        <ns0:v/>
      </ns0:c>
      <ns0:c r="E1144" s="28" t="str">
        <ns0:f>IFERROR(MATCH(1140,'Banka Dökümü'!$I$2:$I$2001,0),"")</ns0:f>
        <ns0:v/>
      </ns0:c>
    </ns0:row>
    <ns0:row r="1145" ht="21" customHeight="1">
      <ns0:c r="A1145" s="32" t="str">
        <ns0:f>IF($E1145="","",INDEX('Banka Dökümü'!$A$2:$A$2001,$E1145))</ns0:f>
        <ns0:v/>
      </ns0:c>
      <ns0:c r="B1145" s="28" t="str">
        <ns0:f>IF($E1145="","",INDEX('Banka Dökümü'!$B$2:$B$2001,$E1145))</ns0:f>
        <ns0:v/>
      </ns0:c>
      <ns0:c r="C1145" s="33" t="str">
        <ns0:f>IF($E1145="","",INDEX('Banka Dökümü'!$C$2:$C$2001,$E1145))</ns0:f>
        <ns0:v/>
      </ns0:c>
      <ns0:c r="D1145" s="28" t="str">
        <ns0:f>IF(E1145="","","Müşteri adı / aranacak ad / il bilgisini kontrol edin")</ns0:f>
        <ns0:v/>
      </ns0:c>
      <ns0:c r="E1145" s="28" t="str">
        <ns0:f>IFERROR(MATCH(1141,'Banka Dökümü'!$I$2:$I$2001,0),"")</ns0:f>
        <ns0:v/>
      </ns0:c>
    </ns0:row>
    <ns0:row r="1146" ht="21" customHeight="1">
      <ns0:c r="A1146" s="32" t="str">
        <ns0:f>IF($E1146="","",INDEX('Banka Dökümü'!$A$2:$A$2001,$E1146))</ns0:f>
        <ns0:v/>
      </ns0:c>
      <ns0:c r="B1146" s="28" t="str">
        <ns0:f>IF($E1146="","",INDEX('Banka Dökümü'!$B$2:$B$2001,$E1146))</ns0:f>
        <ns0:v/>
      </ns0:c>
      <ns0:c r="C1146" s="33" t="str">
        <ns0:f>IF($E1146="","",INDEX('Banka Dökümü'!$C$2:$C$2001,$E1146))</ns0:f>
        <ns0:v/>
      </ns0:c>
      <ns0:c r="D1146" s="28" t="str">
        <ns0:f>IF(E1146="","","Müşteri adı / aranacak ad / il bilgisini kontrol edin")</ns0:f>
        <ns0:v/>
      </ns0:c>
      <ns0:c r="E1146" s="28" t="str">
        <ns0:f>IFERROR(MATCH(1142,'Banka Dökümü'!$I$2:$I$2001,0),"")</ns0:f>
        <ns0:v/>
      </ns0:c>
    </ns0:row>
    <ns0:row r="1147" ht="21" customHeight="1">
      <ns0:c r="A1147" s="32" t="str">
        <ns0:f>IF($E1147="","",INDEX('Banka Dökümü'!$A$2:$A$2001,$E1147))</ns0:f>
        <ns0:v/>
      </ns0:c>
      <ns0:c r="B1147" s="28" t="str">
        <ns0:f>IF($E1147="","",INDEX('Banka Dökümü'!$B$2:$B$2001,$E1147))</ns0:f>
        <ns0:v/>
      </ns0:c>
      <ns0:c r="C1147" s="33" t="str">
        <ns0:f>IF($E1147="","",INDEX('Banka Dökümü'!$C$2:$C$2001,$E1147))</ns0:f>
        <ns0:v/>
      </ns0:c>
      <ns0:c r="D1147" s="28" t="str">
        <ns0:f>IF(E1147="","","Müşteri adı / aranacak ad / il bilgisini kontrol edin")</ns0:f>
        <ns0:v/>
      </ns0:c>
      <ns0:c r="E1147" s="28" t="str">
        <ns0:f>IFERROR(MATCH(1143,'Banka Dökümü'!$I$2:$I$2001,0),"")</ns0:f>
        <ns0:v/>
      </ns0:c>
    </ns0:row>
    <ns0:row r="1148" ht="21" customHeight="1">
      <ns0:c r="A1148" s="32" t="str">
        <ns0:f>IF($E1148="","",INDEX('Banka Dökümü'!$A$2:$A$2001,$E1148))</ns0:f>
        <ns0:v/>
      </ns0:c>
      <ns0:c r="B1148" s="28" t="str">
        <ns0:f>IF($E1148="","",INDEX('Banka Dökümü'!$B$2:$B$2001,$E1148))</ns0:f>
        <ns0:v/>
      </ns0:c>
      <ns0:c r="C1148" s="33" t="str">
        <ns0:f>IF($E1148="","",INDEX('Banka Dökümü'!$C$2:$C$2001,$E1148))</ns0:f>
        <ns0:v/>
      </ns0:c>
      <ns0:c r="D1148" s="28" t="str">
        <ns0:f>IF(E1148="","","Müşteri adı / aranacak ad / il bilgisini kontrol edin")</ns0:f>
        <ns0:v/>
      </ns0:c>
      <ns0:c r="E1148" s="28" t="str">
        <ns0:f>IFERROR(MATCH(1144,'Banka Dökümü'!$I$2:$I$2001,0),"")</ns0:f>
        <ns0:v/>
      </ns0:c>
    </ns0:row>
    <ns0:row r="1149" ht="21" customHeight="1">
      <ns0:c r="A1149" s="32" t="str">
        <ns0:f>IF($E1149="","",INDEX('Banka Dökümü'!$A$2:$A$2001,$E1149))</ns0:f>
        <ns0:v/>
      </ns0:c>
      <ns0:c r="B1149" s="28" t="str">
        <ns0:f>IF($E1149="","",INDEX('Banka Dökümü'!$B$2:$B$2001,$E1149))</ns0:f>
        <ns0:v/>
      </ns0:c>
      <ns0:c r="C1149" s="33" t="str">
        <ns0:f>IF($E1149="","",INDEX('Banka Dökümü'!$C$2:$C$2001,$E1149))</ns0:f>
        <ns0:v/>
      </ns0:c>
      <ns0:c r="D1149" s="28" t="str">
        <ns0:f>IF(E1149="","","Müşteri adı / aranacak ad / il bilgisini kontrol edin")</ns0:f>
        <ns0:v/>
      </ns0:c>
      <ns0:c r="E1149" s="28" t="str">
        <ns0:f>IFERROR(MATCH(1145,'Banka Dökümü'!$I$2:$I$2001,0),"")</ns0:f>
        <ns0:v/>
      </ns0:c>
    </ns0:row>
    <ns0:row r="1150" ht="21" customHeight="1">
      <ns0:c r="A1150" s="32" t="str">
        <ns0:f>IF($E1150="","",INDEX('Banka Dökümü'!$A$2:$A$2001,$E1150))</ns0:f>
        <ns0:v/>
      </ns0:c>
      <ns0:c r="B1150" s="28" t="str">
        <ns0:f>IF($E1150="","",INDEX('Banka Dökümü'!$B$2:$B$2001,$E1150))</ns0:f>
        <ns0:v/>
      </ns0:c>
      <ns0:c r="C1150" s="33" t="str">
        <ns0:f>IF($E1150="","",INDEX('Banka Dökümü'!$C$2:$C$2001,$E1150))</ns0:f>
        <ns0:v/>
      </ns0:c>
      <ns0:c r="D1150" s="28" t="str">
        <ns0:f>IF(E1150="","","Müşteri adı / aranacak ad / il bilgisini kontrol edin")</ns0:f>
        <ns0:v/>
      </ns0:c>
      <ns0:c r="E1150" s="28" t="str">
        <ns0:f>IFERROR(MATCH(1146,'Banka Dökümü'!$I$2:$I$2001,0),"")</ns0:f>
        <ns0:v/>
      </ns0:c>
    </ns0:row>
    <ns0:row r="1151" ht="21" customHeight="1">
      <ns0:c r="A1151" s="32" t="str">
        <ns0:f>IF($E1151="","",INDEX('Banka Dökümü'!$A$2:$A$2001,$E1151))</ns0:f>
        <ns0:v/>
      </ns0:c>
      <ns0:c r="B1151" s="28" t="str">
        <ns0:f>IF($E1151="","",INDEX('Banka Dökümü'!$B$2:$B$2001,$E1151))</ns0:f>
        <ns0:v/>
      </ns0:c>
      <ns0:c r="C1151" s="33" t="str">
        <ns0:f>IF($E1151="","",INDEX('Banka Dökümü'!$C$2:$C$2001,$E1151))</ns0:f>
        <ns0:v/>
      </ns0:c>
      <ns0:c r="D1151" s="28" t="str">
        <ns0:f>IF(E1151="","","Müşteri adı / aranacak ad / il bilgisini kontrol edin")</ns0:f>
        <ns0:v/>
      </ns0:c>
      <ns0:c r="E1151" s="28" t="str">
        <ns0:f>IFERROR(MATCH(1147,'Banka Dökümü'!$I$2:$I$2001,0),"")</ns0:f>
        <ns0:v/>
      </ns0:c>
    </ns0:row>
    <ns0:row r="1152" ht="21" customHeight="1">
      <ns0:c r="A1152" s="32" t="str">
        <ns0:f>IF($E1152="","",INDEX('Banka Dökümü'!$A$2:$A$2001,$E1152))</ns0:f>
        <ns0:v/>
      </ns0:c>
      <ns0:c r="B1152" s="28" t="str">
        <ns0:f>IF($E1152="","",INDEX('Banka Dökümü'!$B$2:$B$2001,$E1152))</ns0:f>
        <ns0:v/>
      </ns0:c>
      <ns0:c r="C1152" s="33" t="str">
        <ns0:f>IF($E1152="","",INDEX('Banka Dökümü'!$C$2:$C$2001,$E1152))</ns0:f>
        <ns0:v/>
      </ns0:c>
      <ns0:c r="D1152" s="28" t="str">
        <ns0:f>IF(E1152="","","Müşteri adı / aranacak ad / il bilgisini kontrol edin")</ns0:f>
        <ns0:v/>
      </ns0:c>
      <ns0:c r="E1152" s="28" t="str">
        <ns0:f>IFERROR(MATCH(1148,'Banka Dökümü'!$I$2:$I$2001,0),"")</ns0:f>
        <ns0:v/>
      </ns0:c>
    </ns0:row>
    <ns0:row r="1153" ht="21" customHeight="1">
      <ns0:c r="A1153" s="32" t="str">
        <ns0:f>IF($E1153="","",INDEX('Banka Dökümü'!$A$2:$A$2001,$E1153))</ns0:f>
        <ns0:v/>
      </ns0:c>
      <ns0:c r="B1153" s="28" t="str">
        <ns0:f>IF($E1153="","",INDEX('Banka Dökümü'!$B$2:$B$2001,$E1153))</ns0:f>
        <ns0:v/>
      </ns0:c>
      <ns0:c r="C1153" s="33" t="str">
        <ns0:f>IF($E1153="","",INDEX('Banka Dökümü'!$C$2:$C$2001,$E1153))</ns0:f>
        <ns0:v/>
      </ns0:c>
      <ns0:c r="D1153" s="28" t="str">
        <ns0:f>IF(E1153="","","Müşteri adı / aranacak ad / il bilgisini kontrol edin")</ns0:f>
        <ns0:v/>
      </ns0:c>
      <ns0:c r="E1153" s="28" t="str">
        <ns0:f>IFERROR(MATCH(1149,'Banka Dökümü'!$I$2:$I$2001,0),"")</ns0:f>
        <ns0:v/>
      </ns0:c>
    </ns0:row>
    <ns0:row r="1154" ht="21" customHeight="1">
      <ns0:c r="A1154" s="32" t="str">
        <ns0:f>IF($E1154="","",INDEX('Banka Dökümü'!$A$2:$A$2001,$E1154))</ns0:f>
        <ns0:v/>
      </ns0:c>
      <ns0:c r="B1154" s="28" t="str">
        <ns0:f>IF($E1154="","",INDEX('Banka Dökümü'!$B$2:$B$2001,$E1154))</ns0:f>
        <ns0:v/>
      </ns0:c>
      <ns0:c r="C1154" s="33" t="str">
        <ns0:f>IF($E1154="","",INDEX('Banka Dökümü'!$C$2:$C$2001,$E1154))</ns0:f>
        <ns0:v/>
      </ns0:c>
      <ns0:c r="D1154" s="28" t="str">
        <ns0:f>IF(E1154="","","Müşteri adı / aranacak ad / il bilgisini kontrol edin")</ns0:f>
        <ns0:v/>
      </ns0:c>
      <ns0:c r="E1154" s="28" t="str">
        <ns0:f>IFERROR(MATCH(1150,'Banka Dökümü'!$I$2:$I$2001,0),"")</ns0:f>
        <ns0:v/>
      </ns0:c>
    </ns0:row>
    <ns0:row r="1155" ht="21" customHeight="1">
      <ns0:c r="A1155" s="32" t="str">
        <ns0:f>IF($E1155="","",INDEX('Banka Dökümü'!$A$2:$A$2001,$E1155))</ns0:f>
        <ns0:v/>
      </ns0:c>
      <ns0:c r="B1155" s="28" t="str">
        <ns0:f>IF($E1155="","",INDEX('Banka Dökümü'!$B$2:$B$2001,$E1155))</ns0:f>
        <ns0:v/>
      </ns0:c>
      <ns0:c r="C1155" s="33" t="str">
        <ns0:f>IF($E1155="","",INDEX('Banka Dökümü'!$C$2:$C$2001,$E1155))</ns0:f>
        <ns0:v/>
      </ns0:c>
      <ns0:c r="D1155" s="28" t="str">
        <ns0:f>IF(E1155="","","Müşteri adı / aranacak ad / il bilgisini kontrol edin")</ns0:f>
        <ns0:v/>
      </ns0:c>
      <ns0:c r="E1155" s="28" t="str">
        <ns0:f>IFERROR(MATCH(1151,'Banka Dökümü'!$I$2:$I$2001,0),"")</ns0:f>
        <ns0:v/>
      </ns0:c>
    </ns0:row>
    <ns0:row r="1156" ht="21" customHeight="1">
      <ns0:c r="A1156" s="32" t="str">
        <ns0:f>IF($E1156="","",INDEX('Banka Dökümü'!$A$2:$A$2001,$E1156))</ns0:f>
        <ns0:v/>
      </ns0:c>
      <ns0:c r="B1156" s="28" t="str">
        <ns0:f>IF($E1156="","",INDEX('Banka Dökümü'!$B$2:$B$2001,$E1156))</ns0:f>
        <ns0:v/>
      </ns0:c>
      <ns0:c r="C1156" s="33" t="str">
        <ns0:f>IF($E1156="","",INDEX('Banka Dökümü'!$C$2:$C$2001,$E1156))</ns0:f>
        <ns0:v/>
      </ns0:c>
      <ns0:c r="D1156" s="28" t="str">
        <ns0:f>IF(E1156="","","Müşteri adı / aranacak ad / il bilgisini kontrol edin")</ns0:f>
        <ns0:v/>
      </ns0:c>
      <ns0:c r="E1156" s="28" t="str">
        <ns0:f>IFERROR(MATCH(1152,'Banka Dökümü'!$I$2:$I$2001,0),"")</ns0:f>
        <ns0:v/>
      </ns0:c>
    </ns0:row>
    <ns0:row r="1157" ht="21" customHeight="1">
      <ns0:c r="A1157" s="32" t="str">
        <ns0:f>IF($E1157="","",INDEX('Banka Dökümü'!$A$2:$A$2001,$E1157))</ns0:f>
        <ns0:v/>
      </ns0:c>
      <ns0:c r="B1157" s="28" t="str">
        <ns0:f>IF($E1157="","",INDEX('Banka Dökümü'!$B$2:$B$2001,$E1157))</ns0:f>
        <ns0:v/>
      </ns0:c>
      <ns0:c r="C1157" s="33" t="str">
        <ns0:f>IF($E1157="","",INDEX('Banka Dökümü'!$C$2:$C$2001,$E1157))</ns0:f>
        <ns0:v/>
      </ns0:c>
      <ns0:c r="D1157" s="28" t="str">
        <ns0:f>IF(E1157="","","Müşteri adı / aranacak ad / il bilgisini kontrol edin")</ns0:f>
        <ns0:v/>
      </ns0:c>
      <ns0:c r="E1157" s="28" t="str">
        <ns0:f>IFERROR(MATCH(1153,'Banka Dökümü'!$I$2:$I$2001,0),"")</ns0:f>
        <ns0:v/>
      </ns0:c>
    </ns0:row>
    <ns0:row r="1158" ht="21" customHeight="1">
      <ns0:c r="A1158" s="32" t="str">
        <ns0:f>IF($E1158="","",INDEX('Banka Dökümü'!$A$2:$A$2001,$E1158))</ns0:f>
        <ns0:v/>
      </ns0:c>
      <ns0:c r="B1158" s="28" t="str">
        <ns0:f>IF($E1158="","",INDEX('Banka Dökümü'!$B$2:$B$2001,$E1158))</ns0:f>
        <ns0:v/>
      </ns0:c>
      <ns0:c r="C1158" s="33" t="str">
        <ns0:f>IF($E1158="","",INDEX('Banka Dökümü'!$C$2:$C$2001,$E1158))</ns0:f>
        <ns0:v/>
      </ns0:c>
      <ns0:c r="D1158" s="28" t="str">
        <ns0:f>IF(E1158="","","Müşteri adı / aranacak ad / il bilgisini kontrol edin")</ns0:f>
        <ns0:v/>
      </ns0:c>
      <ns0:c r="E1158" s="28" t="str">
        <ns0:f>IFERROR(MATCH(1154,'Banka Dökümü'!$I$2:$I$2001,0),"")</ns0:f>
        <ns0:v/>
      </ns0:c>
    </ns0:row>
    <ns0:row r="1159" ht="21" customHeight="1">
      <ns0:c r="A1159" s="32" t="str">
        <ns0:f>IF($E1159="","",INDEX('Banka Dökümü'!$A$2:$A$2001,$E1159))</ns0:f>
        <ns0:v/>
      </ns0:c>
      <ns0:c r="B1159" s="28" t="str">
        <ns0:f>IF($E1159="","",INDEX('Banka Dökümü'!$B$2:$B$2001,$E1159))</ns0:f>
        <ns0:v/>
      </ns0:c>
      <ns0:c r="C1159" s="33" t="str">
        <ns0:f>IF($E1159="","",INDEX('Banka Dökümü'!$C$2:$C$2001,$E1159))</ns0:f>
        <ns0:v/>
      </ns0:c>
      <ns0:c r="D1159" s="28" t="str">
        <ns0:f>IF(E1159="","","Müşteri adı / aranacak ad / il bilgisini kontrol edin")</ns0:f>
        <ns0:v/>
      </ns0:c>
      <ns0:c r="E1159" s="28" t="str">
        <ns0:f>IFERROR(MATCH(1155,'Banka Dökümü'!$I$2:$I$2001,0),"")</ns0:f>
        <ns0:v/>
      </ns0:c>
    </ns0:row>
    <ns0:row r="1160" ht="21" customHeight="1">
      <ns0:c r="A1160" s="32" t="str">
        <ns0:f>IF($E1160="","",INDEX('Banka Dökümü'!$A$2:$A$2001,$E1160))</ns0:f>
        <ns0:v/>
      </ns0:c>
      <ns0:c r="B1160" s="28" t="str">
        <ns0:f>IF($E1160="","",INDEX('Banka Dökümü'!$B$2:$B$2001,$E1160))</ns0:f>
        <ns0:v/>
      </ns0:c>
      <ns0:c r="C1160" s="33" t="str">
        <ns0:f>IF($E1160="","",INDEX('Banka Dökümü'!$C$2:$C$2001,$E1160))</ns0:f>
        <ns0:v/>
      </ns0:c>
      <ns0:c r="D1160" s="28" t="str">
        <ns0:f>IF(E1160="","","Müşteri adı / aranacak ad / il bilgisini kontrol edin")</ns0:f>
        <ns0:v/>
      </ns0:c>
      <ns0:c r="E1160" s="28" t="str">
        <ns0:f>IFERROR(MATCH(1156,'Banka Dökümü'!$I$2:$I$2001,0),"")</ns0:f>
        <ns0:v/>
      </ns0:c>
    </ns0:row>
    <ns0:row r="1161" ht="21" customHeight="1">
      <ns0:c r="A1161" s="32" t="str">
        <ns0:f>IF($E1161="","",INDEX('Banka Dökümü'!$A$2:$A$2001,$E1161))</ns0:f>
        <ns0:v/>
      </ns0:c>
      <ns0:c r="B1161" s="28" t="str">
        <ns0:f>IF($E1161="","",INDEX('Banka Dökümü'!$B$2:$B$2001,$E1161))</ns0:f>
        <ns0:v/>
      </ns0:c>
      <ns0:c r="C1161" s="33" t="str">
        <ns0:f>IF($E1161="","",INDEX('Banka Dökümü'!$C$2:$C$2001,$E1161))</ns0:f>
        <ns0:v/>
      </ns0:c>
      <ns0:c r="D1161" s="28" t="str">
        <ns0:f>IF(E1161="","","Müşteri adı / aranacak ad / il bilgisini kontrol edin")</ns0:f>
        <ns0:v/>
      </ns0:c>
      <ns0:c r="E1161" s="28" t="str">
        <ns0:f>IFERROR(MATCH(1157,'Banka Dökümü'!$I$2:$I$2001,0),"")</ns0:f>
        <ns0:v/>
      </ns0:c>
    </ns0:row>
    <ns0:row r="1162" ht="21" customHeight="1">
      <ns0:c r="A1162" s="32" t="str">
        <ns0:f>IF($E1162="","",INDEX('Banka Dökümü'!$A$2:$A$2001,$E1162))</ns0:f>
        <ns0:v/>
      </ns0:c>
      <ns0:c r="B1162" s="28" t="str">
        <ns0:f>IF($E1162="","",INDEX('Banka Dökümü'!$B$2:$B$2001,$E1162))</ns0:f>
        <ns0:v/>
      </ns0:c>
      <ns0:c r="C1162" s="33" t="str">
        <ns0:f>IF($E1162="","",INDEX('Banka Dökümü'!$C$2:$C$2001,$E1162))</ns0:f>
        <ns0:v/>
      </ns0:c>
      <ns0:c r="D1162" s="28" t="str">
        <ns0:f>IF(E1162="","","Müşteri adı / aranacak ad / il bilgisini kontrol edin")</ns0:f>
        <ns0:v/>
      </ns0:c>
      <ns0:c r="E1162" s="28" t="str">
        <ns0:f>IFERROR(MATCH(1158,'Banka Dökümü'!$I$2:$I$2001,0),"")</ns0:f>
        <ns0:v/>
      </ns0:c>
    </ns0:row>
    <ns0:row r="1163" ht="21" customHeight="1">
      <ns0:c r="A1163" s="32" t="str">
        <ns0:f>IF($E1163="","",INDEX('Banka Dökümü'!$A$2:$A$2001,$E1163))</ns0:f>
        <ns0:v/>
      </ns0:c>
      <ns0:c r="B1163" s="28" t="str">
        <ns0:f>IF($E1163="","",INDEX('Banka Dökümü'!$B$2:$B$2001,$E1163))</ns0:f>
        <ns0:v/>
      </ns0:c>
      <ns0:c r="C1163" s="33" t="str">
        <ns0:f>IF($E1163="","",INDEX('Banka Dökümü'!$C$2:$C$2001,$E1163))</ns0:f>
        <ns0:v/>
      </ns0:c>
      <ns0:c r="D1163" s="28" t="str">
        <ns0:f>IF(E1163="","","Müşteri adı / aranacak ad / il bilgisini kontrol edin")</ns0:f>
        <ns0:v/>
      </ns0:c>
      <ns0:c r="E1163" s="28" t="str">
        <ns0:f>IFERROR(MATCH(1159,'Banka Dökümü'!$I$2:$I$2001,0),"")</ns0:f>
        <ns0:v/>
      </ns0:c>
    </ns0:row>
    <ns0:row r="1164" ht="21" customHeight="1">
      <ns0:c r="A1164" s="32" t="str">
        <ns0:f>IF($E1164="","",INDEX('Banka Dökümü'!$A$2:$A$2001,$E1164))</ns0:f>
        <ns0:v/>
      </ns0:c>
      <ns0:c r="B1164" s="28" t="str">
        <ns0:f>IF($E1164="","",INDEX('Banka Dökümü'!$B$2:$B$2001,$E1164))</ns0:f>
        <ns0:v/>
      </ns0:c>
      <ns0:c r="C1164" s="33" t="str">
        <ns0:f>IF($E1164="","",INDEX('Banka Dökümü'!$C$2:$C$2001,$E1164))</ns0:f>
        <ns0:v/>
      </ns0:c>
      <ns0:c r="D1164" s="28" t="str">
        <ns0:f>IF(E1164="","","Müşteri adı / aranacak ad / il bilgisini kontrol edin")</ns0:f>
        <ns0:v/>
      </ns0:c>
      <ns0:c r="E1164" s="28" t="str">
        <ns0:f>IFERROR(MATCH(1160,'Banka Dökümü'!$I$2:$I$2001,0),"")</ns0:f>
        <ns0:v/>
      </ns0:c>
    </ns0:row>
    <ns0:row r="1165" ht="21" customHeight="1">
      <ns0:c r="A1165" s="32" t="str">
        <ns0:f>IF($E1165="","",INDEX('Banka Dökümü'!$A$2:$A$2001,$E1165))</ns0:f>
        <ns0:v/>
      </ns0:c>
      <ns0:c r="B1165" s="28" t="str">
        <ns0:f>IF($E1165="","",INDEX('Banka Dökümü'!$B$2:$B$2001,$E1165))</ns0:f>
        <ns0:v/>
      </ns0:c>
      <ns0:c r="C1165" s="33" t="str">
        <ns0:f>IF($E1165="","",INDEX('Banka Dökümü'!$C$2:$C$2001,$E1165))</ns0:f>
        <ns0:v/>
      </ns0:c>
      <ns0:c r="D1165" s="28" t="str">
        <ns0:f>IF(E1165="","","Müşteri adı / aranacak ad / il bilgisini kontrol edin")</ns0:f>
        <ns0:v/>
      </ns0:c>
      <ns0:c r="E1165" s="28" t="str">
        <ns0:f>IFERROR(MATCH(1161,'Banka Dökümü'!$I$2:$I$2001,0),"")</ns0:f>
        <ns0:v/>
      </ns0:c>
    </ns0:row>
    <ns0:row r="1166" ht="21" customHeight="1">
      <ns0:c r="A1166" s="32" t="str">
        <ns0:f>IF($E1166="","",INDEX('Banka Dökümü'!$A$2:$A$2001,$E1166))</ns0:f>
        <ns0:v/>
      </ns0:c>
      <ns0:c r="B1166" s="28" t="str">
        <ns0:f>IF($E1166="","",INDEX('Banka Dökümü'!$B$2:$B$2001,$E1166))</ns0:f>
        <ns0:v/>
      </ns0:c>
      <ns0:c r="C1166" s="33" t="str">
        <ns0:f>IF($E1166="","",INDEX('Banka Dökümü'!$C$2:$C$2001,$E1166))</ns0:f>
        <ns0:v/>
      </ns0:c>
      <ns0:c r="D1166" s="28" t="str">
        <ns0:f>IF(E1166="","","Müşteri adı / aranacak ad / il bilgisini kontrol edin")</ns0:f>
        <ns0:v/>
      </ns0:c>
      <ns0:c r="E1166" s="28" t="str">
        <ns0:f>IFERROR(MATCH(1162,'Banka Dökümü'!$I$2:$I$2001,0),"")</ns0:f>
        <ns0:v/>
      </ns0:c>
    </ns0:row>
    <ns0:row r="1167" ht="21" customHeight="1">
      <ns0:c r="A1167" s="32" t="str">
        <ns0:f>IF($E1167="","",INDEX('Banka Dökümü'!$A$2:$A$2001,$E1167))</ns0:f>
        <ns0:v/>
      </ns0:c>
      <ns0:c r="B1167" s="28" t="str">
        <ns0:f>IF($E1167="","",INDEX('Banka Dökümü'!$B$2:$B$2001,$E1167))</ns0:f>
        <ns0:v/>
      </ns0:c>
      <ns0:c r="C1167" s="33" t="str">
        <ns0:f>IF($E1167="","",INDEX('Banka Dökümü'!$C$2:$C$2001,$E1167))</ns0:f>
        <ns0:v/>
      </ns0:c>
      <ns0:c r="D1167" s="28" t="str">
        <ns0:f>IF(E1167="","","Müşteri adı / aranacak ad / il bilgisini kontrol edin")</ns0:f>
        <ns0:v/>
      </ns0:c>
      <ns0:c r="E1167" s="28" t="str">
        <ns0:f>IFERROR(MATCH(1163,'Banka Dökümü'!$I$2:$I$2001,0),"")</ns0:f>
        <ns0:v/>
      </ns0:c>
    </ns0:row>
    <ns0:row r="1168" ht="21" customHeight="1">
      <ns0:c r="A1168" s="32" t="str">
        <ns0:f>IF($E1168="","",INDEX('Banka Dökümü'!$A$2:$A$2001,$E1168))</ns0:f>
        <ns0:v/>
      </ns0:c>
      <ns0:c r="B1168" s="28" t="str">
        <ns0:f>IF($E1168="","",INDEX('Banka Dökümü'!$B$2:$B$2001,$E1168))</ns0:f>
        <ns0:v/>
      </ns0:c>
      <ns0:c r="C1168" s="33" t="str">
        <ns0:f>IF($E1168="","",INDEX('Banka Dökümü'!$C$2:$C$2001,$E1168))</ns0:f>
        <ns0:v/>
      </ns0:c>
      <ns0:c r="D1168" s="28" t="str">
        <ns0:f>IF(E1168="","","Müşteri adı / aranacak ad / il bilgisini kontrol edin")</ns0:f>
        <ns0:v/>
      </ns0:c>
      <ns0:c r="E1168" s="28" t="str">
        <ns0:f>IFERROR(MATCH(1164,'Banka Dökümü'!$I$2:$I$2001,0),"")</ns0:f>
        <ns0:v/>
      </ns0:c>
    </ns0:row>
    <ns0:row r="1169" ht="21" customHeight="1">
      <ns0:c r="A1169" s="32" t="str">
        <ns0:f>IF($E1169="","",INDEX('Banka Dökümü'!$A$2:$A$2001,$E1169))</ns0:f>
        <ns0:v/>
      </ns0:c>
      <ns0:c r="B1169" s="28" t="str">
        <ns0:f>IF($E1169="","",INDEX('Banka Dökümü'!$B$2:$B$2001,$E1169))</ns0:f>
        <ns0:v/>
      </ns0:c>
      <ns0:c r="C1169" s="33" t="str">
        <ns0:f>IF($E1169="","",INDEX('Banka Dökümü'!$C$2:$C$2001,$E1169))</ns0:f>
        <ns0:v/>
      </ns0:c>
      <ns0:c r="D1169" s="28" t="str">
        <ns0:f>IF(E1169="","","Müşteri adı / aranacak ad / il bilgisini kontrol edin")</ns0:f>
        <ns0:v/>
      </ns0:c>
      <ns0:c r="E1169" s="28" t="str">
        <ns0:f>IFERROR(MATCH(1165,'Banka Dökümü'!$I$2:$I$2001,0),"")</ns0:f>
        <ns0:v/>
      </ns0:c>
    </ns0:row>
    <ns0:row r="1170" ht="21" customHeight="1">
      <ns0:c r="A1170" s="32" t="str">
        <ns0:f>IF($E1170="","",INDEX('Banka Dökümü'!$A$2:$A$2001,$E1170))</ns0:f>
        <ns0:v/>
      </ns0:c>
      <ns0:c r="B1170" s="28" t="str">
        <ns0:f>IF($E1170="","",INDEX('Banka Dökümü'!$B$2:$B$2001,$E1170))</ns0:f>
        <ns0:v/>
      </ns0:c>
      <ns0:c r="C1170" s="33" t="str">
        <ns0:f>IF($E1170="","",INDEX('Banka Dökümü'!$C$2:$C$2001,$E1170))</ns0:f>
        <ns0:v/>
      </ns0:c>
      <ns0:c r="D1170" s="28" t="str">
        <ns0:f>IF(E1170="","","Müşteri adı / aranacak ad / il bilgisini kontrol edin")</ns0:f>
        <ns0:v/>
      </ns0:c>
      <ns0:c r="E1170" s="28" t="str">
        <ns0:f>IFERROR(MATCH(1166,'Banka Dökümü'!$I$2:$I$2001,0),"")</ns0:f>
        <ns0:v/>
      </ns0:c>
    </ns0:row>
    <ns0:row r="1171" ht="21" customHeight="1">
      <ns0:c r="A1171" s="32" t="str">
        <ns0:f>IF($E1171="","",INDEX('Banka Dökümü'!$A$2:$A$2001,$E1171))</ns0:f>
        <ns0:v/>
      </ns0:c>
      <ns0:c r="B1171" s="28" t="str">
        <ns0:f>IF($E1171="","",INDEX('Banka Dökümü'!$B$2:$B$2001,$E1171))</ns0:f>
        <ns0:v/>
      </ns0:c>
      <ns0:c r="C1171" s="33" t="str">
        <ns0:f>IF($E1171="","",INDEX('Banka Dökümü'!$C$2:$C$2001,$E1171))</ns0:f>
        <ns0:v/>
      </ns0:c>
      <ns0:c r="D1171" s="28" t="str">
        <ns0:f>IF(E1171="","","Müşteri adı / aranacak ad / il bilgisini kontrol edin")</ns0:f>
        <ns0:v/>
      </ns0:c>
      <ns0:c r="E1171" s="28" t="str">
        <ns0:f>IFERROR(MATCH(1167,'Banka Dökümü'!$I$2:$I$2001,0),"")</ns0:f>
        <ns0:v/>
      </ns0:c>
    </ns0:row>
    <ns0:row r="1172" ht="21" customHeight="1">
      <ns0:c r="A1172" s="32" t="str">
        <ns0:f>IF($E1172="","",INDEX('Banka Dökümü'!$A$2:$A$2001,$E1172))</ns0:f>
        <ns0:v/>
      </ns0:c>
      <ns0:c r="B1172" s="28" t="str">
        <ns0:f>IF($E1172="","",INDEX('Banka Dökümü'!$B$2:$B$2001,$E1172))</ns0:f>
        <ns0:v/>
      </ns0:c>
      <ns0:c r="C1172" s="33" t="str">
        <ns0:f>IF($E1172="","",INDEX('Banka Dökümü'!$C$2:$C$2001,$E1172))</ns0:f>
        <ns0:v/>
      </ns0:c>
      <ns0:c r="D1172" s="28" t="str">
        <ns0:f>IF(E1172="","","Müşteri adı / aranacak ad / il bilgisini kontrol edin")</ns0:f>
        <ns0:v/>
      </ns0:c>
      <ns0:c r="E1172" s="28" t="str">
        <ns0:f>IFERROR(MATCH(1168,'Banka Dökümü'!$I$2:$I$2001,0),"")</ns0:f>
        <ns0:v/>
      </ns0:c>
    </ns0:row>
    <ns0:row r="1173" ht="21" customHeight="1">
      <ns0:c r="A1173" s="32" t="str">
        <ns0:f>IF($E1173="","",INDEX('Banka Dökümü'!$A$2:$A$2001,$E1173))</ns0:f>
        <ns0:v/>
      </ns0:c>
      <ns0:c r="B1173" s="28" t="str">
        <ns0:f>IF($E1173="","",INDEX('Banka Dökümü'!$B$2:$B$2001,$E1173))</ns0:f>
        <ns0:v/>
      </ns0:c>
      <ns0:c r="C1173" s="33" t="str">
        <ns0:f>IF($E1173="","",INDEX('Banka Dökümü'!$C$2:$C$2001,$E1173))</ns0:f>
        <ns0:v/>
      </ns0:c>
      <ns0:c r="D1173" s="28" t="str">
        <ns0:f>IF(E1173="","","Müşteri adı / aranacak ad / il bilgisini kontrol edin")</ns0:f>
        <ns0:v/>
      </ns0:c>
      <ns0:c r="E1173" s="28" t="str">
        <ns0:f>IFERROR(MATCH(1169,'Banka Dökümü'!$I$2:$I$2001,0),"")</ns0:f>
        <ns0:v/>
      </ns0:c>
    </ns0:row>
    <ns0:row r="1174" ht="21" customHeight="1">
      <ns0:c r="A1174" s="32" t="str">
        <ns0:f>IF($E1174="","",INDEX('Banka Dökümü'!$A$2:$A$2001,$E1174))</ns0:f>
        <ns0:v/>
      </ns0:c>
      <ns0:c r="B1174" s="28" t="str">
        <ns0:f>IF($E1174="","",INDEX('Banka Dökümü'!$B$2:$B$2001,$E1174))</ns0:f>
        <ns0:v/>
      </ns0:c>
      <ns0:c r="C1174" s="33" t="str">
        <ns0:f>IF($E1174="","",INDEX('Banka Dökümü'!$C$2:$C$2001,$E1174))</ns0:f>
        <ns0:v/>
      </ns0:c>
      <ns0:c r="D1174" s="28" t="str">
        <ns0:f>IF(E1174="","","Müşteri adı / aranacak ad / il bilgisini kontrol edin")</ns0:f>
        <ns0:v/>
      </ns0:c>
      <ns0:c r="E1174" s="28" t="str">
        <ns0:f>IFERROR(MATCH(1170,'Banka Dökümü'!$I$2:$I$2001,0),"")</ns0:f>
        <ns0:v/>
      </ns0:c>
    </ns0:row>
    <ns0:row r="1175" ht="21" customHeight="1">
      <ns0:c r="A1175" s="32" t="str">
        <ns0:f>IF($E1175="","",INDEX('Banka Dökümü'!$A$2:$A$2001,$E1175))</ns0:f>
        <ns0:v/>
      </ns0:c>
      <ns0:c r="B1175" s="28" t="str">
        <ns0:f>IF($E1175="","",INDEX('Banka Dökümü'!$B$2:$B$2001,$E1175))</ns0:f>
        <ns0:v/>
      </ns0:c>
      <ns0:c r="C1175" s="33" t="str">
        <ns0:f>IF($E1175="","",INDEX('Banka Dökümü'!$C$2:$C$2001,$E1175))</ns0:f>
        <ns0:v/>
      </ns0:c>
      <ns0:c r="D1175" s="28" t="str">
        <ns0:f>IF(E1175="","","Müşteri adı / aranacak ad / il bilgisini kontrol edin")</ns0:f>
        <ns0:v/>
      </ns0:c>
      <ns0:c r="E1175" s="28" t="str">
        <ns0:f>IFERROR(MATCH(1171,'Banka Dökümü'!$I$2:$I$2001,0),"")</ns0:f>
        <ns0:v/>
      </ns0:c>
    </ns0:row>
    <ns0:row r="1176" ht="21" customHeight="1">
      <ns0:c r="A1176" s="32" t="str">
        <ns0:f>IF($E1176="","",INDEX('Banka Dökümü'!$A$2:$A$2001,$E1176))</ns0:f>
        <ns0:v/>
      </ns0:c>
      <ns0:c r="B1176" s="28" t="str">
        <ns0:f>IF($E1176="","",INDEX('Banka Dökümü'!$B$2:$B$2001,$E1176))</ns0:f>
        <ns0:v/>
      </ns0:c>
      <ns0:c r="C1176" s="33" t="str">
        <ns0:f>IF($E1176="","",INDEX('Banka Dökümü'!$C$2:$C$2001,$E1176))</ns0:f>
        <ns0:v/>
      </ns0:c>
      <ns0:c r="D1176" s="28" t="str">
        <ns0:f>IF(E1176="","","Müşteri adı / aranacak ad / il bilgisini kontrol edin")</ns0:f>
        <ns0:v/>
      </ns0:c>
      <ns0:c r="E1176" s="28" t="str">
        <ns0:f>IFERROR(MATCH(1172,'Banka Dökümü'!$I$2:$I$2001,0),"")</ns0:f>
        <ns0:v/>
      </ns0:c>
    </ns0:row>
    <ns0:row r="1177" ht="21" customHeight="1">
      <ns0:c r="A1177" s="32" t="str">
        <ns0:f>IF($E1177="","",INDEX('Banka Dökümü'!$A$2:$A$2001,$E1177))</ns0:f>
        <ns0:v/>
      </ns0:c>
      <ns0:c r="B1177" s="28" t="str">
        <ns0:f>IF($E1177="","",INDEX('Banka Dökümü'!$B$2:$B$2001,$E1177))</ns0:f>
        <ns0:v/>
      </ns0:c>
      <ns0:c r="C1177" s="33" t="str">
        <ns0:f>IF($E1177="","",INDEX('Banka Dökümü'!$C$2:$C$2001,$E1177))</ns0:f>
        <ns0:v/>
      </ns0:c>
      <ns0:c r="D1177" s="28" t="str">
        <ns0:f>IF(E1177="","","Müşteri adı / aranacak ad / il bilgisini kontrol edin")</ns0:f>
        <ns0:v/>
      </ns0:c>
      <ns0:c r="E1177" s="28" t="str">
        <ns0:f>IFERROR(MATCH(1173,'Banka Dökümü'!$I$2:$I$2001,0),"")</ns0:f>
        <ns0:v/>
      </ns0:c>
    </ns0:row>
    <ns0:row r="1178" ht="21" customHeight="1">
      <ns0:c r="A1178" s="32" t="str">
        <ns0:f>IF($E1178="","",INDEX('Banka Dökümü'!$A$2:$A$2001,$E1178))</ns0:f>
        <ns0:v/>
      </ns0:c>
      <ns0:c r="B1178" s="28" t="str">
        <ns0:f>IF($E1178="","",INDEX('Banka Dökümü'!$B$2:$B$2001,$E1178))</ns0:f>
        <ns0:v/>
      </ns0:c>
      <ns0:c r="C1178" s="33" t="str">
        <ns0:f>IF($E1178="","",INDEX('Banka Dökümü'!$C$2:$C$2001,$E1178))</ns0:f>
        <ns0:v/>
      </ns0:c>
      <ns0:c r="D1178" s="28" t="str">
        <ns0:f>IF(E1178="","","Müşteri adı / aranacak ad / il bilgisini kontrol edin")</ns0:f>
        <ns0:v/>
      </ns0:c>
      <ns0:c r="E1178" s="28" t="str">
        <ns0:f>IFERROR(MATCH(1174,'Banka Dökümü'!$I$2:$I$2001,0),"")</ns0:f>
        <ns0:v/>
      </ns0:c>
    </ns0:row>
    <ns0:row r="1179" ht="21" customHeight="1">
      <ns0:c r="A1179" s="32" t="str">
        <ns0:f>IF($E1179="","",INDEX('Banka Dökümü'!$A$2:$A$2001,$E1179))</ns0:f>
        <ns0:v/>
      </ns0:c>
      <ns0:c r="B1179" s="28" t="str">
        <ns0:f>IF($E1179="","",INDEX('Banka Dökümü'!$B$2:$B$2001,$E1179))</ns0:f>
        <ns0:v/>
      </ns0:c>
      <ns0:c r="C1179" s="33" t="str">
        <ns0:f>IF($E1179="","",INDEX('Banka Dökümü'!$C$2:$C$2001,$E1179))</ns0:f>
        <ns0:v/>
      </ns0:c>
      <ns0:c r="D1179" s="28" t="str">
        <ns0:f>IF(E1179="","","Müşteri adı / aranacak ad / il bilgisini kontrol edin")</ns0:f>
        <ns0:v/>
      </ns0:c>
      <ns0:c r="E1179" s="28" t="str">
        <ns0:f>IFERROR(MATCH(1175,'Banka Dökümü'!$I$2:$I$2001,0),"")</ns0:f>
        <ns0:v/>
      </ns0:c>
    </ns0:row>
    <ns0:row r="1180" ht="21" customHeight="1">
      <ns0:c r="A1180" s="32" t="str">
        <ns0:f>IF($E1180="","",INDEX('Banka Dökümü'!$A$2:$A$2001,$E1180))</ns0:f>
        <ns0:v/>
      </ns0:c>
      <ns0:c r="B1180" s="28" t="str">
        <ns0:f>IF($E1180="","",INDEX('Banka Dökümü'!$B$2:$B$2001,$E1180))</ns0:f>
        <ns0:v/>
      </ns0:c>
      <ns0:c r="C1180" s="33" t="str">
        <ns0:f>IF($E1180="","",INDEX('Banka Dökümü'!$C$2:$C$2001,$E1180))</ns0:f>
        <ns0:v/>
      </ns0:c>
      <ns0:c r="D1180" s="28" t="str">
        <ns0:f>IF(E1180="","","Müşteri adı / aranacak ad / il bilgisini kontrol edin")</ns0:f>
        <ns0:v/>
      </ns0:c>
      <ns0:c r="E1180" s="28" t="str">
        <ns0:f>IFERROR(MATCH(1176,'Banka Dökümü'!$I$2:$I$2001,0),"")</ns0:f>
        <ns0:v/>
      </ns0:c>
    </ns0:row>
    <ns0:row r="1181" ht="21" customHeight="1">
      <ns0:c r="A1181" s="32" t="str">
        <ns0:f>IF($E1181="","",INDEX('Banka Dökümü'!$A$2:$A$2001,$E1181))</ns0:f>
        <ns0:v/>
      </ns0:c>
      <ns0:c r="B1181" s="28" t="str">
        <ns0:f>IF($E1181="","",INDEX('Banka Dökümü'!$B$2:$B$2001,$E1181))</ns0:f>
        <ns0:v/>
      </ns0:c>
      <ns0:c r="C1181" s="33" t="str">
        <ns0:f>IF($E1181="","",INDEX('Banka Dökümü'!$C$2:$C$2001,$E1181))</ns0:f>
        <ns0:v/>
      </ns0:c>
      <ns0:c r="D1181" s="28" t="str">
        <ns0:f>IF(E1181="","","Müşteri adı / aranacak ad / il bilgisini kontrol edin")</ns0:f>
        <ns0:v/>
      </ns0:c>
      <ns0:c r="E1181" s="28" t="str">
        <ns0:f>IFERROR(MATCH(1177,'Banka Dökümü'!$I$2:$I$2001,0),"")</ns0:f>
        <ns0:v/>
      </ns0:c>
    </ns0:row>
    <ns0:row r="1182" ht="21" customHeight="1">
      <ns0:c r="A1182" s="32" t="str">
        <ns0:f>IF($E1182="","",INDEX('Banka Dökümü'!$A$2:$A$2001,$E1182))</ns0:f>
        <ns0:v/>
      </ns0:c>
      <ns0:c r="B1182" s="28" t="str">
        <ns0:f>IF($E1182="","",INDEX('Banka Dökümü'!$B$2:$B$2001,$E1182))</ns0:f>
        <ns0:v/>
      </ns0:c>
      <ns0:c r="C1182" s="33" t="str">
        <ns0:f>IF($E1182="","",INDEX('Banka Dökümü'!$C$2:$C$2001,$E1182))</ns0:f>
        <ns0:v/>
      </ns0:c>
      <ns0:c r="D1182" s="28" t="str">
        <ns0:f>IF(E1182="","","Müşteri adı / aranacak ad / il bilgisini kontrol edin")</ns0:f>
        <ns0:v/>
      </ns0:c>
      <ns0:c r="E1182" s="28" t="str">
        <ns0:f>IFERROR(MATCH(1178,'Banka Dökümü'!$I$2:$I$2001,0),"")</ns0:f>
        <ns0:v/>
      </ns0:c>
    </ns0:row>
    <ns0:row r="1183" ht="21" customHeight="1">
      <ns0:c r="A1183" s="32" t="str">
        <ns0:f>IF($E1183="","",INDEX('Banka Dökümü'!$A$2:$A$2001,$E1183))</ns0:f>
        <ns0:v/>
      </ns0:c>
      <ns0:c r="B1183" s="28" t="str">
        <ns0:f>IF($E1183="","",INDEX('Banka Dökümü'!$B$2:$B$2001,$E1183))</ns0:f>
        <ns0:v/>
      </ns0:c>
      <ns0:c r="C1183" s="33" t="str">
        <ns0:f>IF($E1183="","",INDEX('Banka Dökümü'!$C$2:$C$2001,$E1183))</ns0:f>
        <ns0:v/>
      </ns0:c>
      <ns0:c r="D1183" s="28" t="str">
        <ns0:f>IF(E1183="","","Müşteri adı / aranacak ad / il bilgisini kontrol edin")</ns0:f>
        <ns0:v/>
      </ns0:c>
      <ns0:c r="E1183" s="28" t="str">
        <ns0:f>IFERROR(MATCH(1179,'Banka Dökümü'!$I$2:$I$2001,0),"")</ns0:f>
        <ns0:v/>
      </ns0:c>
    </ns0:row>
    <ns0:row r="1184" ht="21" customHeight="1">
      <ns0:c r="A1184" s="32" t="str">
        <ns0:f>IF($E1184="","",INDEX('Banka Dökümü'!$A$2:$A$2001,$E1184))</ns0:f>
        <ns0:v/>
      </ns0:c>
      <ns0:c r="B1184" s="28" t="str">
        <ns0:f>IF($E1184="","",INDEX('Banka Dökümü'!$B$2:$B$2001,$E1184))</ns0:f>
        <ns0:v/>
      </ns0:c>
      <ns0:c r="C1184" s="33" t="str">
        <ns0:f>IF($E1184="","",INDEX('Banka Dökümü'!$C$2:$C$2001,$E1184))</ns0:f>
        <ns0:v/>
      </ns0:c>
      <ns0:c r="D1184" s="28" t="str">
        <ns0:f>IF(E1184="","","Müşteri adı / aranacak ad / il bilgisini kontrol edin")</ns0:f>
        <ns0:v/>
      </ns0:c>
      <ns0:c r="E1184" s="28" t="str">
        <ns0:f>IFERROR(MATCH(1180,'Banka Dökümü'!$I$2:$I$2001,0),"")</ns0:f>
        <ns0:v/>
      </ns0:c>
    </ns0:row>
    <ns0:row r="1185" ht="21" customHeight="1">
      <ns0:c r="A1185" s="32" t="str">
        <ns0:f>IF($E1185="","",INDEX('Banka Dökümü'!$A$2:$A$2001,$E1185))</ns0:f>
        <ns0:v/>
      </ns0:c>
      <ns0:c r="B1185" s="28" t="str">
        <ns0:f>IF($E1185="","",INDEX('Banka Dökümü'!$B$2:$B$2001,$E1185))</ns0:f>
        <ns0:v/>
      </ns0:c>
      <ns0:c r="C1185" s="33" t="str">
        <ns0:f>IF($E1185="","",INDEX('Banka Dökümü'!$C$2:$C$2001,$E1185))</ns0:f>
        <ns0:v/>
      </ns0:c>
      <ns0:c r="D1185" s="28" t="str">
        <ns0:f>IF(E1185="","","Müşteri adı / aranacak ad / il bilgisini kontrol edin")</ns0:f>
        <ns0:v/>
      </ns0:c>
      <ns0:c r="E1185" s="28" t="str">
        <ns0:f>IFERROR(MATCH(1181,'Banka Dökümü'!$I$2:$I$2001,0),"")</ns0:f>
        <ns0:v/>
      </ns0:c>
    </ns0:row>
    <ns0:row r="1186" ht="21" customHeight="1">
      <ns0:c r="A1186" s="32" t="str">
        <ns0:f>IF($E1186="","",INDEX('Banka Dökümü'!$A$2:$A$2001,$E1186))</ns0:f>
        <ns0:v/>
      </ns0:c>
      <ns0:c r="B1186" s="28" t="str">
        <ns0:f>IF($E1186="","",INDEX('Banka Dökümü'!$B$2:$B$2001,$E1186))</ns0:f>
        <ns0:v/>
      </ns0:c>
      <ns0:c r="C1186" s="33" t="str">
        <ns0:f>IF($E1186="","",INDEX('Banka Dökümü'!$C$2:$C$2001,$E1186))</ns0:f>
        <ns0:v/>
      </ns0:c>
      <ns0:c r="D1186" s="28" t="str">
        <ns0:f>IF(E1186="","","Müşteri adı / aranacak ad / il bilgisini kontrol edin")</ns0:f>
        <ns0:v/>
      </ns0:c>
      <ns0:c r="E1186" s="28" t="str">
        <ns0:f>IFERROR(MATCH(1182,'Banka Dökümü'!$I$2:$I$2001,0),"")</ns0:f>
        <ns0:v/>
      </ns0:c>
    </ns0:row>
    <ns0:row r="1187" ht="21" customHeight="1">
      <ns0:c r="A1187" s="32" t="str">
        <ns0:f>IF($E1187="","",INDEX('Banka Dökümü'!$A$2:$A$2001,$E1187))</ns0:f>
        <ns0:v/>
      </ns0:c>
      <ns0:c r="B1187" s="28" t="str">
        <ns0:f>IF($E1187="","",INDEX('Banka Dökümü'!$B$2:$B$2001,$E1187))</ns0:f>
        <ns0:v/>
      </ns0:c>
      <ns0:c r="C1187" s="33" t="str">
        <ns0:f>IF($E1187="","",INDEX('Banka Dökümü'!$C$2:$C$2001,$E1187))</ns0:f>
        <ns0:v/>
      </ns0:c>
      <ns0:c r="D1187" s="28" t="str">
        <ns0:f>IF(E1187="","","Müşteri adı / aranacak ad / il bilgisini kontrol edin")</ns0:f>
        <ns0:v/>
      </ns0:c>
      <ns0:c r="E1187" s="28" t="str">
        <ns0:f>IFERROR(MATCH(1183,'Banka Dökümü'!$I$2:$I$2001,0),"")</ns0:f>
        <ns0:v/>
      </ns0:c>
    </ns0:row>
    <ns0:row r="1188" ht="21" customHeight="1">
      <ns0:c r="A1188" s="32" t="str">
        <ns0:f>IF($E1188="","",INDEX('Banka Dökümü'!$A$2:$A$2001,$E1188))</ns0:f>
        <ns0:v/>
      </ns0:c>
      <ns0:c r="B1188" s="28" t="str">
        <ns0:f>IF($E1188="","",INDEX('Banka Dökümü'!$B$2:$B$2001,$E1188))</ns0:f>
        <ns0:v/>
      </ns0:c>
      <ns0:c r="C1188" s="33" t="str">
        <ns0:f>IF($E1188="","",INDEX('Banka Dökümü'!$C$2:$C$2001,$E1188))</ns0:f>
        <ns0:v/>
      </ns0:c>
      <ns0:c r="D1188" s="28" t="str">
        <ns0:f>IF(E1188="","","Müşteri adı / aranacak ad / il bilgisini kontrol edin")</ns0:f>
        <ns0:v/>
      </ns0:c>
      <ns0:c r="E1188" s="28" t="str">
        <ns0:f>IFERROR(MATCH(1184,'Banka Dökümü'!$I$2:$I$2001,0),"")</ns0:f>
        <ns0:v/>
      </ns0:c>
    </ns0:row>
    <ns0:row r="1189" ht="21" customHeight="1">
      <ns0:c r="A1189" s="32" t="str">
        <ns0:f>IF($E1189="","",INDEX('Banka Dökümü'!$A$2:$A$2001,$E1189))</ns0:f>
        <ns0:v/>
      </ns0:c>
      <ns0:c r="B1189" s="28" t="str">
        <ns0:f>IF($E1189="","",INDEX('Banka Dökümü'!$B$2:$B$2001,$E1189))</ns0:f>
        <ns0:v/>
      </ns0:c>
      <ns0:c r="C1189" s="33" t="str">
        <ns0:f>IF($E1189="","",INDEX('Banka Dökümü'!$C$2:$C$2001,$E1189))</ns0:f>
        <ns0:v/>
      </ns0:c>
      <ns0:c r="D1189" s="28" t="str">
        <ns0:f>IF(E1189="","","Müşteri adı / aranacak ad / il bilgisini kontrol edin")</ns0:f>
        <ns0:v/>
      </ns0:c>
      <ns0:c r="E1189" s="28" t="str">
        <ns0:f>IFERROR(MATCH(1185,'Banka Dökümü'!$I$2:$I$2001,0),"")</ns0:f>
        <ns0:v/>
      </ns0:c>
    </ns0:row>
    <ns0:row r="1190" ht="21" customHeight="1">
      <ns0:c r="A1190" s="32" t="str">
        <ns0:f>IF($E1190="","",INDEX('Banka Dökümü'!$A$2:$A$2001,$E1190))</ns0:f>
        <ns0:v/>
      </ns0:c>
      <ns0:c r="B1190" s="28" t="str">
        <ns0:f>IF($E1190="","",INDEX('Banka Dökümü'!$B$2:$B$2001,$E1190))</ns0:f>
        <ns0:v/>
      </ns0:c>
      <ns0:c r="C1190" s="33" t="str">
        <ns0:f>IF($E1190="","",INDEX('Banka Dökümü'!$C$2:$C$2001,$E1190))</ns0:f>
        <ns0:v/>
      </ns0:c>
      <ns0:c r="D1190" s="28" t="str">
        <ns0:f>IF(E1190="","","Müşteri adı / aranacak ad / il bilgisini kontrol edin")</ns0:f>
        <ns0:v/>
      </ns0:c>
      <ns0:c r="E1190" s="28" t="str">
        <ns0:f>IFERROR(MATCH(1186,'Banka Dökümü'!$I$2:$I$2001,0),"")</ns0:f>
        <ns0:v/>
      </ns0:c>
    </ns0:row>
    <ns0:row r="1191" ht="21" customHeight="1">
      <ns0:c r="A1191" s="32" t="str">
        <ns0:f>IF($E1191="","",INDEX('Banka Dökümü'!$A$2:$A$2001,$E1191))</ns0:f>
        <ns0:v/>
      </ns0:c>
      <ns0:c r="B1191" s="28" t="str">
        <ns0:f>IF($E1191="","",INDEX('Banka Dökümü'!$B$2:$B$2001,$E1191))</ns0:f>
        <ns0:v/>
      </ns0:c>
      <ns0:c r="C1191" s="33" t="str">
        <ns0:f>IF($E1191="","",INDEX('Banka Dökümü'!$C$2:$C$2001,$E1191))</ns0:f>
        <ns0:v/>
      </ns0:c>
      <ns0:c r="D1191" s="28" t="str">
        <ns0:f>IF(E1191="","","Müşteri adı / aranacak ad / il bilgisini kontrol edin")</ns0:f>
        <ns0:v/>
      </ns0:c>
      <ns0:c r="E1191" s="28" t="str">
        <ns0:f>IFERROR(MATCH(1187,'Banka Dökümü'!$I$2:$I$2001,0),"")</ns0:f>
        <ns0:v/>
      </ns0:c>
    </ns0:row>
    <ns0:row r="1192" ht="21" customHeight="1">
      <ns0:c r="A1192" s="32" t="str">
        <ns0:f>IF($E1192="","",INDEX('Banka Dökümü'!$A$2:$A$2001,$E1192))</ns0:f>
        <ns0:v/>
      </ns0:c>
      <ns0:c r="B1192" s="28" t="str">
        <ns0:f>IF($E1192="","",INDEX('Banka Dökümü'!$B$2:$B$2001,$E1192))</ns0:f>
        <ns0:v/>
      </ns0:c>
      <ns0:c r="C1192" s="33" t="str">
        <ns0:f>IF($E1192="","",INDEX('Banka Dökümü'!$C$2:$C$2001,$E1192))</ns0:f>
        <ns0:v/>
      </ns0:c>
      <ns0:c r="D1192" s="28" t="str">
        <ns0:f>IF(E1192="","","Müşteri adı / aranacak ad / il bilgisini kontrol edin")</ns0:f>
        <ns0:v/>
      </ns0:c>
      <ns0:c r="E1192" s="28" t="str">
        <ns0:f>IFERROR(MATCH(1188,'Banka Dökümü'!$I$2:$I$2001,0),"")</ns0:f>
        <ns0:v/>
      </ns0:c>
    </ns0:row>
    <ns0:row r="1193" ht="21" customHeight="1">
      <ns0:c r="A1193" s="32" t="str">
        <ns0:f>IF($E1193="","",INDEX('Banka Dökümü'!$A$2:$A$2001,$E1193))</ns0:f>
        <ns0:v/>
      </ns0:c>
      <ns0:c r="B1193" s="28" t="str">
        <ns0:f>IF($E1193="","",INDEX('Banka Dökümü'!$B$2:$B$2001,$E1193))</ns0:f>
        <ns0:v/>
      </ns0:c>
      <ns0:c r="C1193" s="33" t="str">
        <ns0:f>IF($E1193="","",INDEX('Banka Dökümü'!$C$2:$C$2001,$E1193))</ns0:f>
        <ns0:v/>
      </ns0:c>
      <ns0:c r="D1193" s="28" t="str">
        <ns0:f>IF(E1193="","","Müşteri adı / aranacak ad / il bilgisini kontrol edin")</ns0:f>
        <ns0:v/>
      </ns0:c>
      <ns0:c r="E1193" s="28" t="str">
        <ns0:f>IFERROR(MATCH(1189,'Banka Dökümü'!$I$2:$I$2001,0),"")</ns0:f>
        <ns0:v/>
      </ns0:c>
    </ns0:row>
    <ns0:row r="1194" ht="21" customHeight="1">
      <ns0:c r="A1194" s="32" t="str">
        <ns0:f>IF($E1194="","",INDEX('Banka Dökümü'!$A$2:$A$2001,$E1194))</ns0:f>
        <ns0:v/>
      </ns0:c>
      <ns0:c r="B1194" s="28" t="str">
        <ns0:f>IF($E1194="","",INDEX('Banka Dökümü'!$B$2:$B$2001,$E1194))</ns0:f>
        <ns0:v/>
      </ns0:c>
      <ns0:c r="C1194" s="33" t="str">
        <ns0:f>IF($E1194="","",INDEX('Banka Dökümü'!$C$2:$C$2001,$E1194))</ns0:f>
        <ns0:v/>
      </ns0:c>
      <ns0:c r="D1194" s="28" t="str">
        <ns0:f>IF(E1194="","","Müşteri adı / aranacak ad / il bilgisini kontrol edin")</ns0:f>
        <ns0:v/>
      </ns0:c>
      <ns0:c r="E1194" s="28" t="str">
        <ns0:f>IFERROR(MATCH(1190,'Banka Dökümü'!$I$2:$I$2001,0),"")</ns0:f>
        <ns0:v/>
      </ns0:c>
    </ns0:row>
    <ns0:row r="1195" ht="21" customHeight="1">
      <ns0:c r="A1195" s="32" t="str">
        <ns0:f>IF($E1195="","",INDEX('Banka Dökümü'!$A$2:$A$2001,$E1195))</ns0:f>
        <ns0:v/>
      </ns0:c>
      <ns0:c r="B1195" s="28" t="str">
        <ns0:f>IF($E1195="","",INDEX('Banka Dökümü'!$B$2:$B$2001,$E1195))</ns0:f>
        <ns0:v/>
      </ns0:c>
      <ns0:c r="C1195" s="33" t="str">
        <ns0:f>IF($E1195="","",INDEX('Banka Dökümü'!$C$2:$C$2001,$E1195))</ns0:f>
        <ns0:v/>
      </ns0:c>
      <ns0:c r="D1195" s="28" t="str">
        <ns0:f>IF(E1195="","","Müşteri adı / aranacak ad / il bilgisini kontrol edin")</ns0:f>
        <ns0:v/>
      </ns0:c>
      <ns0:c r="E1195" s="28" t="str">
        <ns0:f>IFERROR(MATCH(1191,'Banka Dökümü'!$I$2:$I$2001,0),"")</ns0:f>
        <ns0:v/>
      </ns0:c>
    </ns0:row>
    <ns0:row r="1196" ht="21" customHeight="1">
      <ns0:c r="A1196" s="32" t="str">
        <ns0:f>IF($E1196="","",INDEX('Banka Dökümü'!$A$2:$A$2001,$E1196))</ns0:f>
        <ns0:v/>
      </ns0:c>
      <ns0:c r="B1196" s="28" t="str">
        <ns0:f>IF($E1196="","",INDEX('Banka Dökümü'!$B$2:$B$2001,$E1196))</ns0:f>
        <ns0:v/>
      </ns0:c>
      <ns0:c r="C1196" s="33" t="str">
        <ns0:f>IF($E1196="","",INDEX('Banka Dökümü'!$C$2:$C$2001,$E1196))</ns0:f>
        <ns0:v/>
      </ns0:c>
      <ns0:c r="D1196" s="28" t="str">
        <ns0:f>IF(E1196="","","Müşteri adı / aranacak ad / il bilgisini kontrol edin")</ns0:f>
        <ns0:v/>
      </ns0:c>
      <ns0:c r="E1196" s="28" t="str">
        <ns0:f>IFERROR(MATCH(1192,'Banka Dökümü'!$I$2:$I$2001,0),"")</ns0:f>
        <ns0:v/>
      </ns0:c>
    </ns0:row>
    <ns0:row r="1197" ht="21" customHeight="1">
      <ns0:c r="A1197" s="32" t="str">
        <ns0:f>IF($E1197="","",INDEX('Banka Dökümü'!$A$2:$A$2001,$E1197))</ns0:f>
        <ns0:v/>
      </ns0:c>
      <ns0:c r="B1197" s="28" t="str">
        <ns0:f>IF($E1197="","",INDEX('Banka Dökümü'!$B$2:$B$2001,$E1197))</ns0:f>
        <ns0:v/>
      </ns0:c>
      <ns0:c r="C1197" s="33" t="str">
        <ns0:f>IF($E1197="","",INDEX('Banka Dökümü'!$C$2:$C$2001,$E1197))</ns0:f>
        <ns0:v/>
      </ns0:c>
      <ns0:c r="D1197" s="28" t="str">
        <ns0:f>IF(E1197="","","Müşteri adı / aranacak ad / il bilgisini kontrol edin")</ns0:f>
        <ns0:v/>
      </ns0:c>
      <ns0:c r="E1197" s="28" t="str">
        <ns0:f>IFERROR(MATCH(1193,'Banka Dökümü'!$I$2:$I$2001,0),"")</ns0:f>
        <ns0:v/>
      </ns0:c>
    </ns0:row>
    <ns0:row r="1198" ht="21" customHeight="1">
      <ns0:c r="A1198" s="32" t="str">
        <ns0:f>IF($E1198="","",INDEX('Banka Dökümü'!$A$2:$A$2001,$E1198))</ns0:f>
        <ns0:v/>
      </ns0:c>
      <ns0:c r="B1198" s="28" t="str">
        <ns0:f>IF($E1198="","",INDEX('Banka Dökümü'!$B$2:$B$2001,$E1198))</ns0:f>
        <ns0:v/>
      </ns0:c>
      <ns0:c r="C1198" s="33" t="str">
        <ns0:f>IF($E1198="","",INDEX('Banka Dökümü'!$C$2:$C$2001,$E1198))</ns0:f>
        <ns0:v/>
      </ns0:c>
      <ns0:c r="D1198" s="28" t="str">
        <ns0:f>IF(E1198="","","Müşteri adı / aranacak ad / il bilgisini kontrol edin")</ns0:f>
        <ns0:v/>
      </ns0:c>
      <ns0:c r="E1198" s="28" t="str">
        <ns0:f>IFERROR(MATCH(1194,'Banka Dökümü'!$I$2:$I$2001,0),"")</ns0:f>
        <ns0:v/>
      </ns0:c>
    </ns0:row>
    <ns0:row r="1199" ht="21" customHeight="1">
      <ns0:c r="A1199" s="32" t="str">
        <ns0:f>IF($E1199="","",INDEX('Banka Dökümü'!$A$2:$A$2001,$E1199))</ns0:f>
        <ns0:v/>
      </ns0:c>
      <ns0:c r="B1199" s="28" t="str">
        <ns0:f>IF($E1199="","",INDEX('Banka Dökümü'!$B$2:$B$2001,$E1199))</ns0:f>
        <ns0:v/>
      </ns0:c>
      <ns0:c r="C1199" s="33" t="str">
        <ns0:f>IF($E1199="","",INDEX('Banka Dökümü'!$C$2:$C$2001,$E1199))</ns0:f>
        <ns0:v/>
      </ns0:c>
      <ns0:c r="D1199" s="28" t="str">
        <ns0:f>IF(E1199="","","Müşteri adı / aranacak ad / il bilgisini kontrol edin")</ns0:f>
        <ns0:v/>
      </ns0:c>
      <ns0:c r="E1199" s="28" t="str">
        <ns0:f>IFERROR(MATCH(1195,'Banka Dökümü'!$I$2:$I$2001,0),"")</ns0:f>
        <ns0:v/>
      </ns0:c>
    </ns0:row>
    <ns0:row r="1200" ht="21" customHeight="1">
      <ns0:c r="A1200" s="32" t="str">
        <ns0:f>IF($E1200="","",INDEX('Banka Dökümü'!$A$2:$A$2001,$E1200))</ns0:f>
        <ns0:v/>
      </ns0:c>
      <ns0:c r="B1200" s="28" t="str">
        <ns0:f>IF($E1200="","",INDEX('Banka Dökümü'!$B$2:$B$2001,$E1200))</ns0:f>
        <ns0:v/>
      </ns0:c>
      <ns0:c r="C1200" s="33" t="str">
        <ns0:f>IF($E1200="","",INDEX('Banka Dökümü'!$C$2:$C$2001,$E1200))</ns0:f>
        <ns0:v/>
      </ns0:c>
      <ns0:c r="D1200" s="28" t="str">
        <ns0:f>IF(E1200="","","Müşteri adı / aranacak ad / il bilgisini kontrol edin")</ns0:f>
        <ns0:v/>
      </ns0:c>
      <ns0:c r="E1200" s="28" t="str">
        <ns0:f>IFERROR(MATCH(1196,'Banka Dökümü'!$I$2:$I$2001,0),"")</ns0:f>
        <ns0:v/>
      </ns0:c>
    </ns0:row>
    <ns0:row r="1201" ht="21" customHeight="1">
      <ns0:c r="A1201" s="32" t="str">
        <ns0:f>IF($E1201="","",INDEX('Banka Dökümü'!$A$2:$A$2001,$E1201))</ns0:f>
        <ns0:v/>
      </ns0:c>
      <ns0:c r="B1201" s="28" t="str">
        <ns0:f>IF($E1201="","",INDEX('Banka Dökümü'!$B$2:$B$2001,$E1201))</ns0:f>
        <ns0:v/>
      </ns0:c>
      <ns0:c r="C1201" s="33" t="str">
        <ns0:f>IF($E1201="","",INDEX('Banka Dökümü'!$C$2:$C$2001,$E1201))</ns0:f>
        <ns0:v/>
      </ns0:c>
      <ns0:c r="D1201" s="28" t="str">
        <ns0:f>IF(E1201="","","Müşteri adı / aranacak ad / il bilgisini kontrol edin")</ns0:f>
        <ns0:v/>
      </ns0:c>
      <ns0:c r="E1201" s="28" t="str">
        <ns0:f>IFERROR(MATCH(1197,'Banka Dökümü'!$I$2:$I$2001,0),"")</ns0:f>
        <ns0:v/>
      </ns0:c>
    </ns0:row>
    <ns0:row r="1202" ht="21" customHeight="1">
      <ns0:c r="A1202" s="32" t="str">
        <ns0:f>IF($E1202="","",INDEX('Banka Dökümü'!$A$2:$A$2001,$E1202))</ns0:f>
        <ns0:v/>
      </ns0:c>
      <ns0:c r="B1202" s="28" t="str">
        <ns0:f>IF($E1202="","",INDEX('Banka Dökümü'!$B$2:$B$2001,$E1202))</ns0:f>
        <ns0:v/>
      </ns0:c>
      <ns0:c r="C1202" s="33" t="str">
        <ns0:f>IF($E1202="","",INDEX('Banka Dökümü'!$C$2:$C$2001,$E1202))</ns0:f>
        <ns0:v/>
      </ns0:c>
      <ns0:c r="D1202" s="28" t="str">
        <ns0:f>IF(E1202="","","Müşteri adı / aranacak ad / il bilgisini kontrol edin")</ns0:f>
        <ns0:v/>
      </ns0:c>
      <ns0:c r="E1202" s="28" t="str">
        <ns0:f>IFERROR(MATCH(1198,'Banka Dökümü'!$I$2:$I$2001,0),"")</ns0:f>
        <ns0:v/>
      </ns0:c>
    </ns0:row>
    <ns0:row r="1203" ht="21" customHeight="1">
      <ns0:c r="A1203" s="32" t="str">
        <ns0:f>IF($E1203="","",INDEX('Banka Dökümü'!$A$2:$A$2001,$E1203))</ns0:f>
        <ns0:v/>
      </ns0:c>
      <ns0:c r="B1203" s="28" t="str">
        <ns0:f>IF($E1203="","",INDEX('Banka Dökümü'!$B$2:$B$2001,$E1203))</ns0:f>
        <ns0:v/>
      </ns0:c>
      <ns0:c r="C1203" s="33" t="str">
        <ns0:f>IF($E1203="","",INDEX('Banka Dökümü'!$C$2:$C$2001,$E1203))</ns0:f>
        <ns0:v/>
      </ns0:c>
      <ns0:c r="D1203" s="28" t="str">
        <ns0:f>IF(E1203="","","Müşteri adı / aranacak ad / il bilgisini kontrol edin")</ns0:f>
        <ns0:v/>
      </ns0:c>
      <ns0:c r="E1203" s="28" t="str">
        <ns0:f>IFERROR(MATCH(1199,'Banka Dökümü'!$I$2:$I$2001,0),"")</ns0:f>
        <ns0:v/>
      </ns0:c>
    </ns0:row>
    <ns0:row r="1204" ht="21" customHeight="1">
      <ns0:c r="A1204" s="32" t="str">
        <ns0:f>IF($E1204="","",INDEX('Banka Dökümü'!$A$2:$A$2001,$E1204))</ns0:f>
        <ns0:v/>
      </ns0:c>
      <ns0:c r="B1204" s="28" t="str">
        <ns0:f>IF($E1204="","",INDEX('Banka Dökümü'!$B$2:$B$2001,$E1204))</ns0:f>
        <ns0:v/>
      </ns0:c>
      <ns0:c r="C1204" s="33" t="str">
        <ns0:f>IF($E1204="","",INDEX('Banka Dökümü'!$C$2:$C$2001,$E1204))</ns0:f>
        <ns0:v/>
      </ns0:c>
      <ns0:c r="D1204" s="28" t="str">
        <ns0:f>IF(E1204="","","Müşteri adı / aranacak ad / il bilgisini kontrol edin")</ns0:f>
        <ns0:v/>
      </ns0:c>
      <ns0:c r="E1204" s="28" t="str">
        <ns0:f>IFERROR(MATCH(1200,'Banka Dökümü'!$I$2:$I$2001,0),"")</ns0:f>
        <ns0:v/>
      </ns0:c>
    </ns0:row>
    <ns0:row r="1205" ht="21" customHeight="1">
      <ns0:c r="A1205" s="32" t="str">
        <ns0:f>IF($E1205="","",INDEX('Banka Dökümü'!$A$2:$A$2001,$E1205))</ns0:f>
        <ns0:v/>
      </ns0:c>
      <ns0:c r="B1205" s="28" t="str">
        <ns0:f>IF($E1205="","",INDEX('Banka Dökümü'!$B$2:$B$2001,$E1205))</ns0:f>
        <ns0:v/>
      </ns0:c>
      <ns0:c r="C1205" s="33" t="str">
        <ns0:f>IF($E1205="","",INDEX('Banka Dökümü'!$C$2:$C$2001,$E1205))</ns0:f>
        <ns0:v/>
      </ns0:c>
      <ns0:c r="D1205" s="28" t="str">
        <ns0:f>IF(E1205="","","Müşteri adı / aranacak ad / il bilgisini kontrol edin")</ns0:f>
        <ns0:v/>
      </ns0:c>
      <ns0:c r="E1205" s="28" t="str">
        <ns0:f>IFERROR(MATCH(1201,'Banka Dökümü'!$I$2:$I$2001,0),"")</ns0:f>
        <ns0:v/>
      </ns0:c>
    </ns0:row>
    <ns0:row r="1206" ht="21" customHeight="1">
      <ns0:c r="A1206" s="32" t="str">
        <ns0:f>IF($E1206="","",INDEX('Banka Dökümü'!$A$2:$A$2001,$E1206))</ns0:f>
        <ns0:v/>
      </ns0:c>
      <ns0:c r="B1206" s="28" t="str">
        <ns0:f>IF($E1206="","",INDEX('Banka Dökümü'!$B$2:$B$2001,$E1206))</ns0:f>
        <ns0:v/>
      </ns0:c>
      <ns0:c r="C1206" s="33" t="str">
        <ns0:f>IF($E1206="","",INDEX('Banka Dökümü'!$C$2:$C$2001,$E1206))</ns0:f>
        <ns0:v/>
      </ns0:c>
      <ns0:c r="D1206" s="28" t="str">
        <ns0:f>IF(E1206="","","Müşteri adı / aranacak ad / il bilgisini kontrol edin")</ns0:f>
        <ns0:v/>
      </ns0:c>
      <ns0:c r="E1206" s="28" t="str">
        <ns0:f>IFERROR(MATCH(1202,'Banka Dökümü'!$I$2:$I$2001,0),"")</ns0:f>
        <ns0:v/>
      </ns0:c>
    </ns0:row>
    <ns0:row r="1207" ht="21" customHeight="1">
      <ns0:c r="A1207" s="32" t="str">
        <ns0:f>IF($E1207="","",INDEX('Banka Dökümü'!$A$2:$A$2001,$E1207))</ns0:f>
        <ns0:v/>
      </ns0:c>
      <ns0:c r="B1207" s="28" t="str">
        <ns0:f>IF($E1207="","",INDEX('Banka Dökümü'!$B$2:$B$2001,$E1207))</ns0:f>
        <ns0:v/>
      </ns0:c>
      <ns0:c r="C1207" s="33" t="str">
        <ns0:f>IF($E1207="","",INDEX('Banka Dökümü'!$C$2:$C$2001,$E1207))</ns0:f>
        <ns0:v/>
      </ns0:c>
      <ns0:c r="D1207" s="28" t="str">
        <ns0:f>IF(E1207="","","Müşteri adı / aranacak ad / il bilgisini kontrol edin")</ns0:f>
        <ns0:v/>
      </ns0:c>
      <ns0:c r="E1207" s="28" t="str">
        <ns0:f>IFERROR(MATCH(1203,'Banka Dökümü'!$I$2:$I$2001,0),"")</ns0:f>
        <ns0:v/>
      </ns0:c>
    </ns0:row>
    <ns0:row r="1208" ht="21" customHeight="1">
      <ns0:c r="A1208" s="32" t="str">
        <ns0:f>IF($E1208="","",INDEX('Banka Dökümü'!$A$2:$A$2001,$E1208))</ns0:f>
        <ns0:v/>
      </ns0:c>
      <ns0:c r="B1208" s="28" t="str">
        <ns0:f>IF($E1208="","",INDEX('Banka Dökümü'!$B$2:$B$2001,$E1208))</ns0:f>
        <ns0:v/>
      </ns0:c>
      <ns0:c r="C1208" s="33" t="str">
        <ns0:f>IF($E1208="","",INDEX('Banka Dökümü'!$C$2:$C$2001,$E1208))</ns0:f>
        <ns0:v/>
      </ns0:c>
      <ns0:c r="D1208" s="28" t="str">
        <ns0:f>IF(E1208="","","Müşteri adı / aranacak ad / il bilgisini kontrol edin")</ns0:f>
        <ns0:v/>
      </ns0:c>
      <ns0:c r="E1208" s="28" t="str">
        <ns0:f>IFERROR(MATCH(1204,'Banka Dökümü'!$I$2:$I$2001,0),"")</ns0:f>
        <ns0:v/>
      </ns0:c>
    </ns0:row>
    <ns0:row r="1209" ht="21" customHeight="1">
      <ns0:c r="A1209" s="32" t="str">
        <ns0:f>IF($E1209="","",INDEX('Banka Dökümü'!$A$2:$A$2001,$E1209))</ns0:f>
        <ns0:v/>
      </ns0:c>
      <ns0:c r="B1209" s="28" t="str">
        <ns0:f>IF($E1209="","",INDEX('Banka Dökümü'!$B$2:$B$2001,$E1209))</ns0:f>
        <ns0:v/>
      </ns0:c>
      <ns0:c r="C1209" s="33" t="str">
        <ns0:f>IF($E1209="","",INDEX('Banka Dökümü'!$C$2:$C$2001,$E1209))</ns0:f>
        <ns0:v/>
      </ns0:c>
      <ns0:c r="D1209" s="28" t="str">
        <ns0:f>IF(E1209="","","Müşteri adı / aranacak ad / il bilgisini kontrol edin")</ns0:f>
        <ns0:v/>
      </ns0:c>
      <ns0:c r="E1209" s="28" t="str">
        <ns0:f>IFERROR(MATCH(1205,'Banka Dökümü'!$I$2:$I$2001,0),"")</ns0:f>
        <ns0:v/>
      </ns0:c>
    </ns0:row>
    <ns0:row r="1210" ht="21" customHeight="1">
      <ns0:c r="A1210" s="32" t="str">
        <ns0:f>IF($E1210="","",INDEX('Banka Dökümü'!$A$2:$A$2001,$E1210))</ns0:f>
        <ns0:v/>
      </ns0:c>
      <ns0:c r="B1210" s="28" t="str">
        <ns0:f>IF($E1210="","",INDEX('Banka Dökümü'!$B$2:$B$2001,$E1210))</ns0:f>
        <ns0:v/>
      </ns0:c>
      <ns0:c r="C1210" s="33" t="str">
        <ns0:f>IF($E1210="","",INDEX('Banka Dökümü'!$C$2:$C$2001,$E1210))</ns0:f>
        <ns0:v/>
      </ns0:c>
      <ns0:c r="D1210" s="28" t="str">
        <ns0:f>IF(E1210="","","Müşteri adı / aranacak ad / il bilgisini kontrol edin")</ns0:f>
        <ns0:v/>
      </ns0:c>
      <ns0:c r="E1210" s="28" t="str">
        <ns0:f>IFERROR(MATCH(1206,'Banka Dökümü'!$I$2:$I$2001,0),"")</ns0:f>
        <ns0:v/>
      </ns0:c>
    </ns0:row>
    <ns0:row r="1211" ht="21" customHeight="1">
      <ns0:c r="A1211" s="32" t="str">
        <ns0:f>IF($E1211="","",INDEX('Banka Dökümü'!$A$2:$A$2001,$E1211))</ns0:f>
        <ns0:v/>
      </ns0:c>
      <ns0:c r="B1211" s="28" t="str">
        <ns0:f>IF($E1211="","",INDEX('Banka Dökümü'!$B$2:$B$2001,$E1211))</ns0:f>
        <ns0:v/>
      </ns0:c>
      <ns0:c r="C1211" s="33" t="str">
        <ns0:f>IF($E1211="","",INDEX('Banka Dökümü'!$C$2:$C$2001,$E1211))</ns0:f>
        <ns0:v/>
      </ns0:c>
      <ns0:c r="D1211" s="28" t="str">
        <ns0:f>IF(E1211="","","Müşteri adı / aranacak ad / il bilgisini kontrol edin")</ns0:f>
        <ns0:v/>
      </ns0:c>
      <ns0:c r="E1211" s="28" t="str">
        <ns0:f>IFERROR(MATCH(1207,'Banka Dökümü'!$I$2:$I$2001,0),"")</ns0:f>
        <ns0:v/>
      </ns0:c>
    </ns0:row>
    <ns0:row r="1212" ht="21" customHeight="1">
      <ns0:c r="A1212" s="32" t="str">
        <ns0:f>IF($E1212="","",INDEX('Banka Dökümü'!$A$2:$A$2001,$E1212))</ns0:f>
        <ns0:v/>
      </ns0:c>
      <ns0:c r="B1212" s="28" t="str">
        <ns0:f>IF($E1212="","",INDEX('Banka Dökümü'!$B$2:$B$2001,$E1212))</ns0:f>
        <ns0:v/>
      </ns0:c>
      <ns0:c r="C1212" s="33" t="str">
        <ns0:f>IF($E1212="","",INDEX('Banka Dökümü'!$C$2:$C$2001,$E1212))</ns0:f>
        <ns0:v/>
      </ns0:c>
      <ns0:c r="D1212" s="28" t="str">
        <ns0:f>IF(E1212="","","Müşteri adı / aranacak ad / il bilgisini kontrol edin")</ns0:f>
        <ns0:v/>
      </ns0:c>
      <ns0:c r="E1212" s="28" t="str">
        <ns0:f>IFERROR(MATCH(1208,'Banka Dökümü'!$I$2:$I$2001,0),"")</ns0:f>
        <ns0:v/>
      </ns0:c>
    </ns0:row>
    <ns0:row r="1213" ht="21" customHeight="1">
      <ns0:c r="A1213" s="32" t="str">
        <ns0:f>IF($E1213="","",INDEX('Banka Dökümü'!$A$2:$A$2001,$E1213))</ns0:f>
        <ns0:v/>
      </ns0:c>
      <ns0:c r="B1213" s="28" t="str">
        <ns0:f>IF($E1213="","",INDEX('Banka Dökümü'!$B$2:$B$2001,$E1213))</ns0:f>
        <ns0:v/>
      </ns0:c>
      <ns0:c r="C1213" s="33" t="str">
        <ns0:f>IF($E1213="","",INDEX('Banka Dökümü'!$C$2:$C$2001,$E1213))</ns0:f>
        <ns0:v/>
      </ns0:c>
      <ns0:c r="D1213" s="28" t="str">
        <ns0:f>IF(E1213="","","Müşteri adı / aranacak ad / il bilgisini kontrol edin")</ns0:f>
        <ns0:v/>
      </ns0:c>
      <ns0:c r="E1213" s="28" t="str">
        <ns0:f>IFERROR(MATCH(1209,'Banka Dökümü'!$I$2:$I$2001,0),"")</ns0:f>
        <ns0:v/>
      </ns0:c>
    </ns0:row>
    <ns0:row r="1214" ht="21" customHeight="1">
      <ns0:c r="A1214" s="32" t="str">
        <ns0:f>IF($E1214="","",INDEX('Banka Dökümü'!$A$2:$A$2001,$E1214))</ns0:f>
        <ns0:v/>
      </ns0:c>
      <ns0:c r="B1214" s="28" t="str">
        <ns0:f>IF($E1214="","",INDEX('Banka Dökümü'!$B$2:$B$2001,$E1214))</ns0:f>
        <ns0:v/>
      </ns0:c>
      <ns0:c r="C1214" s="33" t="str">
        <ns0:f>IF($E1214="","",INDEX('Banka Dökümü'!$C$2:$C$2001,$E1214))</ns0:f>
        <ns0:v/>
      </ns0:c>
      <ns0:c r="D1214" s="28" t="str">
        <ns0:f>IF(E1214="","","Müşteri adı / aranacak ad / il bilgisini kontrol edin")</ns0:f>
        <ns0:v/>
      </ns0:c>
      <ns0:c r="E1214" s="28" t="str">
        <ns0:f>IFERROR(MATCH(1210,'Banka Dökümü'!$I$2:$I$2001,0),"")</ns0:f>
        <ns0:v/>
      </ns0:c>
    </ns0:row>
    <ns0:row r="1215" ht="21" customHeight="1">
      <ns0:c r="A1215" s="32" t="str">
        <ns0:f>IF($E1215="","",INDEX('Banka Dökümü'!$A$2:$A$2001,$E1215))</ns0:f>
        <ns0:v/>
      </ns0:c>
      <ns0:c r="B1215" s="28" t="str">
        <ns0:f>IF($E1215="","",INDEX('Banka Dökümü'!$B$2:$B$2001,$E1215))</ns0:f>
        <ns0:v/>
      </ns0:c>
      <ns0:c r="C1215" s="33" t="str">
        <ns0:f>IF($E1215="","",INDEX('Banka Dökümü'!$C$2:$C$2001,$E1215))</ns0:f>
        <ns0:v/>
      </ns0:c>
      <ns0:c r="D1215" s="28" t="str">
        <ns0:f>IF(E1215="","","Müşteri adı / aranacak ad / il bilgisini kontrol edin")</ns0:f>
        <ns0:v/>
      </ns0:c>
      <ns0:c r="E1215" s="28" t="str">
        <ns0:f>IFERROR(MATCH(1211,'Banka Dökümü'!$I$2:$I$2001,0),"")</ns0:f>
        <ns0:v/>
      </ns0:c>
    </ns0:row>
    <ns0:row r="1216" ht="21" customHeight="1">
      <ns0:c r="A1216" s="32" t="str">
        <ns0:f>IF($E1216="","",INDEX('Banka Dökümü'!$A$2:$A$2001,$E1216))</ns0:f>
        <ns0:v/>
      </ns0:c>
      <ns0:c r="B1216" s="28" t="str">
        <ns0:f>IF($E1216="","",INDEX('Banka Dökümü'!$B$2:$B$2001,$E1216))</ns0:f>
        <ns0:v/>
      </ns0:c>
      <ns0:c r="C1216" s="33" t="str">
        <ns0:f>IF($E1216="","",INDEX('Banka Dökümü'!$C$2:$C$2001,$E1216))</ns0:f>
        <ns0:v/>
      </ns0:c>
      <ns0:c r="D1216" s="28" t="str">
        <ns0:f>IF(E1216="","","Müşteri adı / aranacak ad / il bilgisini kontrol edin")</ns0:f>
        <ns0:v/>
      </ns0:c>
      <ns0:c r="E1216" s="28" t="str">
        <ns0:f>IFERROR(MATCH(1212,'Banka Dökümü'!$I$2:$I$2001,0),"")</ns0:f>
        <ns0:v/>
      </ns0:c>
    </ns0:row>
    <ns0:row r="1217" ht="21" customHeight="1">
      <ns0:c r="A1217" s="32" t="str">
        <ns0:f>IF($E1217="","",INDEX('Banka Dökümü'!$A$2:$A$2001,$E1217))</ns0:f>
        <ns0:v/>
      </ns0:c>
      <ns0:c r="B1217" s="28" t="str">
        <ns0:f>IF($E1217="","",INDEX('Banka Dökümü'!$B$2:$B$2001,$E1217))</ns0:f>
        <ns0:v/>
      </ns0:c>
      <ns0:c r="C1217" s="33" t="str">
        <ns0:f>IF($E1217="","",INDEX('Banka Dökümü'!$C$2:$C$2001,$E1217))</ns0:f>
        <ns0:v/>
      </ns0:c>
      <ns0:c r="D1217" s="28" t="str">
        <ns0:f>IF(E1217="","","Müşteri adı / aranacak ad / il bilgisini kontrol edin")</ns0:f>
        <ns0:v/>
      </ns0:c>
      <ns0:c r="E1217" s="28" t="str">
        <ns0:f>IFERROR(MATCH(1213,'Banka Dökümü'!$I$2:$I$2001,0),"")</ns0:f>
        <ns0:v/>
      </ns0:c>
    </ns0:row>
    <ns0:row r="1218" ht="21" customHeight="1">
      <ns0:c r="A1218" s="32" t="str">
        <ns0:f>IF($E1218="","",INDEX('Banka Dökümü'!$A$2:$A$2001,$E1218))</ns0:f>
        <ns0:v/>
      </ns0:c>
      <ns0:c r="B1218" s="28" t="str">
        <ns0:f>IF($E1218="","",INDEX('Banka Dökümü'!$B$2:$B$2001,$E1218))</ns0:f>
        <ns0:v/>
      </ns0:c>
      <ns0:c r="C1218" s="33" t="str">
        <ns0:f>IF($E1218="","",INDEX('Banka Dökümü'!$C$2:$C$2001,$E1218))</ns0:f>
        <ns0:v/>
      </ns0:c>
      <ns0:c r="D1218" s="28" t="str">
        <ns0:f>IF(E1218="","","Müşteri adı / aranacak ad / il bilgisini kontrol edin")</ns0:f>
        <ns0:v/>
      </ns0:c>
      <ns0:c r="E1218" s="28" t="str">
        <ns0:f>IFERROR(MATCH(1214,'Banka Dökümü'!$I$2:$I$2001,0),"")</ns0:f>
        <ns0:v/>
      </ns0:c>
    </ns0:row>
    <ns0:row r="1219" ht="21" customHeight="1">
      <ns0:c r="A1219" s="32" t="str">
        <ns0:f>IF($E1219="","",INDEX('Banka Dökümü'!$A$2:$A$2001,$E1219))</ns0:f>
        <ns0:v/>
      </ns0:c>
      <ns0:c r="B1219" s="28" t="str">
        <ns0:f>IF($E1219="","",INDEX('Banka Dökümü'!$B$2:$B$2001,$E1219))</ns0:f>
        <ns0:v/>
      </ns0:c>
      <ns0:c r="C1219" s="33" t="str">
        <ns0:f>IF($E1219="","",INDEX('Banka Dökümü'!$C$2:$C$2001,$E1219))</ns0:f>
        <ns0:v/>
      </ns0:c>
      <ns0:c r="D1219" s="28" t="str">
        <ns0:f>IF(E1219="","","Müşteri adı / aranacak ad / il bilgisini kontrol edin")</ns0:f>
        <ns0:v/>
      </ns0:c>
      <ns0:c r="E1219" s="28" t="str">
        <ns0:f>IFERROR(MATCH(1215,'Banka Dökümü'!$I$2:$I$2001,0),"")</ns0:f>
        <ns0:v/>
      </ns0:c>
    </ns0:row>
    <ns0:row r="1220" ht="21" customHeight="1">
      <ns0:c r="A1220" s="32" t="str">
        <ns0:f>IF($E1220="","",INDEX('Banka Dökümü'!$A$2:$A$2001,$E1220))</ns0:f>
        <ns0:v/>
      </ns0:c>
      <ns0:c r="B1220" s="28" t="str">
        <ns0:f>IF($E1220="","",INDEX('Banka Dökümü'!$B$2:$B$2001,$E1220))</ns0:f>
        <ns0:v/>
      </ns0:c>
      <ns0:c r="C1220" s="33" t="str">
        <ns0:f>IF($E1220="","",INDEX('Banka Dökümü'!$C$2:$C$2001,$E1220))</ns0:f>
        <ns0:v/>
      </ns0:c>
      <ns0:c r="D1220" s="28" t="str">
        <ns0:f>IF(E1220="","","Müşteri adı / aranacak ad / il bilgisini kontrol edin")</ns0:f>
        <ns0:v/>
      </ns0:c>
      <ns0:c r="E1220" s="28" t="str">
        <ns0:f>IFERROR(MATCH(1216,'Banka Dökümü'!$I$2:$I$2001,0),"")</ns0:f>
        <ns0:v/>
      </ns0:c>
    </ns0:row>
    <ns0:row r="1221" ht="21" customHeight="1">
      <ns0:c r="A1221" s="32" t="str">
        <ns0:f>IF($E1221="","",INDEX('Banka Dökümü'!$A$2:$A$2001,$E1221))</ns0:f>
        <ns0:v/>
      </ns0:c>
      <ns0:c r="B1221" s="28" t="str">
        <ns0:f>IF($E1221="","",INDEX('Banka Dökümü'!$B$2:$B$2001,$E1221))</ns0:f>
        <ns0:v/>
      </ns0:c>
      <ns0:c r="C1221" s="33" t="str">
        <ns0:f>IF($E1221="","",INDEX('Banka Dökümü'!$C$2:$C$2001,$E1221))</ns0:f>
        <ns0:v/>
      </ns0:c>
      <ns0:c r="D1221" s="28" t="str">
        <ns0:f>IF(E1221="","","Müşteri adı / aranacak ad / il bilgisini kontrol edin")</ns0:f>
        <ns0:v/>
      </ns0:c>
      <ns0:c r="E1221" s="28" t="str">
        <ns0:f>IFERROR(MATCH(1217,'Banka Dökümü'!$I$2:$I$2001,0),"")</ns0:f>
        <ns0:v/>
      </ns0:c>
    </ns0:row>
    <ns0:row r="1222" ht="21" customHeight="1">
      <ns0:c r="A1222" s="32" t="str">
        <ns0:f>IF($E1222="","",INDEX('Banka Dökümü'!$A$2:$A$2001,$E1222))</ns0:f>
        <ns0:v/>
      </ns0:c>
      <ns0:c r="B1222" s="28" t="str">
        <ns0:f>IF($E1222="","",INDEX('Banka Dökümü'!$B$2:$B$2001,$E1222))</ns0:f>
        <ns0:v/>
      </ns0:c>
      <ns0:c r="C1222" s="33" t="str">
        <ns0:f>IF($E1222="","",INDEX('Banka Dökümü'!$C$2:$C$2001,$E1222))</ns0:f>
        <ns0:v/>
      </ns0:c>
      <ns0:c r="D1222" s="28" t="str">
        <ns0:f>IF(E1222="","","Müşteri adı / aranacak ad / il bilgisini kontrol edin")</ns0:f>
        <ns0:v/>
      </ns0:c>
      <ns0:c r="E1222" s="28" t="str">
        <ns0:f>IFERROR(MATCH(1218,'Banka Dökümü'!$I$2:$I$2001,0),"")</ns0:f>
        <ns0:v/>
      </ns0:c>
    </ns0:row>
    <ns0:row r="1223" ht="21" customHeight="1">
      <ns0:c r="A1223" s="32" t="str">
        <ns0:f>IF($E1223="","",INDEX('Banka Dökümü'!$A$2:$A$2001,$E1223))</ns0:f>
        <ns0:v/>
      </ns0:c>
      <ns0:c r="B1223" s="28" t="str">
        <ns0:f>IF($E1223="","",INDEX('Banka Dökümü'!$B$2:$B$2001,$E1223))</ns0:f>
        <ns0:v/>
      </ns0:c>
      <ns0:c r="C1223" s="33" t="str">
        <ns0:f>IF($E1223="","",INDEX('Banka Dökümü'!$C$2:$C$2001,$E1223))</ns0:f>
        <ns0:v/>
      </ns0:c>
      <ns0:c r="D1223" s="28" t="str">
        <ns0:f>IF(E1223="","","Müşteri adı / aranacak ad / il bilgisini kontrol edin")</ns0:f>
        <ns0:v/>
      </ns0:c>
      <ns0:c r="E1223" s="28" t="str">
        <ns0:f>IFERROR(MATCH(1219,'Banka Dökümü'!$I$2:$I$2001,0),"")</ns0:f>
        <ns0:v/>
      </ns0:c>
    </ns0:row>
    <ns0:row r="1224" ht="21" customHeight="1">
      <ns0:c r="A1224" s="32" t="str">
        <ns0:f>IF($E1224="","",INDEX('Banka Dökümü'!$A$2:$A$2001,$E1224))</ns0:f>
        <ns0:v/>
      </ns0:c>
      <ns0:c r="B1224" s="28" t="str">
        <ns0:f>IF($E1224="","",INDEX('Banka Dökümü'!$B$2:$B$2001,$E1224))</ns0:f>
        <ns0:v/>
      </ns0:c>
      <ns0:c r="C1224" s="33" t="str">
        <ns0:f>IF($E1224="","",INDEX('Banka Dökümü'!$C$2:$C$2001,$E1224))</ns0:f>
        <ns0:v/>
      </ns0:c>
      <ns0:c r="D1224" s="28" t="str">
        <ns0:f>IF(E1224="","","Müşteri adı / aranacak ad / il bilgisini kontrol edin")</ns0:f>
        <ns0:v/>
      </ns0:c>
      <ns0:c r="E1224" s="28" t="str">
        <ns0:f>IFERROR(MATCH(1220,'Banka Dökümü'!$I$2:$I$2001,0),"")</ns0:f>
        <ns0:v/>
      </ns0:c>
    </ns0:row>
    <ns0:row r="1225" ht="21" customHeight="1">
      <ns0:c r="A1225" s="32" t="str">
        <ns0:f>IF($E1225="","",INDEX('Banka Dökümü'!$A$2:$A$2001,$E1225))</ns0:f>
        <ns0:v/>
      </ns0:c>
      <ns0:c r="B1225" s="28" t="str">
        <ns0:f>IF($E1225="","",INDEX('Banka Dökümü'!$B$2:$B$2001,$E1225))</ns0:f>
        <ns0:v/>
      </ns0:c>
      <ns0:c r="C1225" s="33" t="str">
        <ns0:f>IF($E1225="","",INDEX('Banka Dökümü'!$C$2:$C$2001,$E1225))</ns0:f>
        <ns0:v/>
      </ns0:c>
      <ns0:c r="D1225" s="28" t="str">
        <ns0:f>IF(E1225="","","Müşteri adı / aranacak ad / il bilgisini kontrol edin")</ns0:f>
        <ns0:v/>
      </ns0:c>
      <ns0:c r="E1225" s="28" t="str">
        <ns0:f>IFERROR(MATCH(1221,'Banka Dökümü'!$I$2:$I$2001,0),"")</ns0:f>
        <ns0:v/>
      </ns0:c>
    </ns0:row>
    <ns0:row r="1226" ht="21" customHeight="1">
      <ns0:c r="A1226" s="32" t="str">
        <ns0:f>IF($E1226="","",INDEX('Banka Dökümü'!$A$2:$A$2001,$E1226))</ns0:f>
        <ns0:v/>
      </ns0:c>
      <ns0:c r="B1226" s="28" t="str">
        <ns0:f>IF($E1226="","",INDEX('Banka Dökümü'!$B$2:$B$2001,$E1226))</ns0:f>
        <ns0:v/>
      </ns0:c>
      <ns0:c r="C1226" s="33" t="str">
        <ns0:f>IF($E1226="","",INDEX('Banka Dökümü'!$C$2:$C$2001,$E1226))</ns0:f>
        <ns0:v/>
      </ns0:c>
      <ns0:c r="D1226" s="28" t="str">
        <ns0:f>IF(E1226="","","Müşteri adı / aranacak ad / il bilgisini kontrol edin")</ns0:f>
        <ns0:v/>
      </ns0:c>
      <ns0:c r="E1226" s="28" t="str">
        <ns0:f>IFERROR(MATCH(1222,'Banka Dökümü'!$I$2:$I$2001,0),"")</ns0:f>
        <ns0:v/>
      </ns0:c>
    </ns0:row>
    <ns0:row r="1227" ht="21" customHeight="1">
      <ns0:c r="A1227" s="32" t="str">
        <ns0:f>IF($E1227="","",INDEX('Banka Dökümü'!$A$2:$A$2001,$E1227))</ns0:f>
        <ns0:v/>
      </ns0:c>
      <ns0:c r="B1227" s="28" t="str">
        <ns0:f>IF($E1227="","",INDEX('Banka Dökümü'!$B$2:$B$2001,$E1227))</ns0:f>
        <ns0:v/>
      </ns0:c>
      <ns0:c r="C1227" s="33" t="str">
        <ns0:f>IF($E1227="","",INDEX('Banka Dökümü'!$C$2:$C$2001,$E1227))</ns0:f>
        <ns0:v/>
      </ns0:c>
      <ns0:c r="D1227" s="28" t="str">
        <ns0:f>IF(E1227="","","Müşteri adı / aranacak ad / il bilgisini kontrol edin")</ns0:f>
        <ns0:v/>
      </ns0:c>
      <ns0:c r="E1227" s="28" t="str">
        <ns0:f>IFERROR(MATCH(1223,'Banka Dökümü'!$I$2:$I$2001,0),"")</ns0:f>
        <ns0:v/>
      </ns0:c>
    </ns0:row>
    <ns0:row r="1228" ht="21" customHeight="1">
      <ns0:c r="A1228" s="32" t="str">
        <ns0:f>IF($E1228="","",INDEX('Banka Dökümü'!$A$2:$A$2001,$E1228))</ns0:f>
        <ns0:v/>
      </ns0:c>
      <ns0:c r="B1228" s="28" t="str">
        <ns0:f>IF($E1228="","",INDEX('Banka Dökümü'!$B$2:$B$2001,$E1228))</ns0:f>
        <ns0:v/>
      </ns0:c>
      <ns0:c r="C1228" s="33" t="str">
        <ns0:f>IF($E1228="","",INDEX('Banka Dökümü'!$C$2:$C$2001,$E1228))</ns0:f>
        <ns0:v/>
      </ns0:c>
      <ns0:c r="D1228" s="28" t="str">
        <ns0:f>IF(E1228="","","Müşteri adı / aranacak ad / il bilgisini kontrol edin")</ns0:f>
        <ns0:v/>
      </ns0:c>
      <ns0:c r="E1228" s="28" t="str">
        <ns0:f>IFERROR(MATCH(1224,'Banka Dökümü'!$I$2:$I$2001,0),"")</ns0:f>
        <ns0:v/>
      </ns0:c>
    </ns0:row>
    <ns0:row r="1229" ht="21" customHeight="1">
      <ns0:c r="A1229" s="32" t="str">
        <ns0:f>IF($E1229="","",INDEX('Banka Dökümü'!$A$2:$A$2001,$E1229))</ns0:f>
        <ns0:v/>
      </ns0:c>
      <ns0:c r="B1229" s="28" t="str">
        <ns0:f>IF($E1229="","",INDEX('Banka Dökümü'!$B$2:$B$2001,$E1229))</ns0:f>
        <ns0:v/>
      </ns0:c>
      <ns0:c r="C1229" s="33" t="str">
        <ns0:f>IF($E1229="","",INDEX('Banka Dökümü'!$C$2:$C$2001,$E1229))</ns0:f>
        <ns0:v/>
      </ns0:c>
      <ns0:c r="D1229" s="28" t="str">
        <ns0:f>IF(E1229="","","Müşteri adı / aranacak ad / il bilgisini kontrol edin")</ns0:f>
        <ns0:v/>
      </ns0:c>
      <ns0:c r="E1229" s="28" t="str">
        <ns0:f>IFERROR(MATCH(1225,'Banka Dökümü'!$I$2:$I$2001,0),"")</ns0:f>
        <ns0:v/>
      </ns0:c>
    </ns0:row>
    <ns0:row r="1230" ht="21" customHeight="1">
      <ns0:c r="A1230" s="32" t="str">
        <ns0:f>IF($E1230="","",INDEX('Banka Dökümü'!$A$2:$A$2001,$E1230))</ns0:f>
        <ns0:v/>
      </ns0:c>
      <ns0:c r="B1230" s="28" t="str">
        <ns0:f>IF($E1230="","",INDEX('Banka Dökümü'!$B$2:$B$2001,$E1230))</ns0:f>
        <ns0:v/>
      </ns0:c>
      <ns0:c r="C1230" s="33" t="str">
        <ns0:f>IF($E1230="","",INDEX('Banka Dökümü'!$C$2:$C$2001,$E1230))</ns0:f>
        <ns0:v/>
      </ns0:c>
      <ns0:c r="D1230" s="28" t="str">
        <ns0:f>IF(E1230="","","Müşteri adı / aranacak ad / il bilgisini kontrol edin")</ns0:f>
        <ns0:v/>
      </ns0:c>
      <ns0:c r="E1230" s="28" t="str">
        <ns0:f>IFERROR(MATCH(1226,'Banka Dökümü'!$I$2:$I$2001,0),"")</ns0:f>
        <ns0:v/>
      </ns0:c>
    </ns0:row>
    <ns0:row r="1231" ht="21" customHeight="1">
      <ns0:c r="A1231" s="32" t="str">
        <ns0:f>IF($E1231="","",INDEX('Banka Dökümü'!$A$2:$A$2001,$E1231))</ns0:f>
        <ns0:v/>
      </ns0:c>
      <ns0:c r="B1231" s="28" t="str">
        <ns0:f>IF($E1231="","",INDEX('Banka Dökümü'!$B$2:$B$2001,$E1231))</ns0:f>
        <ns0:v/>
      </ns0:c>
      <ns0:c r="C1231" s="33" t="str">
        <ns0:f>IF($E1231="","",INDEX('Banka Dökümü'!$C$2:$C$2001,$E1231))</ns0:f>
        <ns0:v/>
      </ns0:c>
      <ns0:c r="D1231" s="28" t="str">
        <ns0:f>IF(E1231="","","Müşteri adı / aranacak ad / il bilgisini kontrol edin")</ns0:f>
        <ns0:v/>
      </ns0:c>
      <ns0:c r="E1231" s="28" t="str">
        <ns0:f>IFERROR(MATCH(1227,'Banka Dökümü'!$I$2:$I$2001,0),"")</ns0:f>
        <ns0:v/>
      </ns0:c>
    </ns0:row>
    <ns0:row r="1232" ht="21" customHeight="1">
      <ns0:c r="A1232" s="32" t="str">
        <ns0:f>IF($E1232="","",INDEX('Banka Dökümü'!$A$2:$A$2001,$E1232))</ns0:f>
        <ns0:v/>
      </ns0:c>
      <ns0:c r="B1232" s="28" t="str">
        <ns0:f>IF($E1232="","",INDEX('Banka Dökümü'!$B$2:$B$2001,$E1232))</ns0:f>
        <ns0:v/>
      </ns0:c>
      <ns0:c r="C1232" s="33" t="str">
        <ns0:f>IF($E1232="","",INDEX('Banka Dökümü'!$C$2:$C$2001,$E1232))</ns0:f>
        <ns0:v/>
      </ns0:c>
      <ns0:c r="D1232" s="28" t="str">
        <ns0:f>IF(E1232="","","Müşteri adı / aranacak ad / il bilgisini kontrol edin")</ns0:f>
        <ns0:v/>
      </ns0:c>
      <ns0:c r="E1232" s="28" t="str">
        <ns0:f>IFERROR(MATCH(1228,'Banka Dökümü'!$I$2:$I$2001,0),"")</ns0:f>
        <ns0:v/>
      </ns0:c>
    </ns0:row>
    <ns0:row r="1233" ht="21" customHeight="1">
      <ns0:c r="A1233" s="32" t="str">
        <ns0:f>IF($E1233="","",INDEX('Banka Dökümü'!$A$2:$A$2001,$E1233))</ns0:f>
        <ns0:v/>
      </ns0:c>
      <ns0:c r="B1233" s="28" t="str">
        <ns0:f>IF($E1233="","",INDEX('Banka Dökümü'!$B$2:$B$2001,$E1233))</ns0:f>
        <ns0:v/>
      </ns0:c>
      <ns0:c r="C1233" s="33" t="str">
        <ns0:f>IF($E1233="","",INDEX('Banka Dökümü'!$C$2:$C$2001,$E1233))</ns0:f>
        <ns0:v/>
      </ns0:c>
      <ns0:c r="D1233" s="28" t="str">
        <ns0:f>IF(E1233="","","Müşteri adı / aranacak ad / il bilgisini kontrol edin")</ns0:f>
        <ns0:v/>
      </ns0:c>
      <ns0:c r="E1233" s="28" t="str">
        <ns0:f>IFERROR(MATCH(1229,'Banka Dökümü'!$I$2:$I$2001,0),"")</ns0:f>
        <ns0:v/>
      </ns0:c>
    </ns0:row>
    <ns0:row r="1234" ht="21" customHeight="1">
      <ns0:c r="A1234" s="32" t="str">
        <ns0:f>IF($E1234="","",INDEX('Banka Dökümü'!$A$2:$A$2001,$E1234))</ns0:f>
        <ns0:v/>
      </ns0:c>
      <ns0:c r="B1234" s="28" t="str">
        <ns0:f>IF($E1234="","",INDEX('Banka Dökümü'!$B$2:$B$2001,$E1234))</ns0:f>
        <ns0:v/>
      </ns0:c>
      <ns0:c r="C1234" s="33" t="str">
        <ns0:f>IF($E1234="","",INDEX('Banka Dökümü'!$C$2:$C$2001,$E1234))</ns0:f>
        <ns0:v/>
      </ns0:c>
      <ns0:c r="D1234" s="28" t="str">
        <ns0:f>IF(E1234="","","Müşteri adı / aranacak ad / il bilgisini kontrol edin")</ns0:f>
        <ns0:v/>
      </ns0:c>
      <ns0:c r="E1234" s="28" t="str">
        <ns0:f>IFERROR(MATCH(1230,'Banka Dökümü'!$I$2:$I$2001,0),"")</ns0:f>
        <ns0:v/>
      </ns0:c>
    </ns0:row>
    <ns0:row r="1235" ht="21" customHeight="1">
      <ns0:c r="A1235" s="32" t="str">
        <ns0:f>IF($E1235="","",INDEX('Banka Dökümü'!$A$2:$A$2001,$E1235))</ns0:f>
        <ns0:v/>
      </ns0:c>
      <ns0:c r="B1235" s="28" t="str">
        <ns0:f>IF($E1235="","",INDEX('Banka Dökümü'!$B$2:$B$2001,$E1235))</ns0:f>
        <ns0:v/>
      </ns0:c>
      <ns0:c r="C1235" s="33" t="str">
        <ns0:f>IF($E1235="","",INDEX('Banka Dökümü'!$C$2:$C$2001,$E1235))</ns0:f>
        <ns0:v/>
      </ns0:c>
      <ns0:c r="D1235" s="28" t="str">
        <ns0:f>IF(E1235="","","Müşteri adı / aranacak ad / il bilgisini kontrol edin")</ns0:f>
        <ns0:v/>
      </ns0:c>
      <ns0:c r="E1235" s="28" t="str">
        <ns0:f>IFERROR(MATCH(1231,'Banka Dökümü'!$I$2:$I$2001,0),"")</ns0:f>
        <ns0:v/>
      </ns0:c>
    </ns0:row>
    <ns0:row r="1236" ht="21" customHeight="1">
      <ns0:c r="A1236" s="32" t="str">
        <ns0:f>IF($E1236="","",INDEX('Banka Dökümü'!$A$2:$A$2001,$E1236))</ns0:f>
        <ns0:v/>
      </ns0:c>
      <ns0:c r="B1236" s="28" t="str">
        <ns0:f>IF($E1236="","",INDEX('Banka Dökümü'!$B$2:$B$2001,$E1236))</ns0:f>
        <ns0:v/>
      </ns0:c>
      <ns0:c r="C1236" s="33" t="str">
        <ns0:f>IF($E1236="","",INDEX('Banka Dökümü'!$C$2:$C$2001,$E1236))</ns0:f>
        <ns0:v/>
      </ns0:c>
      <ns0:c r="D1236" s="28" t="str">
        <ns0:f>IF(E1236="","","Müşteri adı / aranacak ad / il bilgisini kontrol edin")</ns0:f>
        <ns0:v/>
      </ns0:c>
      <ns0:c r="E1236" s="28" t="str">
        <ns0:f>IFERROR(MATCH(1232,'Banka Dökümü'!$I$2:$I$2001,0),"")</ns0:f>
        <ns0:v/>
      </ns0:c>
    </ns0:row>
    <ns0:row r="1237" ht="21" customHeight="1">
      <ns0:c r="A1237" s="32" t="str">
        <ns0:f>IF($E1237="","",INDEX('Banka Dökümü'!$A$2:$A$2001,$E1237))</ns0:f>
        <ns0:v/>
      </ns0:c>
      <ns0:c r="B1237" s="28" t="str">
        <ns0:f>IF($E1237="","",INDEX('Banka Dökümü'!$B$2:$B$2001,$E1237))</ns0:f>
        <ns0:v/>
      </ns0:c>
      <ns0:c r="C1237" s="33" t="str">
        <ns0:f>IF($E1237="","",INDEX('Banka Dökümü'!$C$2:$C$2001,$E1237))</ns0:f>
        <ns0:v/>
      </ns0:c>
      <ns0:c r="D1237" s="28" t="str">
        <ns0:f>IF(E1237="","","Müşteri adı / aranacak ad / il bilgisini kontrol edin")</ns0:f>
        <ns0:v/>
      </ns0:c>
      <ns0:c r="E1237" s="28" t="str">
        <ns0:f>IFERROR(MATCH(1233,'Banka Dökümü'!$I$2:$I$2001,0),"")</ns0:f>
        <ns0:v/>
      </ns0:c>
    </ns0:row>
    <ns0:row r="1238" ht="21" customHeight="1">
      <ns0:c r="A1238" s="32" t="str">
        <ns0:f>IF($E1238="","",INDEX('Banka Dökümü'!$A$2:$A$2001,$E1238))</ns0:f>
        <ns0:v/>
      </ns0:c>
      <ns0:c r="B1238" s="28" t="str">
        <ns0:f>IF($E1238="","",INDEX('Banka Dökümü'!$B$2:$B$2001,$E1238))</ns0:f>
        <ns0:v/>
      </ns0:c>
      <ns0:c r="C1238" s="33" t="str">
        <ns0:f>IF($E1238="","",INDEX('Banka Dökümü'!$C$2:$C$2001,$E1238))</ns0:f>
        <ns0:v/>
      </ns0:c>
      <ns0:c r="D1238" s="28" t="str">
        <ns0:f>IF(E1238="","","Müşteri adı / aranacak ad / il bilgisini kontrol edin")</ns0:f>
        <ns0:v/>
      </ns0:c>
      <ns0:c r="E1238" s="28" t="str">
        <ns0:f>IFERROR(MATCH(1234,'Banka Dökümü'!$I$2:$I$2001,0),"")</ns0:f>
        <ns0:v/>
      </ns0:c>
    </ns0:row>
    <ns0:row r="1239" ht="21" customHeight="1">
      <ns0:c r="A1239" s="32" t="str">
        <ns0:f>IF($E1239="","",INDEX('Banka Dökümü'!$A$2:$A$2001,$E1239))</ns0:f>
        <ns0:v/>
      </ns0:c>
      <ns0:c r="B1239" s="28" t="str">
        <ns0:f>IF($E1239="","",INDEX('Banka Dökümü'!$B$2:$B$2001,$E1239))</ns0:f>
        <ns0:v/>
      </ns0:c>
      <ns0:c r="C1239" s="33" t="str">
        <ns0:f>IF($E1239="","",INDEX('Banka Dökümü'!$C$2:$C$2001,$E1239))</ns0:f>
        <ns0:v/>
      </ns0:c>
      <ns0:c r="D1239" s="28" t="str">
        <ns0:f>IF(E1239="","","Müşteri adı / aranacak ad / il bilgisini kontrol edin")</ns0:f>
        <ns0:v/>
      </ns0:c>
      <ns0:c r="E1239" s="28" t="str">
        <ns0:f>IFERROR(MATCH(1235,'Banka Dökümü'!$I$2:$I$2001,0),"")</ns0:f>
        <ns0:v/>
      </ns0:c>
    </ns0:row>
    <ns0:row r="1240" ht="21" customHeight="1">
      <ns0:c r="A1240" s="32" t="str">
        <ns0:f>IF($E1240="","",INDEX('Banka Dökümü'!$A$2:$A$2001,$E1240))</ns0:f>
        <ns0:v/>
      </ns0:c>
      <ns0:c r="B1240" s="28" t="str">
        <ns0:f>IF($E1240="","",INDEX('Banka Dökümü'!$B$2:$B$2001,$E1240))</ns0:f>
        <ns0:v/>
      </ns0:c>
      <ns0:c r="C1240" s="33" t="str">
        <ns0:f>IF($E1240="","",INDEX('Banka Dökümü'!$C$2:$C$2001,$E1240))</ns0:f>
        <ns0:v/>
      </ns0:c>
      <ns0:c r="D1240" s="28" t="str">
        <ns0:f>IF(E1240="","","Müşteri adı / aranacak ad / il bilgisini kontrol edin")</ns0:f>
        <ns0:v/>
      </ns0:c>
      <ns0:c r="E1240" s="28" t="str">
        <ns0:f>IFERROR(MATCH(1236,'Banka Dökümü'!$I$2:$I$2001,0),"")</ns0:f>
        <ns0:v/>
      </ns0:c>
    </ns0:row>
    <ns0:row r="1241" ht="21" customHeight="1">
      <ns0:c r="A1241" s="32" t="str">
        <ns0:f>IF($E1241="","",INDEX('Banka Dökümü'!$A$2:$A$2001,$E1241))</ns0:f>
        <ns0:v/>
      </ns0:c>
      <ns0:c r="B1241" s="28" t="str">
        <ns0:f>IF($E1241="","",INDEX('Banka Dökümü'!$B$2:$B$2001,$E1241))</ns0:f>
        <ns0:v/>
      </ns0:c>
      <ns0:c r="C1241" s="33" t="str">
        <ns0:f>IF($E1241="","",INDEX('Banka Dökümü'!$C$2:$C$2001,$E1241))</ns0:f>
        <ns0:v/>
      </ns0:c>
      <ns0:c r="D1241" s="28" t="str">
        <ns0:f>IF(E1241="","","Müşteri adı / aranacak ad / il bilgisini kontrol edin")</ns0:f>
        <ns0:v/>
      </ns0:c>
      <ns0:c r="E1241" s="28" t="str">
        <ns0:f>IFERROR(MATCH(1237,'Banka Dökümü'!$I$2:$I$2001,0),"")</ns0:f>
        <ns0:v/>
      </ns0:c>
    </ns0:row>
    <ns0:row r="1242" ht="21" customHeight="1">
      <ns0:c r="A1242" s="32" t="str">
        <ns0:f>IF($E1242="","",INDEX('Banka Dökümü'!$A$2:$A$2001,$E1242))</ns0:f>
        <ns0:v/>
      </ns0:c>
      <ns0:c r="B1242" s="28" t="str">
        <ns0:f>IF($E1242="","",INDEX('Banka Dökümü'!$B$2:$B$2001,$E1242))</ns0:f>
        <ns0:v/>
      </ns0:c>
      <ns0:c r="C1242" s="33" t="str">
        <ns0:f>IF($E1242="","",INDEX('Banka Dökümü'!$C$2:$C$2001,$E1242))</ns0:f>
        <ns0:v/>
      </ns0:c>
      <ns0:c r="D1242" s="28" t="str">
        <ns0:f>IF(E1242="","","Müşteri adı / aranacak ad / il bilgisini kontrol edin")</ns0:f>
        <ns0:v/>
      </ns0:c>
      <ns0:c r="E1242" s="28" t="str">
        <ns0:f>IFERROR(MATCH(1238,'Banka Dökümü'!$I$2:$I$2001,0),"")</ns0:f>
        <ns0:v/>
      </ns0:c>
    </ns0:row>
    <ns0:row r="1243" ht="21" customHeight="1">
      <ns0:c r="A1243" s="32" t="str">
        <ns0:f>IF($E1243="","",INDEX('Banka Dökümü'!$A$2:$A$2001,$E1243))</ns0:f>
        <ns0:v/>
      </ns0:c>
      <ns0:c r="B1243" s="28" t="str">
        <ns0:f>IF($E1243="","",INDEX('Banka Dökümü'!$B$2:$B$2001,$E1243))</ns0:f>
        <ns0:v/>
      </ns0:c>
      <ns0:c r="C1243" s="33" t="str">
        <ns0:f>IF($E1243="","",INDEX('Banka Dökümü'!$C$2:$C$2001,$E1243))</ns0:f>
        <ns0:v/>
      </ns0:c>
      <ns0:c r="D1243" s="28" t="str">
        <ns0:f>IF(E1243="","","Müşteri adı / aranacak ad / il bilgisini kontrol edin")</ns0:f>
        <ns0:v/>
      </ns0:c>
      <ns0:c r="E1243" s="28" t="str">
        <ns0:f>IFERROR(MATCH(1239,'Banka Dökümü'!$I$2:$I$2001,0),"")</ns0:f>
        <ns0:v/>
      </ns0:c>
    </ns0:row>
    <ns0:row r="1244" ht="21" customHeight="1">
      <ns0:c r="A1244" s="32" t="str">
        <ns0:f>IF($E1244="","",INDEX('Banka Dökümü'!$A$2:$A$2001,$E1244))</ns0:f>
        <ns0:v/>
      </ns0:c>
      <ns0:c r="B1244" s="28" t="str">
        <ns0:f>IF($E1244="","",INDEX('Banka Dökümü'!$B$2:$B$2001,$E1244))</ns0:f>
        <ns0:v/>
      </ns0:c>
      <ns0:c r="C1244" s="33" t="str">
        <ns0:f>IF($E1244="","",INDEX('Banka Dökümü'!$C$2:$C$2001,$E1244))</ns0:f>
        <ns0:v/>
      </ns0:c>
      <ns0:c r="D1244" s="28" t="str">
        <ns0:f>IF(E1244="","","Müşteri adı / aranacak ad / il bilgisini kontrol edin")</ns0:f>
        <ns0:v/>
      </ns0:c>
      <ns0:c r="E1244" s="28" t="str">
        <ns0:f>IFERROR(MATCH(1240,'Banka Dökümü'!$I$2:$I$2001,0),"")</ns0:f>
        <ns0:v/>
      </ns0:c>
    </ns0:row>
    <ns0:row r="1245" ht="21" customHeight="1">
      <ns0:c r="A1245" s="32" t="str">
        <ns0:f>IF($E1245="","",INDEX('Banka Dökümü'!$A$2:$A$2001,$E1245))</ns0:f>
        <ns0:v/>
      </ns0:c>
      <ns0:c r="B1245" s="28" t="str">
        <ns0:f>IF($E1245="","",INDEX('Banka Dökümü'!$B$2:$B$2001,$E1245))</ns0:f>
        <ns0:v/>
      </ns0:c>
      <ns0:c r="C1245" s="33" t="str">
        <ns0:f>IF($E1245="","",INDEX('Banka Dökümü'!$C$2:$C$2001,$E1245))</ns0:f>
        <ns0:v/>
      </ns0:c>
      <ns0:c r="D1245" s="28" t="str">
        <ns0:f>IF(E1245="","","Müşteri adı / aranacak ad / il bilgisini kontrol edin")</ns0:f>
        <ns0:v/>
      </ns0:c>
      <ns0:c r="E1245" s="28" t="str">
        <ns0:f>IFERROR(MATCH(1241,'Banka Dökümü'!$I$2:$I$2001,0),"")</ns0:f>
        <ns0:v/>
      </ns0:c>
    </ns0:row>
    <ns0:row r="1246" ht="21" customHeight="1">
      <ns0:c r="A1246" s="32" t="str">
        <ns0:f>IF($E1246="","",INDEX('Banka Dökümü'!$A$2:$A$2001,$E1246))</ns0:f>
        <ns0:v/>
      </ns0:c>
      <ns0:c r="B1246" s="28" t="str">
        <ns0:f>IF($E1246="","",INDEX('Banka Dökümü'!$B$2:$B$2001,$E1246))</ns0:f>
        <ns0:v/>
      </ns0:c>
      <ns0:c r="C1246" s="33" t="str">
        <ns0:f>IF($E1246="","",INDEX('Banka Dökümü'!$C$2:$C$2001,$E1246))</ns0:f>
        <ns0:v/>
      </ns0:c>
      <ns0:c r="D1246" s="28" t="str">
        <ns0:f>IF(E1246="","","Müşteri adı / aranacak ad / il bilgisini kontrol edin")</ns0:f>
        <ns0:v/>
      </ns0:c>
      <ns0:c r="E1246" s="28" t="str">
        <ns0:f>IFERROR(MATCH(1242,'Banka Dökümü'!$I$2:$I$2001,0),"")</ns0:f>
        <ns0:v/>
      </ns0:c>
    </ns0:row>
    <ns0:row r="1247" ht="21" customHeight="1">
      <ns0:c r="A1247" s="32" t="str">
        <ns0:f>IF($E1247="","",INDEX('Banka Dökümü'!$A$2:$A$2001,$E1247))</ns0:f>
        <ns0:v/>
      </ns0:c>
      <ns0:c r="B1247" s="28" t="str">
        <ns0:f>IF($E1247="","",INDEX('Banka Dökümü'!$B$2:$B$2001,$E1247))</ns0:f>
        <ns0:v/>
      </ns0:c>
      <ns0:c r="C1247" s="33" t="str">
        <ns0:f>IF($E1247="","",INDEX('Banka Dökümü'!$C$2:$C$2001,$E1247))</ns0:f>
        <ns0:v/>
      </ns0:c>
      <ns0:c r="D1247" s="28" t="str">
        <ns0:f>IF(E1247="","","Müşteri adı / aranacak ad / il bilgisini kontrol edin")</ns0:f>
        <ns0:v/>
      </ns0:c>
      <ns0:c r="E1247" s="28" t="str">
        <ns0:f>IFERROR(MATCH(1243,'Banka Dökümü'!$I$2:$I$2001,0),"")</ns0:f>
        <ns0:v/>
      </ns0:c>
    </ns0:row>
    <ns0:row r="1248" ht="21" customHeight="1">
      <ns0:c r="A1248" s="32" t="str">
        <ns0:f>IF($E1248="","",INDEX('Banka Dökümü'!$A$2:$A$2001,$E1248))</ns0:f>
        <ns0:v/>
      </ns0:c>
      <ns0:c r="B1248" s="28" t="str">
        <ns0:f>IF($E1248="","",INDEX('Banka Dökümü'!$B$2:$B$2001,$E1248))</ns0:f>
        <ns0:v/>
      </ns0:c>
      <ns0:c r="C1248" s="33" t="str">
        <ns0:f>IF($E1248="","",INDEX('Banka Dökümü'!$C$2:$C$2001,$E1248))</ns0:f>
        <ns0:v/>
      </ns0:c>
      <ns0:c r="D1248" s="28" t="str">
        <ns0:f>IF(E1248="","","Müşteri adı / aranacak ad / il bilgisini kontrol edin")</ns0:f>
        <ns0:v/>
      </ns0:c>
      <ns0:c r="E1248" s="28" t="str">
        <ns0:f>IFERROR(MATCH(1244,'Banka Dökümü'!$I$2:$I$2001,0),"")</ns0:f>
        <ns0:v/>
      </ns0:c>
    </ns0:row>
    <ns0:row r="1249" ht="21" customHeight="1">
      <ns0:c r="A1249" s="32" t="str">
        <ns0:f>IF($E1249="","",INDEX('Banka Dökümü'!$A$2:$A$2001,$E1249))</ns0:f>
        <ns0:v/>
      </ns0:c>
      <ns0:c r="B1249" s="28" t="str">
        <ns0:f>IF($E1249="","",INDEX('Banka Dökümü'!$B$2:$B$2001,$E1249))</ns0:f>
        <ns0:v/>
      </ns0:c>
      <ns0:c r="C1249" s="33" t="str">
        <ns0:f>IF($E1249="","",INDEX('Banka Dökümü'!$C$2:$C$2001,$E1249))</ns0:f>
        <ns0:v/>
      </ns0:c>
      <ns0:c r="D1249" s="28" t="str">
        <ns0:f>IF(E1249="","","Müşteri adı / aranacak ad / il bilgisini kontrol edin")</ns0:f>
        <ns0:v/>
      </ns0:c>
      <ns0:c r="E1249" s="28" t="str">
        <ns0:f>IFERROR(MATCH(1245,'Banka Dökümü'!$I$2:$I$2001,0),"")</ns0:f>
        <ns0:v/>
      </ns0:c>
    </ns0:row>
    <ns0:row r="1250" ht="21" customHeight="1">
      <ns0:c r="A1250" s="32" t="str">
        <ns0:f>IF($E1250="","",INDEX('Banka Dökümü'!$A$2:$A$2001,$E1250))</ns0:f>
        <ns0:v/>
      </ns0:c>
      <ns0:c r="B1250" s="28" t="str">
        <ns0:f>IF($E1250="","",INDEX('Banka Dökümü'!$B$2:$B$2001,$E1250))</ns0:f>
        <ns0:v/>
      </ns0:c>
      <ns0:c r="C1250" s="33" t="str">
        <ns0:f>IF($E1250="","",INDEX('Banka Dökümü'!$C$2:$C$2001,$E1250))</ns0:f>
        <ns0:v/>
      </ns0:c>
      <ns0:c r="D1250" s="28" t="str">
        <ns0:f>IF(E1250="","","Müşteri adı / aranacak ad / il bilgisini kontrol edin")</ns0:f>
        <ns0:v/>
      </ns0:c>
      <ns0:c r="E1250" s="28" t="str">
        <ns0:f>IFERROR(MATCH(1246,'Banka Dökümü'!$I$2:$I$2001,0),"")</ns0:f>
        <ns0:v/>
      </ns0:c>
    </ns0:row>
    <ns0:row r="1251" ht="21" customHeight="1">
      <ns0:c r="A1251" s="32" t="str">
        <ns0:f>IF($E1251="","",INDEX('Banka Dökümü'!$A$2:$A$2001,$E1251))</ns0:f>
        <ns0:v/>
      </ns0:c>
      <ns0:c r="B1251" s="28" t="str">
        <ns0:f>IF($E1251="","",INDEX('Banka Dökümü'!$B$2:$B$2001,$E1251))</ns0:f>
        <ns0:v/>
      </ns0:c>
      <ns0:c r="C1251" s="33" t="str">
        <ns0:f>IF($E1251="","",INDEX('Banka Dökümü'!$C$2:$C$2001,$E1251))</ns0:f>
        <ns0:v/>
      </ns0:c>
      <ns0:c r="D1251" s="28" t="str">
        <ns0:f>IF(E1251="","","Müşteri adı / aranacak ad / il bilgisini kontrol edin")</ns0:f>
        <ns0:v/>
      </ns0:c>
      <ns0:c r="E1251" s="28" t="str">
        <ns0:f>IFERROR(MATCH(1247,'Banka Dökümü'!$I$2:$I$2001,0),"")</ns0:f>
        <ns0:v/>
      </ns0:c>
    </ns0:row>
    <ns0:row r="1252" ht="21" customHeight="1">
      <ns0:c r="A1252" s="32" t="str">
        <ns0:f>IF($E1252="","",INDEX('Banka Dökümü'!$A$2:$A$2001,$E1252))</ns0:f>
        <ns0:v/>
      </ns0:c>
      <ns0:c r="B1252" s="28" t="str">
        <ns0:f>IF($E1252="","",INDEX('Banka Dökümü'!$B$2:$B$2001,$E1252))</ns0:f>
        <ns0:v/>
      </ns0:c>
      <ns0:c r="C1252" s="33" t="str">
        <ns0:f>IF($E1252="","",INDEX('Banka Dökümü'!$C$2:$C$2001,$E1252))</ns0:f>
        <ns0:v/>
      </ns0:c>
      <ns0:c r="D1252" s="28" t="str">
        <ns0:f>IF(E1252="","","Müşteri adı / aranacak ad / il bilgisini kontrol edin")</ns0:f>
        <ns0:v/>
      </ns0:c>
      <ns0:c r="E1252" s="28" t="str">
        <ns0:f>IFERROR(MATCH(1248,'Banka Dökümü'!$I$2:$I$2001,0),"")</ns0:f>
        <ns0:v/>
      </ns0:c>
    </ns0:row>
    <ns0:row r="1253" ht="21" customHeight="1">
      <ns0:c r="A1253" s="32" t="str">
        <ns0:f>IF($E1253="","",INDEX('Banka Dökümü'!$A$2:$A$2001,$E1253))</ns0:f>
        <ns0:v/>
      </ns0:c>
      <ns0:c r="B1253" s="28" t="str">
        <ns0:f>IF($E1253="","",INDEX('Banka Dökümü'!$B$2:$B$2001,$E1253))</ns0:f>
        <ns0:v/>
      </ns0:c>
      <ns0:c r="C1253" s="33" t="str">
        <ns0:f>IF($E1253="","",INDEX('Banka Dökümü'!$C$2:$C$2001,$E1253))</ns0:f>
        <ns0:v/>
      </ns0:c>
      <ns0:c r="D1253" s="28" t="str">
        <ns0:f>IF(E1253="","","Müşteri adı / aranacak ad / il bilgisini kontrol edin")</ns0:f>
        <ns0:v/>
      </ns0:c>
      <ns0:c r="E1253" s="28" t="str">
        <ns0:f>IFERROR(MATCH(1249,'Banka Dökümü'!$I$2:$I$2001,0),"")</ns0:f>
        <ns0:v/>
      </ns0:c>
    </ns0:row>
    <ns0:row r="1254" ht="21" customHeight="1">
      <ns0:c r="A1254" s="32" t="str">
        <ns0:f>IF($E1254="","",INDEX('Banka Dökümü'!$A$2:$A$2001,$E1254))</ns0:f>
        <ns0:v/>
      </ns0:c>
      <ns0:c r="B1254" s="28" t="str">
        <ns0:f>IF($E1254="","",INDEX('Banka Dökümü'!$B$2:$B$2001,$E1254))</ns0:f>
        <ns0:v/>
      </ns0:c>
      <ns0:c r="C1254" s="33" t="str">
        <ns0:f>IF($E1254="","",INDEX('Banka Dökümü'!$C$2:$C$2001,$E1254))</ns0:f>
        <ns0:v/>
      </ns0:c>
      <ns0:c r="D1254" s="28" t="str">
        <ns0:f>IF(E1254="","","Müşteri adı / aranacak ad / il bilgisini kontrol edin")</ns0:f>
        <ns0:v/>
      </ns0:c>
      <ns0:c r="E1254" s="28" t="str">
        <ns0:f>IFERROR(MATCH(1250,'Banka Dökümü'!$I$2:$I$2001,0),"")</ns0:f>
        <ns0:v/>
      </ns0:c>
    </ns0:row>
    <ns0:row r="1255" ht="21" customHeight="1">
      <ns0:c r="A1255" s="32" t="str">
        <ns0:f>IF($E1255="","",INDEX('Banka Dökümü'!$A$2:$A$2001,$E1255))</ns0:f>
        <ns0:v/>
      </ns0:c>
      <ns0:c r="B1255" s="28" t="str">
        <ns0:f>IF($E1255="","",INDEX('Banka Dökümü'!$B$2:$B$2001,$E1255))</ns0:f>
        <ns0:v/>
      </ns0:c>
      <ns0:c r="C1255" s="33" t="str">
        <ns0:f>IF($E1255="","",INDEX('Banka Dökümü'!$C$2:$C$2001,$E1255))</ns0:f>
        <ns0:v/>
      </ns0:c>
      <ns0:c r="D1255" s="28" t="str">
        <ns0:f>IF(E1255="","","Müşteri adı / aranacak ad / il bilgisini kontrol edin")</ns0:f>
        <ns0:v/>
      </ns0:c>
      <ns0:c r="E1255" s="28" t="str">
        <ns0:f>IFERROR(MATCH(1251,'Banka Dökümü'!$I$2:$I$2001,0),"")</ns0:f>
        <ns0:v/>
      </ns0:c>
    </ns0:row>
    <ns0:row r="1256" ht="21" customHeight="1">
      <ns0:c r="A1256" s="32" t="str">
        <ns0:f>IF($E1256="","",INDEX('Banka Dökümü'!$A$2:$A$2001,$E1256))</ns0:f>
        <ns0:v/>
      </ns0:c>
      <ns0:c r="B1256" s="28" t="str">
        <ns0:f>IF($E1256="","",INDEX('Banka Dökümü'!$B$2:$B$2001,$E1256))</ns0:f>
        <ns0:v/>
      </ns0:c>
      <ns0:c r="C1256" s="33" t="str">
        <ns0:f>IF($E1256="","",INDEX('Banka Dökümü'!$C$2:$C$2001,$E1256))</ns0:f>
        <ns0:v/>
      </ns0:c>
      <ns0:c r="D1256" s="28" t="str">
        <ns0:f>IF(E1256="","","Müşteri adı / aranacak ad / il bilgisini kontrol edin")</ns0:f>
        <ns0:v/>
      </ns0:c>
      <ns0:c r="E1256" s="28" t="str">
        <ns0:f>IFERROR(MATCH(1252,'Banka Dökümü'!$I$2:$I$2001,0),"")</ns0:f>
        <ns0:v/>
      </ns0:c>
    </ns0:row>
    <ns0:row r="1257" ht="21" customHeight="1">
      <ns0:c r="A1257" s="32" t="str">
        <ns0:f>IF($E1257="","",INDEX('Banka Dökümü'!$A$2:$A$2001,$E1257))</ns0:f>
        <ns0:v/>
      </ns0:c>
      <ns0:c r="B1257" s="28" t="str">
        <ns0:f>IF($E1257="","",INDEX('Banka Dökümü'!$B$2:$B$2001,$E1257))</ns0:f>
        <ns0:v/>
      </ns0:c>
      <ns0:c r="C1257" s="33" t="str">
        <ns0:f>IF($E1257="","",INDEX('Banka Dökümü'!$C$2:$C$2001,$E1257))</ns0:f>
        <ns0:v/>
      </ns0:c>
      <ns0:c r="D1257" s="28" t="str">
        <ns0:f>IF(E1257="","","Müşteri adı / aranacak ad / il bilgisini kontrol edin")</ns0:f>
        <ns0:v/>
      </ns0:c>
      <ns0:c r="E1257" s="28" t="str">
        <ns0:f>IFERROR(MATCH(1253,'Banka Dökümü'!$I$2:$I$2001,0),"")</ns0:f>
        <ns0:v/>
      </ns0:c>
    </ns0:row>
    <ns0:row r="1258" ht="21" customHeight="1">
      <ns0:c r="A1258" s="32" t="str">
        <ns0:f>IF($E1258="","",INDEX('Banka Dökümü'!$A$2:$A$2001,$E1258))</ns0:f>
        <ns0:v/>
      </ns0:c>
      <ns0:c r="B1258" s="28" t="str">
        <ns0:f>IF($E1258="","",INDEX('Banka Dökümü'!$B$2:$B$2001,$E1258))</ns0:f>
        <ns0:v/>
      </ns0:c>
      <ns0:c r="C1258" s="33" t="str">
        <ns0:f>IF($E1258="","",INDEX('Banka Dökümü'!$C$2:$C$2001,$E1258))</ns0:f>
        <ns0:v/>
      </ns0:c>
      <ns0:c r="D1258" s="28" t="str">
        <ns0:f>IF(E1258="","","Müşteri adı / aranacak ad / il bilgisini kontrol edin")</ns0:f>
        <ns0:v/>
      </ns0:c>
      <ns0:c r="E1258" s="28" t="str">
        <ns0:f>IFERROR(MATCH(1254,'Banka Dökümü'!$I$2:$I$2001,0),"")</ns0:f>
        <ns0:v/>
      </ns0:c>
    </ns0:row>
    <ns0:row r="1259" ht="21" customHeight="1">
      <ns0:c r="A1259" s="32" t="str">
        <ns0:f>IF($E1259="","",INDEX('Banka Dökümü'!$A$2:$A$2001,$E1259))</ns0:f>
        <ns0:v/>
      </ns0:c>
      <ns0:c r="B1259" s="28" t="str">
        <ns0:f>IF($E1259="","",INDEX('Banka Dökümü'!$B$2:$B$2001,$E1259))</ns0:f>
        <ns0:v/>
      </ns0:c>
      <ns0:c r="C1259" s="33" t="str">
        <ns0:f>IF($E1259="","",INDEX('Banka Dökümü'!$C$2:$C$2001,$E1259))</ns0:f>
        <ns0:v/>
      </ns0:c>
      <ns0:c r="D1259" s="28" t="str">
        <ns0:f>IF(E1259="","","Müşteri adı / aranacak ad / il bilgisini kontrol edin")</ns0:f>
        <ns0:v/>
      </ns0:c>
      <ns0:c r="E1259" s="28" t="str">
        <ns0:f>IFERROR(MATCH(1255,'Banka Dökümü'!$I$2:$I$2001,0),"")</ns0:f>
        <ns0:v/>
      </ns0:c>
    </ns0:row>
    <ns0:row r="1260" ht="21" customHeight="1">
      <ns0:c r="A1260" s="32" t="str">
        <ns0:f>IF($E1260="","",INDEX('Banka Dökümü'!$A$2:$A$2001,$E1260))</ns0:f>
        <ns0:v/>
      </ns0:c>
      <ns0:c r="B1260" s="28" t="str">
        <ns0:f>IF($E1260="","",INDEX('Banka Dökümü'!$B$2:$B$2001,$E1260))</ns0:f>
        <ns0:v/>
      </ns0:c>
      <ns0:c r="C1260" s="33" t="str">
        <ns0:f>IF($E1260="","",INDEX('Banka Dökümü'!$C$2:$C$2001,$E1260))</ns0:f>
        <ns0:v/>
      </ns0:c>
      <ns0:c r="D1260" s="28" t="str">
        <ns0:f>IF(E1260="","","Müşteri adı / aranacak ad / il bilgisini kontrol edin")</ns0:f>
        <ns0:v/>
      </ns0:c>
      <ns0:c r="E1260" s="28" t="str">
        <ns0:f>IFERROR(MATCH(1256,'Banka Dökümü'!$I$2:$I$2001,0),"")</ns0:f>
        <ns0:v/>
      </ns0:c>
    </ns0:row>
    <ns0:row r="1261" ht="21" customHeight="1">
      <ns0:c r="A1261" s="32" t="str">
        <ns0:f>IF($E1261="","",INDEX('Banka Dökümü'!$A$2:$A$2001,$E1261))</ns0:f>
        <ns0:v/>
      </ns0:c>
      <ns0:c r="B1261" s="28" t="str">
        <ns0:f>IF($E1261="","",INDEX('Banka Dökümü'!$B$2:$B$2001,$E1261))</ns0:f>
        <ns0:v/>
      </ns0:c>
      <ns0:c r="C1261" s="33" t="str">
        <ns0:f>IF($E1261="","",INDEX('Banka Dökümü'!$C$2:$C$2001,$E1261))</ns0:f>
        <ns0:v/>
      </ns0:c>
      <ns0:c r="D1261" s="28" t="str">
        <ns0:f>IF(E1261="","","Müşteri adı / aranacak ad / il bilgisini kontrol edin")</ns0:f>
        <ns0:v/>
      </ns0:c>
      <ns0:c r="E1261" s="28" t="str">
        <ns0:f>IFERROR(MATCH(1257,'Banka Dökümü'!$I$2:$I$2001,0),"")</ns0:f>
        <ns0:v/>
      </ns0:c>
    </ns0:row>
    <ns0:row r="1262" ht="21" customHeight="1">
      <ns0:c r="A1262" s="32" t="str">
        <ns0:f>IF($E1262="","",INDEX('Banka Dökümü'!$A$2:$A$2001,$E1262))</ns0:f>
        <ns0:v/>
      </ns0:c>
      <ns0:c r="B1262" s="28" t="str">
        <ns0:f>IF($E1262="","",INDEX('Banka Dökümü'!$B$2:$B$2001,$E1262))</ns0:f>
        <ns0:v/>
      </ns0:c>
      <ns0:c r="C1262" s="33" t="str">
        <ns0:f>IF($E1262="","",INDEX('Banka Dökümü'!$C$2:$C$2001,$E1262))</ns0:f>
        <ns0:v/>
      </ns0:c>
      <ns0:c r="D1262" s="28" t="str">
        <ns0:f>IF(E1262="","","Müşteri adı / aranacak ad / il bilgisini kontrol edin")</ns0:f>
        <ns0:v/>
      </ns0:c>
      <ns0:c r="E1262" s="28" t="str">
        <ns0:f>IFERROR(MATCH(1258,'Banka Dökümü'!$I$2:$I$2001,0),"")</ns0:f>
        <ns0:v/>
      </ns0:c>
    </ns0:row>
    <ns0:row r="1263" ht="21" customHeight="1">
      <ns0:c r="A1263" s="32" t="str">
        <ns0:f>IF($E1263="","",INDEX('Banka Dökümü'!$A$2:$A$2001,$E1263))</ns0:f>
        <ns0:v/>
      </ns0:c>
      <ns0:c r="B1263" s="28" t="str">
        <ns0:f>IF($E1263="","",INDEX('Banka Dökümü'!$B$2:$B$2001,$E1263))</ns0:f>
        <ns0:v/>
      </ns0:c>
      <ns0:c r="C1263" s="33" t="str">
        <ns0:f>IF($E1263="","",INDEX('Banka Dökümü'!$C$2:$C$2001,$E1263))</ns0:f>
        <ns0:v/>
      </ns0:c>
      <ns0:c r="D1263" s="28" t="str">
        <ns0:f>IF(E1263="","","Müşteri adı / aranacak ad / il bilgisini kontrol edin")</ns0:f>
        <ns0:v/>
      </ns0:c>
      <ns0:c r="E1263" s="28" t="str">
        <ns0:f>IFERROR(MATCH(1259,'Banka Dökümü'!$I$2:$I$2001,0),"")</ns0:f>
        <ns0:v/>
      </ns0:c>
    </ns0:row>
    <ns0:row r="1264" ht="21" customHeight="1">
      <ns0:c r="A1264" s="32" t="str">
        <ns0:f>IF($E1264="","",INDEX('Banka Dökümü'!$A$2:$A$2001,$E1264))</ns0:f>
        <ns0:v/>
      </ns0:c>
      <ns0:c r="B1264" s="28" t="str">
        <ns0:f>IF($E1264="","",INDEX('Banka Dökümü'!$B$2:$B$2001,$E1264))</ns0:f>
        <ns0:v/>
      </ns0:c>
      <ns0:c r="C1264" s="33" t="str">
        <ns0:f>IF($E1264="","",INDEX('Banka Dökümü'!$C$2:$C$2001,$E1264))</ns0:f>
        <ns0:v/>
      </ns0:c>
      <ns0:c r="D1264" s="28" t="str">
        <ns0:f>IF(E1264="","","Müşteri adı / aranacak ad / il bilgisini kontrol edin")</ns0:f>
        <ns0:v/>
      </ns0:c>
      <ns0:c r="E1264" s="28" t="str">
        <ns0:f>IFERROR(MATCH(1260,'Banka Dökümü'!$I$2:$I$2001,0),"")</ns0:f>
        <ns0:v/>
      </ns0:c>
    </ns0:row>
    <ns0:row r="1265" ht="21" customHeight="1">
      <ns0:c r="A1265" s="32" t="str">
        <ns0:f>IF($E1265="","",INDEX('Banka Dökümü'!$A$2:$A$2001,$E1265))</ns0:f>
        <ns0:v/>
      </ns0:c>
      <ns0:c r="B1265" s="28" t="str">
        <ns0:f>IF($E1265="","",INDEX('Banka Dökümü'!$B$2:$B$2001,$E1265))</ns0:f>
        <ns0:v/>
      </ns0:c>
      <ns0:c r="C1265" s="33" t="str">
        <ns0:f>IF($E1265="","",INDEX('Banka Dökümü'!$C$2:$C$2001,$E1265))</ns0:f>
        <ns0:v/>
      </ns0:c>
      <ns0:c r="D1265" s="28" t="str">
        <ns0:f>IF(E1265="","","Müşteri adı / aranacak ad / il bilgisini kontrol edin")</ns0:f>
        <ns0:v/>
      </ns0:c>
      <ns0:c r="E1265" s="28" t="str">
        <ns0:f>IFERROR(MATCH(1261,'Banka Dökümü'!$I$2:$I$2001,0),"")</ns0:f>
        <ns0:v/>
      </ns0:c>
    </ns0:row>
    <ns0:row r="1266" ht="21" customHeight="1">
      <ns0:c r="A1266" s="32" t="str">
        <ns0:f>IF($E1266="","",INDEX('Banka Dökümü'!$A$2:$A$2001,$E1266))</ns0:f>
        <ns0:v/>
      </ns0:c>
      <ns0:c r="B1266" s="28" t="str">
        <ns0:f>IF($E1266="","",INDEX('Banka Dökümü'!$B$2:$B$2001,$E1266))</ns0:f>
        <ns0:v/>
      </ns0:c>
      <ns0:c r="C1266" s="33" t="str">
        <ns0:f>IF($E1266="","",INDEX('Banka Dökümü'!$C$2:$C$2001,$E1266))</ns0:f>
        <ns0:v/>
      </ns0:c>
      <ns0:c r="D1266" s="28" t="str">
        <ns0:f>IF(E1266="","","Müşteri adı / aranacak ad / il bilgisini kontrol edin")</ns0:f>
        <ns0:v/>
      </ns0:c>
      <ns0:c r="E1266" s="28" t="str">
        <ns0:f>IFERROR(MATCH(1262,'Banka Dökümü'!$I$2:$I$2001,0),"")</ns0:f>
        <ns0:v/>
      </ns0:c>
    </ns0:row>
    <ns0:row r="1267" ht="21" customHeight="1">
      <ns0:c r="A1267" s="32" t="str">
        <ns0:f>IF($E1267="","",INDEX('Banka Dökümü'!$A$2:$A$2001,$E1267))</ns0:f>
        <ns0:v/>
      </ns0:c>
      <ns0:c r="B1267" s="28" t="str">
        <ns0:f>IF($E1267="","",INDEX('Banka Dökümü'!$B$2:$B$2001,$E1267))</ns0:f>
        <ns0:v/>
      </ns0:c>
      <ns0:c r="C1267" s="33" t="str">
        <ns0:f>IF($E1267="","",INDEX('Banka Dökümü'!$C$2:$C$2001,$E1267))</ns0:f>
        <ns0:v/>
      </ns0:c>
      <ns0:c r="D1267" s="28" t="str">
        <ns0:f>IF(E1267="","","Müşteri adı / aranacak ad / il bilgisini kontrol edin")</ns0:f>
        <ns0:v/>
      </ns0:c>
      <ns0:c r="E1267" s="28" t="str">
        <ns0:f>IFERROR(MATCH(1263,'Banka Dökümü'!$I$2:$I$2001,0),"")</ns0:f>
        <ns0:v/>
      </ns0:c>
    </ns0:row>
    <ns0:row r="1268" ht="21" customHeight="1">
      <ns0:c r="A1268" s="32" t="str">
        <ns0:f>IF($E1268="","",INDEX('Banka Dökümü'!$A$2:$A$2001,$E1268))</ns0:f>
        <ns0:v/>
      </ns0:c>
      <ns0:c r="B1268" s="28" t="str">
        <ns0:f>IF($E1268="","",INDEX('Banka Dökümü'!$B$2:$B$2001,$E1268))</ns0:f>
        <ns0:v/>
      </ns0:c>
      <ns0:c r="C1268" s="33" t="str">
        <ns0:f>IF($E1268="","",INDEX('Banka Dökümü'!$C$2:$C$2001,$E1268))</ns0:f>
        <ns0:v/>
      </ns0:c>
      <ns0:c r="D1268" s="28" t="str">
        <ns0:f>IF(E1268="","","Müşteri adı / aranacak ad / il bilgisini kontrol edin")</ns0:f>
        <ns0:v/>
      </ns0:c>
      <ns0:c r="E1268" s="28" t="str">
        <ns0:f>IFERROR(MATCH(1264,'Banka Dökümü'!$I$2:$I$2001,0),"")</ns0:f>
        <ns0:v/>
      </ns0:c>
    </ns0:row>
    <ns0:row r="1269" ht="21" customHeight="1">
      <ns0:c r="A1269" s="32" t="str">
        <ns0:f>IF($E1269="","",INDEX('Banka Dökümü'!$A$2:$A$2001,$E1269))</ns0:f>
        <ns0:v/>
      </ns0:c>
      <ns0:c r="B1269" s="28" t="str">
        <ns0:f>IF($E1269="","",INDEX('Banka Dökümü'!$B$2:$B$2001,$E1269))</ns0:f>
        <ns0:v/>
      </ns0:c>
      <ns0:c r="C1269" s="33" t="str">
        <ns0:f>IF($E1269="","",INDEX('Banka Dökümü'!$C$2:$C$2001,$E1269))</ns0:f>
        <ns0:v/>
      </ns0:c>
      <ns0:c r="D1269" s="28" t="str">
        <ns0:f>IF(E1269="","","Müşteri adı / aranacak ad / il bilgisini kontrol edin")</ns0:f>
        <ns0:v/>
      </ns0:c>
      <ns0:c r="E1269" s="28" t="str">
        <ns0:f>IFERROR(MATCH(1265,'Banka Dökümü'!$I$2:$I$2001,0),"")</ns0:f>
        <ns0:v/>
      </ns0:c>
    </ns0:row>
    <ns0:row r="1270" ht="21" customHeight="1">
      <ns0:c r="A1270" s="32" t="str">
        <ns0:f>IF($E1270="","",INDEX('Banka Dökümü'!$A$2:$A$2001,$E1270))</ns0:f>
        <ns0:v/>
      </ns0:c>
      <ns0:c r="B1270" s="28" t="str">
        <ns0:f>IF($E1270="","",INDEX('Banka Dökümü'!$B$2:$B$2001,$E1270))</ns0:f>
        <ns0:v/>
      </ns0:c>
      <ns0:c r="C1270" s="33" t="str">
        <ns0:f>IF($E1270="","",INDEX('Banka Dökümü'!$C$2:$C$2001,$E1270))</ns0:f>
        <ns0:v/>
      </ns0:c>
      <ns0:c r="D1270" s="28" t="str">
        <ns0:f>IF(E1270="","","Müşteri adı / aranacak ad / il bilgisini kontrol edin")</ns0:f>
        <ns0:v/>
      </ns0:c>
      <ns0:c r="E1270" s="28" t="str">
        <ns0:f>IFERROR(MATCH(1266,'Banka Dökümü'!$I$2:$I$2001,0),"")</ns0:f>
        <ns0:v/>
      </ns0:c>
    </ns0:row>
    <ns0:row r="1271" ht="21" customHeight="1">
      <ns0:c r="A1271" s="32" t="str">
        <ns0:f>IF($E1271="","",INDEX('Banka Dökümü'!$A$2:$A$2001,$E1271))</ns0:f>
        <ns0:v/>
      </ns0:c>
      <ns0:c r="B1271" s="28" t="str">
        <ns0:f>IF($E1271="","",INDEX('Banka Dökümü'!$B$2:$B$2001,$E1271))</ns0:f>
        <ns0:v/>
      </ns0:c>
      <ns0:c r="C1271" s="33" t="str">
        <ns0:f>IF($E1271="","",INDEX('Banka Dökümü'!$C$2:$C$2001,$E1271))</ns0:f>
        <ns0:v/>
      </ns0:c>
      <ns0:c r="D1271" s="28" t="str">
        <ns0:f>IF(E1271="","","Müşteri adı / aranacak ad / il bilgisini kontrol edin")</ns0:f>
        <ns0:v/>
      </ns0:c>
      <ns0:c r="E1271" s="28" t="str">
        <ns0:f>IFERROR(MATCH(1267,'Banka Dökümü'!$I$2:$I$2001,0),"")</ns0:f>
        <ns0:v/>
      </ns0:c>
    </ns0:row>
    <ns0:row r="1272" ht="21" customHeight="1">
      <ns0:c r="A1272" s="32" t="str">
        <ns0:f>IF($E1272="","",INDEX('Banka Dökümü'!$A$2:$A$2001,$E1272))</ns0:f>
        <ns0:v/>
      </ns0:c>
      <ns0:c r="B1272" s="28" t="str">
        <ns0:f>IF($E1272="","",INDEX('Banka Dökümü'!$B$2:$B$2001,$E1272))</ns0:f>
        <ns0:v/>
      </ns0:c>
      <ns0:c r="C1272" s="33" t="str">
        <ns0:f>IF($E1272="","",INDEX('Banka Dökümü'!$C$2:$C$2001,$E1272))</ns0:f>
        <ns0:v/>
      </ns0:c>
      <ns0:c r="D1272" s="28" t="str">
        <ns0:f>IF(E1272="","","Müşteri adı / aranacak ad / il bilgisini kontrol edin")</ns0:f>
        <ns0:v/>
      </ns0:c>
      <ns0:c r="E1272" s="28" t="str">
        <ns0:f>IFERROR(MATCH(1268,'Banka Dökümü'!$I$2:$I$2001,0),"")</ns0:f>
        <ns0:v/>
      </ns0:c>
    </ns0:row>
    <ns0:row r="1273" ht="21" customHeight="1">
      <ns0:c r="A1273" s="32" t="str">
        <ns0:f>IF($E1273="","",INDEX('Banka Dökümü'!$A$2:$A$2001,$E1273))</ns0:f>
        <ns0:v/>
      </ns0:c>
      <ns0:c r="B1273" s="28" t="str">
        <ns0:f>IF($E1273="","",INDEX('Banka Dökümü'!$B$2:$B$2001,$E1273))</ns0:f>
        <ns0:v/>
      </ns0:c>
      <ns0:c r="C1273" s="33" t="str">
        <ns0:f>IF($E1273="","",INDEX('Banka Dökümü'!$C$2:$C$2001,$E1273))</ns0:f>
        <ns0:v/>
      </ns0:c>
      <ns0:c r="D1273" s="28" t="str">
        <ns0:f>IF(E1273="","","Müşteri adı / aranacak ad / il bilgisini kontrol edin")</ns0:f>
        <ns0:v/>
      </ns0:c>
      <ns0:c r="E1273" s="28" t="str">
        <ns0:f>IFERROR(MATCH(1269,'Banka Dökümü'!$I$2:$I$2001,0),"")</ns0:f>
        <ns0:v/>
      </ns0:c>
    </ns0:row>
    <ns0:row r="1274" ht="21" customHeight="1">
      <ns0:c r="A1274" s="32" t="str">
        <ns0:f>IF($E1274="","",INDEX('Banka Dökümü'!$A$2:$A$2001,$E1274))</ns0:f>
        <ns0:v/>
      </ns0:c>
      <ns0:c r="B1274" s="28" t="str">
        <ns0:f>IF($E1274="","",INDEX('Banka Dökümü'!$B$2:$B$2001,$E1274))</ns0:f>
        <ns0:v/>
      </ns0:c>
      <ns0:c r="C1274" s="33" t="str">
        <ns0:f>IF($E1274="","",INDEX('Banka Dökümü'!$C$2:$C$2001,$E1274))</ns0:f>
        <ns0:v/>
      </ns0:c>
      <ns0:c r="D1274" s="28" t="str">
        <ns0:f>IF(E1274="","","Müşteri adı / aranacak ad / il bilgisini kontrol edin")</ns0:f>
        <ns0:v/>
      </ns0:c>
      <ns0:c r="E1274" s="28" t="str">
        <ns0:f>IFERROR(MATCH(1270,'Banka Dökümü'!$I$2:$I$2001,0),"")</ns0:f>
        <ns0:v/>
      </ns0:c>
    </ns0:row>
    <ns0:row r="1275" ht="21" customHeight="1">
      <ns0:c r="A1275" s="32" t="str">
        <ns0:f>IF($E1275="","",INDEX('Banka Dökümü'!$A$2:$A$2001,$E1275))</ns0:f>
        <ns0:v/>
      </ns0:c>
      <ns0:c r="B1275" s="28" t="str">
        <ns0:f>IF($E1275="","",INDEX('Banka Dökümü'!$B$2:$B$2001,$E1275))</ns0:f>
        <ns0:v/>
      </ns0:c>
      <ns0:c r="C1275" s="33" t="str">
        <ns0:f>IF($E1275="","",INDEX('Banka Dökümü'!$C$2:$C$2001,$E1275))</ns0:f>
        <ns0:v/>
      </ns0:c>
      <ns0:c r="D1275" s="28" t="str">
        <ns0:f>IF(E1275="","","Müşteri adı / aranacak ad / il bilgisini kontrol edin")</ns0:f>
        <ns0:v/>
      </ns0:c>
      <ns0:c r="E1275" s="28" t="str">
        <ns0:f>IFERROR(MATCH(1271,'Banka Dökümü'!$I$2:$I$2001,0),"")</ns0:f>
        <ns0:v/>
      </ns0:c>
    </ns0:row>
    <ns0:row r="1276" ht="21" customHeight="1">
      <ns0:c r="A1276" s="32" t="str">
        <ns0:f>IF($E1276="","",INDEX('Banka Dökümü'!$A$2:$A$2001,$E1276))</ns0:f>
        <ns0:v/>
      </ns0:c>
      <ns0:c r="B1276" s="28" t="str">
        <ns0:f>IF($E1276="","",INDEX('Banka Dökümü'!$B$2:$B$2001,$E1276))</ns0:f>
        <ns0:v/>
      </ns0:c>
      <ns0:c r="C1276" s="33" t="str">
        <ns0:f>IF($E1276="","",INDEX('Banka Dökümü'!$C$2:$C$2001,$E1276))</ns0:f>
        <ns0:v/>
      </ns0:c>
      <ns0:c r="D1276" s="28" t="str">
        <ns0:f>IF(E1276="","","Müşteri adı / aranacak ad / il bilgisini kontrol edin")</ns0:f>
        <ns0:v/>
      </ns0:c>
      <ns0:c r="E1276" s="28" t="str">
        <ns0:f>IFERROR(MATCH(1272,'Banka Dökümü'!$I$2:$I$2001,0),"")</ns0:f>
        <ns0:v/>
      </ns0:c>
    </ns0:row>
    <ns0:row r="1277" ht="21" customHeight="1">
      <ns0:c r="A1277" s="32" t="str">
        <ns0:f>IF($E1277="","",INDEX('Banka Dökümü'!$A$2:$A$2001,$E1277))</ns0:f>
        <ns0:v/>
      </ns0:c>
      <ns0:c r="B1277" s="28" t="str">
        <ns0:f>IF($E1277="","",INDEX('Banka Dökümü'!$B$2:$B$2001,$E1277))</ns0:f>
        <ns0:v/>
      </ns0:c>
      <ns0:c r="C1277" s="33" t="str">
        <ns0:f>IF($E1277="","",INDEX('Banka Dökümü'!$C$2:$C$2001,$E1277))</ns0:f>
        <ns0:v/>
      </ns0:c>
      <ns0:c r="D1277" s="28" t="str">
        <ns0:f>IF(E1277="","","Müşteri adı / aranacak ad / il bilgisini kontrol edin")</ns0:f>
        <ns0:v/>
      </ns0:c>
      <ns0:c r="E1277" s="28" t="str">
        <ns0:f>IFERROR(MATCH(1273,'Banka Dökümü'!$I$2:$I$2001,0),"")</ns0:f>
        <ns0:v/>
      </ns0:c>
    </ns0:row>
    <ns0:row r="1278" ht="21" customHeight="1">
      <ns0:c r="A1278" s="32" t="str">
        <ns0:f>IF($E1278="","",INDEX('Banka Dökümü'!$A$2:$A$2001,$E1278))</ns0:f>
        <ns0:v/>
      </ns0:c>
      <ns0:c r="B1278" s="28" t="str">
        <ns0:f>IF($E1278="","",INDEX('Banka Dökümü'!$B$2:$B$2001,$E1278))</ns0:f>
        <ns0:v/>
      </ns0:c>
      <ns0:c r="C1278" s="33" t="str">
        <ns0:f>IF($E1278="","",INDEX('Banka Dökümü'!$C$2:$C$2001,$E1278))</ns0:f>
        <ns0:v/>
      </ns0:c>
      <ns0:c r="D1278" s="28" t="str">
        <ns0:f>IF(E1278="","","Müşteri adı / aranacak ad / il bilgisini kontrol edin")</ns0:f>
        <ns0:v/>
      </ns0:c>
      <ns0:c r="E1278" s="28" t="str">
        <ns0:f>IFERROR(MATCH(1274,'Banka Dökümü'!$I$2:$I$2001,0),"")</ns0:f>
        <ns0:v/>
      </ns0:c>
    </ns0:row>
    <ns0:row r="1279" ht="21" customHeight="1">
      <ns0:c r="A1279" s="32" t="str">
        <ns0:f>IF($E1279="","",INDEX('Banka Dökümü'!$A$2:$A$2001,$E1279))</ns0:f>
        <ns0:v/>
      </ns0:c>
      <ns0:c r="B1279" s="28" t="str">
        <ns0:f>IF($E1279="","",INDEX('Banka Dökümü'!$B$2:$B$2001,$E1279))</ns0:f>
        <ns0:v/>
      </ns0:c>
      <ns0:c r="C1279" s="33" t="str">
        <ns0:f>IF($E1279="","",INDEX('Banka Dökümü'!$C$2:$C$2001,$E1279))</ns0:f>
        <ns0:v/>
      </ns0:c>
      <ns0:c r="D1279" s="28" t="str">
        <ns0:f>IF(E1279="","","Müşteri adı / aranacak ad / il bilgisini kontrol edin")</ns0:f>
        <ns0:v/>
      </ns0:c>
      <ns0:c r="E1279" s="28" t="str">
        <ns0:f>IFERROR(MATCH(1275,'Banka Dökümü'!$I$2:$I$2001,0),"")</ns0:f>
        <ns0:v/>
      </ns0:c>
    </ns0:row>
    <ns0:row r="1280" ht="21" customHeight="1">
      <ns0:c r="A1280" s="32" t="str">
        <ns0:f>IF($E1280="","",INDEX('Banka Dökümü'!$A$2:$A$2001,$E1280))</ns0:f>
        <ns0:v/>
      </ns0:c>
      <ns0:c r="B1280" s="28" t="str">
        <ns0:f>IF($E1280="","",INDEX('Banka Dökümü'!$B$2:$B$2001,$E1280))</ns0:f>
        <ns0:v/>
      </ns0:c>
      <ns0:c r="C1280" s="33" t="str">
        <ns0:f>IF($E1280="","",INDEX('Banka Dökümü'!$C$2:$C$2001,$E1280))</ns0:f>
        <ns0:v/>
      </ns0:c>
      <ns0:c r="D1280" s="28" t="str">
        <ns0:f>IF(E1280="","","Müşteri adı / aranacak ad / il bilgisini kontrol edin")</ns0:f>
        <ns0:v/>
      </ns0:c>
      <ns0:c r="E1280" s="28" t="str">
        <ns0:f>IFERROR(MATCH(1276,'Banka Dökümü'!$I$2:$I$2001,0),"")</ns0:f>
        <ns0:v/>
      </ns0:c>
    </ns0:row>
    <ns0:row r="1281" ht="21" customHeight="1">
      <ns0:c r="A1281" s="32" t="str">
        <ns0:f>IF($E1281="","",INDEX('Banka Dökümü'!$A$2:$A$2001,$E1281))</ns0:f>
        <ns0:v/>
      </ns0:c>
      <ns0:c r="B1281" s="28" t="str">
        <ns0:f>IF($E1281="","",INDEX('Banka Dökümü'!$B$2:$B$2001,$E1281))</ns0:f>
        <ns0:v/>
      </ns0:c>
      <ns0:c r="C1281" s="33" t="str">
        <ns0:f>IF($E1281="","",INDEX('Banka Dökümü'!$C$2:$C$2001,$E1281))</ns0:f>
        <ns0:v/>
      </ns0:c>
      <ns0:c r="D1281" s="28" t="str">
        <ns0:f>IF(E1281="","","Müşteri adı / aranacak ad / il bilgisini kontrol edin")</ns0:f>
        <ns0:v/>
      </ns0:c>
      <ns0:c r="E1281" s="28" t="str">
        <ns0:f>IFERROR(MATCH(1277,'Banka Dökümü'!$I$2:$I$2001,0),"")</ns0:f>
        <ns0:v/>
      </ns0:c>
    </ns0:row>
    <ns0:row r="1282" ht="21" customHeight="1">
      <ns0:c r="A1282" s="32" t="str">
        <ns0:f>IF($E1282="","",INDEX('Banka Dökümü'!$A$2:$A$2001,$E1282))</ns0:f>
        <ns0:v/>
      </ns0:c>
      <ns0:c r="B1282" s="28" t="str">
        <ns0:f>IF($E1282="","",INDEX('Banka Dökümü'!$B$2:$B$2001,$E1282))</ns0:f>
        <ns0:v/>
      </ns0:c>
      <ns0:c r="C1282" s="33" t="str">
        <ns0:f>IF($E1282="","",INDEX('Banka Dökümü'!$C$2:$C$2001,$E1282))</ns0:f>
        <ns0:v/>
      </ns0:c>
      <ns0:c r="D1282" s="28" t="str">
        <ns0:f>IF(E1282="","","Müşteri adı / aranacak ad / il bilgisini kontrol edin")</ns0:f>
        <ns0:v/>
      </ns0:c>
      <ns0:c r="E1282" s="28" t="str">
        <ns0:f>IFERROR(MATCH(1278,'Banka Dökümü'!$I$2:$I$2001,0),"")</ns0:f>
        <ns0:v/>
      </ns0:c>
    </ns0:row>
    <ns0:row r="1283" ht="21" customHeight="1">
      <ns0:c r="A1283" s="32" t="str">
        <ns0:f>IF($E1283="","",INDEX('Banka Dökümü'!$A$2:$A$2001,$E1283))</ns0:f>
        <ns0:v/>
      </ns0:c>
      <ns0:c r="B1283" s="28" t="str">
        <ns0:f>IF($E1283="","",INDEX('Banka Dökümü'!$B$2:$B$2001,$E1283))</ns0:f>
        <ns0:v/>
      </ns0:c>
      <ns0:c r="C1283" s="33" t="str">
        <ns0:f>IF($E1283="","",INDEX('Banka Dökümü'!$C$2:$C$2001,$E1283))</ns0:f>
        <ns0:v/>
      </ns0:c>
      <ns0:c r="D1283" s="28" t="str">
        <ns0:f>IF(E1283="","","Müşteri adı / aranacak ad / il bilgisini kontrol edin")</ns0:f>
        <ns0:v/>
      </ns0:c>
      <ns0:c r="E1283" s="28" t="str">
        <ns0:f>IFERROR(MATCH(1279,'Banka Dökümü'!$I$2:$I$2001,0),"")</ns0:f>
        <ns0:v/>
      </ns0:c>
    </ns0:row>
    <ns0:row r="1284" ht="21" customHeight="1">
      <ns0:c r="A1284" s="32" t="str">
        <ns0:f>IF($E1284="","",INDEX('Banka Dökümü'!$A$2:$A$2001,$E1284))</ns0:f>
        <ns0:v/>
      </ns0:c>
      <ns0:c r="B1284" s="28" t="str">
        <ns0:f>IF($E1284="","",INDEX('Banka Dökümü'!$B$2:$B$2001,$E1284))</ns0:f>
        <ns0:v/>
      </ns0:c>
      <ns0:c r="C1284" s="33" t="str">
        <ns0:f>IF($E1284="","",INDEX('Banka Dökümü'!$C$2:$C$2001,$E1284))</ns0:f>
        <ns0:v/>
      </ns0:c>
      <ns0:c r="D1284" s="28" t="str">
        <ns0:f>IF(E1284="","","Müşteri adı / aranacak ad / il bilgisini kontrol edin")</ns0:f>
        <ns0:v/>
      </ns0:c>
      <ns0:c r="E1284" s="28" t="str">
        <ns0:f>IFERROR(MATCH(1280,'Banka Dökümü'!$I$2:$I$2001,0),"")</ns0:f>
        <ns0:v/>
      </ns0:c>
    </ns0:row>
    <ns0:row r="1285" ht="21" customHeight="1">
      <ns0:c r="A1285" s="32" t="str">
        <ns0:f>IF($E1285="","",INDEX('Banka Dökümü'!$A$2:$A$2001,$E1285))</ns0:f>
        <ns0:v/>
      </ns0:c>
      <ns0:c r="B1285" s="28" t="str">
        <ns0:f>IF($E1285="","",INDEX('Banka Dökümü'!$B$2:$B$2001,$E1285))</ns0:f>
        <ns0:v/>
      </ns0:c>
      <ns0:c r="C1285" s="33" t="str">
        <ns0:f>IF($E1285="","",INDEX('Banka Dökümü'!$C$2:$C$2001,$E1285))</ns0:f>
        <ns0:v/>
      </ns0:c>
      <ns0:c r="D1285" s="28" t="str">
        <ns0:f>IF(E1285="","","Müşteri adı / aranacak ad / il bilgisini kontrol edin")</ns0:f>
        <ns0:v/>
      </ns0:c>
      <ns0:c r="E1285" s="28" t="str">
        <ns0:f>IFERROR(MATCH(1281,'Banka Dökümü'!$I$2:$I$2001,0),"")</ns0:f>
        <ns0:v/>
      </ns0:c>
    </ns0:row>
    <ns0:row r="1286" ht="21" customHeight="1">
      <ns0:c r="A1286" s="32" t="str">
        <ns0:f>IF($E1286="","",INDEX('Banka Dökümü'!$A$2:$A$2001,$E1286))</ns0:f>
        <ns0:v/>
      </ns0:c>
      <ns0:c r="B1286" s="28" t="str">
        <ns0:f>IF($E1286="","",INDEX('Banka Dökümü'!$B$2:$B$2001,$E1286))</ns0:f>
        <ns0:v/>
      </ns0:c>
      <ns0:c r="C1286" s="33" t="str">
        <ns0:f>IF($E1286="","",INDEX('Banka Dökümü'!$C$2:$C$2001,$E1286))</ns0:f>
        <ns0:v/>
      </ns0:c>
      <ns0:c r="D1286" s="28" t="str">
        <ns0:f>IF(E1286="","","Müşteri adı / aranacak ad / il bilgisini kontrol edin")</ns0:f>
        <ns0:v/>
      </ns0:c>
      <ns0:c r="E1286" s="28" t="str">
        <ns0:f>IFERROR(MATCH(1282,'Banka Dökümü'!$I$2:$I$2001,0),"")</ns0:f>
        <ns0:v/>
      </ns0:c>
    </ns0:row>
    <ns0:row r="1287" ht="21" customHeight="1">
      <ns0:c r="A1287" s="32" t="str">
        <ns0:f>IF($E1287="","",INDEX('Banka Dökümü'!$A$2:$A$2001,$E1287))</ns0:f>
        <ns0:v/>
      </ns0:c>
      <ns0:c r="B1287" s="28" t="str">
        <ns0:f>IF($E1287="","",INDEX('Banka Dökümü'!$B$2:$B$2001,$E1287))</ns0:f>
        <ns0:v/>
      </ns0:c>
      <ns0:c r="C1287" s="33" t="str">
        <ns0:f>IF($E1287="","",INDEX('Banka Dökümü'!$C$2:$C$2001,$E1287))</ns0:f>
        <ns0:v/>
      </ns0:c>
      <ns0:c r="D1287" s="28" t="str">
        <ns0:f>IF(E1287="","","Müşteri adı / aranacak ad / il bilgisini kontrol edin")</ns0:f>
        <ns0:v/>
      </ns0:c>
      <ns0:c r="E1287" s="28" t="str">
        <ns0:f>IFERROR(MATCH(1283,'Banka Dökümü'!$I$2:$I$2001,0),"")</ns0:f>
        <ns0:v/>
      </ns0:c>
    </ns0:row>
    <ns0:row r="1288" ht="21" customHeight="1">
      <ns0:c r="A1288" s="32" t="str">
        <ns0:f>IF($E1288="","",INDEX('Banka Dökümü'!$A$2:$A$2001,$E1288))</ns0:f>
        <ns0:v/>
      </ns0:c>
      <ns0:c r="B1288" s="28" t="str">
        <ns0:f>IF($E1288="","",INDEX('Banka Dökümü'!$B$2:$B$2001,$E1288))</ns0:f>
        <ns0:v/>
      </ns0:c>
      <ns0:c r="C1288" s="33" t="str">
        <ns0:f>IF($E1288="","",INDEX('Banka Dökümü'!$C$2:$C$2001,$E1288))</ns0:f>
        <ns0:v/>
      </ns0:c>
      <ns0:c r="D1288" s="28" t="str">
        <ns0:f>IF(E1288="","","Müşteri adı / aranacak ad / il bilgisini kontrol edin")</ns0:f>
        <ns0:v/>
      </ns0:c>
      <ns0:c r="E1288" s="28" t="str">
        <ns0:f>IFERROR(MATCH(1284,'Banka Dökümü'!$I$2:$I$2001,0),"")</ns0:f>
        <ns0:v/>
      </ns0:c>
    </ns0:row>
    <ns0:row r="1289" ht="21" customHeight="1">
      <ns0:c r="A1289" s="32" t="str">
        <ns0:f>IF($E1289="","",INDEX('Banka Dökümü'!$A$2:$A$2001,$E1289))</ns0:f>
        <ns0:v/>
      </ns0:c>
      <ns0:c r="B1289" s="28" t="str">
        <ns0:f>IF($E1289="","",INDEX('Banka Dökümü'!$B$2:$B$2001,$E1289))</ns0:f>
        <ns0:v/>
      </ns0:c>
      <ns0:c r="C1289" s="33" t="str">
        <ns0:f>IF($E1289="","",INDEX('Banka Dökümü'!$C$2:$C$2001,$E1289))</ns0:f>
        <ns0:v/>
      </ns0:c>
      <ns0:c r="D1289" s="28" t="str">
        <ns0:f>IF(E1289="","","Müşteri adı / aranacak ad / il bilgisini kontrol edin")</ns0:f>
        <ns0:v/>
      </ns0:c>
      <ns0:c r="E1289" s="28" t="str">
        <ns0:f>IFERROR(MATCH(1285,'Banka Dökümü'!$I$2:$I$2001,0),"")</ns0:f>
        <ns0:v/>
      </ns0:c>
    </ns0:row>
    <ns0:row r="1290" ht="21" customHeight="1">
      <ns0:c r="A1290" s="32" t="str">
        <ns0:f>IF($E1290="","",INDEX('Banka Dökümü'!$A$2:$A$2001,$E1290))</ns0:f>
        <ns0:v/>
      </ns0:c>
      <ns0:c r="B1290" s="28" t="str">
        <ns0:f>IF($E1290="","",INDEX('Banka Dökümü'!$B$2:$B$2001,$E1290))</ns0:f>
        <ns0:v/>
      </ns0:c>
      <ns0:c r="C1290" s="33" t="str">
        <ns0:f>IF($E1290="","",INDEX('Banka Dökümü'!$C$2:$C$2001,$E1290))</ns0:f>
        <ns0:v/>
      </ns0:c>
      <ns0:c r="D1290" s="28" t="str">
        <ns0:f>IF(E1290="","","Müşteri adı / aranacak ad / il bilgisini kontrol edin")</ns0:f>
        <ns0:v/>
      </ns0:c>
      <ns0:c r="E1290" s="28" t="str">
        <ns0:f>IFERROR(MATCH(1286,'Banka Dökümü'!$I$2:$I$2001,0),"")</ns0:f>
        <ns0:v/>
      </ns0:c>
    </ns0:row>
    <ns0:row r="1291" ht="21" customHeight="1">
      <ns0:c r="A1291" s="32" t="str">
        <ns0:f>IF($E1291="","",INDEX('Banka Dökümü'!$A$2:$A$2001,$E1291))</ns0:f>
        <ns0:v/>
      </ns0:c>
      <ns0:c r="B1291" s="28" t="str">
        <ns0:f>IF($E1291="","",INDEX('Banka Dökümü'!$B$2:$B$2001,$E1291))</ns0:f>
        <ns0:v/>
      </ns0:c>
      <ns0:c r="C1291" s="33" t="str">
        <ns0:f>IF($E1291="","",INDEX('Banka Dökümü'!$C$2:$C$2001,$E1291))</ns0:f>
        <ns0:v/>
      </ns0:c>
      <ns0:c r="D1291" s="28" t="str">
        <ns0:f>IF(E1291="","","Müşteri adı / aranacak ad / il bilgisini kontrol edin")</ns0:f>
        <ns0:v/>
      </ns0:c>
      <ns0:c r="E1291" s="28" t="str">
        <ns0:f>IFERROR(MATCH(1287,'Banka Dökümü'!$I$2:$I$2001,0),"")</ns0:f>
        <ns0:v/>
      </ns0:c>
    </ns0:row>
    <ns0:row r="1292" ht="21" customHeight="1">
      <ns0:c r="A1292" s="32" t="str">
        <ns0:f>IF($E1292="","",INDEX('Banka Dökümü'!$A$2:$A$2001,$E1292))</ns0:f>
        <ns0:v/>
      </ns0:c>
      <ns0:c r="B1292" s="28" t="str">
        <ns0:f>IF($E1292="","",INDEX('Banka Dökümü'!$B$2:$B$2001,$E1292))</ns0:f>
        <ns0:v/>
      </ns0:c>
      <ns0:c r="C1292" s="33" t="str">
        <ns0:f>IF($E1292="","",INDEX('Banka Dökümü'!$C$2:$C$2001,$E1292))</ns0:f>
        <ns0:v/>
      </ns0:c>
      <ns0:c r="D1292" s="28" t="str">
        <ns0:f>IF(E1292="","","Müşteri adı / aranacak ad / il bilgisini kontrol edin")</ns0:f>
        <ns0:v/>
      </ns0:c>
      <ns0:c r="E1292" s="28" t="str">
        <ns0:f>IFERROR(MATCH(1288,'Banka Dökümü'!$I$2:$I$2001,0),"")</ns0:f>
        <ns0:v/>
      </ns0:c>
    </ns0:row>
    <ns0:row r="1293" ht="21" customHeight="1">
      <ns0:c r="A1293" s="32" t="str">
        <ns0:f>IF($E1293="","",INDEX('Banka Dökümü'!$A$2:$A$2001,$E1293))</ns0:f>
        <ns0:v/>
      </ns0:c>
      <ns0:c r="B1293" s="28" t="str">
        <ns0:f>IF($E1293="","",INDEX('Banka Dökümü'!$B$2:$B$2001,$E1293))</ns0:f>
        <ns0:v/>
      </ns0:c>
      <ns0:c r="C1293" s="33" t="str">
        <ns0:f>IF($E1293="","",INDEX('Banka Dökümü'!$C$2:$C$2001,$E1293))</ns0:f>
        <ns0:v/>
      </ns0:c>
      <ns0:c r="D1293" s="28" t="str">
        <ns0:f>IF(E1293="","","Müşteri adı / aranacak ad / il bilgisini kontrol edin")</ns0:f>
        <ns0:v/>
      </ns0:c>
      <ns0:c r="E1293" s="28" t="str">
        <ns0:f>IFERROR(MATCH(1289,'Banka Dökümü'!$I$2:$I$2001,0),"")</ns0:f>
        <ns0:v/>
      </ns0:c>
    </ns0:row>
    <ns0:row r="1294" ht="21" customHeight="1">
      <ns0:c r="A1294" s="32" t="str">
        <ns0:f>IF($E1294="","",INDEX('Banka Dökümü'!$A$2:$A$2001,$E1294))</ns0:f>
        <ns0:v/>
      </ns0:c>
      <ns0:c r="B1294" s="28" t="str">
        <ns0:f>IF($E1294="","",INDEX('Banka Dökümü'!$B$2:$B$2001,$E1294))</ns0:f>
        <ns0:v/>
      </ns0:c>
      <ns0:c r="C1294" s="33" t="str">
        <ns0:f>IF($E1294="","",INDEX('Banka Dökümü'!$C$2:$C$2001,$E1294))</ns0:f>
        <ns0:v/>
      </ns0:c>
      <ns0:c r="D1294" s="28" t="str">
        <ns0:f>IF(E1294="","","Müşteri adı / aranacak ad / il bilgisini kontrol edin")</ns0:f>
        <ns0:v/>
      </ns0:c>
      <ns0:c r="E1294" s="28" t="str">
        <ns0:f>IFERROR(MATCH(1290,'Banka Dökümü'!$I$2:$I$2001,0),"")</ns0:f>
        <ns0:v/>
      </ns0:c>
    </ns0:row>
    <ns0:row r="1295" ht="21" customHeight="1">
      <ns0:c r="A1295" s="32" t="str">
        <ns0:f>IF($E1295="","",INDEX('Banka Dökümü'!$A$2:$A$2001,$E1295))</ns0:f>
        <ns0:v/>
      </ns0:c>
      <ns0:c r="B1295" s="28" t="str">
        <ns0:f>IF($E1295="","",INDEX('Banka Dökümü'!$B$2:$B$2001,$E1295))</ns0:f>
        <ns0:v/>
      </ns0:c>
      <ns0:c r="C1295" s="33" t="str">
        <ns0:f>IF($E1295="","",INDEX('Banka Dökümü'!$C$2:$C$2001,$E1295))</ns0:f>
        <ns0:v/>
      </ns0:c>
      <ns0:c r="D1295" s="28" t="str">
        <ns0:f>IF(E1295="","","Müşteri adı / aranacak ad / il bilgisini kontrol edin")</ns0:f>
        <ns0:v/>
      </ns0:c>
      <ns0:c r="E1295" s="28" t="str">
        <ns0:f>IFERROR(MATCH(1291,'Banka Dökümü'!$I$2:$I$2001,0),"")</ns0:f>
        <ns0:v/>
      </ns0:c>
    </ns0:row>
    <ns0:row r="1296" ht="21" customHeight="1">
      <ns0:c r="A1296" s="32" t="str">
        <ns0:f>IF($E1296="","",INDEX('Banka Dökümü'!$A$2:$A$2001,$E1296))</ns0:f>
        <ns0:v/>
      </ns0:c>
      <ns0:c r="B1296" s="28" t="str">
        <ns0:f>IF($E1296="","",INDEX('Banka Dökümü'!$B$2:$B$2001,$E1296))</ns0:f>
        <ns0:v/>
      </ns0:c>
      <ns0:c r="C1296" s="33" t="str">
        <ns0:f>IF($E1296="","",INDEX('Banka Dökümü'!$C$2:$C$2001,$E1296))</ns0:f>
        <ns0:v/>
      </ns0:c>
      <ns0:c r="D1296" s="28" t="str">
        <ns0:f>IF(E1296="","","Müşteri adı / aranacak ad / il bilgisini kontrol edin")</ns0:f>
        <ns0:v/>
      </ns0:c>
      <ns0:c r="E1296" s="28" t="str">
        <ns0:f>IFERROR(MATCH(1292,'Banka Dökümü'!$I$2:$I$2001,0),"")</ns0:f>
        <ns0:v/>
      </ns0:c>
    </ns0:row>
    <ns0:row r="1297" ht="21" customHeight="1">
      <ns0:c r="A1297" s="32" t="str">
        <ns0:f>IF($E1297="","",INDEX('Banka Dökümü'!$A$2:$A$2001,$E1297))</ns0:f>
        <ns0:v/>
      </ns0:c>
      <ns0:c r="B1297" s="28" t="str">
        <ns0:f>IF($E1297="","",INDEX('Banka Dökümü'!$B$2:$B$2001,$E1297))</ns0:f>
        <ns0:v/>
      </ns0:c>
      <ns0:c r="C1297" s="33" t="str">
        <ns0:f>IF($E1297="","",INDEX('Banka Dökümü'!$C$2:$C$2001,$E1297))</ns0:f>
        <ns0:v/>
      </ns0:c>
      <ns0:c r="D1297" s="28" t="str">
        <ns0:f>IF(E1297="","","Müşteri adı / aranacak ad / il bilgisini kontrol edin")</ns0:f>
        <ns0:v/>
      </ns0:c>
      <ns0:c r="E1297" s="28" t="str">
        <ns0:f>IFERROR(MATCH(1293,'Banka Dökümü'!$I$2:$I$2001,0),"")</ns0:f>
        <ns0:v/>
      </ns0:c>
    </ns0:row>
    <ns0:row r="1298" ht="21" customHeight="1">
      <ns0:c r="A1298" s="32" t="str">
        <ns0:f>IF($E1298="","",INDEX('Banka Dökümü'!$A$2:$A$2001,$E1298))</ns0:f>
        <ns0:v/>
      </ns0:c>
      <ns0:c r="B1298" s="28" t="str">
        <ns0:f>IF($E1298="","",INDEX('Banka Dökümü'!$B$2:$B$2001,$E1298))</ns0:f>
        <ns0:v/>
      </ns0:c>
      <ns0:c r="C1298" s="33" t="str">
        <ns0:f>IF($E1298="","",INDEX('Banka Dökümü'!$C$2:$C$2001,$E1298))</ns0:f>
        <ns0:v/>
      </ns0:c>
      <ns0:c r="D1298" s="28" t="str">
        <ns0:f>IF(E1298="","","Müşteri adı / aranacak ad / il bilgisini kontrol edin")</ns0:f>
        <ns0:v/>
      </ns0:c>
      <ns0:c r="E1298" s="28" t="str">
        <ns0:f>IFERROR(MATCH(1294,'Banka Dökümü'!$I$2:$I$2001,0),"")</ns0:f>
        <ns0:v/>
      </ns0:c>
    </ns0:row>
    <ns0:row r="1299" ht="21" customHeight="1">
      <ns0:c r="A1299" s="32" t="str">
        <ns0:f>IF($E1299="","",INDEX('Banka Dökümü'!$A$2:$A$2001,$E1299))</ns0:f>
        <ns0:v/>
      </ns0:c>
      <ns0:c r="B1299" s="28" t="str">
        <ns0:f>IF($E1299="","",INDEX('Banka Dökümü'!$B$2:$B$2001,$E1299))</ns0:f>
        <ns0:v/>
      </ns0:c>
      <ns0:c r="C1299" s="33" t="str">
        <ns0:f>IF($E1299="","",INDEX('Banka Dökümü'!$C$2:$C$2001,$E1299))</ns0:f>
        <ns0:v/>
      </ns0:c>
      <ns0:c r="D1299" s="28" t="str">
        <ns0:f>IF(E1299="","","Müşteri adı / aranacak ad / il bilgisini kontrol edin")</ns0:f>
        <ns0:v/>
      </ns0:c>
      <ns0:c r="E1299" s="28" t="str">
        <ns0:f>IFERROR(MATCH(1295,'Banka Dökümü'!$I$2:$I$2001,0),"")</ns0:f>
        <ns0:v/>
      </ns0:c>
    </ns0:row>
    <ns0:row r="1300" ht="21" customHeight="1">
      <ns0:c r="A1300" s="32" t="str">
        <ns0:f>IF($E1300="","",INDEX('Banka Dökümü'!$A$2:$A$2001,$E1300))</ns0:f>
        <ns0:v/>
      </ns0:c>
      <ns0:c r="B1300" s="28" t="str">
        <ns0:f>IF($E1300="","",INDEX('Banka Dökümü'!$B$2:$B$2001,$E1300))</ns0:f>
        <ns0:v/>
      </ns0:c>
      <ns0:c r="C1300" s="33" t="str">
        <ns0:f>IF($E1300="","",INDEX('Banka Dökümü'!$C$2:$C$2001,$E1300))</ns0:f>
        <ns0:v/>
      </ns0:c>
      <ns0:c r="D1300" s="28" t="str">
        <ns0:f>IF(E1300="","","Müşteri adı / aranacak ad / il bilgisini kontrol edin")</ns0:f>
        <ns0:v/>
      </ns0:c>
      <ns0:c r="E1300" s="28" t="str">
        <ns0:f>IFERROR(MATCH(1296,'Banka Dökümü'!$I$2:$I$2001,0),"")</ns0:f>
        <ns0:v/>
      </ns0:c>
    </ns0:row>
    <ns0:row r="1301" ht="21" customHeight="1">
      <ns0:c r="A1301" s="32" t="str">
        <ns0:f>IF($E1301="","",INDEX('Banka Dökümü'!$A$2:$A$2001,$E1301))</ns0:f>
        <ns0:v/>
      </ns0:c>
      <ns0:c r="B1301" s="28" t="str">
        <ns0:f>IF($E1301="","",INDEX('Banka Dökümü'!$B$2:$B$2001,$E1301))</ns0:f>
        <ns0:v/>
      </ns0:c>
      <ns0:c r="C1301" s="33" t="str">
        <ns0:f>IF($E1301="","",INDEX('Banka Dökümü'!$C$2:$C$2001,$E1301))</ns0:f>
        <ns0:v/>
      </ns0:c>
      <ns0:c r="D1301" s="28" t="str">
        <ns0:f>IF(E1301="","","Müşteri adı / aranacak ad / il bilgisini kontrol edin")</ns0:f>
        <ns0:v/>
      </ns0:c>
      <ns0:c r="E1301" s="28" t="str">
        <ns0:f>IFERROR(MATCH(1297,'Banka Dökümü'!$I$2:$I$2001,0),"")</ns0:f>
        <ns0:v/>
      </ns0:c>
    </ns0:row>
    <ns0:row r="1302" ht="21" customHeight="1">
      <ns0:c r="A1302" s="32" t="str">
        <ns0:f>IF($E1302="","",INDEX('Banka Dökümü'!$A$2:$A$2001,$E1302))</ns0:f>
        <ns0:v/>
      </ns0:c>
      <ns0:c r="B1302" s="28" t="str">
        <ns0:f>IF($E1302="","",INDEX('Banka Dökümü'!$B$2:$B$2001,$E1302))</ns0:f>
        <ns0:v/>
      </ns0:c>
      <ns0:c r="C1302" s="33" t="str">
        <ns0:f>IF($E1302="","",INDEX('Banka Dökümü'!$C$2:$C$2001,$E1302))</ns0:f>
        <ns0:v/>
      </ns0:c>
      <ns0:c r="D1302" s="28" t="str">
        <ns0:f>IF(E1302="","","Müşteri adı / aranacak ad / il bilgisini kontrol edin")</ns0:f>
        <ns0:v/>
      </ns0:c>
      <ns0:c r="E1302" s="28" t="str">
        <ns0:f>IFERROR(MATCH(1298,'Banka Dökümü'!$I$2:$I$2001,0),"")</ns0:f>
        <ns0:v/>
      </ns0:c>
    </ns0:row>
    <ns0:row r="1303" ht="21" customHeight="1">
      <ns0:c r="A1303" s="32" t="str">
        <ns0:f>IF($E1303="","",INDEX('Banka Dökümü'!$A$2:$A$2001,$E1303))</ns0:f>
        <ns0:v/>
      </ns0:c>
      <ns0:c r="B1303" s="28" t="str">
        <ns0:f>IF($E1303="","",INDEX('Banka Dökümü'!$B$2:$B$2001,$E1303))</ns0:f>
        <ns0:v/>
      </ns0:c>
      <ns0:c r="C1303" s="33" t="str">
        <ns0:f>IF($E1303="","",INDEX('Banka Dökümü'!$C$2:$C$2001,$E1303))</ns0:f>
        <ns0:v/>
      </ns0:c>
      <ns0:c r="D1303" s="28" t="str">
        <ns0:f>IF(E1303="","","Müşteri adı / aranacak ad / il bilgisini kontrol edin")</ns0:f>
        <ns0:v/>
      </ns0:c>
      <ns0:c r="E1303" s="28" t="str">
        <ns0:f>IFERROR(MATCH(1299,'Banka Dökümü'!$I$2:$I$2001,0),"")</ns0:f>
        <ns0:v/>
      </ns0:c>
    </ns0:row>
    <ns0:row r="1304" ht="21" customHeight="1">
      <ns0:c r="A1304" s="32" t="str">
        <ns0:f>IF($E1304="","",INDEX('Banka Dökümü'!$A$2:$A$2001,$E1304))</ns0:f>
        <ns0:v/>
      </ns0:c>
      <ns0:c r="B1304" s="28" t="str">
        <ns0:f>IF($E1304="","",INDEX('Banka Dökümü'!$B$2:$B$2001,$E1304))</ns0:f>
        <ns0:v/>
      </ns0:c>
      <ns0:c r="C1304" s="33" t="str">
        <ns0:f>IF($E1304="","",INDEX('Banka Dökümü'!$C$2:$C$2001,$E1304))</ns0:f>
        <ns0:v/>
      </ns0:c>
      <ns0:c r="D1304" s="28" t="str">
        <ns0:f>IF(E1304="","","Müşteri adı / aranacak ad / il bilgisini kontrol edin")</ns0:f>
        <ns0:v/>
      </ns0:c>
      <ns0:c r="E1304" s="28" t="str">
        <ns0:f>IFERROR(MATCH(1300,'Banka Dökümü'!$I$2:$I$2001,0),"")</ns0:f>
        <ns0:v/>
      </ns0:c>
    </ns0:row>
    <ns0:row r="1305" ht="21" customHeight="1">
      <ns0:c r="A1305" s="32" t="str">
        <ns0:f>IF($E1305="","",INDEX('Banka Dökümü'!$A$2:$A$2001,$E1305))</ns0:f>
        <ns0:v/>
      </ns0:c>
      <ns0:c r="B1305" s="28" t="str">
        <ns0:f>IF($E1305="","",INDEX('Banka Dökümü'!$B$2:$B$2001,$E1305))</ns0:f>
        <ns0:v/>
      </ns0:c>
      <ns0:c r="C1305" s="33" t="str">
        <ns0:f>IF($E1305="","",INDEX('Banka Dökümü'!$C$2:$C$2001,$E1305))</ns0:f>
        <ns0:v/>
      </ns0:c>
      <ns0:c r="D1305" s="28" t="str">
        <ns0:f>IF(E1305="","","Müşteri adı / aranacak ad / il bilgisini kontrol edin")</ns0:f>
        <ns0:v/>
      </ns0:c>
      <ns0:c r="E1305" s="28" t="str">
        <ns0:f>IFERROR(MATCH(1301,'Banka Dökümü'!$I$2:$I$2001,0),"")</ns0:f>
        <ns0:v/>
      </ns0:c>
    </ns0:row>
    <ns0:row r="1306" ht="21" customHeight="1">
      <ns0:c r="A1306" s="32" t="str">
        <ns0:f>IF($E1306="","",INDEX('Banka Dökümü'!$A$2:$A$2001,$E1306))</ns0:f>
        <ns0:v/>
      </ns0:c>
      <ns0:c r="B1306" s="28" t="str">
        <ns0:f>IF($E1306="","",INDEX('Banka Dökümü'!$B$2:$B$2001,$E1306))</ns0:f>
        <ns0:v/>
      </ns0:c>
      <ns0:c r="C1306" s="33" t="str">
        <ns0:f>IF($E1306="","",INDEX('Banka Dökümü'!$C$2:$C$2001,$E1306))</ns0:f>
        <ns0:v/>
      </ns0:c>
      <ns0:c r="D1306" s="28" t="str">
        <ns0:f>IF(E1306="","","Müşteri adı / aranacak ad / il bilgisini kontrol edin")</ns0:f>
        <ns0:v/>
      </ns0:c>
      <ns0:c r="E1306" s="28" t="str">
        <ns0:f>IFERROR(MATCH(1302,'Banka Dökümü'!$I$2:$I$2001,0),"")</ns0:f>
        <ns0:v/>
      </ns0:c>
    </ns0:row>
    <ns0:row r="1307" ht="21" customHeight="1">
      <ns0:c r="A1307" s="32" t="str">
        <ns0:f>IF($E1307="","",INDEX('Banka Dökümü'!$A$2:$A$2001,$E1307))</ns0:f>
        <ns0:v/>
      </ns0:c>
      <ns0:c r="B1307" s="28" t="str">
        <ns0:f>IF($E1307="","",INDEX('Banka Dökümü'!$B$2:$B$2001,$E1307))</ns0:f>
        <ns0:v/>
      </ns0:c>
      <ns0:c r="C1307" s="33" t="str">
        <ns0:f>IF($E1307="","",INDEX('Banka Dökümü'!$C$2:$C$2001,$E1307))</ns0:f>
        <ns0:v/>
      </ns0:c>
      <ns0:c r="D1307" s="28" t="str">
        <ns0:f>IF(E1307="","","Müşteri adı / aranacak ad / il bilgisini kontrol edin")</ns0:f>
        <ns0:v/>
      </ns0:c>
      <ns0:c r="E1307" s="28" t="str">
        <ns0:f>IFERROR(MATCH(1303,'Banka Dökümü'!$I$2:$I$2001,0),"")</ns0:f>
        <ns0:v/>
      </ns0:c>
    </ns0:row>
    <ns0:row r="1308" ht="21" customHeight="1">
      <ns0:c r="A1308" s="32" t="str">
        <ns0:f>IF($E1308="","",INDEX('Banka Dökümü'!$A$2:$A$2001,$E1308))</ns0:f>
        <ns0:v/>
      </ns0:c>
      <ns0:c r="B1308" s="28" t="str">
        <ns0:f>IF($E1308="","",INDEX('Banka Dökümü'!$B$2:$B$2001,$E1308))</ns0:f>
        <ns0:v/>
      </ns0:c>
      <ns0:c r="C1308" s="33" t="str">
        <ns0:f>IF($E1308="","",INDEX('Banka Dökümü'!$C$2:$C$2001,$E1308))</ns0:f>
        <ns0:v/>
      </ns0:c>
      <ns0:c r="D1308" s="28" t="str">
        <ns0:f>IF(E1308="","","Müşteri adı / aranacak ad / il bilgisini kontrol edin")</ns0:f>
        <ns0:v/>
      </ns0:c>
      <ns0:c r="E1308" s="28" t="str">
        <ns0:f>IFERROR(MATCH(1304,'Banka Dökümü'!$I$2:$I$2001,0),"")</ns0:f>
        <ns0:v/>
      </ns0:c>
    </ns0:row>
    <ns0:row r="1309" ht="21" customHeight="1">
      <ns0:c r="A1309" s="32" t="str">
        <ns0:f>IF($E1309="","",INDEX('Banka Dökümü'!$A$2:$A$2001,$E1309))</ns0:f>
        <ns0:v/>
      </ns0:c>
      <ns0:c r="B1309" s="28" t="str">
        <ns0:f>IF($E1309="","",INDEX('Banka Dökümü'!$B$2:$B$2001,$E1309))</ns0:f>
        <ns0:v/>
      </ns0:c>
      <ns0:c r="C1309" s="33" t="str">
        <ns0:f>IF($E1309="","",INDEX('Banka Dökümü'!$C$2:$C$2001,$E1309))</ns0:f>
        <ns0:v/>
      </ns0:c>
      <ns0:c r="D1309" s="28" t="str">
        <ns0:f>IF(E1309="","","Müşteri adı / aranacak ad / il bilgisini kontrol edin")</ns0:f>
        <ns0:v/>
      </ns0:c>
      <ns0:c r="E1309" s="28" t="str">
        <ns0:f>IFERROR(MATCH(1305,'Banka Dökümü'!$I$2:$I$2001,0),"")</ns0:f>
        <ns0:v/>
      </ns0:c>
    </ns0:row>
    <ns0:row r="1310" ht="21" customHeight="1">
      <ns0:c r="A1310" s="32" t="str">
        <ns0:f>IF($E1310="","",INDEX('Banka Dökümü'!$A$2:$A$2001,$E1310))</ns0:f>
        <ns0:v/>
      </ns0:c>
      <ns0:c r="B1310" s="28" t="str">
        <ns0:f>IF($E1310="","",INDEX('Banka Dökümü'!$B$2:$B$2001,$E1310))</ns0:f>
        <ns0:v/>
      </ns0:c>
      <ns0:c r="C1310" s="33" t="str">
        <ns0:f>IF($E1310="","",INDEX('Banka Dökümü'!$C$2:$C$2001,$E1310))</ns0:f>
        <ns0:v/>
      </ns0:c>
      <ns0:c r="D1310" s="28" t="str">
        <ns0:f>IF(E1310="","","Müşteri adı / aranacak ad / il bilgisini kontrol edin")</ns0:f>
        <ns0:v/>
      </ns0:c>
      <ns0:c r="E1310" s="28" t="str">
        <ns0:f>IFERROR(MATCH(1306,'Banka Dökümü'!$I$2:$I$2001,0),"")</ns0:f>
        <ns0:v/>
      </ns0:c>
    </ns0:row>
    <ns0:row r="1311" ht="21" customHeight="1">
      <ns0:c r="A1311" s="32" t="str">
        <ns0:f>IF($E1311="","",INDEX('Banka Dökümü'!$A$2:$A$2001,$E1311))</ns0:f>
        <ns0:v/>
      </ns0:c>
      <ns0:c r="B1311" s="28" t="str">
        <ns0:f>IF($E1311="","",INDEX('Banka Dökümü'!$B$2:$B$2001,$E1311))</ns0:f>
        <ns0:v/>
      </ns0:c>
      <ns0:c r="C1311" s="33" t="str">
        <ns0:f>IF($E1311="","",INDEX('Banka Dökümü'!$C$2:$C$2001,$E1311))</ns0:f>
        <ns0:v/>
      </ns0:c>
      <ns0:c r="D1311" s="28" t="str">
        <ns0:f>IF(E1311="","","Müşteri adı / aranacak ad / il bilgisini kontrol edin")</ns0:f>
        <ns0:v/>
      </ns0:c>
      <ns0:c r="E1311" s="28" t="str">
        <ns0:f>IFERROR(MATCH(1307,'Banka Dökümü'!$I$2:$I$2001,0),"")</ns0:f>
        <ns0:v/>
      </ns0:c>
    </ns0:row>
    <ns0:row r="1312" ht="21" customHeight="1">
      <ns0:c r="A1312" s="32" t="str">
        <ns0:f>IF($E1312="","",INDEX('Banka Dökümü'!$A$2:$A$2001,$E1312))</ns0:f>
        <ns0:v/>
      </ns0:c>
      <ns0:c r="B1312" s="28" t="str">
        <ns0:f>IF($E1312="","",INDEX('Banka Dökümü'!$B$2:$B$2001,$E1312))</ns0:f>
        <ns0:v/>
      </ns0:c>
      <ns0:c r="C1312" s="33" t="str">
        <ns0:f>IF($E1312="","",INDEX('Banka Dökümü'!$C$2:$C$2001,$E1312))</ns0:f>
        <ns0:v/>
      </ns0:c>
      <ns0:c r="D1312" s="28" t="str">
        <ns0:f>IF(E1312="","","Müşteri adı / aranacak ad / il bilgisini kontrol edin")</ns0:f>
        <ns0:v/>
      </ns0:c>
      <ns0:c r="E1312" s="28" t="str">
        <ns0:f>IFERROR(MATCH(1308,'Banka Dökümü'!$I$2:$I$2001,0),"")</ns0:f>
        <ns0:v/>
      </ns0:c>
    </ns0:row>
    <ns0:row r="1313" ht="21" customHeight="1">
      <ns0:c r="A1313" s="32" t="str">
        <ns0:f>IF($E1313="","",INDEX('Banka Dökümü'!$A$2:$A$2001,$E1313))</ns0:f>
        <ns0:v/>
      </ns0:c>
      <ns0:c r="B1313" s="28" t="str">
        <ns0:f>IF($E1313="","",INDEX('Banka Dökümü'!$B$2:$B$2001,$E1313))</ns0:f>
        <ns0:v/>
      </ns0:c>
      <ns0:c r="C1313" s="33" t="str">
        <ns0:f>IF($E1313="","",INDEX('Banka Dökümü'!$C$2:$C$2001,$E1313))</ns0:f>
        <ns0:v/>
      </ns0:c>
      <ns0:c r="D1313" s="28" t="str">
        <ns0:f>IF(E1313="","","Müşteri adı / aranacak ad / il bilgisini kontrol edin")</ns0:f>
        <ns0:v/>
      </ns0:c>
      <ns0:c r="E1313" s="28" t="str">
        <ns0:f>IFERROR(MATCH(1309,'Banka Dökümü'!$I$2:$I$2001,0),"")</ns0:f>
        <ns0:v/>
      </ns0:c>
    </ns0:row>
    <ns0:row r="1314" ht="21" customHeight="1">
      <ns0:c r="A1314" s="32" t="str">
        <ns0:f>IF($E1314="","",INDEX('Banka Dökümü'!$A$2:$A$2001,$E1314))</ns0:f>
        <ns0:v/>
      </ns0:c>
      <ns0:c r="B1314" s="28" t="str">
        <ns0:f>IF($E1314="","",INDEX('Banka Dökümü'!$B$2:$B$2001,$E1314))</ns0:f>
        <ns0:v/>
      </ns0:c>
      <ns0:c r="C1314" s="33" t="str">
        <ns0:f>IF($E1314="","",INDEX('Banka Dökümü'!$C$2:$C$2001,$E1314))</ns0:f>
        <ns0:v/>
      </ns0:c>
      <ns0:c r="D1314" s="28" t="str">
        <ns0:f>IF(E1314="","","Müşteri adı / aranacak ad / il bilgisini kontrol edin")</ns0:f>
        <ns0:v/>
      </ns0:c>
      <ns0:c r="E1314" s="28" t="str">
        <ns0:f>IFERROR(MATCH(1310,'Banka Dökümü'!$I$2:$I$2001,0),"")</ns0:f>
        <ns0:v/>
      </ns0:c>
    </ns0:row>
    <ns0:row r="1315" ht="21" customHeight="1">
      <ns0:c r="A1315" s="32" t="str">
        <ns0:f>IF($E1315="","",INDEX('Banka Dökümü'!$A$2:$A$2001,$E1315))</ns0:f>
        <ns0:v/>
      </ns0:c>
      <ns0:c r="B1315" s="28" t="str">
        <ns0:f>IF($E1315="","",INDEX('Banka Dökümü'!$B$2:$B$2001,$E1315))</ns0:f>
        <ns0:v/>
      </ns0:c>
      <ns0:c r="C1315" s="33" t="str">
        <ns0:f>IF($E1315="","",INDEX('Banka Dökümü'!$C$2:$C$2001,$E1315))</ns0:f>
        <ns0:v/>
      </ns0:c>
      <ns0:c r="D1315" s="28" t="str">
        <ns0:f>IF(E1315="","","Müşteri adı / aranacak ad / il bilgisini kontrol edin")</ns0:f>
        <ns0:v/>
      </ns0:c>
      <ns0:c r="E1315" s="28" t="str">
        <ns0:f>IFERROR(MATCH(1311,'Banka Dökümü'!$I$2:$I$2001,0),"")</ns0:f>
        <ns0:v/>
      </ns0:c>
    </ns0:row>
    <ns0:row r="1316" ht="21" customHeight="1">
      <ns0:c r="A1316" s="32" t="str">
        <ns0:f>IF($E1316="","",INDEX('Banka Dökümü'!$A$2:$A$2001,$E1316))</ns0:f>
        <ns0:v/>
      </ns0:c>
      <ns0:c r="B1316" s="28" t="str">
        <ns0:f>IF($E1316="","",INDEX('Banka Dökümü'!$B$2:$B$2001,$E1316))</ns0:f>
        <ns0:v/>
      </ns0:c>
      <ns0:c r="C1316" s="33" t="str">
        <ns0:f>IF($E1316="","",INDEX('Banka Dökümü'!$C$2:$C$2001,$E1316))</ns0:f>
        <ns0:v/>
      </ns0:c>
      <ns0:c r="D1316" s="28" t="str">
        <ns0:f>IF(E1316="","","Müşteri adı / aranacak ad / il bilgisini kontrol edin")</ns0:f>
        <ns0:v/>
      </ns0:c>
      <ns0:c r="E1316" s="28" t="str">
        <ns0:f>IFERROR(MATCH(1312,'Banka Dökümü'!$I$2:$I$2001,0),"")</ns0:f>
        <ns0:v/>
      </ns0:c>
    </ns0:row>
    <ns0:row r="1317" ht="21" customHeight="1">
      <ns0:c r="A1317" s="32" t="str">
        <ns0:f>IF($E1317="","",INDEX('Banka Dökümü'!$A$2:$A$2001,$E1317))</ns0:f>
        <ns0:v/>
      </ns0:c>
      <ns0:c r="B1317" s="28" t="str">
        <ns0:f>IF($E1317="","",INDEX('Banka Dökümü'!$B$2:$B$2001,$E1317))</ns0:f>
        <ns0:v/>
      </ns0:c>
      <ns0:c r="C1317" s="33" t="str">
        <ns0:f>IF($E1317="","",INDEX('Banka Dökümü'!$C$2:$C$2001,$E1317))</ns0:f>
        <ns0:v/>
      </ns0:c>
      <ns0:c r="D1317" s="28" t="str">
        <ns0:f>IF(E1317="","","Müşteri adı / aranacak ad / il bilgisini kontrol edin")</ns0:f>
        <ns0:v/>
      </ns0:c>
      <ns0:c r="E1317" s="28" t="str">
        <ns0:f>IFERROR(MATCH(1313,'Banka Dökümü'!$I$2:$I$2001,0),"")</ns0:f>
        <ns0:v/>
      </ns0:c>
    </ns0:row>
    <ns0:row r="1318" ht="21" customHeight="1">
      <ns0:c r="A1318" s="32" t="str">
        <ns0:f>IF($E1318="","",INDEX('Banka Dökümü'!$A$2:$A$2001,$E1318))</ns0:f>
        <ns0:v/>
      </ns0:c>
      <ns0:c r="B1318" s="28" t="str">
        <ns0:f>IF($E1318="","",INDEX('Banka Dökümü'!$B$2:$B$2001,$E1318))</ns0:f>
        <ns0:v/>
      </ns0:c>
      <ns0:c r="C1318" s="33" t="str">
        <ns0:f>IF($E1318="","",INDEX('Banka Dökümü'!$C$2:$C$2001,$E1318))</ns0:f>
        <ns0:v/>
      </ns0:c>
      <ns0:c r="D1318" s="28" t="str">
        <ns0:f>IF(E1318="","","Müşteri adı / aranacak ad / il bilgisini kontrol edin")</ns0:f>
        <ns0:v/>
      </ns0:c>
      <ns0:c r="E1318" s="28" t="str">
        <ns0:f>IFERROR(MATCH(1314,'Banka Dökümü'!$I$2:$I$2001,0),"")</ns0:f>
        <ns0:v/>
      </ns0:c>
    </ns0:row>
    <ns0:row r="1319" ht="21" customHeight="1">
      <ns0:c r="A1319" s="32" t="str">
        <ns0:f>IF($E1319="","",INDEX('Banka Dökümü'!$A$2:$A$2001,$E1319))</ns0:f>
        <ns0:v/>
      </ns0:c>
      <ns0:c r="B1319" s="28" t="str">
        <ns0:f>IF($E1319="","",INDEX('Banka Dökümü'!$B$2:$B$2001,$E1319))</ns0:f>
        <ns0:v/>
      </ns0:c>
      <ns0:c r="C1319" s="33" t="str">
        <ns0:f>IF($E1319="","",INDEX('Banka Dökümü'!$C$2:$C$2001,$E1319))</ns0:f>
        <ns0:v/>
      </ns0:c>
      <ns0:c r="D1319" s="28" t="str">
        <ns0:f>IF(E1319="","","Müşteri adı / aranacak ad / il bilgisini kontrol edin")</ns0:f>
        <ns0:v/>
      </ns0:c>
      <ns0:c r="E1319" s="28" t="str">
        <ns0:f>IFERROR(MATCH(1315,'Banka Dökümü'!$I$2:$I$2001,0),"")</ns0:f>
        <ns0:v/>
      </ns0:c>
    </ns0:row>
    <ns0:row r="1320" ht="21" customHeight="1">
      <ns0:c r="A1320" s="32" t="str">
        <ns0:f>IF($E1320="","",INDEX('Banka Dökümü'!$A$2:$A$2001,$E1320))</ns0:f>
        <ns0:v/>
      </ns0:c>
      <ns0:c r="B1320" s="28" t="str">
        <ns0:f>IF($E1320="","",INDEX('Banka Dökümü'!$B$2:$B$2001,$E1320))</ns0:f>
        <ns0:v/>
      </ns0:c>
      <ns0:c r="C1320" s="33" t="str">
        <ns0:f>IF($E1320="","",INDEX('Banka Dökümü'!$C$2:$C$2001,$E1320))</ns0:f>
        <ns0:v/>
      </ns0:c>
      <ns0:c r="D1320" s="28" t="str">
        <ns0:f>IF(E1320="","","Müşteri adı / aranacak ad / il bilgisini kontrol edin")</ns0:f>
        <ns0:v/>
      </ns0:c>
      <ns0:c r="E1320" s="28" t="str">
        <ns0:f>IFERROR(MATCH(1316,'Banka Dökümü'!$I$2:$I$2001,0),"")</ns0:f>
        <ns0:v/>
      </ns0:c>
    </ns0:row>
    <ns0:row r="1321" ht="21" customHeight="1">
      <ns0:c r="A1321" s="32" t="str">
        <ns0:f>IF($E1321="","",INDEX('Banka Dökümü'!$A$2:$A$2001,$E1321))</ns0:f>
        <ns0:v/>
      </ns0:c>
      <ns0:c r="B1321" s="28" t="str">
        <ns0:f>IF($E1321="","",INDEX('Banka Dökümü'!$B$2:$B$2001,$E1321))</ns0:f>
        <ns0:v/>
      </ns0:c>
      <ns0:c r="C1321" s="33" t="str">
        <ns0:f>IF($E1321="","",INDEX('Banka Dökümü'!$C$2:$C$2001,$E1321))</ns0:f>
        <ns0:v/>
      </ns0:c>
      <ns0:c r="D1321" s="28" t="str">
        <ns0:f>IF(E1321="","","Müşteri adı / aranacak ad / il bilgisini kontrol edin")</ns0:f>
        <ns0:v/>
      </ns0:c>
      <ns0:c r="E1321" s="28" t="str">
        <ns0:f>IFERROR(MATCH(1317,'Banka Dökümü'!$I$2:$I$2001,0),"")</ns0:f>
        <ns0:v/>
      </ns0:c>
    </ns0:row>
    <ns0:row r="1322" ht="21" customHeight="1">
      <ns0:c r="A1322" s="32" t="str">
        <ns0:f>IF($E1322="","",INDEX('Banka Dökümü'!$A$2:$A$2001,$E1322))</ns0:f>
        <ns0:v/>
      </ns0:c>
      <ns0:c r="B1322" s="28" t="str">
        <ns0:f>IF($E1322="","",INDEX('Banka Dökümü'!$B$2:$B$2001,$E1322))</ns0:f>
        <ns0:v/>
      </ns0:c>
      <ns0:c r="C1322" s="33" t="str">
        <ns0:f>IF($E1322="","",INDEX('Banka Dökümü'!$C$2:$C$2001,$E1322))</ns0:f>
        <ns0:v/>
      </ns0:c>
      <ns0:c r="D1322" s="28" t="str">
        <ns0:f>IF(E1322="","","Müşteri adı / aranacak ad / il bilgisini kontrol edin")</ns0:f>
        <ns0:v/>
      </ns0:c>
      <ns0:c r="E1322" s="28" t="str">
        <ns0:f>IFERROR(MATCH(1318,'Banka Dökümü'!$I$2:$I$2001,0),"")</ns0:f>
        <ns0:v/>
      </ns0:c>
    </ns0:row>
    <ns0:row r="1323" ht="21" customHeight="1">
      <ns0:c r="A1323" s="32" t="str">
        <ns0:f>IF($E1323="","",INDEX('Banka Dökümü'!$A$2:$A$2001,$E1323))</ns0:f>
        <ns0:v/>
      </ns0:c>
      <ns0:c r="B1323" s="28" t="str">
        <ns0:f>IF($E1323="","",INDEX('Banka Dökümü'!$B$2:$B$2001,$E1323))</ns0:f>
        <ns0:v/>
      </ns0:c>
      <ns0:c r="C1323" s="33" t="str">
        <ns0:f>IF($E1323="","",INDEX('Banka Dökümü'!$C$2:$C$2001,$E1323))</ns0:f>
        <ns0:v/>
      </ns0:c>
      <ns0:c r="D1323" s="28" t="str">
        <ns0:f>IF(E1323="","","Müşteri adı / aranacak ad / il bilgisini kontrol edin")</ns0:f>
        <ns0:v/>
      </ns0:c>
      <ns0:c r="E1323" s="28" t="str">
        <ns0:f>IFERROR(MATCH(1319,'Banka Dökümü'!$I$2:$I$2001,0),"")</ns0:f>
        <ns0:v/>
      </ns0:c>
    </ns0:row>
    <ns0:row r="1324" ht="21" customHeight="1">
      <ns0:c r="A1324" s="32" t="str">
        <ns0:f>IF($E1324="","",INDEX('Banka Dökümü'!$A$2:$A$2001,$E1324))</ns0:f>
        <ns0:v/>
      </ns0:c>
      <ns0:c r="B1324" s="28" t="str">
        <ns0:f>IF($E1324="","",INDEX('Banka Dökümü'!$B$2:$B$2001,$E1324))</ns0:f>
        <ns0:v/>
      </ns0:c>
      <ns0:c r="C1324" s="33" t="str">
        <ns0:f>IF($E1324="","",INDEX('Banka Dökümü'!$C$2:$C$2001,$E1324))</ns0:f>
        <ns0:v/>
      </ns0:c>
      <ns0:c r="D1324" s="28" t="str">
        <ns0:f>IF(E1324="","","Müşteri adı / aranacak ad / il bilgisini kontrol edin")</ns0:f>
        <ns0:v/>
      </ns0:c>
      <ns0:c r="E1324" s="28" t="str">
        <ns0:f>IFERROR(MATCH(1320,'Banka Dökümü'!$I$2:$I$2001,0),"")</ns0:f>
        <ns0:v/>
      </ns0:c>
    </ns0:row>
    <ns0:row r="1325" ht="21" customHeight="1">
      <ns0:c r="A1325" s="32" t="str">
        <ns0:f>IF($E1325="","",INDEX('Banka Dökümü'!$A$2:$A$2001,$E1325))</ns0:f>
        <ns0:v/>
      </ns0:c>
      <ns0:c r="B1325" s="28" t="str">
        <ns0:f>IF($E1325="","",INDEX('Banka Dökümü'!$B$2:$B$2001,$E1325))</ns0:f>
        <ns0:v/>
      </ns0:c>
      <ns0:c r="C1325" s="33" t="str">
        <ns0:f>IF($E1325="","",INDEX('Banka Dökümü'!$C$2:$C$2001,$E1325))</ns0:f>
        <ns0:v/>
      </ns0:c>
      <ns0:c r="D1325" s="28" t="str">
        <ns0:f>IF(E1325="","","Müşteri adı / aranacak ad / il bilgisini kontrol edin")</ns0:f>
        <ns0:v/>
      </ns0:c>
      <ns0:c r="E1325" s="28" t="str">
        <ns0:f>IFERROR(MATCH(1321,'Banka Dökümü'!$I$2:$I$2001,0),"")</ns0:f>
        <ns0:v/>
      </ns0:c>
    </ns0:row>
    <ns0:row r="1326" ht="21" customHeight="1">
      <ns0:c r="A1326" s="32" t="str">
        <ns0:f>IF($E1326="","",INDEX('Banka Dökümü'!$A$2:$A$2001,$E1326))</ns0:f>
        <ns0:v/>
      </ns0:c>
      <ns0:c r="B1326" s="28" t="str">
        <ns0:f>IF($E1326="","",INDEX('Banka Dökümü'!$B$2:$B$2001,$E1326))</ns0:f>
        <ns0:v/>
      </ns0:c>
      <ns0:c r="C1326" s="33" t="str">
        <ns0:f>IF($E1326="","",INDEX('Banka Dökümü'!$C$2:$C$2001,$E1326))</ns0:f>
        <ns0:v/>
      </ns0:c>
      <ns0:c r="D1326" s="28" t="str">
        <ns0:f>IF(E1326="","","Müşteri adı / aranacak ad / il bilgisini kontrol edin")</ns0:f>
        <ns0:v/>
      </ns0:c>
      <ns0:c r="E1326" s="28" t="str">
        <ns0:f>IFERROR(MATCH(1322,'Banka Dökümü'!$I$2:$I$2001,0),"")</ns0:f>
        <ns0:v/>
      </ns0:c>
    </ns0:row>
    <ns0:row r="1327" ht="21" customHeight="1">
      <ns0:c r="A1327" s="32" t="str">
        <ns0:f>IF($E1327="","",INDEX('Banka Dökümü'!$A$2:$A$2001,$E1327))</ns0:f>
        <ns0:v/>
      </ns0:c>
      <ns0:c r="B1327" s="28" t="str">
        <ns0:f>IF($E1327="","",INDEX('Banka Dökümü'!$B$2:$B$2001,$E1327))</ns0:f>
        <ns0:v/>
      </ns0:c>
      <ns0:c r="C1327" s="33" t="str">
        <ns0:f>IF($E1327="","",INDEX('Banka Dökümü'!$C$2:$C$2001,$E1327))</ns0:f>
        <ns0:v/>
      </ns0:c>
      <ns0:c r="D1327" s="28" t="str">
        <ns0:f>IF(E1327="","","Müşteri adı / aranacak ad / il bilgisini kontrol edin")</ns0:f>
        <ns0:v/>
      </ns0:c>
      <ns0:c r="E1327" s="28" t="str">
        <ns0:f>IFERROR(MATCH(1323,'Banka Dökümü'!$I$2:$I$2001,0),"")</ns0:f>
        <ns0:v/>
      </ns0:c>
    </ns0:row>
    <ns0:row r="1328" ht="21" customHeight="1">
      <ns0:c r="A1328" s="32" t="str">
        <ns0:f>IF($E1328="","",INDEX('Banka Dökümü'!$A$2:$A$2001,$E1328))</ns0:f>
        <ns0:v/>
      </ns0:c>
      <ns0:c r="B1328" s="28" t="str">
        <ns0:f>IF($E1328="","",INDEX('Banka Dökümü'!$B$2:$B$2001,$E1328))</ns0:f>
        <ns0:v/>
      </ns0:c>
      <ns0:c r="C1328" s="33" t="str">
        <ns0:f>IF($E1328="","",INDEX('Banka Dökümü'!$C$2:$C$2001,$E1328))</ns0:f>
        <ns0:v/>
      </ns0:c>
      <ns0:c r="D1328" s="28" t="str">
        <ns0:f>IF(E1328="","","Müşteri adı / aranacak ad / il bilgisini kontrol edin")</ns0:f>
        <ns0:v/>
      </ns0:c>
      <ns0:c r="E1328" s="28" t="str">
        <ns0:f>IFERROR(MATCH(1324,'Banka Dökümü'!$I$2:$I$2001,0),"")</ns0:f>
        <ns0:v/>
      </ns0:c>
    </ns0:row>
    <ns0:row r="1329" ht="21" customHeight="1">
      <ns0:c r="A1329" s="32" t="str">
        <ns0:f>IF($E1329="","",INDEX('Banka Dökümü'!$A$2:$A$2001,$E1329))</ns0:f>
        <ns0:v/>
      </ns0:c>
      <ns0:c r="B1329" s="28" t="str">
        <ns0:f>IF($E1329="","",INDEX('Banka Dökümü'!$B$2:$B$2001,$E1329))</ns0:f>
        <ns0:v/>
      </ns0:c>
      <ns0:c r="C1329" s="33" t="str">
        <ns0:f>IF($E1329="","",INDEX('Banka Dökümü'!$C$2:$C$2001,$E1329))</ns0:f>
        <ns0:v/>
      </ns0:c>
      <ns0:c r="D1329" s="28" t="str">
        <ns0:f>IF(E1329="","","Müşteri adı / aranacak ad / il bilgisini kontrol edin")</ns0:f>
        <ns0:v/>
      </ns0:c>
      <ns0:c r="E1329" s="28" t="str">
        <ns0:f>IFERROR(MATCH(1325,'Banka Dökümü'!$I$2:$I$2001,0),"")</ns0:f>
        <ns0:v/>
      </ns0:c>
    </ns0:row>
    <ns0:row r="1330" ht="21" customHeight="1">
      <ns0:c r="A1330" s="32" t="str">
        <ns0:f>IF($E1330="","",INDEX('Banka Dökümü'!$A$2:$A$2001,$E1330))</ns0:f>
        <ns0:v/>
      </ns0:c>
      <ns0:c r="B1330" s="28" t="str">
        <ns0:f>IF($E1330="","",INDEX('Banka Dökümü'!$B$2:$B$2001,$E1330))</ns0:f>
        <ns0:v/>
      </ns0:c>
      <ns0:c r="C1330" s="33" t="str">
        <ns0:f>IF($E1330="","",INDEX('Banka Dökümü'!$C$2:$C$2001,$E1330))</ns0:f>
        <ns0:v/>
      </ns0:c>
      <ns0:c r="D1330" s="28" t="str">
        <ns0:f>IF(E1330="","","Müşteri adı / aranacak ad / il bilgisini kontrol edin")</ns0:f>
        <ns0:v/>
      </ns0:c>
      <ns0:c r="E1330" s="28" t="str">
        <ns0:f>IFERROR(MATCH(1326,'Banka Dökümü'!$I$2:$I$2001,0),"")</ns0:f>
        <ns0:v/>
      </ns0:c>
    </ns0:row>
    <ns0:row r="1331" ht="21" customHeight="1">
      <ns0:c r="A1331" s="32" t="str">
        <ns0:f>IF($E1331="","",INDEX('Banka Dökümü'!$A$2:$A$2001,$E1331))</ns0:f>
        <ns0:v/>
      </ns0:c>
      <ns0:c r="B1331" s="28" t="str">
        <ns0:f>IF($E1331="","",INDEX('Banka Dökümü'!$B$2:$B$2001,$E1331))</ns0:f>
        <ns0:v/>
      </ns0:c>
      <ns0:c r="C1331" s="33" t="str">
        <ns0:f>IF($E1331="","",INDEX('Banka Dökümü'!$C$2:$C$2001,$E1331))</ns0:f>
        <ns0:v/>
      </ns0:c>
      <ns0:c r="D1331" s="28" t="str">
        <ns0:f>IF(E1331="","","Müşteri adı / aranacak ad / il bilgisini kontrol edin")</ns0:f>
        <ns0:v/>
      </ns0:c>
      <ns0:c r="E1331" s="28" t="str">
        <ns0:f>IFERROR(MATCH(1327,'Banka Dökümü'!$I$2:$I$2001,0),"")</ns0:f>
        <ns0:v/>
      </ns0:c>
    </ns0:row>
    <ns0:row r="1332" ht="21" customHeight="1">
      <ns0:c r="A1332" s="32" t="str">
        <ns0:f>IF($E1332="","",INDEX('Banka Dökümü'!$A$2:$A$2001,$E1332))</ns0:f>
        <ns0:v/>
      </ns0:c>
      <ns0:c r="B1332" s="28" t="str">
        <ns0:f>IF($E1332="","",INDEX('Banka Dökümü'!$B$2:$B$2001,$E1332))</ns0:f>
        <ns0:v/>
      </ns0:c>
      <ns0:c r="C1332" s="33" t="str">
        <ns0:f>IF($E1332="","",INDEX('Banka Dökümü'!$C$2:$C$2001,$E1332))</ns0:f>
        <ns0:v/>
      </ns0:c>
      <ns0:c r="D1332" s="28" t="str">
        <ns0:f>IF(E1332="","","Müşteri adı / aranacak ad / il bilgisini kontrol edin")</ns0:f>
        <ns0:v/>
      </ns0:c>
      <ns0:c r="E1332" s="28" t="str">
        <ns0:f>IFERROR(MATCH(1328,'Banka Dökümü'!$I$2:$I$2001,0),"")</ns0:f>
        <ns0:v/>
      </ns0:c>
    </ns0:row>
    <ns0:row r="1333" ht="21" customHeight="1">
      <ns0:c r="A1333" s="32" t="str">
        <ns0:f>IF($E1333="","",INDEX('Banka Dökümü'!$A$2:$A$2001,$E1333))</ns0:f>
        <ns0:v/>
      </ns0:c>
      <ns0:c r="B1333" s="28" t="str">
        <ns0:f>IF($E1333="","",INDEX('Banka Dökümü'!$B$2:$B$2001,$E1333))</ns0:f>
        <ns0:v/>
      </ns0:c>
      <ns0:c r="C1333" s="33" t="str">
        <ns0:f>IF($E1333="","",INDEX('Banka Dökümü'!$C$2:$C$2001,$E1333))</ns0:f>
        <ns0:v/>
      </ns0:c>
      <ns0:c r="D1333" s="28" t="str">
        <ns0:f>IF(E1333="","","Müşteri adı / aranacak ad / il bilgisini kontrol edin")</ns0:f>
        <ns0:v/>
      </ns0:c>
      <ns0:c r="E1333" s="28" t="str">
        <ns0:f>IFERROR(MATCH(1329,'Banka Dökümü'!$I$2:$I$2001,0),"")</ns0:f>
        <ns0:v/>
      </ns0:c>
    </ns0:row>
    <ns0:row r="1334" ht="21" customHeight="1">
      <ns0:c r="A1334" s="32" t="str">
        <ns0:f>IF($E1334="","",INDEX('Banka Dökümü'!$A$2:$A$2001,$E1334))</ns0:f>
        <ns0:v/>
      </ns0:c>
      <ns0:c r="B1334" s="28" t="str">
        <ns0:f>IF($E1334="","",INDEX('Banka Dökümü'!$B$2:$B$2001,$E1334))</ns0:f>
        <ns0:v/>
      </ns0:c>
      <ns0:c r="C1334" s="33" t="str">
        <ns0:f>IF($E1334="","",INDEX('Banka Dökümü'!$C$2:$C$2001,$E1334))</ns0:f>
        <ns0:v/>
      </ns0:c>
      <ns0:c r="D1334" s="28" t="str">
        <ns0:f>IF(E1334="","","Müşteri adı / aranacak ad / il bilgisini kontrol edin")</ns0:f>
        <ns0:v/>
      </ns0:c>
      <ns0:c r="E1334" s="28" t="str">
        <ns0:f>IFERROR(MATCH(1330,'Banka Dökümü'!$I$2:$I$2001,0),"")</ns0:f>
        <ns0:v/>
      </ns0:c>
    </ns0:row>
    <ns0:row r="1335" ht="21" customHeight="1">
      <ns0:c r="A1335" s="32" t="str">
        <ns0:f>IF($E1335="","",INDEX('Banka Dökümü'!$A$2:$A$2001,$E1335))</ns0:f>
        <ns0:v/>
      </ns0:c>
      <ns0:c r="B1335" s="28" t="str">
        <ns0:f>IF($E1335="","",INDEX('Banka Dökümü'!$B$2:$B$2001,$E1335))</ns0:f>
        <ns0:v/>
      </ns0:c>
      <ns0:c r="C1335" s="33" t="str">
        <ns0:f>IF($E1335="","",INDEX('Banka Dökümü'!$C$2:$C$2001,$E1335))</ns0:f>
        <ns0:v/>
      </ns0:c>
      <ns0:c r="D1335" s="28" t="str">
        <ns0:f>IF(E1335="","","Müşteri adı / aranacak ad / il bilgisini kontrol edin")</ns0:f>
        <ns0:v/>
      </ns0:c>
      <ns0:c r="E1335" s="28" t="str">
        <ns0:f>IFERROR(MATCH(1331,'Banka Dökümü'!$I$2:$I$2001,0),"")</ns0:f>
        <ns0:v/>
      </ns0:c>
    </ns0:row>
    <ns0:row r="1336" ht="21" customHeight="1">
      <ns0:c r="A1336" s="32" t="str">
        <ns0:f>IF($E1336="","",INDEX('Banka Dökümü'!$A$2:$A$2001,$E1336))</ns0:f>
        <ns0:v/>
      </ns0:c>
      <ns0:c r="B1336" s="28" t="str">
        <ns0:f>IF($E1336="","",INDEX('Banka Dökümü'!$B$2:$B$2001,$E1336))</ns0:f>
        <ns0:v/>
      </ns0:c>
      <ns0:c r="C1336" s="33" t="str">
        <ns0:f>IF($E1336="","",INDEX('Banka Dökümü'!$C$2:$C$2001,$E1336))</ns0:f>
        <ns0:v/>
      </ns0:c>
      <ns0:c r="D1336" s="28" t="str">
        <ns0:f>IF(E1336="","","Müşteri adı / aranacak ad / il bilgisini kontrol edin")</ns0:f>
        <ns0:v/>
      </ns0:c>
      <ns0:c r="E1336" s="28" t="str">
        <ns0:f>IFERROR(MATCH(1332,'Banka Dökümü'!$I$2:$I$2001,0),"")</ns0:f>
        <ns0:v/>
      </ns0:c>
    </ns0:row>
    <ns0:row r="1337" ht="21" customHeight="1">
      <ns0:c r="A1337" s="32" t="str">
        <ns0:f>IF($E1337="","",INDEX('Banka Dökümü'!$A$2:$A$2001,$E1337))</ns0:f>
        <ns0:v/>
      </ns0:c>
      <ns0:c r="B1337" s="28" t="str">
        <ns0:f>IF($E1337="","",INDEX('Banka Dökümü'!$B$2:$B$2001,$E1337))</ns0:f>
        <ns0:v/>
      </ns0:c>
      <ns0:c r="C1337" s="33" t="str">
        <ns0:f>IF($E1337="","",INDEX('Banka Dökümü'!$C$2:$C$2001,$E1337))</ns0:f>
        <ns0:v/>
      </ns0:c>
      <ns0:c r="D1337" s="28" t="str">
        <ns0:f>IF(E1337="","","Müşteri adı / aranacak ad / il bilgisini kontrol edin")</ns0:f>
        <ns0:v/>
      </ns0:c>
      <ns0:c r="E1337" s="28" t="str">
        <ns0:f>IFERROR(MATCH(1333,'Banka Dökümü'!$I$2:$I$2001,0),"")</ns0:f>
        <ns0:v/>
      </ns0:c>
    </ns0:row>
    <ns0:row r="1338" ht="21" customHeight="1">
      <ns0:c r="A1338" s="32" t="str">
        <ns0:f>IF($E1338="","",INDEX('Banka Dökümü'!$A$2:$A$2001,$E1338))</ns0:f>
        <ns0:v/>
      </ns0:c>
      <ns0:c r="B1338" s="28" t="str">
        <ns0:f>IF($E1338="","",INDEX('Banka Dökümü'!$B$2:$B$2001,$E1338))</ns0:f>
        <ns0:v/>
      </ns0:c>
      <ns0:c r="C1338" s="33" t="str">
        <ns0:f>IF($E1338="","",INDEX('Banka Dökümü'!$C$2:$C$2001,$E1338))</ns0:f>
        <ns0:v/>
      </ns0:c>
      <ns0:c r="D1338" s="28" t="str">
        <ns0:f>IF(E1338="","","Müşteri adı / aranacak ad / il bilgisini kontrol edin")</ns0:f>
        <ns0:v/>
      </ns0:c>
      <ns0:c r="E1338" s="28" t="str">
        <ns0:f>IFERROR(MATCH(1334,'Banka Dökümü'!$I$2:$I$2001,0),"")</ns0:f>
        <ns0:v/>
      </ns0:c>
    </ns0:row>
    <ns0:row r="1339" ht="21" customHeight="1">
      <ns0:c r="A1339" s="32" t="str">
        <ns0:f>IF($E1339="","",INDEX('Banka Dökümü'!$A$2:$A$2001,$E1339))</ns0:f>
        <ns0:v/>
      </ns0:c>
      <ns0:c r="B1339" s="28" t="str">
        <ns0:f>IF($E1339="","",INDEX('Banka Dökümü'!$B$2:$B$2001,$E1339))</ns0:f>
        <ns0:v/>
      </ns0:c>
      <ns0:c r="C1339" s="33" t="str">
        <ns0:f>IF($E1339="","",INDEX('Banka Dökümü'!$C$2:$C$2001,$E1339))</ns0:f>
        <ns0:v/>
      </ns0:c>
      <ns0:c r="D1339" s="28" t="str">
        <ns0:f>IF(E1339="","","Müşteri adı / aranacak ad / il bilgisini kontrol edin")</ns0:f>
        <ns0:v/>
      </ns0:c>
      <ns0:c r="E1339" s="28" t="str">
        <ns0:f>IFERROR(MATCH(1335,'Banka Dökümü'!$I$2:$I$2001,0),"")</ns0:f>
        <ns0:v/>
      </ns0:c>
    </ns0:row>
    <ns0:row r="1340" ht="21" customHeight="1">
      <ns0:c r="A1340" s="32" t="str">
        <ns0:f>IF($E1340="","",INDEX('Banka Dökümü'!$A$2:$A$2001,$E1340))</ns0:f>
        <ns0:v/>
      </ns0:c>
      <ns0:c r="B1340" s="28" t="str">
        <ns0:f>IF($E1340="","",INDEX('Banka Dökümü'!$B$2:$B$2001,$E1340))</ns0:f>
        <ns0:v/>
      </ns0:c>
      <ns0:c r="C1340" s="33" t="str">
        <ns0:f>IF($E1340="","",INDEX('Banka Dökümü'!$C$2:$C$2001,$E1340))</ns0:f>
        <ns0:v/>
      </ns0:c>
      <ns0:c r="D1340" s="28" t="str">
        <ns0:f>IF(E1340="","","Müşteri adı / aranacak ad / il bilgisini kontrol edin")</ns0:f>
        <ns0:v/>
      </ns0:c>
      <ns0:c r="E1340" s="28" t="str">
        <ns0:f>IFERROR(MATCH(1336,'Banka Dökümü'!$I$2:$I$2001,0),"")</ns0:f>
        <ns0:v/>
      </ns0:c>
    </ns0:row>
    <ns0:row r="1341" ht="21" customHeight="1">
      <ns0:c r="A1341" s="32" t="str">
        <ns0:f>IF($E1341="","",INDEX('Banka Dökümü'!$A$2:$A$2001,$E1341))</ns0:f>
        <ns0:v/>
      </ns0:c>
      <ns0:c r="B1341" s="28" t="str">
        <ns0:f>IF($E1341="","",INDEX('Banka Dökümü'!$B$2:$B$2001,$E1341))</ns0:f>
        <ns0:v/>
      </ns0:c>
      <ns0:c r="C1341" s="33" t="str">
        <ns0:f>IF($E1341="","",INDEX('Banka Dökümü'!$C$2:$C$2001,$E1341))</ns0:f>
        <ns0:v/>
      </ns0:c>
      <ns0:c r="D1341" s="28" t="str">
        <ns0:f>IF(E1341="","","Müşteri adı / aranacak ad / il bilgisini kontrol edin")</ns0:f>
        <ns0:v/>
      </ns0:c>
      <ns0:c r="E1341" s="28" t="str">
        <ns0:f>IFERROR(MATCH(1337,'Banka Dökümü'!$I$2:$I$2001,0),"")</ns0:f>
        <ns0:v/>
      </ns0:c>
    </ns0:row>
    <ns0:row r="1342" ht="21" customHeight="1">
      <ns0:c r="A1342" s="32" t="str">
        <ns0:f>IF($E1342="","",INDEX('Banka Dökümü'!$A$2:$A$2001,$E1342))</ns0:f>
        <ns0:v/>
      </ns0:c>
      <ns0:c r="B1342" s="28" t="str">
        <ns0:f>IF($E1342="","",INDEX('Banka Dökümü'!$B$2:$B$2001,$E1342))</ns0:f>
        <ns0:v/>
      </ns0:c>
      <ns0:c r="C1342" s="33" t="str">
        <ns0:f>IF($E1342="","",INDEX('Banka Dökümü'!$C$2:$C$2001,$E1342))</ns0:f>
        <ns0:v/>
      </ns0:c>
      <ns0:c r="D1342" s="28" t="str">
        <ns0:f>IF(E1342="","","Müşteri adı / aranacak ad / il bilgisini kontrol edin")</ns0:f>
        <ns0:v/>
      </ns0:c>
      <ns0:c r="E1342" s="28" t="str">
        <ns0:f>IFERROR(MATCH(1338,'Banka Dökümü'!$I$2:$I$2001,0),"")</ns0:f>
        <ns0:v/>
      </ns0:c>
    </ns0:row>
    <ns0:row r="1343" ht="21" customHeight="1">
      <ns0:c r="A1343" s="32" t="str">
        <ns0:f>IF($E1343="","",INDEX('Banka Dökümü'!$A$2:$A$2001,$E1343))</ns0:f>
        <ns0:v/>
      </ns0:c>
      <ns0:c r="B1343" s="28" t="str">
        <ns0:f>IF($E1343="","",INDEX('Banka Dökümü'!$B$2:$B$2001,$E1343))</ns0:f>
        <ns0:v/>
      </ns0:c>
      <ns0:c r="C1343" s="33" t="str">
        <ns0:f>IF($E1343="","",INDEX('Banka Dökümü'!$C$2:$C$2001,$E1343))</ns0:f>
        <ns0:v/>
      </ns0:c>
      <ns0:c r="D1343" s="28" t="str">
        <ns0:f>IF(E1343="","","Müşteri adı / aranacak ad / il bilgisini kontrol edin")</ns0:f>
        <ns0:v/>
      </ns0:c>
      <ns0:c r="E1343" s="28" t="str">
        <ns0:f>IFERROR(MATCH(1339,'Banka Dökümü'!$I$2:$I$2001,0),"")</ns0:f>
        <ns0:v/>
      </ns0:c>
    </ns0:row>
    <ns0:row r="1344" ht="21" customHeight="1">
      <ns0:c r="A1344" s="32" t="str">
        <ns0:f>IF($E1344="","",INDEX('Banka Dökümü'!$A$2:$A$2001,$E1344))</ns0:f>
        <ns0:v/>
      </ns0:c>
      <ns0:c r="B1344" s="28" t="str">
        <ns0:f>IF($E1344="","",INDEX('Banka Dökümü'!$B$2:$B$2001,$E1344))</ns0:f>
        <ns0:v/>
      </ns0:c>
      <ns0:c r="C1344" s="33" t="str">
        <ns0:f>IF($E1344="","",INDEX('Banka Dökümü'!$C$2:$C$2001,$E1344))</ns0:f>
        <ns0:v/>
      </ns0:c>
      <ns0:c r="D1344" s="28" t="str">
        <ns0:f>IF(E1344="","","Müşteri adı / aranacak ad / il bilgisini kontrol edin")</ns0:f>
        <ns0:v/>
      </ns0:c>
      <ns0:c r="E1344" s="28" t="str">
        <ns0:f>IFERROR(MATCH(1340,'Banka Dökümü'!$I$2:$I$2001,0),"")</ns0:f>
        <ns0:v/>
      </ns0:c>
    </ns0:row>
    <ns0:row r="1345" ht="21" customHeight="1">
      <ns0:c r="A1345" s="32" t="str">
        <ns0:f>IF($E1345="","",INDEX('Banka Dökümü'!$A$2:$A$2001,$E1345))</ns0:f>
        <ns0:v/>
      </ns0:c>
      <ns0:c r="B1345" s="28" t="str">
        <ns0:f>IF($E1345="","",INDEX('Banka Dökümü'!$B$2:$B$2001,$E1345))</ns0:f>
        <ns0:v/>
      </ns0:c>
      <ns0:c r="C1345" s="33" t="str">
        <ns0:f>IF($E1345="","",INDEX('Banka Dökümü'!$C$2:$C$2001,$E1345))</ns0:f>
        <ns0:v/>
      </ns0:c>
      <ns0:c r="D1345" s="28" t="str">
        <ns0:f>IF(E1345="","","Müşteri adı / aranacak ad / il bilgisini kontrol edin")</ns0:f>
        <ns0:v/>
      </ns0:c>
      <ns0:c r="E1345" s="28" t="str">
        <ns0:f>IFERROR(MATCH(1341,'Banka Dökümü'!$I$2:$I$2001,0),"")</ns0:f>
        <ns0:v/>
      </ns0:c>
    </ns0:row>
    <ns0:row r="1346" ht="21" customHeight="1">
      <ns0:c r="A1346" s="32" t="str">
        <ns0:f>IF($E1346="","",INDEX('Banka Dökümü'!$A$2:$A$2001,$E1346))</ns0:f>
        <ns0:v/>
      </ns0:c>
      <ns0:c r="B1346" s="28" t="str">
        <ns0:f>IF($E1346="","",INDEX('Banka Dökümü'!$B$2:$B$2001,$E1346))</ns0:f>
        <ns0:v/>
      </ns0:c>
      <ns0:c r="C1346" s="33" t="str">
        <ns0:f>IF($E1346="","",INDEX('Banka Dökümü'!$C$2:$C$2001,$E1346))</ns0:f>
        <ns0:v/>
      </ns0:c>
      <ns0:c r="D1346" s="28" t="str">
        <ns0:f>IF(E1346="","","Müşteri adı / aranacak ad / il bilgisini kontrol edin")</ns0:f>
        <ns0:v/>
      </ns0:c>
      <ns0:c r="E1346" s="28" t="str">
        <ns0:f>IFERROR(MATCH(1342,'Banka Dökümü'!$I$2:$I$2001,0),"")</ns0:f>
        <ns0:v/>
      </ns0:c>
    </ns0:row>
    <ns0:row r="1347" ht="21" customHeight="1">
      <ns0:c r="A1347" s="32" t="str">
        <ns0:f>IF($E1347="","",INDEX('Banka Dökümü'!$A$2:$A$2001,$E1347))</ns0:f>
        <ns0:v/>
      </ns0:c>
      <ns0:c r="B1347" s="28" t="str">
        <ns0:f>IF($E1347="","",INDEX('Banka Dökümü'!$B$2:$B$2001,$E1347))</ns0:f>
        <ns0:v/>
      </ns0:c>
      <ns0:c r="C1347" s="33" t="str">
        <ns0:f>IF($E1347="","",INDEX('Banka Dökümü'!$C$2:$C$2001,$E1347))</ns0:f>
        <ns0:v/>
      </ns0:c>
      <ns0:c r="D1347" s="28" t="str">
        <ns0:f>IF(E1347="","","Müşteri adı / aranacak ad / il bilgisini kontrol edin")</ns0:f>
        <ns0:v/>
      </ns0:c>
      <ns0:c r="E1347" s="28" t="str">
        <ns0:f>IFERROR(MATCH(1343,'Banka Dökümü'!$I$2:$I$2001,0),"")</ns0:f>
        <ns0:v/>
      </ns0:c>
    </ns0:row>
    <ns0:row r="1348" ht="21" customHeight="1">
      <ns0:c r="A1348" s="32" t="str">
        <ns0:f>IF($E1348="","",INDEX('Banka Dökümü'!$A$2:$A$2001,$E1348))</ns0:f>
        <ns0:v/>
      </ns0:c>
      <ns0:c r="B1348" s="28" t="str">
        <ns0:f>IF($E1348="","",INDEX('Banka Dökümü'!$B$2:$B$2001,$E1348))</ns0:f>
        <ns0:v/>
      </ns0:c>
      <ns0:c r="C1348" s="33" t="str">
        <ns0:f>IF($E1348="","",INDEX('Banka Dökümü'!$C$2:$C$2001,$E1348))</ns0:f>
        <ns0:v/>
      </ns0:c>
      <ns0:c r="D1348" s="28" t="str">
        <ns0:f>IF(E1348="","","Müşteri adı / aranacak ad / il bilgisini kontrol edin")</ns0:f>
        <ns0:v/>
      </ns0:c>
      <ns0:c r="E1348" s="28" t="str">
        <ns0:f>IFERROR(MATCH(1344,'Banka Dökümü'!$I$2:$I$2001,0),"")</ns0:f>
        <ns0:v/>
      </ns0:c>
    </ns0:row>
    <ns0:row r="1349" ht="21" customHeight="1">
      <ns0:c r="A1349" s="32" t="str">
        <ns0:f>IF($E1349="","",INDEX('Banka Dökümü'!$A$2:$A$2001,$E1349))</ns0:f>
        <ns0:v/>
      </ns0:c>
      <ns0:c r="B1349" s="28" t="str">
        <ns0:f>IF($E1349="","",INDEX('Banka Dökümü'!$B$2:$B$2001,$E1349))</ns0:f>
        <ns0:v/>
      </ns0:c>
      <ns0:c r="C1349" s="33" t="str">
        <ns0:f>IF($E1349="","",INDEX('Banka Dökümü'!$C$2:$C$2001,$E1349))</ns0:f>
        <ns0:v/>
      </ns0:c>
      <ns0:c r="D1349" s="28" t="str">
        <ns0:f>IF(E1349="","","Müşteri adı / aranacak ad / il bilgisini kontrol edin")</ns0:f>
        <ns0:v/>
      </ns0:c>
      <ns0:c r="E1349" s="28" t="str">
        <ns0:f>IFERROR(MATCH(1345,'Banka Dökümü'!$I$2:$I$2001,0),"")</ns0:f>
        <ns0:v/>
      </ns0:c>
    </ns0:row>
    <ns0:row r="1350" ht="21" customHeight="1">
      <ns0:c r="A1350" s="32" t="str">
        <ns0:f>IF($E1350="","",INDEX('Banka Dökümü'!$A$2:$A$2001,$E1350))</ns0:f>
        <ns0:v/>
      </ns0:c>
      <ns0:c r="B1350" s="28" t="str">
        <ns0:f>IF($E1350="","",INDEX('Banka Dökümü'!$B$2:$B$2001,$E1350))</ns0:f>
        <ns0:v/>
      </ns0:c>
      <ns0:c r="C1350" s="33" t="str">
        <ns0:f>IF($E1350="","",INDEX('Banka Dökümü'!$C$2:$C$2001,$E1350))</ns0:f>
        <ns0:v/>
      </ns0:c>
      <ns0:c r="D1350" s="28" t="str">
        <ns0:f>IF(E1350="","","Müşteri adı / aranacak ad / il bilgisini kontrol edin")</ns0:f>
        <ns0:v/>
      </ns0:c>
      <ns0:c r="E1350" s="28" t="str">
        <ns0:f>IFERROR(MATCH(1346,'Banka Dökümü'!$I$2:$I$2001,0),"")</ns0:f>
        <ns0:v/>
      </ns0:c>
    </ns0:row>
    <ns0:row r="1351" ht="21" customHeight="1">
      <ns0:c r="A1351" s="32" t="str">
        <ns0:f>IF($E1351="","",INDEX('Banka Dökümü'!$A$2:$A$2001,$E1351))</ns0:f>
        <ns0:v/>
      </ns0:c>
      <ns0:c r="B1351" s="28" t="str">
        <ns0:f>IF($E1351="","",INDEX('Banka Dökümü'!$B$2:$B$2001,$E1351))</ns0:f>
        <ns0:v/>
      </ns0:c>
      <ns0:c r="C1351" s="33" t="str">
        <ns0:f>IF($E1351="","",INDEX('Banka Dökümü'!$C$2:$C$2001,$E1351))</ns0:f>
        <ns0:v/>
      </ns0:c>
      <ns0:c r="D1351" s="28" t="str">
        <ns0:f>IF(E1351="","","Müşteri adı / aranacak ad / il bilgisini kontrol edin")</ns0:f>
        <ns0:v/>
      </ns0:c>
      <ns0:c r="E1351" s="28" t="str">
        <ns0:f>IFERROR(MATCH(1347,'Banka Dökümü'!$I$2:$I$2001,0),"")</ns0:f>
        <ns0:v/>
      </ns0:c>
    </ns0:row>
    <ns0:row r="1352" ht="21" customHeight="1">
      <ns0:c r="A1352" s="32" t="str">
        <ns0:f>IF($E1352="","",INDEX('Banka Dökümü'!$A$2:$A$2001,$E1352))</ns0:f>
        <ns0:v/>
      </ns0:c>
      <ns0:c r="B1352" s="28" t="str">
        <ns0:f>IF($E1352="","",INDEX('Banka Dökümü'!$B$2:$B$2001,$E1352))</ns0:f>
        <ns0:v/>
      </ns0:c>
      <ns0:c r="C1352" s="33" t="str">
        <ns0:f>IF($E1352="","",INDEX('Banka Dökümü'!$C$2:$C$2001,$E1352))</ns0:f>
        <ns0:v/>
      </ns0:c>
      <ns0:c r="D1352" s="28" t="str">
        <ns0:f>IF(E1352="","","Müşteri adı / aranacak ad / il bilgisini kontrol edin")</ns0:f>
        <ns0:v/>
      </ns0:c>
      <ns0:c r="E1352" s="28" t="str">
        <ns0:f>IFERROR(MATCH(1348,'Banka Dökümü'!$I$2:$I$2001,0),"")</ns0:f>
        <ns0:v/>
      </ns0:c>
    </ns0:row>
    <ns0:row r="1353" ht="21" customHeight="1">
      <ns0:c r="A1353" s="32" t="str">
        <ns0:f>IF($E1353="","",INDEX('Banka Dökümü'!$A$2:$A$2001,$E1353))</ns0:f>
        <ns0:v/>
      </ns0:c>
      <ns0:c r="B1353" s="28" t="str">
        <ns0:f>IF($E1353="","",INDEX('Banka Dökümü'!$B$2:$B$2001,$E1353))</ns0:f>
        <ns0:v/>
      </ns0:c>
      <ns0:c r="C1353" s="33" t="str">
        <ns0:f>IF($E1353="","",INDEX('Banka Dökümü'!$C$2:$C$2001,$E1353))</ns0:f>
        <ns0:v/>
      </ns0:c>
      <ns0:c r="D1353" s="28" t="str">
        <ns0:f>IF(E1353="","","Müşteri adı / aranacak ad / il bilgisini kontrol edin")</ns0:f>
        <ns0:v/>
      </ns0:c>
      <ns0:c r="E1353" s="28" t="str">
        <ns0:f>IFERROR(MATCH(1349,'Banka Dökümü'!$I$2:$I$2001,0),"")</ns0:f>
        <ns0:v/>
      </ns0:c>
    </ns0:row>
    <ns0:row r="1354" ht="21" customHeight="1">
      <ns0:c r="A1354" s="32" t="str">
        <ns0:f>IF($E1354="","",INDEX('Banka Dökümü'!$A$2:$A$2001,$E1354))</ns0:f>
        <ns0:v/>
      </ns0:c>
      <ns0:c r="B1354" s="28" t="str">
        <ns0:f>IF($E1354="","",INDEX('Banka Dökümü'!$B$2:$B$2001,$E1354))</ns0:f>
        <ns0:v/>
      </ns0:c>
      <ns0:c r="C1354" s="33" t="str">
        <ns0:f>IF($E1354="","",INDEX('Banka Dökümü'!$C$2:$C$2001,$E1354))</ns0:f>
        <ns0:v/>
      </ns0:c>
      <ns0:c r="D1354" s="28" t="str">
        <ns0:f>IF(E1354="","","Müşteri adı / aranacak ad / il bilgisini kontrol edin")</ns0:f>
        <ns0:v/>
      </ns0:c>
      <ns0:c r="E1354" s="28" t="str">
        <ns0:f>IFERROR(MATCH(1350,'Banka Dökümü'!$I$2:$I$2001,0),"")</ns0:f>
        <ns0:v/>
      </ns0:c>
    </ns0:row>
    <ns0:row r="1355" ht="21" customHeight="1">
      <ns0:c r="A1355" s="32" t="str">
        <ns0:f>IF($E1355="","",INDEX('Banka Dökümü'!$A$2:$A$2001,$E1355))</ns0:f>
        <ns0:v/>
      </ns0:c>
      <ns0:c r="B1355" s="28" t="str">
        <ns0:f>IF($E1355="","",INDEX('Banka Dökümü'!$B$2:$B$2001,$E1355))</ns0:f>
        <ns0:v/>
      </ns0:c>
      <ns0:c r="C1355" s="33" t="str">
        <ns0:f>IF($E1355="","",INDEX('Banka Dökümü'!$C$2:$C$2001,$E1355))</ns0:f>
        <ns0:v/>
      </ns0:c>
      <ns0:c r="D1355" s="28" t="str">
        <ns0:f>IF(E1355="","","Müşteri adı / aranacak ad / il bilgisini kontrol edin")</ns0:f>
        <ns0:v/>
      </ns0:c>
      <ns0:c r="E1355" s="28" t="str">
        <ns0:f>IFERROR(MATCH(1351,'Banka Dökümü'!$I$2:$I$2001,0),"")</ns0:f>
        <ns0:v/>
      </ns0:c>
    </ns0:row>
    <ns0:row r="1356" ht="21" customHeight="1">
      <ns0:c r="A1356" s="32" t="str">
        <ns0:f>IF($E1356="","",INDEX('Banka Dökümü'!$A$2:$A$2001,$E1356))</ns0:f>
        <ns0:v/>
      </ns0:c>
      <ns0:c r="B1356" s="28" t="str">
        <ns0:f>IF($E1356="","",INDEX('Banka Dökümü'!$B$2:$B$2001,$E1356))</ns0:f>
        <ns0:v/>
      </ns0:c>
      <ns0:c r="C1356" s="33" t="str">
        <ns0:f>IF($E1356="","",INDEX('Banka Dökümü'!$C$2:$C$2001,$E1356))</ns0:f>
        <ns0:v/>
      </ns0:c>
      <ns0:c r="D1356" s="28" t="str">
        <ns0:f>IF(E1356="","","Müşteri adı / aranacak ad / il bilgisini kontrol edin")</ns0:f>
        <ns0:v/>
      </ns0:c>
      <ns0:c r="E1356" s="28" t="str">
        <ns0:f>IFERROR(MATCH(1352,'Banka Dökümü'!$I$2:$I$2001,0),"")</ns0:f>
        <ns0:v/>
      </ns0:c>
    </ns0:row>
    <ns0:row r="1357" ht="21" customHeight="1">
      <ns0:c r="A1357" s="32" t="str">
        <ns0:f>IF($E1357="","",INDEX('Banka Dökümü'!$A$2:$A$2001,$E1357))</ns0:f>
        <ns0:v/>
      </ns0:c>
      <ns0:c r="B1357" s="28" t="str">
        <ns0:f>IF($E1357="","",INDEX('Banka Dökümü'!$B$2:$B$2001,$E1357))</ns0:f>
        <ns0:v/>
      </ns0:c>
      <ns0:c r="C1357" s="33" t="str">
        <ns0:f>IF($E1357="","",INDEX('Banka Dökümü'!$C$2:$C$2001,$E1357))</ns0:f>
        <ns0:v/>
      </ns0:c>
      <ns0:c r="D1357" s="28" t="str">
        <ns0:f>IF(E1357="","","Müşteri adı / aranacak ad / il bilgisini kontrol edin")</ns0:f>
        <ns0:v/>
      </ns0:c>
      <ns0:c r="E1357" s="28" t="str">
        <ns0:f>IFERROR(MATCH(1353,'Banka Dökümü'!$I$2:$I$2001,0),"")</ns0:f>
        <ns0:v/>
      </ns0:c>
    </ns0:row>
    <ns0:row r="1358" ht="21" customHeight="1">
      <ns0:c r="A1358" s="32" t="str">
        <ns0:f>IF($E1358="","",INDEX('Banka Dökümü'!$A$2:$A$2001,$E1358))</ns0:f>
        <ns0:v/>
      </ns0:c>
      <ns0:c r="B1358" s="28" t="str">
        <ns0:f>IF($E1358="","",INDEX('Banka Dökümü'!$B$2:$B$2001,$E1358))</ns0:f>
        <ns0:v/>
      </ns0:c>
      <ns0:c r="C1358" s="33" t="str">
        <ns0:f>IF($E1358="","",INDEX('Banka Dökümü'!$C$2:$C$2001,$E1358))</ns0:f>
        <ns0:v/>
      </ns0:c>
      <ns0:c r="D1358" s="28" t="str">
        <ns0:f>IF(E1358="","","Müşteri adı / aranacak ad / il bilgisini kontrol edin")</ns0:f>
        <ns0:v/>
      </ns0:c>
      <ns0:c r="E1358" s="28" t="str">
        <ns0:f>IFERROR(MATCH(1354,'Banka Dökümü'!$I$2:$I$2001,0),"")</ns0:f>
        <ns0:v/>
      </ns0:c>
    </ns0:row>
    <ns0:row r="1359" ht="21" customHeight="1">
      <ns0:c r="A1359" s="32" t="str">
        <ns0:f>IF($E1359="","",INDEX('Banka Dökümü'!$A$2:$A$2001,$E1359))</ns0:f>
        <ns0:v/>
      </ns0:c>
      <ns0:c r="B1359" s="28" t="str">
        <ns0:f>IF($E1359="","",INDEX('Banka Dökümü'!$B$2:$B$2001,$E1359))</ns0:f>
        <ns0:v/>
      </ns0:c>
      <ns0:c r="C1359" s="33" t="str">
        <ns0:f>IF($E1359="","",INDEX('Banka Dökümü'!$C$2:$C$2001,$E1359))</ns0:f>
        <ns0:v/>
      </ns0:c>
      <ns0:c r="D1359" s="28" t="str">
        <ns0:f>IF(E1359="","","Müşteri adı / aranacak ad / il bilgisini kontrol edin")</ns0:f>
        <ns0:v/>
      </ns0:c>
      <ns0:c r="E1359" s="28" t="str">
        <ns0:f>IFERROR(MATCH(1355,'Banka Dökümü'!$I$2:$I$2001,0),"")</ns0:f>
        <ns0:v/>
      </ns0:c>
    </ns0:row>
    <ns0:row r="1360" ht="21" customHeight="1">
      <ns0:c r="A1360" s="32" t="str">
        <ns0:f>IF($E1360="","",INDEX('Banka Dökümü'!$A$2:$A$2001,$E1360))</ns0:f>
        <ns0:v/>
      </ns0:c>
      <ns0:c r="B1360" s="28" t="str">
        <ns0:f>IF($E1360="","",INDEX('Banka Dökümü'!$B$2:$B$2001,$E1360))</ns0:f>
        <ns0:v/>
      </ns0:c>
      <ns0:c r="C1360" s="33" t="str">
        <ns0:f>IF($E1360="","",INDEX('Banka Dökümü'!$C$2:$C$2001,$E1360))</ns0:f>
        <ns0:v/>
      </ns0:c>
      <ns0:c r="D1360" s="28" t="str">
        <ns0:f>IF(E1360="","","Müşteri adı / aranacak ad / il bilgisini kontrol edin")</ns0:f>
        <ns0:v/>
      </ns0:c>
      <ns0:c r="E1360" s="28" t="str">
        <ns0:f>IFERROR(MATCH(1356,'Banka Dökümü'!$I$2:$I$2001,0),"")</ns0:f>
        <ns0:v/>
      </ns0:c>
    </ns0:row>
    <ns0:row r="1361" ht="21" customHeight="1">
      <ns0:c r="A1361" s="32" t="str">
        <ns0:f>IF($E1361="","",INDEX('Banka Dökümü'!$A$2:$A$2001,$E1361))</ns0:f>
        <ns0:v/>
      </ns0:c>
      <ns0:c r="B1361" s="28" t="str">
        <ns0:f>IF($E1361="","",INDEX('Banka Dökümü'!$B$2:$B$2001,$E1361))</ns0:f>
        <ns0:v/>
      </ns0:c>
      <ns0:c r="C1361" s="33" t="str">
        <ns0:f>IF($E1361="","",INDEX('Banka Dökümü'!$C$2:$C$2001,$E1361))</ns0:f>
        <ns0:v/>
      </ns0:c>
      <ns0:c r="D1361" s="28" t="str">
        <ns0:f>IF(E1361="","","Müşteri adı / aranacak ad / il bilgisini kontrol edin")</ns0:f>
        <ns0:v/>
      </ns0:c>
      <ns0:c r="E1361" s="28" t="str">
        <ns0:f>IFERROR(MATCH(1357,'Banka Dökümü'!$I$2:$I$2001,0),"")</ns0:f>
        <ns0:v/>
      </ns0:c>
    </ns0:row>
    <ns0:row r="1362" ht="21" customHeight="1">
      <ns0:c r="A1362" s="32" t="str">
        <ns0:f>IF($E1362="","",INDEX('Banka Dökümü'!$A$2:$A$2001,$E1362))</ns0:f>
        <ns0:v/>
      </ns0:c>
      <ns0:c r="B1362" s="28" t="str">
        <ns0:f>IF($E1362="","",INDEX('Banka Dökümü'!$B$2:$B$2001,$E1362))</ns0:f>
        <ns0:v/>
      </ns0:c>
      <ns0:c r="C1362" s="33" t="str">
        <ns0:f>IF($E1362="","",INDEX('Banka Dökümü'!$C$2:$C$2001,$E1362))</ns0:f>
        <ns0:v/>
      </ns0:c>
      <ns0:c r="D1362" s="28" t="str">
        <ns0:f>IF(E1362="","","Müşteri adı / aranacak ad / il bilgisini kontrol edin")</ns0:f>
        <ns0:v/>
      </ns0:c>
      <ns0:c r="E1362" s="28" t="str">
        <ns0:f>IFERROR(MATCH(1358,'Banka Dökümü'!$I$2:$I$2001,0),"")</ns0:f>
        <ns0:v/>
      </ns0:c>
    </ns0:row>
    <ns0:row r="1363" ht="21" customHeight="1">
      <ns0:c r="A1363" s="32" t="str">
        <ns0:f>IF($E1363="","",INDEX('Banka Dökümü'!$A$2:$A$2001,$E1363))</ns0:f>
        <ns0:v/>
      </ns0:c>
      <ns0:c r="B1363" s="28" t="str">
        <ns0:f>IF($E1363="","",INDEX('Banka Dökümü'!$B$2:$B$2001,$E1363))</ns0:f>
        <ns0:v/>
      </ns0:c>
      <ns0:c r="C1363" s="33" t="str">
        <ns0:f>IF($E1363="","",INDEX('Banka Dökümü'!$C$2:$C$2001,$E1363))</ns0:f>
        <ns0:v/>
      </ns0:c>
      <ns0:c r="D1363" s="28" t="str">
        <ns0:f>IF(E1363="","","Müşteri adı / aranacak ad / il bilgisini kontrol edin")</ns0:f>
        <ns0:v/>
      </ns0:c>
      <ns0:c r="E1363" s="28" t="str">
        <ns0:f>IFERROR(MATCH(1359,'Banka Dökümü'!$I$2:$I$2001,0),"")</ns0:f>
        <ns0:v/>
      </ns0:c>
    </ns0:row>
    <ns0:row r="1364" ht="21" customHeight="1">
      <ns0:c r="A1364" s="32" t="str">
        <ns0:f>IF($E1364="","",INDEX('Banka Dökümü'!$A$2:$A$2001,$E1364))</ns0:f>
        <ns0:v/>
      </ns0:c>
      <ns0:c r="B1364" s="28" t="str">
        <ns0:f>IF($E1364="","",INDEX('Banka Dökümü'!$B$2:$B$2001,$E1364))</ns0:f>
        <ns0:v/>
      </ns0:c>
      <ns0:c r="C1364" s="33" t="str">
        <ns0:f>IF($E1364="","",INDEX('Banka Dökümü'!$C$2:$C$2001,$E1364))</ns0:f>
        <ns0:v/>
      </ns0:c>
      <ns0:c r="D1364" s="28" t="str">
        <ns0:f>IF(E1364="","","Müşteri adı / aranacak ad / il bilgisini kontrol edin")</ns0:f>
        <ns0:v/>
      </ns0:c>
      <ns0:c r="E1364" s="28" t="str">
        <ns0:f>IFERROR(MATCH(1360,'Banka Dökümü'!$I$2:$I$2001,0),"")</ns0:f>
        <ns0:v/>
      </ns0:c>
    </ns0:row>
    <ns0:row r="1365" ht="21" customHeight="1">
      <ns0:c r="A1365" s="32" t="str">
        <ns0:f>IF($E1365="","",INDEX('Banka Dökümü'!$A$2:$A$2001,$E1365))</ns0:f>
        <ns0:v/>
      </ns0:c>
      <ns0:c r="B1365" s="28" t="str">
        <ns0:f>IF($E1365="","",INDEX('Banka Dökümü'!$B$2:$B$2001,$E1365))</ns0:f>
        <ns0:v/>
      </ns0:c>
      <ns0:c r="C1365" s="33" t="str">
        <ns0:f>IF($E1365="","",INDEX('Banka Dökümü'!$C$2:$C$2001,$E1365))</ns0:f>
        <ns0:v/>
      </ns0:c>
      <ns0:c r="D1365" s="28" t="str">
        <ns0:f>IF(E1365="","","Müşteri adı / aranacak ad / il bilgisini kontrol edin")</ns0:f>
        <ns0:v/>
      </ns0:c>
      <ns0:c r="E1365" s="28" t="str">
        <ns0:f>IFERROR(MATCH(1361,'Banka Dökümü'!$I$2:$I$2001,0),"")</ns0:f>
        <ns0:v/>
      </ns0:c>
    </ns0:row>
    <ns0:row r="1366" ht="21" customHeight="1">
      <ns0:c r="A1366" s="32" t="str">
        <ns0:f>IF($E1366="","",INDEX('Banka Dökümü'!$A$2:$A$2001,$E1366))</ns0:f>
        <ns0:v/>
      </ns0:c>
      <ns0:c r="B1366" s="28" t="str">
        <ns0:f>IF($E1366="","",INDEX('Banka Dökümü'!$B$2:$B$2001,$E1366))</ns0:f>
        <ns0:v/>
      </ns0:c>
      <ns0:c r="C1366" s="33" t="str">
        <ns0:f>IF($E1366="","",INDEX('Banka Dökümü'!$C$2:$C$2001,$E1366))</ns0:f>
        <ns0:v/>
      </ns0:c>
      <ns0:c r="D1366" s="28" t="str">
        <ns0:f>IF(E1366="","","Müşteri adı / aranacak ad / il bilgisini kontrol edin")</ns0:f>
        <ns0:v/>
      </ns0:c>
      <ns0:c r="E1366" s="28" t="str">
        <ns0:f>IFERROR(MATCH(1362,'Banka Dökümü'!$I$2:$I$2001,0),"")</ns0:f>
        <ns0:v/>
      </ns0:c>
    </ns0:row>
    <ns0:row r="1367" ht="21" customHeight="1">
      <ns0:c r="A1367" s="32" t="str">
        <ns0:f>IF($E1367="","",INDEX('Banka Dökümü'!$A$2:$A$2001,$E1367))</ns0:f>
        <ns0:v/>
      </ns0:c>
      <ns0:c r="B1367" s="28" t="str">
        <ns0:f>IF($E1367="","",INDEX('Banka Dökümü'!$B$2:$B$2001,$E1367))</ns0:f>
        <ns0:v/>
      </ns0:c>
      <ns0:c r="C1367" s="33" t="str">
        <ns0:f>IF($E1367="","",INDEX('Banka Dökümü'!$C$2:$C$2001,$E1367))</ns0:f>
        <ns0:v/>
      </ns0:c>
      <ns0:c r="D1367" s="28" t="str">
        <ns0:f>IF(E1367="","","Müşteri adı / aranacak ad / il bilgisini kontrol edin")</ns0:f>
        <ns0:v/>
      </ns0:c>
      <ns0:c r="E1367" s="28" t="str">
        <ns0:f>IFERROR(MATCH(1363,'Banka Dökümü'!$I$2:$I$2001,0),"")</ns0:f>
        <ns0:v/>
      </ns0:c>
    </ns0:row>
    <ns0:row r="1368" ht="21" customHeight="1">
      <ns0:c r="A1368" s="32" t="str">
        <ns0:f>IF($E1368="","",INDEX('Banka Dökümü'!$A$2:$A$2001,$E1368))</ns0:f>
        <ns0:v/>
      </ns0:c>
      <ns0:c r="B1368" s="28" t="str">
        <ns0:f>IF($E1368="","",INDEX('Banka Dökümü'!$B$2:$B$2001,$E1368))</ns0:f>
        <ns0:v/>
      </ns0:c>
      <ns0:c r="C1368" s="33" t="str">
        <ns0:f>IF($E1368="","",INDEX('Banka Dökümü'!$C$2:$C$2001,$E1368))</ns0:f>
        <ns0:v/>
      </ns0:c>
      <ns0:c r="D1368" s="28" t="str">
        <ns0:f>IF(E1368="","","Müşteri adı / aranacak ad / il bilgisini kontrol edin")</ns0:f>
        <ns0:v/>
      </ns0:c>
      <ns0:c r="E1368" s="28" t="str">
        <ns0:f>IFERROR(MATCH(1364,'Banka Dökümü'!$I$2:$I$2001,0),"")</ns0:f>
        <ns0:v/>
      </ns0:c>
    </ns0:row>
    <ns0:row r="1369" ht="21" customHeight="1">
      <ns0:c r="A1369" s="32" t="str">
        <ns0:f>IF($E1369="","",INDEX('Banka Dökümü'!$A$2:$A$2001,$E1369))</ns0:f>
        <ns0:v/>
      </ns0:c>
      <ns0:c r="B1369" s="28" t="str">
        <ns0:f>IF($E1369="","",INDEX('Banka Dökümü'!$B$2:$B$2001,$E1369))</ns0:f>
        <ns0:v/>
      </ns0:c>
      <ns0:c r="C1369" s="33" t="str">
        <ns0:f>IF($E1369="","",INDEX('Banka Dökümü'!$C$2:$C$2001,$E1369))</ns0:f>
        <ns0:v/>
      </ns0:c>
      <ns0:c r="D1369" s="28" t="str">
        <ns0:f>IF(E1369="","","Müşteri adı / aranacak ad / il bilgisini kontrol edin")</ns0:f>
        <ns0:v/>
      </ns0:c>
      <ns0:c r="E1369" s="28" t="str">
        <ns0:f>IFERROR(MATCH(1365,'Banka Dökümü'!$I$2:$I$2001,0),"")</ns0:f>
        <ns0:v/>
      </ns0:c>
    </ns0:row>
    <ns0:row r="1370" ht="21" customHeight="1">
      <ns0:c r="A1370" s="32" t="str">
        <ns0:f>IF($E1370="","",INDEX('Banka Dökümü'!$A$2:$A$2001,$E1370))</ns0:f>
        <ns0:v/>
      </ns0:c>
      <ns0:c r="B1370" s="28" t="str">
        <ns0:f>IF($E1370="","",INDEX('Banka Dökümü'!$B$2:$B$2001,$E1370))</ns0:f>
        <ns0:v/>
      </ns0:c>
      <ns0:c r="C1370" s="33" t="str">
        <ns0:f>IF($E1370="","",INDEX('Banka Dökümü'!$C$2:$C$2001,$E1370))</ns0:f>
        <ns0:v/>
      </ns0:c>
      <ns0:c r="D1370" s="28" t="str">
        <ns0:f>IF(E1370="","","Müşteri adı / aranacak ad / il bilgisini kontrol edin")</ns0:f>
        <ns0:v/>
      </ns0:c>
      <ns0:c r="E1370" s="28" t="str">
        <ns0:f>IFERROR(MATCH(1366,'Banka Dökümü'!$I$2:$I$2001,0),"")</ns0:f>
        <ns0:v/>
      </ns0:c>
    </ns0:row>
    <ns0:row r="1371" ht="21" customHeight="1">
      <ns0:c r="A1371" s="32" t="str">
        <ns0:f>IF($E1371="","",INDEX('Banka Dökümü'!$A$2:$A$2001,$E1371))</ns0:f>
        <ns0:v/>
      </ns0:c>
      <ns0:c r="B1371" s="28" t="str">
        <ns0:f>IF($E1371="","",INDEX('Banka Dökümü'!$B$2:$B$2001,$E1371))</ns0:f>
        <ns0:v/>
      </ns0:c>
      <ns0:c r="C1371" s="33" t="str">
        <ns0:f>IF($E1371="","",INDEX('Banka Dökümü'!$C$2:$C$2001,$E1371))</ns0:f>
        <ns0:v/>
      </ns0:c>
      <ns0:c r="D1371" s="28" t="str">
        <ns0:f>IF(E1371="","","Müşteri adı / aranacak ad / il bilgisini kontrol edin")</ns0:f>
        <ns0:v/>
      </ns0:c>
      <ns0:c r="E1371" s="28" t="str">
        <ns0:f>IFERROR(MATCH(1367,'Banka Dökümü'!$I$2:$I$2001,0),"")</ns0:f>
        <ns0:v/>
      </ns0:c>
    </ns0:row>
    <ns0:row r="1372" ht="21" customHeight="1">
      <ns0:c r="A1372" s="32" t="str">
        <ns0:f>IF($E1372="","",INDEX('Banka Dökümü'!$A$2:$A$2001,$E1372))</ns0:f>
        <ns0:v/>
      </ns0:c>
      <ns0:c r="B1372" s="28" t="str">
        <ns0:f>IF($E1372="","",INDEX('Banka Dökümü'!$B$2:$B$2001,$E1372))</ns0:f>
        <ns0:v/>
      </ns0:c>
      <ns0:c r="C1372" s="33" t="str">
        <ns0:f>IF($E1372="","",INDEX('Banka Dökümü'!$C$2:$C$2001,$E1372))</ns0:f>
        <ns0:v/>
      </ns0:c>
      <ns0:c r="D1372" s="28" t="str">
        <ns0:f>IF(E1372="","","Müşteri adı / aranacak ad / il bilgisini kontrol edin")</ns0:f>
        <ns0:v/>
      </ns0:c>
      <ns0:c r="E1372" s="28" t="str">
        <ns0:f>IFERROR(MATCH(1368,'Banka Dökümü'!$I$2:$I$2001,0),"")</ns0:f>
        <ns0:v/>
      </ns0:c>
    </ns0:row>
    <ns0:row r="1373" ht="21" customHeight="1">
      <ns0:c r="A1373" s="32" t="str">
        <ns0:f>IF($E1373="","",INDEX('Banka Dökümü'!$A$2:$A$2001,$E1373))</ns0:f>
        <ns0:v/>
      </ns0:c>
      <ns0:c r="B1373" s="28" t="str">
        <ns0:f>IF($E1373="","",INDEX('Banka Dökümü'!$B$2:$B$2001,$E1373))</ns0:f>
        <ns0:v/>
      </ns0:c>
      <ns0:c r="C1373" s="33" t="str">
        <ns0:f>IF($E1373="","",INDEX('Banka Dökümü'!$C$2:$C$2001,$E1373))</ns0:f>
        <ns0:v/>
      </ns0:c>
      <ns0:c r="D1373" s="28" t="str">
        <ns0:f>IF(E1373="","","Müşteri adı / aranacak ad / il bilgisini kontrol edin")</ns0:f>
        <ns0:v/>
      </ns0:c>
      <ns0:c r="E1373" s="28" t="str">
        <ns0:f>IFERROR(MATCH(1369,'Banka Dökümü'!$I$2:$I$2001,0),"")</ns0:f>
        <ns0:v/>
      </ns0:c>
    </ns0:row>
    <ns0:row r="1374" ht="21" customHeight="1">
      <ns0:c r="A1374" s="32" t="str">
        <ns0:f>IF($E1374="","",INDEX('Banka Dökümü'!$A$2:$A$2001,$E1374))</ns0:f>
        <ns0:v/>
      </ns0:c>
      <ns0:c r="B1374" s="28" t="str">
        <ns0:f>IF($E1374="","",INDEX('Banka Dökümü'!$B$2:$B$2001,$E1374))</ns0:f>
        <ns0:v/>
      </ns0:c>
      <ns0:c r="C1374" s="33" t="str">
        <ns0:f>IF($E1374="","",INDEX('Banka Dökümü'!$C$2:$C$2001,$E1374))</ns0:f>
        <ns0:v/>
      </ns0:c>
      <ns0:c r="D1374" s="28" t="str">
        <ns0:f>IF(E1374="","","Müşteri adı / aranacak ad / il bilgisini kontrol edin")</ns0:f>
        <ns0:v/>
      </ns0:c>
      <ns0:c r="E1374" s="28" t="str">
        <ns0:f>IFERROR(MATCH(1370,'Banka Dökümü'!$I$2:$I$2001,0),"")</ns0:f>
        <ns0:v/>
      </ns0:c>
    </ns0:row>
    <ns0:row r="1375" ht="21" customHeight="1">
      <ns0:c r="A1375" s="32" t="str">
        <ns0:f>IF($E1375="","",INDEX('Banka Dökümü'!$A$2:$A$2001,$E1375))</ns0:f>
        <ns0:v/>
      </ns0:c>
      <ns0:c r="B1375" s="28" t="str">
        <ns0:f>IF($E1375="","",INDEX('Banka Dökümü'!$B$2:$B$2001,$E1375))</ns0:f>
        <ns0:v/>
      </ns0:c>
      <ns0:c r="C1375" s="33" t="str">
        <ns0:f>IF($E1375="","",INDEX('Banka Dökümü'!$C$2:$C$2001,$E1375))</ns0:f>
        <ns0:v/>
      </ns0:c>
      <ns0:c r="D1375" s="28" t="str">
        <ns0:f>IF(E1375="","","Müşteri adı / aranacak ad / il bilgisini kontrol edin")</ns0:f>
        <ns0:v/>
      </ns0:c>
      <ns0:c r="E1375" s="28" t="str">
        <ns0:f>IFERROR(MATCH(1371,'Banka Dökümü'!$I$2:$I$2001,0),"")</ns0:f>
        <ns0:v/>
      </ns0:c>
    </ns0:row>
    <ns0:row r="1376" ht="21" customHeight="1">
      <ns0:c r="A1376" s="32" t="str">
        <ns0:f>IF($E1376="","",INDEX('Banka Dökümü'!$A$2:$A$2001,$E1376))</ns0:f>
        <ns0:v/>
      </ns0:c>
      <ns0:c r="B1376" s="28" t="str">
        <ns0:f>IF($E1376="","",INDEX('Banka Dökümü'!$B$2:$B$2001,$E1376))</ns0:f>
        <ns0:v/>
      </ns0:c>
      <ns0:c r="C1376" s="33" t="str">
        <ns0:f>IF($E1376="","",INDEX('Banka Dökümü'!$C$2:$C$2001,$E1376))</ns0:f>
        <ns0:v/>
      </ns0:c>
      <ns0:c r="D1376" s="28" t="str">
        <ns0:f>IF(E1376="","","Müşteri adı / aranacak ad / il bilgisini kontrol edin")</ns0:f>
        <ns0:v/>
      </ns0:c>
      <ns0:c r="E1376" s="28" t="str">
        <ns0:f>IFERROR(MATCH(1372,'Banka Dökümü'!$I$2:$I$2001,0),"")</ns0:f>
        <ns0:v/>
      </ns0:c>
    </ns0:row>
    <ns0:row r="1377" ht="21" customHeight="1">
      <ns0:c r="A1377" s="32" t="str">
        <ns0:f>IF($E1377="","",INDEX('Banka Dökümü'!$A$2:$A$2001,$E1377))</ns0:f>
        <ns0:v/>
      </ns0:c>
      <ns0:c r="B1377" s="28" t="str">
        <ns0:f>IF($E1377="","",INDEX('Banka Dökümü'!$B$2:$B$2001,$E1377))</ns0:f>
        <ns0:v/>
      </ns0:c>
      <ns0:c r="C1377" s="33" t="str">
        <ns0:f>IF($E1377="","",INDEX('Banka Dökümü'!$C$2:$C$2001,$E1377))</ns0:f>
        <ns0:v/>
      </ns0:c>
      <ns0:c r="D1377" s="28" t="str">
        <ns0:f>IF(E1377="","","Müşteri adı / aranacak ad / il bilgisini kontrol edin")</ns0:f>
        <ns0:v/>
      </ns0:c>
      <ns0:c r="E1377" s="28" t="str">
        <ns0:f>IFERROR(MATCH(1373,'Banka Dökümü'!$I$2:$I$2001,0),"")</ns0:f>
        <ns0:v/>
      </ns0:c>
    </ns0:row>
    <ns0:row r="1378" ht="21" customHeight="1">
      <ns0:c r="A1378" s="32" t="str">
        <ns0:f>IF($E1378="","",INDEX('Banka Dökümü'!$A$2:$A$2001,$E1378))</ns0:f>
        <ns0:v/>
      </ns0:c>
      <ns0:c r="B1378" s="28" t="str">
        <ns0:f>IF($E1378="","",INDEX('Banka Dökümü'!$B$2:$B$2001,$E1378))</ns0:f>
        <ns0:v/>
      </ns0:c>
      <ns0:c r="C1378" s="33" t="str">
        <ns0:f>IF($E1378="","",INDEX('Banka Dökümü'!$C$2:$C$2001,$E1378))</ns0:f>
        <ns0:v/>
      </ns0:c>
      <ns0:c r="D1378" s="28" t="str">
        <ns0:f>IF(E1378="","","Müşteri adı / aranacak ad / il bilgisini kontrol edin")</ns0:f>
        <ns0:v/>
      </ns0:c>
      <ns0:c r="E1378" s="28" t="str">
        <ns0:f>IFERROR(MATCH(1374,'Banka Dökümü'!$I$2:$I$2001,0),"")</ns0:f>
        <ns0:v/>
      </ns0:c>
    </ns0:row>
    <ns0:row r="1379" ht="21" customHeight="1">
      <ns0:c r="A1379" s="32" t="str">
        <ns0:f>IF($E1379="","",INDEX('Banka Dökümü'!$A$2:$A$2001,$E1379))</ns0:f>
        <ns0:v/>
      </ns0:c>
      <ns0:c r="B1379" s="28" t="str">
        <ns0:f>IF($E1379="","",INDEX('Banka Dökümü'!$B$2:$B$2001,$E1379))</ns0:f>
        <ns0:v/>
      </ns0:c>
      <ns0:c r="C1379" s="33" t="str">
        <ns0:f>IF($E1379="","",INDEX('Banka Dökümü'!$C$2:$C$2001,$E1379))</ns0:f>
        <ns0:v/>
      </ns0:c>
      <ns0:c r="D1379" s="28" t="str">
        <ns0:f>IF(E1379="","","Müşteri adı / aranacak ad / il bilgisini kontrol edin")</ns0:f>
        <ns0:v/>
      </ns0:c>
      <ns0:c r="E1379" s="28" t="str">
        <ns0:f>IFERROR(MATCH(1375,'Banka Dökümü'!$I$2:$I$2001,0),"")</ns0:f>
        <ns0:v/>
      </ns0:c>
    </ns0:row>
    <ns0:row r="1380" ht="21" customHeight="1">
      <ns0:c r="A1380" s="32" t="str">
        <ns0:f>IF($E1380="","",INDEX('Banka Dökümü'!$A$2:$A$2001,$E1380))</ns0:f>
        <ns0:v/>
      </ns0:c>
      <ns0:c r="B1380" s="28" t="str">
        <ns0:f>IF($E1380="","",INDEX('Banka Dökümü'!$B$2:$B$2001,$E1380))</ns0:f>
        <ns0:v/>
      </ns0:c>
      <ns0:c r="C1380" s="33" t="str">
        <ns0:f>IF($E1380="","",INDEX('Banka Dökümü'!$C$2:$C$2001,$E1380))</ns0:f>
        <ns0:v/>
      </ns0:c>
      <ns0:c r="D1380" s="28" t="str">
        <ns0:f>IF(E1380="","","Müşteri adı / aranacak ad / il bilgisini kontrol edin")</ns0:f>
        <ns0:v/>
      </ns0:c>
      <ns0:c r="E1380" s="28" t="str">
        <ns0:f>IFERROR(MATCH(1376,'Banka Dökümü'!$I$2:$I$2001,0),"")</ns0:f>
        <ns0:v/>
      </ns0:c>
    </ns0:row>
    <ns0:row r="1381" ht="21" customHeight="1">
      <ns0:c r="A1381" s="32" t="str">
        <ns0:f>IF($E1381="","",INDEX('Banka Dökümü'!$A$2:$A$2001,$E1381))</ns0:f>
        <ns0:v/>
      </ns0:c>
      <ns0:c r="B1381" s="28" t="str">
        <ns0:f>IF($E1381="","",INDEX('Banka Dökümü'!$B$2:$B$2001,$E1381))</ns0:f>
        <ns0:v/>
      </ns0:c>
      <ns0:c r="C1381" s="33" t="str">
        <ns0:f>IF($E1381="","",INDEX('Banka Dökümü'!$C$2:$C$2001,$E1381))</ns0:f>
        <ns0:v/>
      </ns0:c>
      <ns0:c r="D1381" s="28" t="str">
        <ns0:f>IF(E1381="","","Müşteri adı / aranacak ad / il bilgisini kontrol edin")</ns0:f>
        <ns0:v/>
      </ns0:c>
      <ns0:c r="E1381" s="28" t="str">
        <ns0:f>IFERROR(MATCH(1377,'Banka Dökümü'!$I$2:$I$2001,0),"")</ns0:f>
        <ns0:v/>
      </ns0:c>
    </ns0:row>
    <ns0:row r="1382" ht="21" customHeight="1">
      <ns0:c r="A1382" s="32" t="str">
        <ns0:f>IF($E1382="","",INDEX('Banka Dökümü'!$A$2:$A$2001,$E1382))</ns0:f>
        <ns0:v/>
      </ns0:c>
      <ns0:c r="B1382" s="28" t="str">
        <ns0:f>IF($E1382="","",INDEX('Banka Dökümü'!$B$2:$B$2001,$E1382))</ns0:f>
        <ns0:v/>
      </ns0:c>
      <ns0:c r="C1382" s="33" t="str">
        <ns0:f>IF($E1382="","",INDEX('Banka Dökümü'!$C$2:$C$2001,$E1382))</ns0:f>
        <ns0:v/>
      </ns0:c>
      <ns0:c r="D1382" s="28" t="str">
        <ns0:f>IF(E1382="","","Müşteri adı / aranacak ad / il bilgisini kontrol edin")</ns0:f>
        <ns0:v/>
      </ns0:c>
      <ns0:c r="E1382" s="28" t="str">
        <ns0:f>IFERROR(MATCH(1378,'Banka Dökümü'!$I$2:$I$2001,0),"")</ns0:f>
        <ns0:v/>
      </ns0:c>
    </ns0:row>
    <ns0:row r="1383" ht="21" customHeight="1">
      <ns0:c r="A1383" s="32" t="str">
        <ns0:f>IF($E1383="","",INDEX('Banka Dökümü'!$A$2:$A$2001,$E1383))</ns0:f>
        <ns0:v/>
      </ns0:c>
      <ns0:c r="B1383" s="28" t="str">
        <ns0:f>IF($E1383="","",INDEX('Banka Dökümü'!$B$2:$B$2001,$E1383))</ns0:f>
        <ns0:v/>
      </ns0:c>
      <ns0:c r="C1383" s="33" t="str">
        <ns0:f>IF($E1383="","",INDEX('Banka Dökümü'!$C$2:$C$2001,$E1383))</ns0:f>
        <ns0:v/>
      </ns0:c>
      <ns0:c r="D1383" s="28" t="str">
        <ns0:f>IF(E1383="","","Müşteri adı / aranacak ad / il bilgisini kontrol edin")</ns0:f>
        <ns0:v/>
      </ns0:c>
      <ns0:c r="E1383" s="28" t="str">
        <ns0:f>IFERROR(MATCH(1379,'Banka Dökümü'!$I$2:$I$2001,0),"")</ns0:f>
        <ns0:v/>
      </ns0:c>
    </ns0:row>
    <ns0:row r="1384" ht="21" customHeight="1">
      <ns0:c r="A1384" s="32" t="str">
        <ns0:f>IF($E1384="","",INDEX('Banka Dökümü'!$A$2:$A$2001,$E1384))</ns0:f>
        <ns0:v/>
      </ns0:c>
      <ns0:c r="B1384" s="28" t="str">
        <ns0:f>IF($E1384="","",INDEX('Banka Dökümü'!$B$2:$B$2001,$E1384))</ns0:f>
        <ns0:v/>
      </ns0:c>
      <ns0:c r="C1384" s="33" t="str">
        <ns0:f>IF($E1384="","",INDEX('Banka Dökümü'!$C$2:$C$2001,$E1384))</ns0:f>
        <ns0:v/>
      </ns0:c>
      <ns0:c r="D1384" s="28" t="str">
        <ns0:f>IF(E1384="","","Müşteri adı / aranacak ad / il bilgisini kontrol edin")</ns0:f>
        <ns0:v/>
      </ns0:c>
      <ns0:c r="E1384" s="28" t="str">
        <ns0:f>IFERROR(MATCH(1380,'Banka Dökümü'!$I$2:$I$2001,0),"")</ns0:f>
        <ns0:v/>
      </ns0:c>
    </ns0:row>
    <ns0:row r="1385" ht="21" customHeight="1">
      <ns0:c r="A1385" s="32" t="str">
        <ns0:f>IF($E1385="","",INDEX('Banka Dökümü'!$A$2:$A$2001,$E1385))</ns0:f>
        <ns0:v/>
      </ns0:c>
      <ns0:c r="B1385" s="28" t="str">
        <ns0:f>IF($E1385="","",INDEX('Banka Dökümü'!$B$2:$B$2001,$E1385))</ns0:f>
        <ns0:v/>
      </ns0:c>
      <ns0:c r="C1385" s="33" t="str">
        <ns0:f>IF($E1385="","",INDEX('Banka Dökümü'!$C$2:$C$2001,$E1385))</ns0:f>
        <ns0:v/>
      </ns0:c>
      <ns0:c r="D1385" s="28" t="str">
        <ns0:f>IF(E1385="","","Müşteri adı / aranacak ad / il bilgisini kontrol edin")</ns0:f>
        <ns0:v/>
      </ns0:c>
      <ns0:c r="E1385" s="28" t="str">
        <ns0:f>IFERROR(MATCH(1381,'Banka Dökümü'!$I$2:$I$2001,0),"")</ns0:f>
        <ns0:v/>
      </ns0:c>
    </ns0:row>
    <ns0:row r="1386" ht="21" customHeight="1">
      <ns0:c r="A1386" s="32" t="str">
        <ns0:f>IF($E1386="","",INDEX('Banka Dökümü'!$A$2:$A$2001,$E1386))</ns0:f>
        <ns0:v/>
      </ns0:c>
      <ns0:c r="B1386" s="28" t="str">
        <ns0:f>IF($E1386="","",INDEX('Banka Dökümü'!$B$2:$B$2001,$E1386))</ns0:f>
        <ns0:v/>
      </ns0:c>
      <ns0:c r="C1386" s="33" t="str">
        <ns0:f>IF($E1386="","",INDEX('Banka Dökümü'!$C$2:$C$2001,$E1386))</ns0:f>
        <ns0:v/>
      </ns0:c>
      <ns0:c r="D1386" s="28" t="str">
        <ns0:f>IF(E1386="","","Müşteri adı / aranacak ad / il bilgisini kontrol edin")</ns0:f>
        <ns0:v/>
      </ns0:c>
      <ns0:c r="E1386" s="28" t="str">
        <ns0:f>IFERROR(MATCH(1382,'Banka Dökümü'!$I$2:$I$2001,0),"")</ns0:f>
        <ns0:v/>
      </ns0:c>
    </ns0:row>
    <ns0:row r="1387" ht="21" customHeight="1">
      <ns0:c r="A1387" s="32" t="str">
        <ns0:f>IF($E1387="","",INDEX('Banka Dökümü'!$A$2:$A$2001,$E1387))</ns0:f>
        <ns0:v/>
      </ns0:c>
      <ns0:c r="B1387" s="28" t="str">
        <ns0:f>IF($E1387="","",INDEX('Banka Dökümü'!$B$2:$B$2001,$E1387))</ns0:f>
        <ns0:v/>
      </ns0:c>
      <ns0:c r="C1387" s="33" t="str">
        <ns0:f>IF($E1387="","",INDEX('Banka Dökümü'!$C$2:$C$2001,$E1387))</ns0:f>
        <ns0:v/>
      </ns0:c>
      <ns0:c r="D1387" s="28" t="str">
        <ns0:f>IF(E1387="","","Müşteri adı / aranacak ad / il bilgisini kontrol edin")</ns0:f>
        <ns0:v/>
      </ns0:c>
      <ns0:c r="E1387" s="28" t="str">
        <ns0:f>IFERROR(MATCH(1383,'Banka Dökümü'!$I$2:$I$2001,0),"")</ns0:f>
        <ns0:v/>
      </ns0:c>
    </ns0:row>
    <ns0:row r="1388" ht="21" customHeight="1">
      <ns0:c r="A1388" s="32" t="str">
        <ns0:f>IF($E1388="","",INDEX('Banka Dökümü'!$A$2:$A$2001,$E1388))</ns0:f>
        <ns0:v/>
      </ns0:c>
      <ns0:c r="B1388" s="28" t="str">
        <ns0:f>IF($E1388="","",INDEX('Banka Dökümü'!$B$2:$B$2001,$E1388))</ns0:f>
        <ns0:v/>
      </ns0:c>
      <ns0:c r="C1388" s="33" t="str">
        <ns0:f>IF($E1388="","",INDEX('Banka Dökümü'!$C$2:$C$2001,$E1388))</ns0:f>
        <ns0:v/>
      </ns0:c>
      <ns0:c r="D1388" s="28" t="str">
        <ns0:f>IF(E1388="","","Müşteri adı / aranacak ad / il bilgisini kontrol edin")</ns0:f>
        <ns0:v/>
      </ns0:c>
      <ns0:c r="E1388" s="28" t="str">
        <ns0:f>IFERROR(MATCH(1384,'Banka Dökümü'!$I$2:$I$2001,0),"")</ns0:f>
        <ns0:v/>
      </ns0:c>
    </ns0:row>
    <ns0:row r="1389" ht="21" customHeight="1">
      <ns0:c r="A1389" s="32" t="str">
        <ns0:f>IF($E1389="","",INDEX('Banka Dökümü'!$A$2:$A$2001,$E1389))</ns0:f>
        <ns0:v/>
      </ns0:c>
      <ns0:c r="B1389" s="28" t="str">
        <ns0:f>IF($E1389="","",INDEX('Banka Dökümü'!$B$2:$B$2001,$E1389))</ns0:f>
        <ns0:v/>
      </ns0:c>
      <ns0:c r="C1389" s="33" t="str">
        <ns0:f>IF($E1389="","",INDEX('Banka Dökümü'!$C$2:$C$2001,$E1389))</ns0:f>
        <ns0:v/>
      </ns0:c>
      <ns0:c r="D1389" s="28" t="str">
        <ns0:f>IF(E1389="","","Müşteri adı / aranacak ad / il bilgisini kontrol edin")</ns0:f>
        <ns0:v/>
      </ns0:c>
      <ns0:c r="E1389" s="28" t="str">
        <ns0:f>IFERROR(MATCH(1385,'Banka Dökümü'!$I$2:$I$2001,0),"")</ns0:f>
        <ns0:v/>
      </ns0:c>
    </ns0:row>
    <ns0:row r="1390" ht="21" customHeight="1">
      <ns0:c r="A1390" s="32" t="str">
        <ns0:f>IF($E1390="","",INDEX('Banka Dökümü'!$A$2:$A$2001,$E1390))</ns0:f>
        <ns0:v/>
      </ns0:c>
      <ns0:c r="B1390" s="28" t="str">
        <ns0:f>IF($E1390="","",INDEX('Banka Dökümü'!$B$2:$B$2001,$E1390))</ns0:f>
        <ns0:v/>
      </ns0:c>
      <ns0:c r="C1390" s="33" t="str">
        <ns0:f>IF($E1390="","",INDEX('Banka Dökümü'!$C$2:$C$2001,$E1390))</ns0:f>
        <ns0:v/>
      </ns0:c>
      <ns0:c r="D1390" s="28" t="str">
        <ns0:f>IF(E1390="","","Müşteri adı / aranacak ad / il bilgisini kontrol edin")</ns0:f>
        <ns0:v/>
      </ns0:c>
      <ns0:c r="E1390" s="28" t="str">
        <ns0:f>IFERROR(MATCH(1386,'Banka Dökümü'!$I$2:$I$2001,0),"")</ns0:f>
        <ns0:v/>
      </ns0:c>
    </ns0:row>
    <ns0:row r="1391" ht="21" customHeight="1">
      <ns0:c r="A1391" s="32" t="str">
        <ns0:f>IF($E1391="","",INDEX('Banka Dökümü'!$A$2:$A$2001,$E1391))</ns0:f>
        <ns0:v/>
      </ns0:c>
      <ns0:c r="B1391" s="28" t="str">
        <ns0:f>IF($E1391="","",INDEX('Banka Dökümü'!$B$2:$B$2001,$E1391))</ns0:f>
        <ns0:v/>
      </ns0:c>
      <ns0:c r="C1391" s="33" t="str">
        <ns0:f>IF($E1391="","",INDEX('Banka Dökümü'!$C$2:$C$2001,$E1391))</ns0:f>
        <ns0:v/>
      </ns0:c>
      <ns0:c r="D1391" s="28" t="str">
        <ns0:f>IF(E1391="","","Müşteri adı / aranacak ad / il bilgisini kontrol edin")</ns0:f>
        <ns0:v/>
      </ns0:c>
      <ns0:c r="E1391" s="28" t="str">
        <ns0:f>IFERROR(MATCH(1387,'Banka Dökümü'!$I$2:$I$2001,0),"")</ns0:f>
        <ns0:v/>
      </ns0:c>
    </ns0:row>
    <ns0:row r="1392" ht="21" customHeight="1">
      <ns0:c r="A1392" s="32" t="str">
        <ns0:f>IF($E1392="","",INDEX('Banka Dökümü'!$A$2:$A$2001,$E1392))</ns0:f>
        <ns0:v/>
      </ns0:c>
      <ns0:c r="B1392" s="28" t="str">
        <ns0:f>IF($E1392="","",INDEX('Banka Dökümü'!$B$2:$B$2001,$E1392))</ns0:f>
        <ns0:v/>
      </ns0:c>
      <ns0:c r="C1392" s="33" t="str">
        <ns0:f>IF($E1392="","",INDEX('Banka Dökümü'!$C$2:$C$2001,$E1392))</ns0:f>
        <ns0:v/>
      </ns0:c>
      <ns0:c r="D1392" s="28" t="str">
        <ns0:f>IF(E1392="","","Müşteri adı / aranacak ad / il bilgisini kontrol edin")</ns0:f>
        <ns0:v/>
      </ns0:c>
      <ns0:c r="E1392" s="28" t="str">
        <ns0:f>IFERROR(MATCH(1388,'Banka Dökümü'!$I$2:$I$2001,0),"")</ns0:f>
        <ns0:v/>
      </ns0:c>
    </ns0:row>
    <ns0:row r="1393" ht="21" customHeight="1">
      <ns0:c r="A1393" s="32" t="str">
        <ns0:f>IF($E1393="","",INDEX('Banka Dökümü'!$A$2:$A$2001,$E1393))</ns0:f>
        <ns0:v/>
      </ns0:c>
      <ns0:c r="B1393" s="28" t="str">
        <ns0:f>IF($E1393="","",INDEX('Banka Dökümü'!$B$2:$B$2001,$E1393))</ns0:f>
        <ns0:v/>
      </ns0:c>
      <ns0:c r="C1393" s="33" t="str">
        <ns0:f>IF($E1393="","",INDEX('Banka Dökümü'!$C$2:$C$2001,$E1393))</ns0:f>
        <ns0:v/>
      </ns0:c>
      <ns0:c r="D1393" s="28" t="str">
        <ns0:f>IF(E1393="","","Müşteri adı / aranacak ad / il bilgisini kontrol edin")</ns0:f>
        <ns0:v/>
      </ns0:c>
      <ns0:c r="E1393" s="28" t="str">
        <ns0:f>IFERROR(MATCH(1389,'Banka Dökümü'!$I$2:$I$2001,0),"")</ns0:f>
        <ns0:v/>
      </ns0:c>
    </ns0:row>
    <ns0:row r="1394" ht="21" customHeight="1">
      <ns0:c r="A1394" s="32" t="str">
        <ns0:f>IF($E1394="","",INDEX('Banka Dökümü'!$A$2:$A$2001,$E1394))</ns0:f>
        <ns0:v/>
      </ns0:c>
      <ns0:c r="B1394" s="28" t="str">
        <ns0:f>IF($E1394="","",INDEX('Banka Dökümü'!$B$2:$B$2001,$E1394))</ns0:f>
        <ns0:v/>
      </ns0:c>
      <ns0:c r="C1394" s="33" t="str">
        <ns0:f>IF($E1394="","",INDEX('Banka Dökümü'!$C$2:$C$2001,$E1394))</ns0:f>
        <ns0:v/>
      </ns0:c>
      <ns0:c r="D1394" s="28" t="str">
        <ns0:f>IF(E1394="","","Müşteri adı / aranacak ad / il bilgisini kontrol edin")</ns0:f>
        <ns0:v/>
      </ns0:c>
      <ns0:c r="E1394" s="28" t="str">
        <ns0:f>IFERROR(MATCH(1390,'Banka Dökümü'!$I$2:$I$2001,0),"")</ns0:f>
        <ns0:v/>
      </ns0:c>
    </ns0:row>
    <ns0:row r="1395" ht="21" customHeight="1">
      <ns0:c r="A1395" s="32" t="str">
        <ns0:f>IF($E1395="","",INDEX('Banka Dökümü'!$A$2:$A$2001,$E1395))</ns0:f>
        <ns0:v/>
      </ns0:c>
      <ns0:c r="B1395" s="28" t="str">
        <ns0:f>IF($E1395="","",INDEX('Banka Dökümü'!$B$2:$B$2001,$E1395))</ns0:f>
        <ns0:v/>
      </ns0:c>
      <ns0:c r="C1395" s="33" t="str">
        <ns0:f>IF($E1395="","",INDEX('Banka Dökümü'!$C$2:$C$2001,$E1395))</ns0:f>
        <ns0:v/>
      </ns0:c>
      <ns0:c r="D1395" s="28" t="str">
        <ns0:f>IF(E1395="","","Müşteri adı / aranacak ad / il bilgisini kontrol edin")</ns0:f>
        <ns0:v/>
      </ns0:c>
      <ns0:c r="E1395" s="28" t="str">
        <ns0:f>IFERROR(MATCH(1391,'Banka Dökümü'!$I$2:$I$2001,0),"")</ns0:f>
        <ns0:v/>
      </ns0:c>
    </ns0:row>
    <ns0:row r="1396" ht="21" customHeight="1">
      <ns0:c r="A1396" s="32" t="str">
        <ns0:f>IF($E1396="","",INDEX('Banka Dökümü'!$A$2:$A$2001,$E1396))</ns0:f>
        <ns0:v/>
      </ns0:c>
      <ns0:c r="B1396" s="28" t="str">
        <ns0:f>IF($E1396="","",INDEX('Banka Dökümü'!$B$2:$B$2001,$E1396))</ns0:f>
        <ns0:v/>
      </ns0:c>
      <ns0:c r="C1396" s="33" t="str">
        <ns0:f>IF($E1396="","",INDEX('Banka Dökümü'!$C$2:$C$2001,$E1396))</ns0:f>
        <ns0:v/>
      </ns0:c>
      <ns0:c r="D1396" s="28" t="str">
        <ns0:f>IF(E1396="","","Müşteri adı / aranacak ad / il bilgisini kontrol edin")</ns0:f>
        <ns0:v/>
      </ns0:c>
      <ns0:c r="E1396" s="28" t="str">
        <ns0:f>IFERROR(MATCH(1392,'Banka Dökümü'!$I$2:$I$2001,0),"")</ns0:f>
        <ns0:v/>
      </ns0:c>
    </ns0:row>
    <ns0:row r="1397" ht="21" customHeight="1">
      <ns0:c r="A1397" s="32" t="str">
        <ns0:f>IF($E1397="","",INDEX('Banka Dökümü'!$A$2:$A$2001,$E1397))</ns0:f>
        <ns0:v/>
      </ns0:c>
      <ns0:c r="B1397" s="28" t="str">
        <ns0:f>IF($E1397="","",INDEX('Banka Dökümü'!$B$2:$B$2001,$E1397))</ns0:f>
        <ns0:v/>
      </ns0:c>
      <ns0:c r="C1397" s="33" t="str">
        <ns0:f>IF($E1397="","",INDEX('Banka Dökümü'!$C$2:$C$2001,$E1397))</ns0:f>
        <ns0:v/>
      </ns0:c>
      <ns0:c r="D1397" s="28" t="str">
        <ns0:f>IF(E1397="","","Müşteri adı / aranacak ad / il bilgisini kontrol edin")</ns0:f>
        <ns0:v/>
      </ns0:c>
      <ns0:c r="E1397" s="28" t="str">
        <ns0:f>IFERROR(MATCH(1393,'Banka Dökümü'!$I$2:$I$2001,0),"")</ns0:f>
        <ns0:v/>
      </ns0:c>
    </ns0:row>
    <ns0:row r="1398" ht="21" customHeight="1">
      <ns0:c r="A1398" s="32" t="str">
        <ns0:f>IF($E1398="","",INDEX('Banka Dökümü'!$A$2:$A$2001,$E1398))</ns0:f>
        <ns0:v/>
      </ns0:c>
      <ns0:c r="B1398" s="28" t="str">
        <ns0:f>IF($E1398="","",INDEX('Banka Dökümü'!$B$2:$B$2001,$E1398))</ns0:f>
        <ns0:v/>
      </ns0:c>
      <ns0:c r="C1398" s="33" t="str">
        <ns0:f>IF($E1398="","",INDEX('Banka Dökümü'!$C$2:$C$2001,$E1398))</ns0:f>
        <ns0:v/>
      </ns0:c>
      <ns0:c r="D1398" s="28" t="str">
        <ns0:f>IF(E1398="","","Müşteri adı / aranacak ad / il bilgisini kontrol edin")</ns0:f>
        <ns0:v/>
      </ns0:c>
      <ns0:c r="E1398" s="28" t="str">
        <ns0:f>IFERROR(MATCH(1394,'Banka Dökümü'!$I$2:$I$2001,0),"")</ns0:f>
        <ns0:v/>
      </ns0:c>
    </ns0:row>
    <ns0:row r="1399" ht="21" customHeight="1">
      <ns0:c r="A1399" s="32" t="str">
        <ns0:f>IF($E1399="","",INDEX('Banka Dökümü'!$A$2:$A$2001,$E1399))</ns0:f>
        <ns0:v/>
      </ns0:c>
      <ns0:c r="B1399" s="28" t="str">
        <ns0:f>IF($E1399="","",INDEX('Banka Dökümü'!$B$2:$B$2001,$E1399))</ns0:f>
        <ns0:v/>
      </ns0:c>
      <ns0:c r="C1399" s="33" t="str">
        <ns0:f>IF($E1399="","",INDEX('Banka Dökümü'!$C$2:$C$2001,$E1399))</ns0:f>
        <ns0:v/>
      </ns0:c>
      <ns0:c r="D1399" s="28" t="str">
        <ns0:f>IF(E1399="","","Müşteri adı / aranacak ad / il bilgisini kontrol edin")</ns0:f>
        <ns0:v/>
      </ns0:c>
      <ns0:c r="E1399" s="28" t="str">
        <ns0:f>IFERROR(MATCH(1395,'Banka Dökümü'!$I$2:$I$2001,0),"")</ns0:f>
        <ns0:v/>
      </ns0:c>
    </ns0:row>
    <ns0:row r="1400" ht="21" customHeight="1">
      <ns0:c r="A1400" s="32" t="str">
        <ns0:f>IF($E1400="","",INDEX('Banka Dökümü'!$A$2:$A$2001,$E1400))</ns0:f>
        <ns0:v/>
      </ns0:c>
      <ns0:c r="B1400" s="28" t="str">
        <ns0:f>IF($E1400="","",INDEX('Banka Dökümü'!$B$2:$B$2001,$E1400))</ns0:f>
        <ns0:v/>
      </ns0:c>
      <ns0:c r="C1400" s="33" t="str">
        <ns0:f>IF($E1400="","",INDEX('Banka Dökümü'!$C$2:$C$2001,$E1400))</ns0:f>
        <ns0:v/>
      </ns0:c>
      <ns0:c r="D1400" s="28" t="str">
        <ns0:f>IF(E1400="","","Müşteri adı / aranacak ad / il bilgisini kontrol edin")</ns0:f>
        <ns0:v/>
      </ns0:c>
      <ns0:c r="E1400" s="28" t="str">
        <ns0:f>IFERROR(MATCH(1396,'Banka Dökümü'!$I$2:$I$2001,0),"")</ns0:f>
        <ns0:v/>
      </ns0:c>
    </ns0:row>
    <ns0:row r="1401" ht="21" customHeight="1">
      <ns0:c r="A1401" s="32" t="str">
        <ns0:f>IF($E1401="","",INDEX('Banka Dökümü'!$A$2:$A$2001,$E1401))</ns0:f>
        <ns0:v/>
      </ns0:c>
      <ns0:c r="B1401" s="28" t="str">
        <ns0:f>IF($E1401="","",INDEX('Banka Dökümü'!$B$2:$B$2001,$E1401))</ns0:f>
        <ns0:v/>
      </ns0:c>
      <ns0:c r="C1401" s="33" t="str">
        <ns0:f>IF($E1401="","",INDEX('Banka Dökümü'!$C$2:$C$2001,$E1401))</ns0:f>
        <ns0:v/>
      </ns0:c>
      <ns0:c r="D1401" s="28" t="str">
        <ns0:f>IF(E1401="","","Müşteri adı / aranacak ad / il bilgisini kontrol edin")</ns0:f>
        <ns0:v/>
      </ns0:c>
      <ns0:c r="E1401" s="28" t="str">
        <ns0:f>IFERROR(MATCH(1397,'Banka Dökümü'!$I$2:$I$2001,0),"")</ns0:f>
        <ns0:v/>
      </ns0:c>
    </ns0:row>
    <ns0:row r="1402" ht="21" customHeight="1">
      <ns0:c r="A1402" s="32" t="str">
        <ns0:f>IF($E1402="","",INDEX('Banka Dökümü'!$A$2:$A$2001,$E1402))</ns0:f>
        <ns0:v/>
      </ns0:c>
      <ns0:c r="B1402" s="28" t="str">
        <ns0:f>IF($E1402="","",INDEX('Banka Dökümü'!$B$2:$B$2001,$E1402))</ns0:f>
        <ns0:v/>
      </ns0:c>
      <ns0:c r="C1402" s="33" t="str">
        <ns0:f>IF($E1402="","",INDEX('Banka Dökümü'!$C$2:$C$2001,$E1402))</ns0:f>
        <ns0:v/>
      </ns0:c>
      <ns0:c r="D1402" s="28" t="str">
        <ns0:f>IF(E1402="","","Müşteri adı / aranacak ad / il bilgisini kontrol edin")</ns0:f>
        <ns0:v/>
      </ns0:c>
      <ns0:c r="E1402" s="28" t="str">
        <ns0:f>IFERROR(MATCH(1398,'Banka Dökümü'!$I$2:$I$2001,0),"")</ns0:f>
        <ns0:v/>
      </ns0:c>
    </ns0:row>
    <ns0:row r="1403" ht="21" customHeight="1">
      <ns0:c r="A1403" s="32" t="str">
        <ns0:f>IF($E1403="","",INDEX('Banka Dökümü'!$A$2:$A$2001,$E1403))</ns0:f>
        <ns0:v/>
      </ns0:c>
      <ns0:c r="B1403" s="28" t="str">
        <ns0:f>IF($E1403="","",INDEX('Banka Dökümü'!$B$2:$B$2001,$E1403))</ns0:f>
        <ns0:v/>
      </ns0:c>
      <ns0:c r="C1403" s="33" t="str">
        <ns0:f>IF($E1403="","",INDEX('Banka Dökümü'!$C$2:$C$2001,$E1403))</ns0:f>
        <ns0:v/>
      </ns0:c>
      <ns0:c r="D1403" s="28" t="str">
        <ns0:f>IF(E1403="","","Müşteri adı / aranacak ad / il bilgisini kontrol edin")</ns0:f>
        <ns0:v/>
      </ns0:c>
      <ns0:c r="E1403" s="28" t="str">
        <ns0:f>IFERROR(MATCH(1399,'Banka Dökümü'!$I$2:$I$2001,0),"")</ns0:f>
        <ns0:v/>
      </ns0:c>
    </ns0:row>
    <ns0:row r="1404" ht="21" customHeight="1">
      <ns0:c r="A1404" s="32" t="str">
        <ns0:f>IF($E1404="","",INDEX('Banka Dökümü'!$A$2:$A$2001,$E1404))</ns0:f>
        <ns0:v/>
      </ns0:c>
      <ns0:c r="B1404" s="28" t="str">
        <ns0:f>IF($E1404="","",INDEX('Banka Dökümü'!$B$2:$B$2001,$E1404))</ns0:f>
        <ns0:v/>
      </ns0:c>
      <ns0:c r="C1404" s="33" t="str">
        <ns0:f>IF($E1404="","",INDEX('Banka Dökümü'!$C$2:$C$2001,$E1404))</ns0:f>
        <ns0:v/>
      </ns0:c>
      <ns0:c r="D1404" s="28" t="str">
        <ns0:f>IF(E1404="","","Müşteri adı / aranacak ad / il bilgisini kontrol edin")</ns0:f>
        <ns0:v/>
      </ns0:c>
      <ns0:c r="E1404" s="28" t="str">
        <ns0:f>IFERROR(MATCH(1400,'Banka Dökümü'!$I$2:$I$2001,0),"")</ns0:f>
        <ns0:v/>
      </ns0:c>
    </ns0:row>
    <ns0:row r="1405" ht="21" customHeight="1">
      <ns0:c r="A1405" s="32" t="str">
        <ns0:f>IF($E1405="","",INDEX('Banka Dökümü'!$A$2:$A$2001,$E1405))</ns0:f>
        <ns0:v/>
      </ns0:c>
      <ns0:c r="B1405" s="28" t="str">
        <ns0:f>IF($E1405="","",INDEX('Banka Dökümü'!$B$2:$B$2001,$E1405))</ns0:f>
        <ns0:v/>
      </ns0:c>
      <ns0:c r="C1405" s="33" t="str">
        <ns0:f>IF($E1405="","",INDEX('Banka Dökümü'!$C$2:$C$2001,$E1405))</ns0:f>
        <ns0:v/>
      </ns0:c>
      <ns0:c r="D1405" s="28" t="str">
        <ns0:f>IF(E1405="","","Müşteri adı / aranacak ad / il bilgisini kontrol edin")</ns0:f>
        <ns0:v/>
      </ns0:c>
      <ns0:c r="E1405" s="28" t="str">
        <ns0:f>IFERROR(MATCH(1401,'Banka Dökümü'!$I$2:$I$2001,0),"")</ns0:f>
        <ns0:v/>
      </ns0:c>
    </ns0:row>
    <ns0:row r="1406" ht="21" customHeight="1">
      <ns0:c r="A1406" s="32" t="str">
        <ns0:f>IF($E1406="","",INDEX('Banka Dökümü'!$A$2:$A$2001,$E1406))</ns0:f>
        <ns0:v/>
      </ns0:c>
      <ns0:c r="B1406" s="28" t="str">
        <ns0:f>IF($E1406="","",INDEX('Banka Dökümü'!$B$2:$B$2001,$E1406))</ns0:f>
        <ns0:v/>
      </ns0:c>
      <ns0:c r="C1406" s="33" t="str">
        <ns0:f>IF($E1406="","",INDEX('Banka Dökümü'!$C$2:$C$2001,$E1406))</ns0:f>
        <ns0:v/>
      </ns0:c>
      <ns0:c r="D1406" s="28" t="str">
        <ns0:f>IF(E1406="","","Müşteri adı / aranacak ad / il bilgisini kontrol edin")</ns0:f>
        <ns0:v/>
      </ns0:c>
      <ns0:c r="E1406" s="28" t="str">
        <ns0:f>IFERROR(MATCH(1402,'Banka Dökümü'!$I$2:$I$2001,0),"")</ns0:f>
        <ns0:v/>
      </ns0:c>
    </ns0:row>
    <ns0:row r="1407" ht="21" customHeight="1">
      <ns0:c r="A1407" s="32" t="str">
        <ns0:f>IF($E1407="","",INDEX('Banka Dökümü'!$A$2:$A$2001,$E1407))</ns0:f>
        <ns0:v/>
      </ns0:c>
      <ns0:c r="B1407" s="28" t="str">
        <ns0:f>IF($E1407="","",INDEX('Banka Dökümü'!$B$2:$B$2001,$E1407))</ns0:f>
        <ns0:v/>
      </ns0:c>
      <ns0:c r="C1407" s="33" t="str">
        <ns0:f>IF($E1407="","",INDEX('Banka Dökümü'!$C$2:$C$2001,$E1407))</ns0:f>
        <ns0:v/>
      </ns0:c>
      <ns0:c r="D1407" s="28" t="str">
        <ns0:f>IF(E1407="","","Müşteri adı / aranacak ad / il bilgisini kontrol edin")</ns0:f>
        <ns0:v/>
      </ns0:c>
      <ns0:c r="E1407" s="28" t="str">
        <ns0:f>IFERROR(MATCH(1403,'Banka Dökümü'!$I$2:$I$2001,0),"")</ns0:f>
        <ns0:v/>
      </ns0:c>
    </ns0:row>
    <ns0:row r="1408" ht="21" customHeight="1">
      <ns0:c r="A1408" s="32" t="str">
        <ns0:f>IF($E1408="","",INDEX('Banka Dökümü'!$A$2:$A$2001,$E1408))</ns0:f>
        <ns0:v/>
      </ns0:c>
      <ns0:c r="B1408" s="28" t="str">
        <ns0:f>IF($E1408="","",INDEX('Banka Dökümü'!$B$2:$B$2001,$E1408))</ns0:f>
        <ns0:v/>
      </ns0:c>
      <ns0:c r="C1408" s="33" t="str">
        <ns0:f>IF($E1408="","",INDEX('Banka Dökümü'!$C$2:$C$2001,$E1408))</ns0:f>
        <ns0:v/>
      </ns0:c>
      <ns0:c r="D1408" s="28" t="str">
        <ns0:f>IF(E1408="","","Müşteri adı / aranacak ad / il bilgisini kontrol edin")</ns0:f>
        <ns0:v/>
      </ns0:c>
      <ns0:c r="E1408" s="28" t="str">
        <ns0:f>IFERROR(MATCH(1404,'Banka Dökümü'!$I$2:$I$2001,0),"")</ns0:f>
        <ns0:v/>
      </ns0:c>
    </ns0:row>
    <ns0:row r="1409" ht="21" customHeight="1">
      <ns0:c r="A1409" s="32" t="str">
        <ns0:f>IF($E1409="","",INDEX('Banka Dökümü'!$A$2:$A$2001,$E1409))</ns0:f>
        <ns0:v/>
      </ns0:c>
      <ns0:c r="B1409" s="28" t="str">
        <ns0:f>IF($E1409="","",INDEX('Banka Dökümü'!$B$2:$B$2001,$E1409))</ns0:f>
        <ns0:v/>
      </ns0:c>
      <ns0:c r="C1409" s="33" t="str">
        <ns0:f>IF($E1409="","",INDEX('Banka Dökümü'!$C$2:$C$2001,$E1409))</ns0:f>
        <ns0:v/>
      </ns0:c>
      <ns0:c r="D1409" s="28" t="str">
        <ns0:f>IF(E1409="","","Müşteri adı / aranacak ad / il bilgisini kontrol edin")</ns0:f>
        <ns0:v/>
      </ns0:c>
      <ns0:c r="E1409" s="28" t="str">
        <ns0:f>IFERROR(MATCH(1405,'Banka Dökümü'!$I$2:$I$2001,0),"")</ns0:f>
        <ns0:v/>
      </ns0:c>
    </ns0:row>
    <ns0:row r="1410" ht="21" customHeight="1">
      <ns0:c r="A1410" s="32" t="str">
        <ns0:f>IF($E1410="","",INDEX('Banka Dökümü'!$A$2:$A$2001,$E1410))</ns0:f>
        <ns0:v/>
      </ns0:c>
      <ns0:c r="B1410" s="28" t="str">
        <ns0:f>IF($E1410="","",INDEX('Banka Dökümü'!$B$2:$B$2001,$E1410))</ns0:f>
        <ns0:v/>
      </ns0:c>
      <ns0:c r="C1410" s="33" t="str">
        <ns0:f>IF($E1410="","",INDEX('Banka Dökümü'!$C$2:$C$2001,$E1410))</ns0:f>
        <ns0:v/>
      </ns0:c>
      <ns0:c r="D1410" s="28" t="str">
        <ns0:f>IF(E1410="","","Müşteri adı / aranacak ad / il bilgisini kontrol edin")</ns0:f>
        <ns0:v/>
      </ns0:c>
      <ns0:c r="E1410" s="28" t="str">
        <ns0:f>IFERROR(MATCH(1406,'Banka Dökümü'!$I$2:$I$2001,0),"")</ns0:f>
        <ns0:v/>
      </ns0:c>
    </ns0:row>
    <ns0:row r="1411" ht="21" customHeight="1">
      <ns0:c r="A1411" s="32" t="str">
        <ns0:f>IF($E1411="","",INDEX('Banka Dökümü'!$A$2:$A$2001,$E1411))</ns0:f>
        <ns0:v/>
      </ns0:c>
      <ns0:c r="B1411" s="28" t="str">
        <ns0:f>IF($E1411="","",INDEX('Banka Dökümü'!$B$2:$B$2001,$E1411))</ns0:f>
        <ns0:v/>
      </ns0:c>
      <ns0:c r="C1411" s="33" t="str">
        <ns0:f>IF($E1411="","",INDEX('Banka Dökümü'!$C$2:$C$2001,$E1411))</ns0:f>
        <ns0:v/>
      </ns0:c>
      <ns0:c r="D1411" s="28" t="str">
        <ns0:f>IF(E1411="","","Müşteri adı / aranacak ad / il bilgisini kontrol edin")</ns0:f>
        <ns0:v/>
      </ns0:c>
      <ns0:c r="E1411" s="28" t="str">
        <ns0:f>IFERROR(MATCH(1407,'Banka Dökümü'!$I$2:$I$2001,0),"")</ns0:f>
        <ns0:v/>
      </ns0:c>
    </ns0:row>
    <ns0:row r="1412" ht="21" customHeight="1">
      <ns0:c r="A1412" s="32" t="str">
        <ns0:f>IF($E1412="","",INDEX('Banka Dökümü'!$A$2:$A$2001,$E1412))</ns0:f>
        <ns0:v/>
      </ns0:c>
      <ns0:c r="B1412" s="28" t="str">
        <ns0:f>IF($E1412="","",INDEX('Banka Dökümü'!$B$2:$B$2001,$E1412))</ns0:f>
        <ns0:v/>
      </ns0:c>
      <ns0:c r="C1412" s="33" t="str">
        <ns0:f>IF($E1412="","",INDEX('Banka Dökümü'!$C$2:$C$2001,$E1412))</ns0:f>
        <ns0:v/>
      </ns0:c>
      <ns0:c r="D1412" s="28" t="str">
        <ns0:f>IF(E1412="","","Müşteri adı / aranacak ad / il bilgisini kontrol edin")</ns0:f>
        <ns0:v/>
      </ns0:c>
      <ns0:c r="E1412" s="28" t="str">
        <ns0:f>IFERROR(MATCH(1408,'Banka Dökümü'!$I$2:$I$2001,0),"")</ns0:f>
        <ns0:v/>
      </ns0:c>
    </ns0:row>
    <ns0:row r="1413" ht="21" customHeight="1">
      <ns0:c r="A1413" s="32" t="str">
        <ns0:f>IF($E1413="","",INDEX('Banka Dökümü'!$A$2:$A$2001,$E1413))</ns0:f>
        <ns0:v/>
      </ns0:c>
      <ns0:c r="B1413" s="28" t="str">
        <ns0:f>IF($E1413="","",INDEX('Banka Dökümü'!$B$2:$B$2001,$E1413))</ns0:f>
        <ns0:v/>
      </ns0:c>
      <ns0:c r="C1413" s="33" t="str">
        <ns0:f>IF($E1413="","",INDEX('Banka Dökümü'!$C$2:$C$2001,$E1413))</ns0:f>
        <ns0:v/>
      </ns0:c>
      <ns0:c r="D1413" s="28" t="str">
        <ns0:f>IF(E1413="","","Müşteri adı / aranacak ad / il bilgisini kontrol edin")</ns0:f>
        <ns0:v/>
      </ns0:c>
      <ns0:c r="E1413" s="28" t="str">
        <ns0:f>IFERROR(MATCH(1409,'Banka Dökümü'!$I$2:$I$2001,0),"")</ns0:f>
        <ns0:v/>
      </ns0:c>
    </ns0:row>
    <ns0:row r="1414" ht="21" customHeight="1">
      <ns0:c r="A1414" s="32" t="str">
        <ns0:f>IF($E1414="","",INDEX('Banka Dökümü'!$A$2:$A$2001,$E1414))</ns0:f>
        <ns0:v/>
      </ns0:c>
      <ns0:c r="B1414" s="28" t="str">
        <ns0:f>IF($E1414="","",INDEX('Banka Dökümü'!$B$2:$B$2001,$E1414))</ns0:f>
        <ns0:v/>
      </ns0:c>
      <ns0:c r="C1414" s="33" t="str">
        <ns0:f>IF($E1414="","",INDEX('Banka Dökümü'!$C$2:$C$2001,$E1414))</ns0:f>
        <ns0:v/>
      </ns0:c>
      <ns0:c r="D1414" s="28" t="str">
        <ns0:f>IF(E1414="","","Müşteri adı / aranacak ad / il bilgisini kontrol edin")</ns0:f>
        <ns0:v/>
      </ns0:c>
      <ns0:c r="E1414" s="28" t="str">
        <ns0:f>IFERROR(MATCH(1410,'Banka Dökümü'!$I$2:$I$2001,0),"")</ns0:f>
        <ns0:v/>
      </ns0:c>
    </ns0:row>
    <ns0:row r="1415" ht="21" customHeight="1">
      <ns0:c r="A1415" s="32" t="str">
        <ns0:f>IF($E1415="","",INDEX('Banka Dökümü'!$A$2:$A$2001,$E1415))</ns0:f>
        <ns0:v/>
      </ns0:c>
      <ns0:c r="B1415" s="28" t="str">
        <ns0:f>IF($E1415="","",INDEX('Banka Dökümü'!$B$2:$B$2001,$E1415))</ns0:f>
        <ns0:v/>
      </ns0:c>
      <ns0:c r="C1415" s="33" t="str">
        <ns0:f>IF($E1415="","",INDEX('Banka Dökümü'!$C$2:$C$2001,$E1415))</ns0:f>
        <ns0:v/>
      </ns0:c>
      <ns0:c r="D1415" s="28" t="str">
        <ns0:f>IF(E1415="","","Müşteri adı / aranacak ad / il bilgisini kontrol edin")</ns0:f>
        <ns0:v/>
      </ns0:c>
      <ns0:c r="E1415" s="28" t="str">
        <ns0:f>IFERROR(MATCH(1411,'Banka Dökümü'!$I$2:$I$2001,0),"")</ns0:f>
        <ns0:v/>
      </ns0:c>
    </ns0:row>
    <ns0:row r="1416" ht="21" customHeight="1">
      <ns0:c r="A1416" s="32" t="str">
        <ns0:f>IF($E1416="","",INDEX('Banka Dökümü'!$A$2:$A$2001,$E1416))</ns0:f>
        <ns0:v/>
      </ns0:c>
      <ns0:c r="B1416" s="28" t="str">
        <ns0:f>IF($E1416="","",INDEX('Banka Dökümü'!$B$2:$B$2001,$E1416))</ns0:f>
        <ns0:v/>
      </ns0:c>
      <ns0:c r="C1416" s="33" t="str">
        <ns0:f>IF($E1416="","",INDEX('Banka Dökümü'!$C$2:$C$2001,$E1416))</ns0:f>
        <ns0:v/>
      </ns0:c>
      <ns0:c r="D1416" s="28" t="str">
        <ns0:f>IF(E1416="","","Müşteri adı / aranacak ad / il bilgisini kontrol edin")</ns0:f>
        <ns0:v/>
      </ns0:c>
      <ns0:c r="E1416" s="28" t="str">
        <ns0:f>IFERROR(MATCH(1412,'Banka Dökümü'!$I$2:$I$2001,0),"")</ns0:f>
        <ns0:v/>
      </ns0:c>
    </ns0:row>
    <ns0:row r="1417" ht="21" customHeight="1">
      <ns0:c r="A1417" s="32" t="str">
        <ns0:f>IF($E1417="","",INDEX('Banka Dökümü'!$A$2:$A$2001,$E1417))</ns0:f>
        <ns0:v/>
      </ns0:c>
      <ns0:c r="B1417" s="28" t="str">
        <ns0:f>IF($E1417="","",INDEX('Banka Dökümü'!$B$2:$B$2001,$E1417))</ns0:f>
        <ns0:v/>
      </ns0:c>
      <ns0:c r="C1417" s="33" t="str">
        <ns0:f>IF($E1417="","",INDEX('Banka Dökümü'!$C$2:$C$2001,$E1417))</ns0:f>
        <ns0:v/>
      </ns0:c>
      <ns0:c r="D1417" s="28" t="str">
        <ns0:f>IF(E1417="","","Müşteri adı / aranacak ad / il bilgisini kontrol edin")</ns0:f>
        <ns0:v/>
      </ns0:c>
      <ns0:c r="E1417" s="28" t="str">
        <ns0:f>IFERROR(MATCH(1413,'Banka Dökümü'!$I$2:$I$2001,0),"")</ns0:f>
        <ns0:v/>
      </ns0:c>
    </ns0:row>
    <ns0:row r="1418" ht="21" customHeight="1">
      <ns0:c r="A1418" s="32" t="str">
        <ns0:f>IF($E1418="","",INDEX('Banka Dökümü'!$A$2:$A$2001,$E1418))</ns0:f>
        <ns0:v/>
      </ns0:c>
      <ns0:c r="B1418" s="28" t="str">
        <ns0:f>IF($E1418="","",INDEX('Banka Dökümü'!$B$2:$B$2001,$E1418))</ns0:f>
        <ns0:v/>
      </ns0:c>
      <ns0:c r="C1418" s="33" t="str">
        <ns0:f>IF($E1418="","",INDEX('Banka Dökümü'!$C$2:$C$2001,$E1418))</ns0:f>
        <ns0:v/>
      </ns0:c>
      <ns0:c r="D1418" s="28" t="str">
        <ns0:f>IF(E1418="","","Müşteri adı / aranacak ad / il bilgisini kontrol edin")</ns0:f>
        <ns0:v/>
      </ns0:c>
      <ns0:c r="E1418" s="28" t="str">
        <ns0:f>IFERROR(MATCH(1414,'Banka Dökümü'!$I$2:$I$2001,0),"")</ns0:f>
        <ns0:v/>
      </ns0:c>
    </ns0:row>
    <ns0:row r="1419" ht="21" customHeight="1">
      <ns0:c r="A1419" s="32" t="str">
        <ns0:f>IF($E1419="","",INDEX('Banka Dökümü'!$A$2:$A$2001,$E1419))</ns0:f>
        <ns0:v/>
      </ns0:c>
      <ns0:c r="B1419" s="28" t="str">
        <ns0:f>IF($E1419="","",INDEX('Banka Dökümü'!$B$2:$B$2001,$E1419))</ns0:f>
        <ns0:v/>
      </ns0:c>
      <ns0:c r="C1419" s="33" t="str">
        <ns0:f>IF($E1419="","",INDEX('Banka Dökümü'!$C$2:$C$2001,$E1419))</ns0:f>
        <ns0:v/>
      </ns0:c>
      <ns0:c r="D1419" s="28" t="str">
        <ns0:f>IF(E1419="","","Müşteri adı / aranacak ad / il bilgisini kontrol edin")</ns0:f>
        <ns0:v/>
      </ns0:c>
      <ns0:c r="E1419" s="28" t="str">
        <ns0:f>IFERROR(MATCH(1415,'Banka Dökümü'!$I$2:$I$2001,0),"")</ns0:f>
        <ns0:v/>
      </ns0:c>
    </ns0:row>
    <ns0:row r="1420" ht="21" customHeight="1">
      <ns0:c r="A1420" s="32" t="str">
        <ns0:f>IF($E1420="","",INDEX('Banka Dökümü'!$A$2:$A$2001,$E1420))</ns0:f>
        <ns0:v/>
      </ns0:c>
      <ns0:c r="B1420" s="28" t="str">
        <ns0:f>IF($E1420="","",INDEX('Banka Dökümü'!$B$2:$B$2001,$E1420))</ns0:f>
        <ns0:v/>
      </ns0:c>
      <ns0:c r="C1420" s="33" t="str">
        <ns0:f>IF($E1420="","",INDEX('Banka Dökümü'!$C$2:$C$2001,$E1420))</ns0:f>
        <ns0:v/>
      </ns0:c>
      <ns0:c r="D1420" s="28" t="str">
        <ns0:f>IF(E1420="","","Müşteri adı / aranacak ad / il bilgisini kontrol edin")</ns0:f>
        <ns0:v/>
      </ns0:c>
      <ns0:c r="E1420" s="28" t="str">
        <ns0:f>IFERROR(MATCH(1416,'Banka Dökümü'!$I$2:$I$2001,0),"")</ns0:f>
        <ns0:v/>
      </ns0:c>
    </ns0:row>
    <ns0:row r="1421" ht="21" customHeight="1">
      <ns0:c r="A1421" s="32" t="str">
        <ns0:f>IF($E1421="","",INDEX('Banka Dökümü'!$A$2:$A$2001,$E1421))</ns0:f>
        <ns0:v/>
      </ns0:c>
      <ns0:c r="B1421" s="28" t="str">
        <ns0:f>IF($E1421="","",INDEX('Banka Dökümü'!$B$2:$B$2001,$E1421))</ns0:f>
        <ns0:v/>
      </ns0:c>
      <ns0:c r="C1421" s="33" t="str">
        <ns0:f>IF($E1421="","",INDEX('Banka Dökümü'!$C$2:$C$2001,$E1421))</ns0:f>
        <ns0:v/>
      </ns0:c>
      <ns0:c r="D1421" s="28" t="str">
        <ns0:f>IF(E1421="","","Müşteri adı / aranacak ad / il bilgisini kontrol edin")</ns0:f>
        <ns0:v/>
      </ns0:c>
      <ns0:c r="E1421" s="28" t="str">
        <ns0:f>IFERROR(MATCH(1417,'Banka Dökümü'!$I$2:$I$2001,0),"")</ns0:f>
        <ns0:v/>
      </ns0:c>
    </ns0:row>
    <ns0:row r="1422" ht="21" customHeight="1">
      <ns0:c r="A1422" s="32" t="str">
        <ns0:f>IF($E1422="","",INDEX('Banka Dökümü'!$A$2:$A$2001,$E1422))</ns0:f>
        <ns0:v/>
      </ns0:c>
      <ns0:c r="B1422" s="28" t="str">
        <ns0:f>IF($E1422="","",INDEX('Banka Dökümü'!$B$2:$B$2001,$E1422))</ns0:f>
        <ns0:v/>
      </ns0:c>
      <ns0:c r="C1422" s="33" t="str">
        <ns0:f>IF($E1422="","",INDEX('Banka Dökümü'!$C$2:$C$2001,$E1422))</ns0:f>
        <ns0:v/>
      </ns0:c>
      <ns0:c r="D1422" s="28" t="str">
        <ns0:f>IF(E1422="","","Müşteri adı / aranacak ad / il bilgisini kontrol edin")</ns0:f>
        <ns0:v/>
      </ns0:c>
      <ns0:c r="E1422" s="28" t="str">
        <ns0:f>IFERROR(MATCH(1418,'Banka Dökümü'!$I$2:$I$2001,0),"")</ns0:f>
        <ns0:v/>
      </ns0:c>
    </ns0:row>
    <ns0:row r="1423" ht="21" customHeight="1">
      <ns0:c r="A1423" s="32" t="str">
        <ns0:f>IF($E1423="","",INDEX('Banka Dökümü'!$A$2:$A$2001,$E1423))</ns0:f>
        <ns0:v/>
      </ns0:c>
      <ns0:c r="B1423" s="28" t="str">
        <ns0:f>IF($E1423="","",INDEX('Banka Dökümü'!$B$2:$B$2001,$E1423))</ns0:f>
        <ns0:v/>
      </ns0:c>
      <ns0:c r="C1423" s="33" t="str">
        <ns0:f>IF($E1423="","",INDEX('Banka Dökümü'!$C$2:$C$2001,$E1423))</ns0:f>
        <ns0:v/>
      </ns0:c>
      <ns0:c r="D1423" s="28" t="str">
        <ns0:f>IF(E1423="","","Müşteri adı / aranacak ad / il bilgisini kontrol edin")</ns0:f>
        <ns0:v/>
      </ns0:c>
      <ns0:c r="E1423" s="28" t="str">
        <ns0:f>IFERROR(MATCH(1419,'Banka Dökümü'!$I$2:$I$2001,0),"")</ns0:f>
        <ns0:v/>
      </ns0:c>
    </ns0:row>
    <ns0:row r="1424" ht="21" customHeight="1">
      <ns0:c r="A1424" s="32" t="str">
        <ns0:f>IF($E1424="","",INDEX('Banka Dökümü'!$A$2:$A$2001,$E1424))</ns0:f>
        <ns0:v/>
      </ns0:c>
      <ns0:c r="B1424" s="28" t="str">
        <ns0:f>IF($E1424="","",INDEX('Banka Dökümü'!$B$2:$B$2001,$E1424))</ns0:f>
        <ns0:v/>
      </ns0:c>
      <ns0:c r="C1424" s="33" t="str">
        <ns0:f>IF($E1424="","",INDEX('Banka Dökümü'!$C$2:$C$2001,$E1424))</ns0:f>
        <ns0:v/>
      </ns0:c>
      <ns0:c r="D1424" s="28" t="str">
        <ns0:f>IF(E1424="","","Müşteri adı / aranacak ad / il bilgisini kontrol edin")</ns0:f>
        <ns0:v/>
      </ns0:c>
      <ns0:c r="E1424" s="28" t="str">
        <ns0:f>IFERROR(MATCH(1420,'Banka Dökümü'!$I$2:$I$2001,0),"")</ns0:f>
        <ns0:v/>
      </ns0:c>
    </ns0:row>
    <ns0:row r="1425" ht="21" customHeight="1">
      <ns0:c r="A1425" s="32" t="str">
        <ns0:f>IF($E1425="","",INDEX('Banka Dökümü'!$A$2:$A$2001,$E1425))</ns0:f>
        <ns0:v/>
      </ns0:c>
      <ns0:c r="B1425" s="28" t="str">
        <ns0:f>IF($E1425="","",INDEX('Banka Dökümü'!$B$2:$B$2001,$E1425))</ns0:f>
        <ns0:v/>
      </ns0:c>
      <ns0:c r="C1425" s="33" t="str">
        <ns0:f>IF($E1425="","",INDEX('Banka Dökümü'!$C$2:$C$2001,$E1425))</ns0:f>
        <ns0:v/>
      </ns0:c>
      <ns0:c r="D1425" s="28" t="str">
        <ns0:f>IF(E1425="","","Müşteri adı / aranacak ad / il bilgisini kontrol edin")</ns0:f>
        <ns0:v/>
      </ns0:c>
      <ns0:c r="E1425" s="28" t="str">
        <ns0:f>IFERROR(MATCH(1421,'Banka Dökümü'!$I$2:$I$2001,0),"")</ns0:f>
        <ns0:v/>
      </ns0:c>
    </ns0:row>
    <ns0:row r="1426" ht="21" customHeight="1">
      <ns0:c r="A1426" s="32" t="str">
        <ns0:f>IF($E1426="","",INDEX('Banka Dökümü'!$A$2:$A$2001,$E1426))</ns0:f>
        <ns0:v/>
      </ns0:c>
      <ns0:c r="B1426" s="28" t="str">
        <ns0:f>IF($E1426="","",INDEX('Banka Dökümü'!$B$2:$B$2001,$E1426))</ns0:f>
        <ns0:v/>
      </ns0:c>
      <ns0:c r="C1426" s="33" t="str">
        <ns0:f>IF($E1426="","",INDEX('Banka Dökümü'!$C$2:$C$2001,$E1426))</ns0:f>
        <ns0:v/>
      </ns0:c>
      <ns0:c r="D1426" s="28" t="str">
        <ns0:f>IF(E1426="","","Müşteri adı / aranacak ad / il bilgisini kontrol edin")</ns0:f>
        <ns0:v/>
      </ns0:c>
      <ns0:c r="E1426" s="28" t="str">
        <ns0:f>IFERROR(MATCH(1422,'Banka Dökümü'!$I$2:$I$2001,0),"")</ns0:f>
        <ns0:v/>
      </ns0:c>
    </ns0:row>
    <ns0:row r="1427" ht="21" customHeight="1">
      <ns0:c r="A1427" s="32" t="str">
        <ns0:f>IF($E1427="","",INDEX('Banka Dökümü'!$A$2:$A$2001,$E1427))</ns0:f>
        <ns0:v/>
      </ns0:c>
      <ns0:c r="B1427" s="28" t="str">
        <ns0:f>IF($E1427="","",INDEX('Banka Dökümü'!$B$2:$B$2001,$E1427))</ns0:f>
        <ns0:v/>
      </ns0:c>
      <ns0:c r="C1427" s="33" t="str">
        <ns0:f>IF($E1427="","",INDEX('Banka Dökümü'!$C$2:$C$2001,$E1427))</ns0:f>
        <ns0:v/>
      </ns0:c>
      <ns0:c r="D1427" s="28" t="str">
        <ns0:f>IF(E1427="","","Müşteri adı / aranacak ad / il bilgisini kontrol edin")</ns0:f>
        <ns0:v/>
      </ns0:c>
      <ns0:c r="E1427" s="28" t="str">
        <ns0:f>IFERROR(MATCH(1423,'Banka Dökümü'!$I$2:$I$2001,0),"")</ns0:f>
        <ns0:v/>
      </ns0:c>
    </ns0:row>
    <ns0:row r="1428" ht="21" customHeight="1">
      <ns0:c r="A1428" s="32" t="str">
        <ns0:f>IF($E1428="","",INDEX('Banka Dökümü'!$A$2:$A$2001,$E1428))</ns0:f>
        <ns0:v/>
      </ns0:c>
      <ns0:c r="B1428" s="28" t="str">
        <ns0:f>IF($E1428="","",INDEX('Banka Dökümü'!$B$2:$B$2001,$E1428))</ns0:f>
        <ns0:v/>
      </ns0:c>
      <ns0:c r="C1428" s="33" t="str">
        <ns0:f>IF($E1428="","",INDEX('Banka Dökümü'!$C$2:$C$2001,$E1428))</ns0:f>
        <ns0:v/>
      </ns0:c>
      <ns0:c r="D1428" s="28" t="str">
        <ns0:f>IF(E1428="","","Müşteri adı / aranacak ad / il bilgisini kontrol edin")</ns0:f>
        <ns0:v/>
      </ns0:c>
      <ns0:c r="E1428" s="28" t="str">
        <ns0:f>IFERROR(MATCH(1424,'Banka Dökümü'!$I$2:$I$2001,0),"")</ns0:f>
        <ns0:v/>
      </ns0:c>
    </ns0:row>
    <ns0:row r="1429" ht="21" customHeight="1">
      <ns0:c r="A1429" s="32" t="str">
        <ns0:f>IF($E1429="","",INDEX('Banka Dökümü'!$A$2:$A$2001,$E1429))</ns0:f>
        <ns0:v/>
      </ns0:c>
      <ns0:c r="B1429" s="28" t="str">
        <ns0:f>IF($E1429="","",INDEX('Banka Dökümü'!$B$2:$B$2001,$E1429))</ns0:f>
        <ns0:v/>
      </ns0:c>
      <ns0:c r="C1429" s="33" t="str">
        <ns0:f>IF($E1429="","",INDEX('Banka Dökümü'!$C$2:$C$2001,$E1429))</ns0:f>
        <ns0:v/>
      </ns0:c>
      <ns0:c r="D1429" s="28" t="str">
        <ns0:f>IF(E1429="","","Müşteri adı / aranacak ad / il bilgisini kontrol edin")</ns0:f>
        <ns0:v/>
      </ns0:c>
      <ns0:c r="E1429" s="28" t="str">
        <ns0:f>IFERROR(MATCH(1425,'Banka Dökümü'!$I$2:$I$2001,0),"")</ns0:f>
        <ns0:v/>
      </ns0:c>
    </ns0:row>
    <ns0:row r="1430" ht="21" customHeight="1">
      <ns0:c r="A1430" s="32" t="str">
        <ns0:f>IF($E1430="","",INDEX('Banka Dökümü'!$A$2:$A$2001,$E1430))</ns0:f>
        <ns0:v/>
      </ns0:c>
      <ns0:c r="B1430" s="28" t="str">
        <ns0:f>IF($E1430="","",INDEX('Banka Dökümü'!$B$2:$B$2001,$E1430))</ns0:f>
        <ns0:v/>
      </ns0:c>
      <ns0:c r="C1430" s="33" t="str">
        <ns0:f>IF($E1430="","",INDEX('Banka Dökümü'!$C$2:$C$2001,$E1430))</ns0:f>
        <ns0:v/>
      </ns0:c>
      <ns0:c r="D1430" s="28" t="str">
        <ns0:f>IF(E1430="","","Müşteri adı / aranacak ad / il bilgisini kontrol edin")</ns0:f>
        <ns0:v/>
      </ns0:c>
      <ns0:c r="E1430" s="28" t="str">
        <ns0:f>IFERROR(MATCH(1426,'Banka Dökümü'!$I$2:$I$2001,0),"")</ns0:f>
        <ns0:v/>
      </ns0:c>
    </ns0:row>
    <ns0:row r="1431" ht="21" customHeight="1">
      <ns0:c r="A1431" s="32" t="str">
        <ns0:f>IF($E1431="","",INDEX('Banka Dökümü'!$A$2:$A$2001,$E1431))</ns0:f>
        <ns0:v/>
      </ns0:c>
      <ns0:c r="B1431" s="28" t="str">
        <ns0:f>IF($E1431="","",INDEX('Banka Dökümü'!$B$2:$B$2001,$E1431))</ns0:f>
        <ns0:v/>
      </ns0:c>
      <ns0:c r="C1431" s="33" t="str">
        <ns0:f>IF($E1431="","",INDEX('Banka Dökümü'!$C$2:$C$2001,$E1431))</ns0:f>
        <ns0:v/>
      </ns0:c>
      <ns0:c r="D1431" s="28" t="str">
        <ns0:f>IF(E1431="","","Müşteri adı / aranacak ad / il bilgisini kontrol edin")</ns0:f>
        <ns0:v/>
      </ns0:c>
      <ns0:c r="E1431" s="28" t="str">
        <ns0:f>IFERROR(MATCH(1427,'Banka Dökümü'!$I$2:$I$2001,0),"")</ns0:f>
        <ns0:v/>
      </ns0:c>
    </ns0:row>
    <ns0:row r="1432" ht="21" customHeight="1">
      <ns0:c r="A1432" s="32" t="str">
        <ns0:f>IF($E1432="","",INDEX('Banka Dökümü'!$A$2:$A$2001,$E1432))</ns0:f>
        <ns0:v/>
      </ns0:c>
      <ns0:c r="B1432" s="28" t="str">
        <ns0:f>IF($E1432="","",INDEX('Banka Dökümü'!$B$2:$B$2001,$E1432))</ns0:f>
        <ns0:v/>
      </ns0:c>
      <ns0:c r="C1432" s="33" t="str">
        <ns0:f>IF($E1432="","",INDEX('Banka Dökümü'!$C$2:$C$2001,$E1432))</ns0:f>
        <ns0:v/>
      </ns0:c>
      <ns0:c r="D1432" s="28" t="str">
        <ns0:f>IF(E1432="","","Müşteri adı / aranacak ad / il bilgisini kontrol edin")</ns0:f>
        <ns0:v/>
      </ns0:c>
      <ns0:c r="E1432" s="28" t="str">
        <ns0:f>IFERROR(MATCH(1428,'Banka Dökümü'!$I$2:$I$2001,0),"")</ns0:f>
        <ns0:v/>
      </ns0:c>
    </ns0:row>
    <ns0:row r="1433" ht="21" customHeight="1">
      <ns0:c r="A1433" s="32" t="str">
        <ns0:f>IF($E1433="","",INDEX('Banka Dökümü'!$A$2:$A$2001,$E1433))</ns0:f>
        <ns0:v/>
      </ns0:c>
      <ns0:c r="B1433" s="28" t="str">
        <ns0:f>IF($E1433="","",INDEX('Banka Dökümü'!$B$2:$B$2001,$E1433))</ns0:f>
        <ns0:v/>
      </ns0:c>
      <ns0:c r="C1433" s="33" t="str">
        <ns0:f>IF($E1433="","",INDEX('Banka Dökümü'!$C$2:$C$2001,$E1433))</ns0:f>
        <ns0:v/>
      </ns0:c>
      <ns0:c r="D1433" s="28" t="str">
        <ns0:f>IF(E1433="","","Müşteri adı / aranacak ad / il bilgisini kontrol edin")</ns0:f>
        <ns0:v/>
      </ns0:c>
      <ns0:c r="E1433" s="28" t="str">
        <ns0:f>IFERROR(MATCH(1429,'Banka Dökümü'!$I$2:$I$2001,0),"")</ns0:f>
        <ns0:v/>
      </ns0:c>
    </ns0:row>
    <ns0:row r="1434" ht="21" customHeight="1">
      <ns0:c r="A1434" s="32" t="str">
        <ns0:f>IF($E1434="","",INDEX('Banka Dökümü'!$A$2:$A$2001,$E1434))</ns0:f>
        <ns0:v/>
      </ns0:c>
      <ns0:c r="B1434" s="28" t="str">
        <ns0:f>IF($E1434="","",INDEX('Banka Dökümü'!$B$2:$B$2001,$E1434))</ns0:f>
        <ns0:v/>
      </ns0:c>
      <ns0:c r="C1434" s="33" t="str">
        <ns0:f>IF($E1434="","",INDEX('Banka Dökümü'!$C$2:$C$2001,$E1434))</ns0:f>
        <ns0:v/>
      </ns0:c>
      <ns0:c r="D1434" s="28" t="str">
        <ns0:f>IF(E1434="","","Müşteri adı / aranacak ad / il bilgisini kontrol edin")</ns0:f>
        <ns0:v/>
      </ns0:c>
      <ns0:c r="E1434" s="28" t="str">
        <ns0:f>IFERROR(MATCH(1430,'Banka Dökümü'!$I$2:$I$2001,0),"")</ns0:f>
        <ns0:v/>
      </ns0:c>
    </ns0:row>
    <ns0:row r="1435" ht="21" customHeight="1">
      <ns0:c r="A1435" s="32" t="str">
        <ns0:f>IF($E1435="","",INDEX('Banka Dökümü'!$A$2:$A$2001,$E1435))</ns0:f>
        <ns0:v/>
      </ns0:c>
      <ns0:c r="B1435" s="28" t="str">
        <ns0:f>IF($E1435="","",INDEX('Banka Dökümü'!$B$2:$B$2001,$E1435))</ns0:f>
        <ns0:v/>
      </ns0:c>
      <ns0:c r="C1435" s="33" t="str">
        <ns0:f>IF($E1435="","",INDEX('Banka Dökümü'!$C$2:$C$2001,$E1435))</ns0:f>
        <ns0:v/>
      </ns0:c>
      <ns0:c r="D1435" s="28" t="str">
        <ns0:f>IF(E1435="","","Müşteri adı / aranacak ad / il bilgisini kontrol edin")</ns0:f>
        <ns0:v/>
      </ns0:c>
      <ns0:c r="E1435" s="28" t="str">
        <ns0:f>IFERROR(MATCH(1431,'Banka Dökümü'!$I$2:$I$2001,0),"")</ns0:f>
        <ns0:v/>
      </ns0:c>
    </ns0:row>
    <ns0:row r="1436" ht="21" customHeight="1">
      <ns0:c r="A1436" s="32" t="str">
        <ns0:f>IF($E1436="","",INDEX('Banka Dökümü'!$A$2:$A$2001,$E1436))</ns0:f>
        <ns0:v/>
      </ns0:c>
      <ns0:c r="B1436" s="28" t="str">
        <ns0:f>IF($E1436="","",INDEX('Banka Dökümü'!$B$2:$B$2001,$E1436))</ns0:f>
        <ns0:v/>
      </ns0:c>
      <ns0:c r="C1436" s="33" t="str">
        <ns0:f>IF($E1436="","",INDEX('Banka Dökümü'!$C$2:$C$2001,$E1436))</ns0:f>
        <ns0:v/>
      </ns0:c>
      <ns0:c r="D1436" s="28" t="str">
        <ns0:f>IF(E1436="","","Müşteri adı / aranacak ad / il bilgisini kontrol edin")</ns0:f>
        <ns0:v/>
      </ns0:c>
      <ns0:c r="E1436" s="28" t="str">
        <ns0:f>IFERROR(MATCH(1432,'Banka Dökümü'!$I$2:$I$2001,0),"")</ns0:f>
        <ns0:v/>
      </ns0:c>
    </ns0:row>
    <ns0:row r="1437" ht="21" customHeight="1">
      <ns0:c r="A1437" s="32" t="str">
        <ns0:f>IF($E1437="","",INDEX('Banka Dökümü'!$A$2:$A$2001,$E1437))</ns0:f>
        <ns0:v/>
      </ns0:c>
      <ns0:c r="B1437" s="28" t="str">
        <ns0:f>IF($E1437="","",INDEX('Banka Dökümü'!$B$2:$B$2001,$E1437))</ns0:f>
        <ns0:v/>
      </ns0:c>
      <ns0:c r="C1437" s="33" t="str">
        <ns0:f>IF($E1437="","",INDEX('Banka Dökümü'!$C$2:$C$2001,$E1437))</ns0:f>
        <ns0:v/>
      </ns0:c>
      <ns0:c r="D1437" s="28" t="str">
        <ns0:f>IF(E1437="","","Müşteri adı / aranacak ad / il bilgisini kontrol edin")</ns0:f>
        <ns0:v/>
      </ns0:c>
      <ns0:c r="E1437" s="28" t="str">
        <ns0:f>IFERROR(MATCH(1433,'Banka Dökümü'!$I$2:$I$2001,0),"")</ns0:f>
        <ns0:v/>
      </ns0:c>
    </ns0:row>
    <ns0:row r="1438" ht="21" customHeight="1">
      <ns0:c r="A1438" s="32" t="str">
        <ns0:f>IF($E1438="","",INDEX('Banka Dökümü'!$A$2:$A$2001,$E1438))</ns0:f>
        <ns0:v/>
      </ns0:c>
      <ns0:c r="B1438" s="28" t="str">
        <ns0:f>IF($E1438="","",INDEX('Banka Dökümü'!$B$2:$B$2001,$E1438))</ns0:f>
        <ns0:v/>
      </ns0:c>
      <ns0:c r="C1438" s="33" t="str">
        <ns0:f>IF($E1438="","",INDEX('Banka Dökümü'!$C$2:$C$2001,$E1438))</ns0:f>
        <ns0:v/>
      </ns0:c>
      <ns0:c r="D1438" s="28" t="str">
        <ns0:f>IF(E1438="","","Müşteri adı / aranacak ad / il bilgisini kontrol edin")</ns0:f>
        <ns0:v/>
      </ns0:c>
      <ns0:c r="E1438" s="28" t="str">
        <ns0:f>IFERROR(MATCH(1434,'Banka Dökümü'!$I$2:$I$2001,0),"")</ns0:f>
        <ns0:v/>
      </ns0:c>
    </ns0:row>
    <ns0:row r="1439" ht="21" customHeight="1">
      <ns0:c r="A1439" s="32" t="str">
        <ns0:f>IF($E1439="","",INDEX('Banka Dökümü'!$A$2:$A$2001,$E1439))</ns0:f>
        <ns0:v/>
      </ns0:c>
      <ns0:c r="B1439" s="28" t="str">
        <ns0:f>IF($E1439="","",INDEX('Banka Dökümü'!$B$2:$B$2001,$E1439))</ns0:f>
        <ns0:v/>
      </ns0:c>
      <ns0:c r="C1439" s="33" t="str">
        <ns0:f>IF($E1439="","",INDEX('Banka Dökümü'!$C$2:$C$2001,$E1439))</ns0:f>
        <ns0:v/>
      </ns0:c>
      <ns0:c r="D1439" s="28" t="str">
        <ns0:f>IF(E1439="","","Müşteri adı / aranacak ad / il bilgisini kontrol edin")</ns0:f>
        <ns0:v/>
      </ns0:c>
      <ns0:c r="E1439" s="28" t="str">
        <ns0:f>IFERROR(MATCH(1435,'Banka Dökümü'!$I$2:$I$2001,0),"")</ns0:f>
        <ns0:v/>
      </ns0:c>
    </ns0:row>
    <ns0:row r="1440" ht="21" customHeight="1">
      <ns0:c r="A1440" s="32" t="str">
        <ns0:f>IF($E1440="","",INDEX('Banka Dökümü'!$A$2:$A$2001,$E1440))</ns0:f>
        <ns0:v/>
      </ns0:c>
      <ns0:c r="B1440" s="28" t="str">
        <ns0:f>IF($E1440="","",INDEX('Banka Dökümü'!$B$2:$B$2001,$E1440))</ns0:f>
        <ns0:v/>
      </ns0:c>
      <ns0:c r="C1440" s="33" t="str">
        <ns0:f>IF($E1440="","",INDEX('Banka Dökümü'!$C$2:$C$2001,$E1440))</ns0:f>
        <ns0:v/>
      </ns0:c>
      <ns0:c r="D1440" s="28" t="str">
        <ns0:f>IF(E1440="","","Müşteri adı / aranacak ad / il bilgisini kontrol edin")</ns0:f>
        <ns0:v/>
      </ns0:c>
      <ns0:c r="E1440" s="28" t="str">
        <ns0:f>IFERROR(MATCH(1436,'Banka Dökümü'!$I$2:$I$2001,0),"")</ns0:f>
        <ns0:v/>
      </ns0:c>
    </ns0:row>
    <ns0:row r="1441" ht="21" customHeight="1">
      <ns0:c r="A1441" s="32" t="str">
        <ns0:f>IF($E1441="","",INDEX('Banka Dökümü'!$A$2:$A$2001,$E1441))</ns0:f>
        <ns0:v/>
      </ns0:c>
      <ns0:c r="B1441" s="28" t="str">
        <ns0:f>IF($E1441="","",INDEX('Banka Dökümü'!$B$2:$B$2001,$E1441))</ns0:f>
        <ns0:v/>
      </ns0:c>
      <ns0:c r="C1441" s="33" t="str">
        <ns0:f>IF($E1441="","",INDEX('Banka Dökümü'!$C$2:$C$2001,$E1441))</ns0:f>
        <ns0:v/>
      </ns0:c>
      <ns0:c r="D1441" s="28" t="str">
        <ns0:f>IF(E1441="","","Müşteri adı / aranacak ad / il bilgisini kontrol edin")</ns0:f>
        <ns0:v/>
      </ns0:c>
      <ns0:c r="E1441" s="28" t="str">
        <ns0:f>IFERROR(MATCH(1437,'Banka Dökümü'!$I$2:$I$2001,0),"")</ns0:f>
        <ns0:v/>
      </ns0:c>
    </ns0:row>
    <ns0:row r="1442" ht="21" customHeight="1">
      <ns0:c r="A1442" s="32" t="str">
        <ns0:f>IF($E1442="","",INDEX('Banka Dökümü'!$A$2:$A$2001,$E1442))</ns0:f>
        <ns0:v/>
      </ns0:c>
      <ns0:c r="B1442" s="28" t="str">
        <ns0:f>IF($E1442="","",INDEX('Banka Dökümü'!$B$2:$B$2001,$E1442))</ns0:f>
        <ns0:v/>
      </ns0:c>
      <ns0:c r="C1442" s="33" t="str">
        <ns0:f>IF($E1442="","",INDEX('Banka Dökümü'!$C$2:$C$2001,$E1442))</ns0:f>
        <ns0:v/>
      </ns0:c>
      <ns0:c r="D1442" s="28" t="str">
        <ns0:f>IF(E1442="","","Müşteri adı / aranacak ad / il bilgisini kontrol edin")</ns0:f>
        <ns0:v/>
      </ns0:c>
      <ns0:c r="E1442" s="28" t="str">
        <ns0:f>IFERROR(MATCH(1438,'Banka Dökümü'!$I$2:$I$2001,0),"")</ns0:f>
        <ns0:v/>
      </ns0:c>
    </ns0:row>
    <ns0:row r="1443" ht="21" customHeight="1">
      <ns0:c r="A1443" s="32" t="str">
        <ns0:f>IF($E1443="","",INDEX('Banka Dökümü'!$A$2:$A$2001,$E1443))</ns0:f>
        <ns0:v/>
      </ns0:c>
      <ns0:c r="B1443" s="28" t="str">
        <ns0:f>IF($E1443="","",INDEX('Banka Dökümü'!$B$2:$B$2001,$E1443))</ns0:f>
        <ns0:v/>
      </ns0:c>
      <ns0:c r="C1443" s="33" t="str">
        <ns0:f>IF($E1443="","",INDEX('Banka Dökümü'!$C$2:$C$2001,$E1443))</ns0:f>
        <ns0:v/>
      </ns0:c>
      <ns0:c r="D1443" s="28" t="str">
        <ns0:f>IF(E1443="","","Müşteri adı / aranacak ad / il bilgisini kontrol edin")</ns0:f>
        <ns0:v/>
      </ns0:c>
      <ns0:c r="E1443" s="28" t="str">
        <ns0:f>IFERROR(MATCH(1439,'Banka Dökümü'!$I$2:$I$2001,0),"")</ns0:f>
        <ns0:v/>
      </ns0:c>
    </ns0:row>
    <ns0:row r="1444" ht="21" customHeight="1">
      <ns0:c r="A1444" s="32" t="str">
        <ns0:f>IF($E1444="","",INDEX('Banka Dökümü'!$A$2:$A$2001,$E1444))</ns0:f>
        <ns0:v/>
      </ns0:c>
      <ns0:c r="B1444" s="28" t="str">
        <ns0:f>IF($E1444="","",INDEX('Banka Dökümü'!$B$2:$B$2001,$E1444))</ns0:f>
        <ns0:v/>
      </ns0:c>
      <ns0:c r="C1444" s="33" t="str">
        <ns0:f>IF($E1444="","",INDEX('Banka Dökümü'!$C$2:$C$2001,$E1444))</ns0:f>
        <ns0:v/>
      </ns0:c>
      <ns0:c r="D1444" s="28" t="str">
        <ns0:f>IF(E1444="","","Müşteri adı / aranacak ad / il bilgisini kontrol edin")</ns0:f>
        <ns0:v/>
      </ns0:c>
      <ns0:c r="E1444" s="28" t="str">
        <ns0:f>IFERROR(MATCH(1440,'Banka Dökümü'!$I$2:$I$2001,0),"")</ns0:f>
        <ns0:v/>
      </ns0:c>
    </ns0:row>
    <ns0:row r="1445" ht="21" customHeight="1">
      <ns0:c r="A1445" s="32" t="str">
        <ns0:f>IF($E1445="","",INDEX('Banka Dökümü'!$A$2:$A$2001,$E1445))</ns0:f>
        <ns0:v/>
      </ns0:c>
      <ns0:c r="B1445" s="28" t="str">
        <ns0:f>IF($E1445="","",INDEX('Banka Dökümü'!$B$2:$B$2001,$E1445))</ns0:f>
        <ns0:v/>
      </ns0:c>
      <ns0:c r="C1445" s="33" t="str">
        <ns0:f>IF($E1445="","",INDEX('Banka Dökümü'!$C$2:$C$2001,$E1445))</ns0:f>
        <ns0:v/>
      </ns0:c>
      <ns0:c r="D1445" s="28" t="str">
        <ns0:f>IF(E1445="","","Müşteri adı / aranacak ad / il bilgisini kontrol edin")</ns0:f>
        <ns0:v/>
      </ns0:c>
      <ns0:c r="E1445" s="28" t="str">
        <ns0:f>IFERROR(MATCH(1441,'Banka Dökümü'!$I$2:$I$2001,0),"")</ns0:f>
        <ns0:v/>
      </ns0:c>
    </ns0:row>
    <ns0:row r="1446" ht="21" customHeight="1">
      <ns0:c r="A1446" s="32" t="str">
        <ns0:f>IF($E1446="","",INDEX('Banka Dökümü'!$A$2:$A$2001,$E1446))</ns0:f>
        <ns0:v/>
      </ns0:c>
      <ns0:c r="B1446" s="28" t="str">
        <ns0:f>IF($E1446="","",INDEX('Banka Dökümü'!$B$2:$B$2001,$E1446))</ns0:f>
        <ns0:v/>
      </ns0:c>
      <ns0:c r="C1446" s="33" t="str">
        <ns0:f>IF($E1446="","",INDEX('Banka Dökümü'!$C$2:$C$2001,$E1446))</ns0:f>
        <ns0:v/>
      </ns0:c>
      <ns0:c r="D1446" s="28" t="str">
        <ns0:f>IF(E1446="","","Müşteri adı / aranacak ad / il bilgisini kontrol edin")</ns0:f>
        <ns0:v/>
      </ns0:c>
      <ns0:c r="E1446" s="28" t="str">
        <ns0:f>IFERROR(MATCH(1442,'Banka Dökümü'!$I$2:$I$2001,0),"")</ns0:f>
        <ns0:v/>
      </ns0:c>
    </ns0:row>
    <ns0:row r="1447" ht="21" customHeight="1">
      <ns0:c r="A1447" s="32" t="str">
        <ns0:f>IF($E1447="","",INDEX('Banka Dökümü'!$A$2:$A$2001,$E1447))</ns0:f>
        <ns0:v/>
      </ns0:c>
      <ns0:c r="B1447" s="28" t="str">
        <ns0:f>IF($E1447="","",INDEX('Banka Dökümü'!$B$2:$B$2001,$E1447))</ns0:f>
        <ns0:v/>
      </ns0:c>
      <ns0:c r="C1447" s="33" t="str">
        <ns0:f>IF($E1447="","",INDEX('Banka Dökümü'!$C$2:$C$2001,$E1447))</ns0:f>
        <ns0:v/>
      </ns0:c>
      <ns0:c r="D1447" s="28" t="str">
        <ns0:f>IF(E1447="","","Müşteri adı / aranacak ad / il bilgisini kontrol edin")</ns0:f>
        <ns0:v/>
      </ns0:c>
      <ns0:c r="E1447" s="28" t="str">
        <ns0:f>IFERROR(MATCH(1443,'Banka Dökümü'!$I$2:$I$2001,0),"")</ns0:f>
        <ns0:v/>
      </ns0:c>
    </ns0:row>
    <ns0:row r="1448" ht="21" customHeight="1">
      <ns0:c r="A1448" s="32" t="str">
        <ns0:f>IF($E1448="","",INDEX('Banka Dökümü'!$A$2:$A$2001,$E1448))</ns0:f>
        <ns0:v/>
      </ns0:c>
      <ns0:c r="B1448" s="28" t="str">
        <ns0:f>IF($E1448="","",INDEX('Banka Dökümü'!$B$2:$B$2001,$E1448))</ns0:f>
        <ns0:v/>
      </ns0:c>
      <ns0:c r="C1448" s="33" t="str">
        <ns0:f>IF($E1448="","",INDEX('Banka Dökümü'!$C$2:$C$2001,$E1448))</ns0:f>
        <ns0:v/>
      </ns0:c>
      <ns0:c r="D1448" s="28" t="str">
        <ns0:f>IF(E1448="","","Müşteri adı / aranacak ad / il bilgisini kontrol edin")</ns0:f>
        <ns0:v/>
      </ns0:c>
      <ns0:c r="E1448" s="28" t="str">
        <ns0:f>IFERROR(MATCH(1444,'Banka Dökümü'!$I$2:$I$2001,0),"")</ns0:f>
        <ns0:v/>
      </ns0:c>
    </ns0:row>
    <ns0:row r="1449" ht="21" customHeight="1">
      <ns0:c r="A1449" s="32" t="str">
        <ns0:f>IF($E1449="","",INDEX('Banka Dökümü'!$A$2:$A$2001,$E1449))</ns0:f>
        <ns0:v/>
      </ns0:c>
      <ns0:c r="B1449" s="28" t="str">
        <ns0:f>IF($E1449="","",INDEX('Banka Dökümü'!$B$2:$B$2001,$E1449))</ns0:f>
        <ns0:v/>
      </ns0:c>
      <ns0:c r="C1449" s="33" t="str">
        <ns0:f>IF($E1449="","",INDEX('Banka Dökümü'!$C$2:$C$2001,$E1449))</ns0:f>
        <ns0:v/>
      </ns0:c>
      <ns0:c r="D1449" s="28" t="str">
        <ns0:f>IF(E1449="","","Müşteri adı / aranacak ad / il bilgisini kontrol edin")</ns0:f>
        <ns0:v/>
      </ns0:c>
      <ns0:c r="E1449" s="28" t="str">
        <ns0:f>IFERROR(MATCH(1445,'Banka Dökümü'!$I$2:$I$2001,0),"")</ns0:f>
        <ns0:v/>
      </ns0:c>
    </ns0:row>
    <ns0:row r="1450" ht="21" customHeight="1">
      <ns0:c r="A1450" s="32" t="str">
        <ns0:f>IF($E1450="","",INDEX('Banka Dökümü'!$A$2:$A$2001,$E1450))</ns0:f>
        <ns0:v/>
      </ns0:c>
      <ns0:c r="B1450" s="28" t="str">
        <ns0:f>IF($E1450="","",INDEX('Banka Dökümü'!$B$2:$B$2001,$E1450))</ns0:f>
        <ns0:v/>
      </ns0:c>
      <ns0:c r="C1450" s="33" t="str">
        <ns0:f>IF($E1450="","",INDEX('Banka Dökümü'!$C$2:$C$2001,$E1450))</ns0:f>
        <ns0:v/>
      </ns0:c>
      <ns0:c r="D1450" s="28" t="str">
        <ns0:f>IF(E1450="","","Müşteri adı / aranacak ad / il bilgisini kontrol edin")</ns0:f>
        <ns0:v/>
      </ns0:c>
      <ns0:c r="E1450" s="28" t="str">
        <ns0:f>IFERROR(MATCH(1446,'Banka Dökümü'!$I$2:$I$2001,0),"")</ns0:f>
        <ns0:v/>
      </ns0:c>
    </ns0:row>
    <ns0:row r="1451" ht="21" customHeight="1">
      <ns0:c r="A1451" s="32" t="str">
        <ns0:f>IF($E1451="","",INDEX('Banka Dökümü'!$A$2:$A$2001,$E1451))</ns0:f>
        <ns0:v/>
      </ns0:c>
      <ns0:c r="B1451" s="28" t="str">
        <ns0:f>IF($E1451="","",INDEX('Banka Dökümü'!$B$2:$B$2001,$E1451))</ns0:f>
        <ns0:v/>
      </ns0:c>
      <ns0:c r="C1451" s="33" t="str">
        <ns0:f>IF($E1451="","",INDEX('Banka Dökümü'!$C$2:$C$2001,$E1451))</ns0:f>
        <ns0:v/>
      </ns0:c>
      <ns0:c r="D1451" s="28" t="str">
        <ns0:f>IF(E1451="","","Müşteri adı / aranacak ad / il bilgisini kontrol edin")</ns0:f>
        <ns0:v/>
      </ns0:c>
      <ns0:c r="E1451" s="28" t="str">
        <ns0:f>IFERROR(MATCH(1447,'Banka Dökümü'!$I$2:$I$2001,0),"")</ns0:f>
        <ns0:v/>
      </ns0:c>
    </ns0:row>
    <ns0:row r="1452" ht="21" customHeight="1">
      <ns0:c r="A1452" s="32" t="str">
        <ns0:f>IF($E1452="","",INDEX('Banka Dökümü'!$A$2:$A$2001,$E1452))</ns0:f>
        <ns0:v/>
      </ns0:c>
      <ns0:c r="B1452" s="28" t="str">
        <ns0:f>IF($E1452="","",INDEX('Banka Dökümü'!$B$2:$B$2001,$E1452))</ns0:f>
        <ns0:v/>
      </ns0:c>
      <ns0:c r="C1452" s="33" t="str">
        <ns0:f>IF($E1452="","",INDEX('Banka Dökümü'!$C$2:$C$2001,$E1452))</ns0:f>
        <ns0:v/>
      </ns0:c>
      <ns0:c r="D1452" s="28" t="str">
        <ns0:f>IF(E1452="","","Müşteri adı / aranacak ad / il bilgisini kontrol edin")</ns0:f>
        <ns0:v/>
      </ns0:c>
      <ns0:c r="E1452" s="28" t="str">
        <ns0:f>IFERROR(MATCH(1448,'Banka Dökümü'!$I$2:$I$2001,0),"")</ns0:f>
        <ns0:v/>
      </ns0:c>
    </ns0:row>
    <ns0:row r="1453" ht="21" customHeight="1">
      <ns0:c r="A1453" s="32" t="str">
        <ns0:f>IF($E1453="","",INDEX('Banka Dökümü'!$A$2:$A$2001,$E1453))</ns0:f>
        <ns0:v/>
      </ns0:c>
      <ns0:c r="B1453" s="28" t="str">
        <ns0:f>IF($E1453="","",INDEX('Banka Dökümü'!$B$2:$B$2001,$E1453))</ns0:f>
        <ns0:v/>
      </ns0:c>
      <ns0:c r="C1453" s="33" t="str">
        <ns0:f>IF($E1453="","",INDEX('Banka Dökümü'!$C$2:$C$2001,$E1453))</ns0:f>
        <ns0:v/>
      </ns0:c>
      <ns0:c r="D1453" s="28" t="str">
        <ns0:f>IF(E1453="","","Müşteri adı / aranacak ad / il bilgisini kontrol edin")</ns0:f>
        <ns0:v/>
      </ns0:c>
      <ns0:c r="E1453" s="28" t="str">
        <ns0:f>IFERROR(MATCH(1449,'Banka Dökümü'!$I$2:$I$2001,0),"")</ns0:f>
        <ns0:v/>
      </ns0:c>
    </ns0:row>
    <ns0:row r="1454" ht="21" customHeight="1">
      <ns0:c r="A1454" s="32" t="str">
        <ns0:f>IF($E1454="","",INDEX('Banka Dökümü'!$A$2:$A$2001,$E1454))</ns0:f>
        <ns0:v/>
      </ns0:c>
      <ns0:c r="B1454" s="28" t="str">
        <ns0:f>IF($E1454="","",INDEX('Banka Dökümü'!$B$2:$B$2001,$E1454))</ns0:f>
        <ns0:v/>
      </ns0:c>
      <ns0:c r="C1454" s="33" t="str">
        <ns0:f>IF($E1454="","",INDEX('Banka Dökümü'!$C$2:$C$2001,$E1454))</ns0:f>
        <ns0:v/>
      </ns0:c>
      <ns0:c r="D1454" s="28" t="str">
        <ns0:f>IF(E1454="","","Müşteri adı / aranacak ad / il bilgisini kontrol edin")</ns0:f>
        <ns0:v/>
      </ns0:c>
      <ns0:c r="E1454" s="28" t="str">
        <ns0:f>IFERROR(MATCH(1450,'Banka Dökümü'!$I$2:$I$2001,0),"")</ns0:f>
        <ns0:v/>
      </ns0:c>
    </ns0:row>
    <ns0:row r="1455" ht="21" customHeight="1">
      <ns0:c r="A1455" s="32" t="str">
        <ns0:f>IF($E1455="","",INDEX('Banka Dökümü'!$A$2:$A$2001,$E1455))</ns0:f>
        <ns0:v/>
      </ns0:c>
      <ns0:c r="B1455" s="28" t="str">
        <ns0:f>IF($E1455="","",INDEX('Banka Dökümü'!$B$2:$B$2001,$E1455))</ns0:f>
        <ns0:v/>
      </ns0:c>
      <ns0:c r="C1455" s="33" t="str">
        <ns0:f>IF($E1455="","",INDEX('Banka Dökümü'!$C$2:$C$2001,$E1455))</ns0:f>
        <ns0:v/>
      </ns0:c>
      <ns0:c r="D1455" s="28" t="str">
        <ns0:f>IF(E1455="","","Müşteri adı / aranacak ad / il bilgisini kontrol edin")</ns0:f>
        <ns0:v/>
      </ns0:c>
      <ns0:c r="E1455" s="28" t="str">
        <ns0:f>IFERROR(MATCH(1451,'Banka Dökümü'!$I$2:$I$2001,0),"")</ns0:f>
        <ns0:v/>
      </ns0:c>
    </ns0:row>
    <ns0:row r="1456" ht="21" customHeight="1">
      <ns0:c r="A1456" s="32" t="str">
        <ns0:f>IF($E1456="","",INDEX('Banka Dökümü'!$A$2:$A$2001,$E1456))</ns0:f>
        <ns0:v/>
      </ns0:c>
      <ns0:c r="B1456" s="28" t="str">
        <ns0:f>IF($E1456="","",INDEX('Banka Dökümü'!$B$2:$B$2001,$E1456))</ns0:f>
        <ns0:v/>
      </ns0:c>
      <ns0:c r="C1456" s="33" t="str">
        <ns0:f>IF($E1456="","",INDEX('Banka Dökümü'!$C$2:$C$2001,$E1456))</ns0:f>
        <ns0:v/>
      </ns0:c>
      <ns0:c r="D1456" s="28" t="str">
        <ns0:f>IF(E1456="","","Müşteri adı / aranacak ad / il bilgisini kontrol edin")</ns0:f>
        <ns0:v/>
      </ns0:c>
      <ns0:c r="E1456" s="28" t="str">
        <ns0:f>IFERROR(MATCH(1452,'Banka Dökümü'!$I$2:$I$2001,0),"")</ns0:f>
        <ns0:v/>
      </ns0:c>
    </ns0:row>
    <ns0:row r="1457" ht="21" customHeight="1">
      <ns0:c r="A1457" s="32" t="str">
        <ns0:f>IF($E1457="","",INDEX('Banka Dökümü'!$A$2:$A$2001,$E1457))</ns0:f>
        <ns0:v/>
      </ns0:c>
      <ns0:c r="B1457" s="28" t="str">
        <ns0:f>IF($E1457="","",INDEX('Banka Dökümü'!$B$2:$B$2001,$E1457))</ns0:f>
        <ns0:v/>
      </ns0:c>
      <ns0:c r="C1457" s="33" t="str">
        <ns0:f>IF($E1457="","",INDEX('Banka Dökümü'!$C$2:$C$2001,$E1457))</ns0:f>
        <ns0:v/>
      </ns0:c>
      <ns0:c r="D1457" s="28" t="str">
        <ns0:f>IF(E1457="","","Müşteri adı / aranacak ad / il bilgisini kontrol edin")</ns0:f>
        <ns0:v/>
      </ns0:c>
      <ns0:c r="E1457" s="28" t="str">
        <ns0:f>IFERROR(MATCH(1453,'Banka Dökümü'!$I$2:$I$2001,0),"")</ns0:f>
        <ns0:v/>
      </ns0:c>
    </ns0:row>
    <ns0:row r="1458" ht="21" customHeight="1">
      <ns0:c r="A1458" s="32" t="str">
        <ns0:f>IF($E1458="","",INDEX('Banka Dökümü'!$A$2:$A$2001,$E1458))</ns0:f>
        <ns0:v/>
      </ns0:c>
      <ns0:c r="B1458" s="28" t="str">
        <ns0:f>IF($E1458="","",INDEX('Banka Dökümü'!$B$2:$B$2001,$E1458))</ns0:f>
        <ns0:v/>
      </ns0:c>
      <ns0:c r="C1458" s="33" t="str">
        <ns0:f>IF($E1458="","",INDEX('Banka Dökümü'!$C$2:$C$2001,$E1458))</ns0:f>
        <ns0:v/>
      </ns0:c>
      <ns0:c r="D1458" s="28" t="str">
        <ns0:f>IF(E1458="","","Müşteri adı / aranacak ad / il bilgisini kontrol edin")</ns0:f>
        <ns0:v/>
      </ns0:c>
      <ns0:c r="E1458" s="28" t="str">
        <ns0:f>IFERROR(MATCH(1454,'Banka Dökümü'!$I$2:$I$2001,0),"")</ns0:f>
        <ns0:v/>
      </ns0:c>
    </ns0:row>
    <ns0:row r="1459" ht="21" customHeight="1">
      <ns0:c r="A1459" s="32" t="str">
        <ns0:f>IF($E1459="","",INDEX('Banka Dökümü'!$A$2:$A$2001,$E1459))</ns0:f>
        <ns0:v/>
      </ns0:c>
      <ns0:c r="B1459" s="28" t="str">
        <ns0:f>IF($E1459="","",INDEX('Banka Dökümü'!$B$2:$B$2001,$E1459))</ns0:f>
        <ns0:v/>
      </ns0:c>
      <ns0:c r="C1459" s="33" t="str">
        <ns0:f>IF($E1459="","",INDEX('Banka Dökümü'!$C$2:$C$2001,$E1459))</ns0:f>
        <ns0:v/>
      </ns0:c>
      <ns0:c r="D1459" s="28" t="str">
        <ns0:f>IF(E1459="","","Müşteri adı / aranacak ad / il bilgisini kontrol edin")</ns0:f>
        <ns0:v/>
      </ns0:c>
      <ns0:c r="E1459" s="28" t="str">
        <ns0:f>IFERROR(MATCH(1455,'Banka Dökümü'!$I$2:$I$2001,0),"")</ns0:f>
        <ns0:v/>
      </ns0:c>
    </ns0:row>
    <ns0:row r="1460" ht="21" customHeight="1">
      <ns0:c r="A1460" s="32" t="str">
        <ns0:f>IF($E1460="","",INDEX('Banka Dökümü'!$A$2:$A$2001,$E1460))</ns0:f>
        <ns0:v/>
      </ns0:c>
      <ns0:c r="B1460" s="28" t="str">
        <ns0:f>IF($E1460="","",INDEX('Banka Dökümü'!$B$2:$B$2001,$E1460))</ns0:f>
        <ns0:v/>
      </ns0:c>
      <ns0:c r="C1460" s="33" t="str">
        <ns0:f>IF($E1460="","",INDEX('Banka Dökümü'!$C$2:$C$2001,$E1460))</ns0:f>
        <ns0:v/>
      </ns0:c>
      <ns0:c r="D1460" s="28" t="str">
        <ns0:f>IF(E1460="","","Müşteri adı / aranacak ad / il bilgisini kontrol edin")</ns0:f>
        <ns0:v/>
      </ns0:c>
      <ns0:c r="E1460" s="28" t="str">
        <ns0:f>IFERROR(MATCH(1456,'Banka Dökümü'!$I$2:$I$2001,0),"")</ns0:f>
        <ns0:v/>
      </ns0:c>
    </ns0:row>
    <ns0:row r="1461" ht="21" customHeight="1">
      <ns0:c r="A1461" s="32" t="str">
        <ns0:f>IF($E1461="","",INDEX('Banka Dökümü'!$A$2:$A$2001,$E1461))</ns0:f>
        <ns0:v/>
      </ns0:c>
      <ns0:c r="B1461" s="28" t="str">
        <ns0:f>IF($E1461="","",INDEX('Banka Dökümü'!$B$2:$B$2001,$E1461))</ns0:f>
        <ns0:v/>
      </ns0:c>
      <ns0:c r="C1461" s="33" t="str">
        <ns0:f>IF($E1461="","",INDEX('Banka Dökümü'!$C$2:$C$2001,$E1461))</ns0:f>
        <ns0:v/>
      </ns0:c>
      <ns0:c r="D1461" s="28" t="str">
        <ns0:f>IF(E1461="","","Müşteri adı / aranacak ad / il bilgisini kontrol edin")</ns0:f>
        <ns0:v/>
      </ns0:c>
      <ns0:c r="E1461" s="28" t="str">
        <ns0:f>IFERROR(MATCH(1457,'Banka Dökümü'!$I$2:$I$2001,0),"")</ns0:f>
        <ns0:v/>
      </ns0:c>
    </ns0:row>
    <ns0:row r="1462" ht="21" customHeight="1">
      <ns0:c r="A1462" s="32" t="str">
        <ns0:f>IF($E1462="","",INDEX('Banka Dökümü'!$A$2:$A$2001,$E1462))</ns0:f>
        <ns0:v/>
      </ns0:c>
      <ns0:c r="B1462" s="28" t="str">
        <ns0:f>IF($E1462="","",INDEX('Banka Dökümü'!$B$2:$B$2001,$E1462))</ns0:f>
        <ns0:v/>
      </ns0:c>
      <ns0:c r="C1462" s="33" t="str">
        <ns0:f>IF($E1462="","",INDEX('Banka Dökümü'!$C$2:$C$2001,$E1462))</ns0:f>
        <ns0:v/>
      </ns0:c>
      <ns0:c r="D1462" s="28" t="str">
        <ns0:f>IF(E1462="","","Müşteri adı / aranacak ad / il bilgisini kontrol edin")</ns0:f>
        <ns0:v/>
      </ns0:c>
      <ns0:c r="E1462" s="28" t="str">
        <ns0:f>IFERROR(MATCH(1458,'Banka Dökümü'!$I$2:$I$2001,0),"")</ns0:f>
        <ns0:v/>
      </ns0:c>
    </ns0:row>
    <ns0:row r="1463" ht="21" customHeight="1">
      <ns0:c r="A1463" s="32" t="str">
        <ns0:f>IF($E1463="","",INDEX('Banka Dökümü'!$A$2:$A$2001,$E1463))</ns0:f>
        <ns0:v/>
      </ns0:c>
      <ns0:c r="B1463" s="28" t="str">
        <ns0:f>IF($E1463="","",INDEX('Banka Dökümü'!$B$2:$B$2001,$E1463))</ns0:f>
        <ns0:v/>
      </ns0:c>
      <ns0:c r="C1463" s="33" t="str">
        <ns0:f>IF($E1463="","",INDEX('Banka Dökümü'!$C$2:$C$2001,$E1463))</ns0:f>
        <ns0:v/>
      </ns0:c>
      <ns0:c r="D1463" s="28" t="str">
        <ns0:f>IF(E1463="","","Müşteri adı / aranacak ad / il bilgisini kontrol edin")</ns0:f>
        <ns0:v/>
      </ns0:c>
      <ns0:c r="E1463" s="28" t="str">
        <ns0:f>IFERROR(MATCH(1459,'Banka Dökümü'!$I$2:$I$2001,0),"")</ns0:f>
        <ns0:v/>
      </ns0:c>
    </ns0:row>
    <ns0:row r="1464" ht="21" customHeight="1">
      <ns0:c r="A1464" s="32" t="str">
        <ns0:f>IF($E1464="","",INDEX('Banka Dökümü'!$A$2:$A$2001,$E1464))</ns0:f>
        <ns0:v/>
      </ns0:c>
      <ns0:c r="B1464" s="28" t="str">
        <ns0:f>IF($E1464="","",INDEX('Banka Dökümü'!$B$2:$B$2001,$E1464))</ns0:f>
        <ns0:v/>
      </ns0:c>
      <ns0:c r="C1464" s="33" t="str">
        <ns0:f>IF($E1464="","",INDEX('Banka Dökümü'!$C$2:$C$2001,$E1464))</ns0:f>
        <ns0:v/>
      </ns0:c>
      <ns0:c r="D1464" s="28" t="str">
        <ns0:f>IF(E1464="","","Müşteri adı / aranacak ad / il bilgisini kontrol edin")</ns0:f>
        <ns0:v/>
      </ns0:c>
      <ns0:c r="E1464" s="28" t="str">
        <ns0:f>IFERROR(MATCH(1460,'Banka Dökümü'!$I$2:$I$2001,0),"")</ns0:f>
        <ns0:v/>
      </ns0:c>
    </ns0:row>
    <ns0:row r="1465" ht="21" customHeight="1">
      <ns0:c r="A1465" s="32" t="str">
        <ns0:f>IF($E1465="","",INDEX('Banka Dökümü'!$A$2:$A$2001,$E1465))</ns0:f>
        <ns0:v/>
      </ns0:c>
      <ns0:c r="B1465" s="28" t="str">
        <ns0:f>IF($E1465="","",INDEX('Banka Dökümü'!$B$2:$B$2001,$E1465))</ns0:f>
        <ns0:v/>
      </ns0:c>
      <ns0:c r="C1465" s="33" t="str">
        <ns0:f>IF($E1465="","",INDEX('Banka Dökümü'!$C$2:$C$2001,$E1465))</ns0:f>
        <ns0:v/>
      </ns0:c>
      <ns0:c r="D1465" s="28" t="str">
        <ns0:f>IF(E1465="","","Müşteri adı / aranacak ad / il bilgisini kontrol edin")</ns0:f>
        <ns0:v/>
      </ns0:c>
      <ns0:c r="E1465" s="28" t="str">
        <ns0:f>IFERROR(MATCH(1461,'Banka Dökümü'!$I$2:$I$2001,0),"")</ns0:f>
        <ns0:v/>
      </ns0:c>
    </ns0:row>
    <ns0:row r="1466" ht="21" customHeight="1">
      <ns0:c r="A1466" s="32" t="str">
        <ns0:f>IF($E1466="","",INDEX('Banka Dökümü'!$A$2:$A$2001,$E1466))</ns0:f>
        <ns0:v/>
      </ns0:c>
      <ns0:c r="B1466" s="28" t="str">
        <ns0:f>IF($E1466="","",INDEX('Banka Dökümü'!$B$2:$B$2001,$E1466))</ns0:f>
        <ns0:v/>
      </ns0:c>
      <ns0:c r="C1466" s="33" t="str">
        <ns0:f>IF($E1466="","",INDEX('Banka Dökümü'!$C$2:$C$2001,$E1466))</ns0:f>
        <ns0:v/>
      </ns0:c>
      <ns0:c r="D1466" s="28" t="str">
        <ns0:f>IF(E1466="","","Müşteri adı / aranacak ad / il bilgisini kontrol edin")</ns0:f>
        <ns0:v/>
      </ns0:c>
      <ns0:c r="E1466" s="28" t="str">
        <ns0:f>IFERROR(MATCH(1462,'Banka Dökümü'!$I$2:$I$2001,0),"")</ns0:f>
        <ns0:v/>
      </ns0:c>
    </ns0:row>
    <ns0:row r="1467" ht="21" customHeight="1">
      <ns0:c r="A1467" s="32" t="str">
        <ns0:f>IF($E1467="","",INDEX('Banka Dökümü'!$A$2:$A$2001,$E1467))</ns0:f>
        <ns0:v/>
      </ns0:c>
      <ns0:c r="B1467" s="28" t="str">
        <ns0:f>IF($E1467="","",INDEX('Banka Dökümü'!$B$2:$B$2001,$E1467))</ns0:f>
        <ns0:v/>
      </ns0:c>
      <ns0:c r="C1467" s="33" t="str">
        <ns0:f>IF($E1467="","",INDEX('Banka Dökümü'!$C$2:$C$2001,$E1467))</ns0:f>
        <ns0:v/>
      </ns0:c>
      <ns0:c r="D1467" s="28" t="str">
        <ns0:f>IF(E1467="","","Müşteri adı / aranacak ad / il bilgisini kontrol edin")</ns0:f>
        <ns0:v/>
      </ns0:c>
      <ns0:c r="E1467" s="28" t="str">
        <ns0:f>IFERROR(MATCH(1463,'Banka Dökümü'!$I$2:$I$2001,0),"")</ns0:f>
        <ns0:v/>
      </ns0:c>
    </ns0:row>
    <ns0:row r="1468" ht="21" customHeight="1">
      <ns0:c r="A1468" s="32" t="str">
        <ns0:f>IF($E1468="","",INDEX('Banka Dökümü'!$A$2:$A$2001,$E1468))</ns0:f>
        <ns0:v/>
      </ns0:c>
      <ns0:c r="B1468" s="28" t="str">
        <ns0:f>IF($E1468="","",INDEX('Banka Dökümü'!$B$2:$B$2001,$E1468))</ns0:f>
        <ns0:v/>
      </ns0:c>
      <ns0:c r="C1468" s="33" t="str">
        <ns0:f>IF($E1468="","",INDEX('Banka Dökümü'!$C$2:$C$2001,$E1468))</ns0:f>
        <ns0:v/>
      </ns0:c>
      <ns0:c r="D1468" s="28" t="str">
        <ns0:f>IF(E1468="","","Müşteri adı / aranacak ad / il bilgisini kontrol edin")</ns0:f>
        <ns0:v/>
      </ns0:c>
      <ns0:c r="E1468" s="28" t="str">
        <ns0:f>IFERROR(MATCH(1464,'Banka Dökümü'!$I$2:$I$2001,0),"")</ns0:f>
        <ns0:v/>
      </ns0:c>
    </ns0:row>
    <ns0:row r="1469" ht="21" customHeight="1">
      <ns0:c r="A1469" s="32" t="str">
        <ns0:f>IF($E1469="","",INDEX('Banka Dökümü'!$A$2:$A$2001,$E1469))</ns0:f>
        <ns0:v/>
      </ns0:c>
      <ns0:c r="B1469" s="28" t="str">
        <ns0:f>IF($E1469="","",INDEX('Banka Dökümü'!$B$2:$B$2001,$E1469))</ns0:f>
        <ns0:v/>
      </ns0:c>
      <ns0:c r="C1469" s="33" t="str">
        <ns0:f>IF($E1469="","",INDEX('Banka Dökümü'!$C$2:$C$2001,$E1469))</ns0:f>
        <ns0:v/>
      </ns0:c>
      <ns0:c r="D1469" s="28" t="str">
        <ns0:f>IF(E1469="","","Müşteri adı / aranacak ad / il bilgisini kontrol edin")</ns0:f>
        <ns0:v/>
      </ns0:c>
      <ns0:c r="E1469" s="28" t="str">
        <ns0:f>IFERROR(MATCH(1465,'Banka Dökümü'!$I$2:$I$2001,0),"")</ns0:f>
        <ns0:v/>
      </ns0:c>
    </ns0:row>
    <ns0:row r="1470" ht="21" customHeight="1">
      <ns0:c r="A1470" s="32" t="str">
        <ns0:f>IF($E1470="","",INDEX('Banka Dökümü'!$A$2:$A$2001,$E1470))</ns0:f>
        <ns0:v/>
      </ns0:c>
      <ns0:c r="B1470" s="28" t="str">
        <ns0:f>IF($E1470="","",INDEX('Banka Dökümü'!$B$2:$B$2001,$E1470))</ns0:f>
        <ns0:v/>
      </ns0:c>
      <ns0:c r="C1470" s="33" t="str">
        <ns0:f>IF($E1470="","",INDEX('Banka Dökümü'!$C$2:$C$2001,$E1470))</ns0:f>
        <ns0:v/>
      </ns0:c>
      <ns0:c r="D1470" s="28" t="str">
        <ns0:f>IF(E1470="","","Müşteri adı / aranacak ad / il bilgisini kontrol edin")</ns0:f>
        <ns0:v/>
      </ns0:c>
      <ns0:c r="E1470" s="28" t="str">
        <ns0:f>IFERROR(MATCH(1466,'Banka Dökümü'!$I$2:$I$2001,0),"")</ns0:f>
        <ns0:v/>
      </ns0:c>
    </ns0:row>
    <ns0:row r="1471" ht="21" customHeight="1">
      <ns0:c r="A1471" s="32" t="str">
        <ns0:f>IF($E1471="","",INDEX('Banka Dökümü'!$A$2:$A$2001,$E1471))</ns0:f>
        <ns0:v/>
      </ns0:c>
      <ns0:c r="B1471" s="28" t="str">
        <ns0:f>IF($E1471="","",INDEX('Banka Dökümü'!$B$2:$B$2001,$E1471))</ns0:f>
        <ns0:v/>
      </ns0:c>
      <ns0:c r="C1471" s="33" t="str">
        <ns0:f>IF($E1471="","",INDEX('Banka Dökümü'!$C$2:$C$2001,$E1471))</ns0:f>
        <ns0:v/>
      </ns0:c>
      <ns0:c r="D1471" s="28" t="str">
        <ns0:f>IF(E1471="","","Müşteri adı / aranacak ad / il bilgisini kontrol edin")</ns0:f>
        <ns0:v/>
      </ns0:c>
      <ns0:c r="E1471" s="28" t="str">
        <ns0:f>IFERROR(MATCH(1467,'Banka Dökümü'!$I$2:$I$2001,0),"")</ns0:f>
        <ns0:v/>
      </ns0:c>
    </ns0:row>
    <ns0:row r="1472" ht="21" customHeight="1">
      <ns0:c r="A1472" s="32" t="str">
        <ns0:f>IF($E1472="","",INDEX('Banka Dökümü'!$A$2:$A$2001,$E1472))</ns0:f>
        <ns0:v/>
      </ns0:c>
      <ns0:c r="B1472" s="28" t="str">
        <ns0:f>IF($E1472="","",INDEX('Banka Dökümü'!$B$2:$B$2001,$E1472))</ns0:f>
        <ns0:v/>
      </ns0:c>
      <ns0:c r="C1472" s="33" t="str">
        <ns0:f>IF($E1472="","",INDEX('Banka Dökümü'!$C$2:$C$2001,$E1472))</ns0:f>
        <ns0:v/>
      </ns0:c>
      <ns0:c r="D1472" s="28" t="str">
        <ns0:f>IF(E1472="","","Müşteri adı / aranacak ad / il bilgisini kontrol edin")</ns0:f>
        <ns0:v/>
      </ns0:c>
      <ns0:c r="E1472" s="28" t="str">
        <ns0:f>IFERROR(MATCH(1468,'Banka Dökümü'!$I$2:$I$2001,0),"")</ns0:f>
        <ns0:v/>
      </ns0:c>
    </ns0:row>
    <ns0:row r="1473" ht="21" customHeight="1">
      <ns0:c r="A1473" s="32" t="str">
        <ns0:f>IF($E1473="","",INDEX('Banka Dökümü'!$A$2:$A$2001,$E1473))</ns0:f>
        <ns0:v/>
      </ns0:c>
      <ns0:c r="B1473" s="28" t="str">
        <ns0:f>IF($E1473="","",INDEX('Banka Dökümü'!$B$2:$B$2001,$E1473))</ns0:f>
        <ns0:v/>
      </ns0:c>
      <ns0:c r="C1473" s="33" t="str">
        <ns0:f>IF($E1473="","",INDEX('Banka Dökümü'!$C$2:$C$2001,$E1473))</ns0:f>
        <ns0:v/>
      </ns0:c>
      <ns0:c r="D1473" s="28" t="str">
        <ns0:f>IF(E1473="","","Müşteri adı / aranacak ad / il bilgisini kontrol edin")</ns0:f>
        <ns0:v/>
      </ns0:c>
      <ns0:c r="E1473" s="28" t="str">
        <ns0:f>IFERROR(MATCH(1469,'Banka Dökümü'!$I$2:$I$2001,0),"")</ns0:f>
        <ns0:v/>
      </ns0:c>
    </ns0:row>
    <ns0:row r="1474" ht="21" customHeight="1">
      <ns0:c r="A1474" s="32" t="str">
        <ns0:f>IF($E1474="","",INDEX('Banka Dökümü'!$A$2:$A$2001,$E1474))</ns0:f>
        <ns0:v/>
      </ns0:c>
      <ns0:c r="B1474" s="28" t="str">
        <ns0:f>IF($E1474="","",INDEX('Banka Dökümü'!$B$2:$B$2001,$E1474))</ns0:f>
        <ns0:v/>
      </ns0:c>
      <ns0:c r="C1474" s="33" t="str">
        <ns0:f>IF($E1474="","",INDEX('Banka Dökümü'!$C$2:$C$2001,$E1474))</ns0:f>
        <ns0:v/>
      </ns0:c>
      <ns0:c r="D1474" s="28" t="str">
        <ns0:f>IF(E1474="","","Müşteri adı / aranacak ad / il bilgisini kontrol edin")</ns0:f>
        <ns0:v/>
      </ns0:c>
      <ns0:c r="E1474" s="28" t="str">
        <ns0:f>IFERROR(MATCH(1470,'Banka Dökümü'!$I$2:$I$2001,0),"")</ns0:f>
        <ns0:v/>
      </ns0:c>
    </ns0:row>
    <ns0:row r="1475" ht="21" customHeight="1">
      <ns0:c r="A1475" s="32" t="str">
        <ns0:f>IF($E1475="","",INDEX('Banka Dökümü'!$A$2:$A$2001,$E1475))</ns0:f>
        <ns0:v/>
      </ns0:c>
      <ns0:c r="B1475" s="28" t="str">
        <ns0:f>IF($E1475="","",INDEX('Banka Dökümü'!$B$2:$B$2001,$E1475))</ns0:f>
        <ns0:v/>
      </ns0:c>
      <ns0:c r="C1475" s="33" t="str">
        <ns0:f>IF($E1475="","",INDEX('Banka Dökümü'!$C$2:$C$2001,$E1475))</ns0:f>
        <ns0:v/>
      </ns0:c>
      <ns0:c r="D1475" s="28" t="str">
        <ns0:f>IF(E1475="","","Müşteri adı / aranacak ad / il bilgisini kontrol edin")</ns0:f>
        <ns0:v/>
      </ns0:c>
      <ns0:c r="E1475" s="28" t="str">
        <ns0:f>IFERROR(MATCH(1471,'Banka Dökümü'!$I$2:$I$2001,0),"")</ns0:f>
        <ns0:v/>
      </ns0:c>
    </ns0:row>
    <ns0:row r="1476" ht="21" customHeight="1">
      <ns0:c r="A1476" s="32" t="str">
        <ns0:f>IF($E1476="","",INDEX('Banka Dökümü'!$A$2:$A$2001,$E1476))</ns0:f>
        <ns0:v/>
      </ns0:c>
      <ns0:c r="B1476" s="28" t="str">
        <ns0:f>IF($E1476="","",INDEX('Banka Dökümü'!$B$2:$B$2001,$E1476))</ns0:f>
        <ns0:v/>
      </ns0:c>
      <ns0:c r="C1476" s="33" t="str">
        <ns0:f>IF($E1476="","",INDEX('Banka Dökümü'!$C$2:$C$2001,$E1476))</ns0:f>
        <ns0:v/>
      </ns0:c>
      <ns0:c r="D1476" s="28" t="str">
        <ns0:f>IF(E1476="","","Müşteri adı / aranacak ad / il bilgisini kontrol edin")</ns0:f>
        <ns0:v/>
      </ns0:c>
      <ns0:c r="E1476" s="28" t="str">
        <ns0:f>IFERROR(MATCH(1472,'Banka Dökümü'!$I$2:$I$2001,0),"")</ns0:f>
        <ns0:v/>
      </ns0:c>
    </ns0:row>
    <ns0:row r="1477" ht="21" customHeight="1">
      <ns0:c r="A1477" s="32" t="str">
        <ns0:f>IF($E1477="","",INDEX('Banka Dökümü'!$A$2:$A$2001,$E1477))</ns0:f>
        <ns0:v/>
      </ns0:c>
      <ns0:c r="B1477" s="28" t="str">
        <ns0:f>IF($E1477="","",INDEX('Banka Dökümü'!$B$2:$B$2001,$E1477))</ns0:f>
        <ns0:v/>
      </ns0:c>
      <ns0:c r="C1477" s="33" t="str">
        <ns0:f>IF($E1477="","",INDEX('Banka Dökümü'!$C$2:$C$2001,$E1477))</ns0:f>
        <ns0:v/>
      </ns0:c>
      <ns0:c r="D1477" s="28" t="str">
        <ns0:f>IF(E1477="","","Müşteri adı / aranacak ad / il bilgisini kontrol edin")</ns0:f>
        <ns0:v/>
      </ns0:c>
      <ns0:c r="E1477" s="28" t="str">
        <ns0:f>IFERROR(MATCH(1473,'Banka Dökümü'!$I$2:$I$2001,0),"")</ns0:f>
        <ns0:v/>
      </ns0:c>
    </ns0:row>
    <ns0:row r="1478" ht="21" customHeight="1">
      <ns0:c r="A1478" s="32" t="str">
        <ns0:f>IF($E1478="","",INDEX('Banka Dökümü'!$A$2:$A$2001,$E1478))</ns0:f>
        <ns0:v/>
      </ns0:c>
      <ns0:c r="B1478" s="28" t="str">
        <ns0:f>IF($E1478="","",INDEX('Banka Dökümü'!$B$2:$B$2001,$E1478))</ns0:f>
        <ns0:v/>
      </ns0:c>
      <ns0:c r="C1478" s="33" t="str">
        <ns0:f>IF($E1478="","",INDEX('Banka Dökümü'!$C$2:$C$2001,$E1478))</ns0:f>
        <ns0:v/>
      </ns0:c>
      <ns0:c r="D1478" s="28" t="str">
        <ns0:f>IF(E1478="","","Müşteri adı / aranacak ad / il bilgisini kontrol edin")</ns0:f>
        <ns0:v/>
      </ns0:c>
      <ns0:c r="E1478" s="28" t="str">
        <ns0:f>IFERROR(MATCH(1474,'Banka Dökümü'!$I$2:$I$2001,0),"")</ns0:f>
        <ns0:v/>
      </ns0:c>
    </ns0:row>
    <ns0:row r="1479" ht="21" customHeight="1">
      <ns0:c r="A1479" s="32" t="str">
        <ns0:f>IF($E1479="","",INDEX('Banka Dökümü'!$A$2:$A$2001,$E1479))</ns0:f>
        <ns0:v/>
      </ns0:c>
      <ns0:c r="B1479" s="28" t="str">
        <ns0:f>IF($E1479="","",INDEX('Banka Dökümü'!$B$2:$B$2001,$E1479))</ns0:f>
        <ns0:v/>
      </ns0:c>
      <ns0:c r="C1479" s="33" t="str">
        <ns0:f>IF($E1479="","",INDEX('Banka Dökümü'!$C$2:$C$2001,$E1479))</ns0:f>
        <ns0:v/>
      </ns0:c>
      <ns0:c r="D1479" s="28" t="str">
        <ns0:f>IF(E1479="","","Müşteri adı / aranacak ad / il bilgisini kontrol edin")</ns0:f>
        <ns0:v/>
      </ns0:c>
      <ns0:c r="E1479" s="28" t="str">
        <ns0:f>IFERROR(MATCH(1475,'Banka Dökümü'!$I$2:$I$2001,0),"")</ns0:f>
        <ns0:v/>
      </ns0:c>
    </ns0:row>
    <ns0:row r="1480" ht="21" customHeight="1">
      <ns0:c r="A1480" s="32" t="str">
        <ns0:f>IF($E1480="","",INDEX('Banka Dökümü'!$A$2:$A$2001,$E1480))</ns0:f>
        <ns0:v/>
      </ns0:c>
      <ns0:c r="B1480" s="28" t="str">
        <ns0:f>IF($E1480="","",INDEX('Banka Dökümü'!$B$2:$B$2001,$E1480))</ns0:f>
        <ns0:v/>
      </ns0:c>
      <ns0:c r="C1480" s="33" t="str">
        <ns0:f>IF($E1480="","",INDEX('Banka Dökümü'!$C$2:$C$2001,$E1480))</ns0:f>
        <ns0:v/>
      </ns0:c>
      <ns0:c r="D1480" s="28" t="str">
        <ns0:f>IF(E1480="","","Müşteri adı / aranacak ad / il bilgisini kontrol edin")</ns0:f>
        <ns0:v/>
      </ns0:c>
      <ns0:c r="E1480" s="28" t="str">
        <ns0:f>IFERROR(MATCH(1476,'Banka Dökümü'!$I$2:$I$2001,0),"")</ns0:f>
        <ns0:v/>
      </ns0:c>
    </ns0:row>
    <ns0:row r="1481" ht="21" customHeight="1">
      <ns0:c r="A1481" s="32" t="str">
        <ns0:f>IF($E1481="","",INDEX('Banka Dökümü'!$A$2:$A$2001,$E1481))</ns0:f>
        <ns0:v/>
      </ns0:c>
      <ns0:c r="B1481" s="28" t="str">
        <ns0:f>IF($E1481="","",INDEX('Banka Dökümü'!$B$2:$B$2001,$E1481))</ns0:f>
        <ns0:v/>
      </ns0:c>
      <ns0:c r="C1481" s="33" t="str">
        <ns0:f>IF($E1481="","",INDEX('Banka Dökümü'!$C$2:$C$2001,$E1481))</ns0:f>
        <ns0:v/>
      </ns0:c>
      <ns0:c r="D1481" s="28" t="str">
        <ns0:f>IF(E1481="","","Müşteri adı / aranacak ad / il bilgisini kontrol edin")</ns0:f>
        <ns0:v/>
      </ns0:c>
      <ns0:c r="E1481" s="28" t="str">
        <ns0:f>IFERROR(MATCH(1477,'Banka Dökümü'!$I$2:$I$2001,0),"")</ns0:f>
        <ns0:v/>
      </ns0:c>
    </ns0:row>
    <ns0:row r="1482" ht="21" customHeight="1">
      <ns0:c r="A1482" s="32" t="str">
        <ns0:f>IF($E1482="","",INDEX('Banka Dökümü'!$A$2:$A$2001,$E1482))</ns0:f>
        <ns0:v/>
      </ns0:c>
      <ns0:c r="B1482" s="28" t="str">
        <ns0:f>IF($E1482="","",INDEX('Banka Dökümü'!$B$2:$B$2001,$E1482))</ns0:f>
        <ns0:v/>
      </ns0:c>
      <ns0:c r="C1482" s="33" t="str">
        <ns0:f>IF($E1482="","",INDEX('Banka Dökümü'!$C$2:$C$2001,$E1482))</ns0:f>
        <ns0:v/>
      </ns0:c>
      <ns0:c r="D1482" s="28" t="str">
        <ns0:f>IF(E1482="","","Müşteri adı / aranacak ad / il bilgisini kontrol edin")</ns0:f>
        <ns0:v/>
      </ns0:c>
      <ns0:c r="E1482" s="28" t="str">
        <ns0:f>IFERROR(MATCH(1478,'Banka Dökümü'!$I$2:$I$2001,0),"")</ns0:f>
        <ns0:v/>
      </ns0:c>
    </ns0:row>
    <ns0:row r="1483" ht="21" customHeight="1">
      <ns0:c r="A1483" s="32" t="str">
        <ns0:f>IF($E1483="","",INDEX('Banka Dökümü'!$A$2:$A$2001,$E1483))</ns0:f>
        <ns0:v/>
      </ns0:c>
      <ns0:c r="B1483" s="28" t="str">
        <ns0:f>IF($E1483="","",INDEX('Banka Dökümü'!$B$2:$B$2001,$E1483))</ns0:f>
        <ns0:v/>
      </ns0:c>
      <ns0:c r="C1483" s="33" t="str">
        <ns0:f>IF($E1483="","",INDEX('Banka Dökümü'!$C$2:$C$2001,$E1483))</ns0:f>
        <ns0:v/>
      </ns0:c>
      <ns0:c r="D1483" s="28" t="str">
        <ns0:f>IF(E1483="","","Müşteri adı / aranacak ad / il bilgisini kontrol edin")</ns0:f>
        <ns0:v/>
      </ns0:c>
      <ns0:c r="E1483" s="28" t="str">
        <ns0:f>IFERROR(MATCH(1479,'Banka Dökümü'!$I$2:$I$2001,0),"")</ns0:f>
        <ns0:v/>
      </ns0:c>
    </ns0:row>
    <ns0:row r="1484" ht="21" customHeight="1">
      <ns0:c r="A1484" s="32" t="str">
        <ns0:f>IF($E1484="","",INDEX('Banka Dökümü'!$A$2:$A$2001,$E1484))</ns0:f>
        <ns0:v/>
      </ns0:c>
      <ns0:c r="B1484" s="28" t="str">
        <ns0:f>IF($E1484="","",INDEX('Banka Dökümü'!$B$2:$B$2001,$E1484))</ns0:f>
        <ns0:v/>
      </ns0:c>
      <ns0:c r="C1484" s="33" t="str">
        <ns0:f>IF($E1484="","",INDEX('Banka Dökümü'!$C$2:$C$2001,$E1484))</ns0:f>
        <ns0:v/>
      </ns0:c>
      <ns0:c r="D1484" s="28" t="str">
        <ns0:f>IF(E1484="","","Müşteri adı / aranacak ad / il bilgisini kontrol edin")</ns0:f>
        <ns0:v/>
      </ns0:c>
      <ns0:c r="E1484" s="28" t="str">
        <ns0:f>IFERROR(MATCH(1480,'Banka Dökümü'!$I$2:$I$2001,0),"")</ns0:f>
        <ns0:v/>
      </ns0:c>
    </ns0:row>
    <ns0:row r="1485" ht="21" customHeight="1">
      <ns0:c r="A1485" s="32" t="str">
        <ns0:f>IF($E1485="","",INDEX('Banka Dökümü'!$A$2:$A$2001,$E1485))</ns0:f>
        <ns0:v/>
      </ns0:c>
      <ns0:c r="B1485" s="28" t="str">
        <ns0:f>IF($E1485="","",INDEX('Banka Dökümü'!$B$2:$B$2001,$E1485))</ns0:f>
        <ns0:v/>
      </ns0:c>
      <ns0:c r="C1485" s="33" t="str">
        <ns0:f>IF($E1485="","",INDEX('Banka Dökümü'!$C$2:$C$2001,$E1485))</ns0:f>
        <ns0:v/>
      </ns0:c>
      <ns0:c r="D1485" s="28" t="str">
        <ns0:f>IF(E1485="","","Müşteri adı / aranacak ad / il bilgisini kontrol edin")</ns0:f>
        <ns0:v/>
      </ns0:c>
      <ns0:c r="E1485" s="28" t="str">
        <ns0:f>IFERROR(MATCH(1481,'Banka Dökümü'!$I$2:$I$2001,0),"")</ns0:f>
        <ns0:v/>
      </ns0:c>
    </ns0:row>
    <ns0:row r="1486" ht="21" customHeight="1">
      <ns0:c r="A1486" s="32" t="str">
        <ns0:f>IF($E1486="","",INDEX('Banka Dökümü'!$A$2:$A$2001,$E1486))</ns0:f>
        <ns0:v/>
      </ns0:c>
      <ns0:c r="B1486" s="28" t="str">
        <ns0:f>IF($E1486="","",INDEX('Banka Dökümü'!$B$2:$B$2001,$E1486))</ns0:f>
        <ns0:v/>
      </ns0:c>
      <ns0:c r="C1486" s="33" t="str">
        <ns0:f>IF($E1486="","",INDEX('Banka Dökümü'!$C$2:$C$2001,$E1486))</ns0:f>
        <ns0:v/>
      </ns0:c>
      <ns0:c r="D1486" s="28" t="str">
        <ns0:f>IF(E1486="","","Müşteri adı / aranacak ad / il bilgisini kontrol edin")</ns0:f>
        <ns0:v/>
      </ns0:c>
      <ns0:c r="E1486" s="28" t="str">
        <ns0:f>IFERROR(MATCH(1482,'Banka Dökümü'!$I$2:$I$2001,0),"")</ns0:f>
        <ns0:v/>
      </ns0:c>
    </ns0:row>
    <ns0:row r="1487" ht="21" customHeight="1">
      <ns0:c r="A1487" s="32" t="str">
        <ns0:f>IF($E1487="","",INDEX('Banka Dökümü'!$A$2:$A$2001,$E1487))</ns0:f>
        <ns0:v/>
      </ns0:c>
      <ns0:c r="B1487" s="28" t="str">
        <ns0:f>IF($E1487="","",INDEX('Banka Dökümü'!$B$2:$B$2001,$E1487))</ns0:f>
        <ns0:v/>
      </ns0:c>
      <ns0:c r="C1487" s="33" t="str">
        <ns0:f>IF($E1487="","",INDEX('Banka Dökümü'!$C$2:$C$2001,$E1487))</ns0:f>
        <ns0:v/>
      </ns0:c>
      <ns0:c r="D1487" s="28" t="str">
        <ns0:f>IF(E1487="","","Müşteri adı / aranacak ad / il bilgisini kontrol edin")</ns0:f>
        <ns0:v/>
      </ns0:c>
      <ns0:c r="E1487" s="28" t="str">
        <ns0:f>IFERROR(MATCH(1483,'Banka Dökümü'!$I$2:$I$2001,0),"")</ns0:f>
        <ns0:v/>
      </ns0:c>
    </ns0:row>
    <ns0:row r="1488" ht="21" customHeight="1">
      <ns0:c r="A1488" s="32" t="str">
        <ns0:f>IF($E1488="","",INDEX('Banka Dökümü'!$A$2:$A$2001,$E1488))</ns0:f>
        <ns0:v/>
      </ns0:c>
      <ns0:c r="B1488" s="28" t="str">
        <ns0:f>IF($E1488="","",INDEX('Banka Dökümü'!$B$2:$B$2001,$E1488))</ns0:f>
        <ns0:v/>
      </ns0:c>
      <ns0:c r="C1488" s="33" t="str">
        <ns0:f>IF($E1488="","",INDEX('Banka Dökümü'!$C$2:$C$2001,$E1488))</ns0:f>
        <ns0:v/>
      </ns0:c>
      <ns0:c r="D1488" s="28" t="str">
        <ns0:f>IF(E1488="","","Müşteri adı / aranacak ad / il bilgisini kontrol edin")</ns0:f>
        <ns0:v/>
      </ns0:c>
      <ns0:c r="E1488" s="28" t="str">
        <ns0:f>IFERROR(MATCH(1484,'Banka Dökümü'!$I$2:$I$2001,0),"")</ns0:f>
        <ns0:v/>
      </ns0:c>
    </ns0:row>
    <ns0:row r="1489" ht="21" customHeight="1">
      <ns0:c r="A1489" s="32" t="str">
        <ns0:f>IF($E1489="","",INDEX('Banka Dökümü'!$A$2:$A$2001,$E1489))</ns0:f>
        <ns0:v/>
      </ns0:c>
      <ns0:c r="B1489" s="28" t="str">
        <ns0:f>IF($E1489="","",INDEX('Banka Dökümü'!$B$2:$B$2001,$E1489))</ns0:f>
        <ns0:v/>
      </ns0:c>
      <ns0:c r="C1489" s="33" t="str">
        <ns0:f>IF($E1489="","",INDEX('Banka Dökümü'!$C$2:$C$2001,$E1489))</ns0:f>
        <ns0:v/>
      </ns0:c>
      <ns0:c r="D1489" s="28" t="str">
        <ns0:f>IF(E1489="","","Müşteri adı / aranacak ad / il bilgisini kontrol edin")</ns0:f>
        <ns0:v/>
      </ns0:c>
      <ns0:c r="E1489" s="28" t="str">
        <ns0:f>IFERROR(MATCH(1485,'Banka Dökümü'!$I$2:$I$2001,0),"")</ns0:f>
        <ns0:v/>
      </ns0:c>
    </ns0:row>
    <ns0:row r="1490" ht="21" customHeight="1">
      <ns0:c r="A1490" s="32" t="str">
        <ns0:f>IF($E1490="","",INDEX('Banka Dökümü'!$A$2:$A$2001,$E1490))</ns0:f>
        <ns0:v/>
      </ns0:c>
      <ns0:c r="B1490" s="28" t="str">
        <ns0:f>IF($E1490="","",INDEX('Banka Dökümü'!$B$2:$B$2001,$E1490))</ns0:f>
        <ns0:v/>
      </ns0:c>
      <ns0:c r="C1490" s="33" t="str">
        <ns0:f>IF($E1490="","",INDEX('Banka Dökümü'!$C$2:$C$2001,$E1490))</ns0:f>
        <ns0:v/>
      </ns0:c>
      <ns0:c r="D1490" s="28" t="str">
        <ns0:f>IF(E1490="","","Müşteri adı / aranacak ad / il bilgisini kontrol edin")</ns0:f>
        <ns0:v/>
      </ns0:c>
      <ns0:c r="E1490" s="28" t="str">
        <ns0:f>IFERROR(MATCH(1486,'Banka Dökümü'!$I$2:$I$2001,0),"")</ns0:f>
        <ns0:v/>
      </ns0:c>
    </ns0:row>
    <ns0:row r="1491" ht="21" customHeight="1">
      <ns0:c r="A1491" s="32" t="str">
        <ns0:f>IF($E1491="","",INDEX('Banka Dökümü'!$A$2:$A$2001,$E1491))</ns0:f>
        <ns0:v/>
      </ns0:c>
      <ns0:c r="B1491" s="28" t="str">
        <ns0:f>IF($E1491="","",INDEX('Banka Dökümü'!$B$2:$B$2001,$E1491))</ns0:f>
        <ns0:v/>
      </ns0:c>
      <ns0:c r="C1491" s="33" t="str">
        <ns0:f>IF($E1491="","",INDEX('Banka Dökümü'!$C$2:$C$2001,$E1491))</ns0:f>
        <ns0:v/>
      </ns0:c>
      <ns0:c r="D1491" s="28" t="str">
        <ns0:f>IF(E1491="","","Müşteri adı / aranacak ad / il bilgisini kontrol edin")</ns0:f>
        <ns0:v/>
      </ns0:c>
      <ns0:c r="E1491" s="28" t="str">
        <ns0:f>IFERROR(MATCH(1487,'Banka Dökümü'!$I$2:$I$2001,0),"")</ns0:f>
        <ns0:v/>
      </ns0:c>
    </ns0:row>
    <ns0:row r="1492" ht="21" customHeight="1">
      <ns0:c r="A1492" s="32" t="str">
        <ns0:f>IF($E1492="","",INDEX('Banka Dökümü'!$A$2:$A$2001,$E1492))</ns0:f>
        <ns0:v/>
      </ns0:c>
      <ns0:c r="B1492" s="28" t="str">
        <ns0:f>IF($E1492="","",INDEX('Banka Dökümü'!$B$2:$B$2001,$E1492))</ns0:f>
        <ns0:v/>
      </ns0:c>
      <ns0:c r="C1492" s="33" t="str">
        <ns0:f>IF($E1492="","",INDEX('Banka Dökümü'!$C$2:$C$2001,$E1492))</ns0:f>
        <ns0:v/>
      </ns0:c>
      <ns0:c r="D1492" s="28" t="str">
        <ns0:f>IF(E1492="","","Müşteri adı / aranacak ad / il bilgisini kontrol edin")</ns0:f>
        <ns0:v/>
      </ns0:c>
      <ns0:c r="E1492" s="28" t="str">
        <ns0:f>IFERROR(MATCH(1488,'Banka Dökümü'!$I$2:$I$2001,0),"")</ns0:f>
        <ns0:v/>
      </ns0:c>
    </ns0:row>
    <ns0:row r="1493" ht="21" customHeight="1">
      <ns0:c r="A1493" s="32" t="str">
        <ns0:f>IF($E1493="","",INDEX('Banka Dökümü'!$A$2:$A$2001,$E1493))</ns0:f>
        <ns0:v/>
      </ns0:c>
      <ns0:c r="B1493" s="28" t="str">
        <ns0:f>IF($E1493="","",INDEX('Banka Dökümü'!$B$2:$B$2001,$E1493))</ns0:f>
        <ns0:v/>
      </ns0:c>
      <ns0:c r="C1493" s="33" t="str">
        <ns0:f>IF($E1493="","",INDEX('Banka Dökümü'!$C$2:$C$2001,$E1493))</ns0:f>
        <ns0:v/>
      </ns0:c>
      <ns0:c r="D1493" s="28" t="str">
        <ns0:f>IF(E1493="","","Müşteri adı / aranacak ad / il bilgisini kontrol edin")</ns0:f>
        <ns0:v/>
      </ns0:c>
      <ns0:c r="E1493" s="28" t="str">
        <ns0:f>IFERROR(MATCH(1489,'Banka Dökümü'!$I$2:$I$2001,0),"")</ns0:f>
        <ns0:v/>
      </ns0:c>
    </ns0:row>
    <ns0:row r="1494" ht="21" customHeight="1">
      <ns0:c r="A1494" s="32" t="str">
        <ns0:f>IF($E1494="","",INDEX('Banka Dökümü'!$A$2:$A$2001,$E1494))</ns0:f>
        <ns0:v/>
      </ns0:c>
      <ns0:c r="B1494" s="28" t="str">
        <ns0:f>IF($E1494="","",INDEX('Banka Dökümü'!$B$2:$B$2001,$E1494))</ns0:f>
        <ns0:v/>
      </ns0:c>
      <ns0:c r="C1494" s="33" t="str">
        <ns0:f>IF($E1494="","",INDEX('Banka Dökümü'!$C$2:$C$2001,$E1494))</ns0:f>
        <ns0:v/>
      </ns0:c>
      <ns0:c r="D1494" s="28" t="str">
        <ns0:f>IF(E1494="","","Müşteri adı / aranacak ad / il bilgisini kontrol edin")</ns0:f>
        <ns0:v/>
      </ns0:c>
      <ns0:c r="E1494" s="28" t="str">
        <ns0:f>IFERROR(MATCH(1490,'Banka Dökümü'!$I$2:$I$2001,0),"")</ns0:f>
        <ns0:v/>
      </ns0:c>
    </ns0:row>
    <ns0:row r="1495" ht="21" customHeight="1">
      <ns0:c r="A1495" s="32" t="str">
        <ns0:f>IF($E1495="","",INDEX('Banka Dökümü'!$A$2:$A$2001,$E1495))</ns0:f>
        <ns0:v/>
      </ns0:c>
      <ns0:c r="B1495" s="28" t="str">
        <ns0:f>IF($E1495="","",INDEX('Banka Dökümü'!$B$2:$B$2001,$E1495))</ns0:f>
        <ns0:v/>
      </ns0:c>
      <ns0:c r="C1495" s="33" t="str">
        <ns0:f>IF($E1495="","",INDEX('Banka Dökümü'!$C$2:$C$2001,$E1495))</ns0:f>
        <ns0:v/>
      </ns0:c>
      <ns0:c r="D1495" s="28" t="str">
        <ns0:f>IF(E1495="","","Müşteri adı / aranacak ad / il bilgisini kontrol edin")</ns0:f>
        <ns0:v/>
      </ns0:c>
      <ns0:c r="E1495" s="28" t="str">
        <ns0:f>IFERROR(MATCH(1491,'Banka Dökümü'!$I$2:$I$2001,0),"")</ns0:f>
        <ns0:v/>
      </ns0:c>
    </ns0:row>
    <ns0:row r="1496" ht="21" customHeight="1">
      <ns0:c r="A1496" s="32" t="str">
        <ns0:f>IF($E1496="","",INDEX('Banka Dökümü'!$A$2:$A$2001,$E1496))</ns0:f>
        <ns0:v/>
      </ns0:c>
      <ns0:c r="B1496" s="28" t="str">
        <ns0:f>IF($E1496="","",INDEX('Banka Dökümü'!$B$2:$B$2001,$E1496))</ns0:f>
        <ns0:v/>
      </ns0:c>
      <ns0:c r="C1496" s="33" t="str">
        <ns0:f>IF($E1496="","",INDEX('Banka Dökümü'!$C$2:$C$2001,$E1496))</ns0:f>
        <ns0:v/>
      </ns0:c>
      <ns0:c r="D1496" s="28" t="str">
        <ns0:f>IF(E1496="","","Müşteri adı / aranacak ad / il bilgisini kontrol edin")</ns0:f>
        <ns0:v/>
      </ns0:c>
      <ns0:c r="E1496" s="28" t="str">
        <ns0:f>IFERROR(MATCH(1492,'Banka Dökümü'!$I$2:$I$2001,0),"")</ns0:f>
        <ns0:v/>
      </ns0:c>
    </ns0:row>
    <ns0:row r="1497" ht="21" customHeight="1">
      <ns0:c r="A1497" s="32" t="str">
        <ns0:f>IF($E1497="","",INDEX('Banka Dökümü'!$A$2:$A$2001,$E1497))</ns0:f>
        <ns0:v/>
      </ns0:c>
      <ns0:c r="B1497" s="28" t="str">
        <ns0:f>IF($E1497="","",INDEX('Banka Dökümü'!$B$2:$B$2001,$E1497))</ns0:f>
        <ns0:v/>
      </ns0:c>
      <ns0:c r="C1497" s="33" t="str">
        <ns0:f>IF($E1497="","",INDEX('Banka Dökümü'!$C$2:$C$2001,$E1497))</ns0:f>
        <ns0:v/>
      </ns0:c>
      <ns0:c r="D1497" s="28" t="str">
        <ns0:f>IF(E1497="","","Müşteri adı / aranacak ad / il bilgisini kontrol edin")</ns0:f>
        <ns0:v/>
      </ns0:c>
      <ns0:c r="E1497" s="28" t="str">
        <ns0:f>IFERROR(MATCH(1493,'Banka Dökümü'!$I$2:$I$2001,0),"")</ns0:f>
        <ns0:v/>
      </ns0:c>
    </ns0:row>
    <ns0:row r="1498" ht="21" customHeight="1">
      <ns0:c r="A1498" s="32" t="str">
        <ns0:f>IF($E1498="","",INDEX('Banka Dökümü'!$A$2:$A$2001,$E1498))</ns0:f>
        <ns0:v/>
      </ns0:c>
      <ns0:c r="B1498" s="28" t="str">
        <ns0:f>IF($E1498="","",INDEX('Banka Dökümü'!$B$2:$B$2001,$E1498))</ns0:f>
        <ns0:v/>
      </ns0:c>
      <ns0:c r="C1498" s="33" t="str">
        <ns0:f>IF($E1498="","",INDEX('Banka Dökümü'!$C$2:$C$2001,$E1498))</ns0:f>
        <ns0:v/>
      </ns0:c>
      <ns0:c r="D1498" s="28" t="str">
        <ns0:f>IF(E1498="","","Müşteri adı / aranacak ad / il bilgisini kontrol edin")</ns0:f>
        <ns0:v/>
      </ns0:c>
      <ns0:c r="E1498" s="28" t="str">
        <ns0:f>IFERROR(MATCH(1494,'Banka Dökümü'!$I$2:$I$2001,0),"")</ns0:f>
        <ns0:v/>
      </ns0:c>
    </ns0:row>
    <ns0:row r="1499" ht="21" customHeight="1">
      <ns0:c r="A1499" s="32" t="str">
        <ns0:f>IF($E1499="","",INDEX('Banka Dökümü'!$A$2:$A$2001,$E1499))</ns0:f>
        <ns0:v/>
      </ns0:c>
      <ns0:c r="B1499" s="28" t="str">
        <ns0:f>IF($E1499="","",INDEX('Banka Dökümü'!$B$2:$B$2001,$E1499))</ns0:f>
        <ns0:v/>
      </ns0:c>
      <ns0:c r="C1499" s="33" t="str">
        <ns0:f>IF($E1499="","",INDEX('Banka Dökümü'!$C$2:$C$2001,$E1499))</ns0:f>
        <ns0:v/>
      </ns0:c>
      <ns0:c r="D1499" s="28" t="str">
        <ns0:f>IF(E1499="","","Müşteri adı / aranacak ad / il bilgisini kontrol edin")</ns0:f>
        <ns0:v/>
      </ns0:c>
      <ns0:c r="E1499" s="28" t="str">
        <ns0:f>IFERROR(MATCH(1495,'Banka Dökümü'!$I$2:$I$2001,0),"")</ns0:f>
        <ns0:v/>
      </ns0:c>
    </ns0:row>
    <ns0:row r="1500" ht="21" customHeight="1">
      <ns0:c r="A1500" s="32" t="str">
        <ns0:f>IF($E1500="","",INDEX('Banka Dökümü'!$A$2:$A$2001,$E1500))</ns0:f>
        <ns0:v/>
      </ns0:c>
      <ns0:c r="B1500" s="28" t="str">
        <ns0:f>IF($E1500="","",INDEX('Banka Dökümü'!$B$2:$B$2001,$E1500))</ns0:f>
        <ns0:v/>
      </ns0:c>
      <ns0:c r="C1500" s="33" t="str">
        <ns0:f>IF($E1500="","",INDEX('Banka Dökümü'!$C$2:$C$2001,$E1500))</ns0:f>
        <ns0:v/>
      </ns0:c>
      <ns0:c r="D1500" s="28" t="str">
        <ns0:f>IF(E1500="","","Müşteri adı / aranacak ad / il bilgisini kontrol edin")</ns0:f>
        <ns0:v/>
      </ns0:c>
      <ns0:c r="E1500" s="28" t="str">
        <ns0:f>IFERROR(MATCH(1496,'Banka Dökümü'!$I$2:$I$2001,0),"")</ns0:f>
        <ns0:v/>
      </ns0:c>
    </ns0:row>
    <ns0:row r="1501" ht="21" customHeight="1">
      <ns0:c r="A1501" s="32" t="str">
        <ns0:f>IF($E1501="","",INDEX('Banka Dökümü'!$A$2:$A$2001,$E1501))</ns0:f>
        <ns0:v/>
      </ns0:c>
      <ns0:c r="B1501" s="28" t="str">
        <ns0:f>IF($E1501="","",INDEX('Banka Dökümü'!$B$2:$B$2001,$E1501))</ns0:f>
        <ns0:v/>
      </ns0:c>
      <ns0:c r="C1501" s="33" t="str">
        <ns0:f>IF($E1501="","",INDEX('Banka Dökümü'!$C$2:$C$2001,$E1501))</ns0:f>
        <ns0:v/>
      </ns0:c>
      <ns0:c r="D1501" s="28" t="str">
        <ns0:f>IF(E1501="","","Müşteri adı / aranacak ad / il bilgisini kontrol edin")</ns0:f>
        <ns0:v/>
      </ns0:c>
      <ns0:c r="E1501" s="28" t="str">
        <ns0:f>IFERROR(MATCH(1497,'Banka Dökümü'!$I$2:$I$2001,0),"")</ns0:f>
        <ns0:v/>
      </ns0:c>
    </ns0:row>
    <ns0:row r="1502" ht="21" customHeight="1">
      <ns0:c r="A1502" s="32" t="str">
        <ns0:f>IF($E1502="","",INDEX('Banka Dökümü'!$A$2:$A$2001,$E1502))</ns0:f>
        <ns0:v/>
      </ns0:c>
      <ns0:c r="B1502" s="28" t="str">
        <ns0:f>IF($E1502="","",INDEX('Banka Dökümü'!$B$2:$B$2001,$E1502))</ns0:f>
        <ns0:v/>
      </ns0:c>
      <ns0:c r="C1502" s="33" t="str">
        <ns0:f>IF($E1502="","",INDEX('Banka Dökümü'!$C$2:$C$2001,$E1502))</ns0:f>
        <ns0:v/>
      </ns0:c>
      <ns0:c r="D1502" s="28" t="str">
        <ns0:f>IF(E1502="","","Müşteri adı / aranacak ad / il bilgisini kontrol edin")</ns0:f>
        <ns0:v/>
      </ns0:c>
      <ns0:c r="E1502" s="28" t="str">
        <ns0:f>IFERROR(MATCH(1498,'Banka Dökümü'!$I$2:$I$2001,0),"")</ns0:f>
        <ns0:v/>
      </ns0:c>
    </ns0:row>
    <ns0:row r="1503" ht="21" customHeight="1">
      <ns0:c r="A1503" s="32" t="str">
        <ns0:f>IF($E1503="","",INDEX('Banka Dökümü'!$A$2:$A$2001,$E1503))</ns0:f>
        <ns0:v/>
      </ns0:c>
      <ns0:c r="B1503" s="28" t="str">
        <ns0:f>IF($E1503="","",INDEX('Banka Dökümü'!$B$2:$B$2001,$E1503))</ns0:f>
        <ns0:v/>
      </ns0:c>
      <ns0:c r="C1503" s="33" t="str">
        <ns0:f>IF($E1503="","",INDEX('Banka Dökümü'!$C$2:$C$2001,$E1503))</ns0:f>
        <ns0:v/>
      </ns0:c>
      <ns0:c r="D1503" s="28" t="str">
        <ns0:f>IF(E1503="","","Müşteri adı / aranacak ad / il bilgisini kontrol edin")</ns0:f>
        <ns0:v/>
      </ns0:c>
      <ns0:c r="E1503" s="28" t="str">
        <ns0:f>IFERROR(MATCH(1499,'Banka Dökümü'!$I$2:$I$2001,0),"")</ns0:f>
        <ns0:v/>
      </ns0:c>
    </ns0:row>
    <ns0:row r="1504" ht="21" customHeight="1">
      <ns0:c r="A1504" s="32" t="str">
        <ns0:f>IF($E1504="","",INDEX('Banka Dökümü'!$A$2:$A$2001,$E1504))</ns0:f>
        <ns0:v/>
      </ns0:c>
      <ns0:c r="B1504" s="28" t="str">
        <ns0:f>IF($E1504="","",INDEX('Banka Dökümü'!$B$2:$B$2001,$E1504))</ns0:f>
        <ns0:v/>
      </ns0:c>
      <ns0:c r="C1504" s="33" t="str">
        <ns0:f>IF($E1504="","",INDEX('Banka Dökümü'!$C$2:$C$2001,$E1504))</ns0:f>
        <ns0:v/>
      </ns0:c>
      <ns0:c r="D1504" s="28" t="str">
        <ns0:f>IF(E1504="","","Müşteri adı / aranacak ad / il bilgisini kontrol edin")</ns0:f>
        <ns0:v/>
      </ns0:c>
      <ns0:c r="E1504" s="28" t="str">
        <ns0:f>IFERROR(MATCH(1500,'Banka Dökümü'!$I$2:$I$2001,0),"")</ns0:f>
        <ns0:v/>
      </ns0:c>
    </ns0:row>
    <ns0:row r="1505" ht="21" customHeight="1">
      <ns0:c r="A1505" s="32" t="str">
        <ns0:f>IF($E1505="","",INDEX('Banka Dökümü'!$A$2:$A$2001,$E1505))</ns0:f>
        <ns0:v/>
      </ns0:c>
      <ns0:c r="B1505" s="28" t="str">
        <ns0:f>IF($E1505="","",INDEX('Banka Dökümü'!$B$2:$B$2001,$E1505))</ns0:f>
        <ns0:v/>
      </ns0:c>
      <ns0:c r="C1505" s="33" t="str">
        <ns0:f>IF($E1505="","",INDEX('Banka Dökümü'!$C$2:$C$2001,$E1505))</ns0:f>
        <ns0:v/>
      </ns0:c>
      <ns0:c r="D1505" s="28" t="str">
        <ns0:f>IF(E1505="","","Müşteri adı / aranacak ad / il bilgisini kontrol edin")</ns0:f>
        <ns0:v/>
      </ns0:c>
      <ns0:c r="E1505" s="28" t="str">
        <ns0:f>IFERROR(MATCH(1501,'Banka Dökümü'!$I$2:$I$2001,0),"")</ns0:f>
        <ns0:v/>
      </ns0:c>
    </ns0:row>
    <ns0:row r="1506" ht="21" customHeight="1">
      <ns0:c r="A1506" s="32" t="str">
        <ns0:f>IF($E1506="","",INDEX('Banka Dökümü'!$A$2:$A$2001,$E1506))</ns0:f>
        <ns0:v/>
      </ns0:c>
      <ns0:c r="B1506" s="28" t="str">
        <ns0:f>IF($E1506="","",INDEX('Banka Dökümü'!$B$2:$B$2001,$E1506))</ns0:f>
        <ns0:v/>
      </ns0:c>
      <ns0:c r="C1506" s="33" t="str">
        <ns0:f>IF($E1506="","",INDEX('Banka Dökümü'!$C$2:$C$2001,$E1506))</ns0:f>
        <ns0:v/>
      </ns0:c>
      <ns0:c r="D1506" s="28" t="str">
        <ns0:f>IF(E1506="","","Müşteri adı / aranacak ad / il bilgisini kontrol edin")</ns0:f>
        <ns0:v/>
      </ns0:c>
      <ns0:c r="E1506" s="28" t="str">
        <ns0:f>IFERROR(MATCH(1502,'Banka Dökümü'!$I$2:$I$2001,0),"")</ns0:f>
        <ns0:v/>
      </ns0:c>
    </ns0:row>
    <ns0:row r="1507" ht="21" customHeight="1">
      <ns0:c r="A1507" s="32" t="str">
        <ns0:f>IF($E1507="","",INDEX('Banka Dökümü'!$A$2:$A$2001,$E1507))</ns0:f>
        <ns0:v/>
      </ns0:c>
      <ns0:c r="B1507" s="28" t="str">
        <ns0:f>IF($E1507="","",INDEX('Banka Dökümü'!$B$2:$B$2001,$E1507))</ns0:f>
        <ns0:v/>
      </ns0:c>
      <ns0:c r="C1507" s="33" t="str">
        <ns0:f>IF($E1507="","",INDEX('Banka Dökümü'!$C$2:$C$2001,$E1507))</ns0:f>
        <ns0:v/>
      </ns0:c>
      <ns0:c r="D1507" s="28" t="str">
        <ns0:f>IF(E1507="","","Müşteri adı / aranacak ad / il bilgisini kontrol edin")</ns0:f>
        <ns0:v/>
      </ns0:c>
      <ns0:c r="E1507" s="28" t="str">
        <ns0:f>IFERROR(MATCH(1503,'Banka Dökümü'!$I$2:$I$2001,0),"")</ns0:f>
        <ns0:v/>
      </ns0:c>
    </ns0:row>
    <ns0:row r="1508" ht="21" customHeight="1">
      <ns0:c r="A1508" s="32" t="str">
        <ns0:f>IF($E1508="","",INDEX('Banka Dökümü'!$A$2:$A$2001,$E1508))</ns0:f>
        <ns0:v/>
      </ns0:c>
      <ns0:c r="B1508" s="28" t="str">
        <ns0:f>IF($E1508="","",INDEX('Banka Dökümü'!$B$2:$B$2001,$E1508))</ns0:f>
        <ns0:v/>
      </ns0:c>
      <ns0:c r="C1508" s="33" t="str">
        <ns0:f>IF($E1508="","",INDEX('Banka Dökümü'!$C$2:$C$2001,$E1508))</ns0:f>
        <ns0:v/>
      </ns0:c>
      <ns0:c r="D1508" s="28" t="str">
        <ns0:f>IF(E1508="","","Müşteri adı / aranacak ad / il bilgisini kontrol edin")</ns0:f>
        <ns0:v/>
      </ns0:c>
      <ns0:c r="E1508" s="28" t="str">
        <ns0:f>IFERROR(MATCH(1504,'Banka Dökümü'!$I$2:$I$2001,0),"")</ns0:f>
        <ns0:v/>
      </ns0:c>
    </ns0:row>
    <ns0:row r="1509" ht="21" customHeight="1">
      <ns0:c r="A1509" s="32" t="str">
        <ns0:f>IF($E1509="","",INDEX('Banka Dökümü'!$A$2:$A$2001,$E1509))</ns0:f>
        <ns0:v/>
      </ns0:c>
      <ns0:c r="B1509" s="28" t="str">
        <ns0:f>IF($E1509="","",INDEX('Banka Dökümü'!$B$2:$B$2001,$E1509))</ns0:f>
        <ns0:v/>
      </ns0:c>
      <ns0:c r="C1509" s="33" t="str">
        <ns0:f>IF($E1509="","",INDEX('Banka Dökümü'!$C$2:$C$2001,$E1509))</ns0:f>
        <ns0:v/>
      </ns0:c>
      <ns0:c r="D1509" s="28" t="str">
        <ns0:f>IF(E1509="","","Müşteri adı / aranacak ad / il bilgisini kontrol edin")</ns0:f>
        <ns0:v/>
      </ns0:c>
      <ns0:c r="E1509" s="28" t="str">
        <ns0:f>IFERROR(MATCH(1505,'Banka Dökümü'!$I$2:$I$2001,0),"")</ns0:f>
        <ns0:v/>
      </ns0:c>
    </ns0:row>
    <ns0:row r="1510" ht="21" customHeight="1">
      <ns0:c r="A1510" s="32" t="str">
        <ns0:f>IF($E1510="","",INDEX('Banka Dökümü'!$A$2:$A$2001,$E1510))</ns0:f>
        <ns0:v/>
      </ns0:c>
      <ns0:c r="B1510" s="28" t="str">
        <ns0:f>IF($E1510="","",INDEX('Banka Dökümü'!$B$2:$B$2001,$E1510))</ns0:f>
        <ns0:v/>
      </ns0:c>
      <ns0:c r="C1510" s="33" t="str">
        <ns0:f>IF($E1510="","",INDEX('Banka Dökümü'!$C$2:$C$2001,$E1510))</ns0:f>
        <ns0:v/>
      </ns0:c>
      <ns0:c r="D1510" s="28" t="str">
        <ns0:f>IF(E1510="","","Müşteri adı / aranacak ad / il bilgisini kontrol edin")</ns0:f>
        <ns0:v/>
      </ns0:c>
      <ns0:c r="E1510" s="28" t="str">
        <ns0:f>IFERROR(MATCH(1506,'Banka Dökümü'!$I$2:$I$2001,0),"")</ns0:f>
        <ns0:v/>
      </ns0:c>
    </ns0:row>
    <ns0:row r="1511" ht="21" customHeight="1">
      <ns0:c r="A1511" s="32" t="str">
        <ns0:f>IF($E1511="","",INDEX('Banka Dökümü'!$A$2:$A$2001,$E1511))</ns0:f>
        <ns0:v/>
      </ns0:c>
      <ns0:c r="B1511" s="28" t="str">
        <ns0:f>IF($E1511="","",INDEX('Banka Dökümü'!$B$2:$B$2001,$E1511))</ns0:f>
        <ns0:v/>
      </ns0:c>
      <ns0:c r="C1511" s="33" t="str">
        <ns0:f>IF($E1511="","",INDEX('Banka Dökümü'!$C$2:$C$2001,$E1511))</ns0:f>
        <ns0:v/>
      </ns0:c>
      <ns0:c r="D1511" s="28" t="str">
        <ns0:f>IF(E1511="","","Müşteri adı / aranacak ad / il bilgisini kontrol edin")</ns0:f>
        <ns0:v/>
      </ns0:c>
      <ns0:c r="E1511" s="28" t="str">
        <ns0:f>IFERROR(MATCH(1507,'Banka Dökümü'!$I$2:$I$2001,0),"")</ns0:f>
        <ns0:v/>
      </ns0:c>
    </ns0:row>
    <ns0:row r="1512" ht="21" customHeight="1">
      <ns0:c r="A1512" s="32" t="str">
        <ns0:f>IF($E1512="","",INDEX('Banka Dökümü'!$A$2:$A$2001,$E1512))</ns0:f>
        <ns0:v/>
      </ns0:c>
      <ns0:c r="B1512" s="28" t="str">
        <ns0:f>IF($E1512="","",INDEX('Banka Dökümü'!$B$2:$B$2001,$E1512))</ns0:f>
        <ns0:v/>
      </ns0:c>
      <ns0:c r="C1512" s="33" t="str">
        <ns0:f>IF($E1512="","",INDEX('Banka Dökümü'!$C$2:$C$2001,$E1512))</ns0:f>
        <ns0:v/>
      </ns0:c>
      <ns0:c r="D1512" s="28" t="str">
        <ns0:f>IF(E1512="","","Müşteri adı / aranacak ad / il bilgisini kontrol edin")</ns0:f>
        <ns0:v/>
      </ns0:c>
      <ns0:c r="E1512" s="28" t="str">
        <ns0:f>IFERROR(MATCH(1508,'Banka Dökümü'!$I$2:$I$2001,0),"")</ns0:f>
        <ns0:v/>
      </ns0:c>
    </ns0:row>
    <ns0:row r="1513" ht="21" customHeight="1">
      <ns0:c r="A1513" s="32" t="str">
        <ns0:f>IF($E1513="","",INDEX('Banka Dökümü'!$A$2:$A$2001,$E1513))</ns0:f>
        <ns0:v/>
      </ns0:c>
      <ns0:c r="B1513" s="28" t="str">
        <ns0:f>IF($E1513="","",INDEX('Banka Dökümü'!$B$2:$B$2001,$E1513))</ns0:f>
        <ns0:v/>
      </ns0:c>
      <ns0:c r="C1513" s="33" t="str">
        <ns0:f>IF($E1513="","",INDEX('Banka Dökümü'!$C$2:$C$2001,$E1513))</ns0:f>
        <ns0:v/>
      </ns0:c>
      <ns0:c r="D1513" s="28" t="str">
        <ns0:f>IF(E1513="","","Müşteri adı / aranacak ad / il bilgisini kontrol edin")</ns0:f>
        <ns0:v/>
      </ns0:c>
      <ns0:c r="E1513" s="28" t="str">
        <ns0:f>IFERROR(MATCH(1509,'Banka Dökümü'!$I$2:$I$2001,0),"")</ns0:f>
        <ns0:v/>
      </ns0:c>
    </ns0:row>
    <ns0:row r="1514" ht="21" customHeight="1">
      <ns0:c r="A1514" s="32" t="str">
        <ns0:f>IF($E1514="","",INDEX('Banka Dökümü'!$A$2:$A$2001,$E1514))</ns0:f>
        <ns0:v/>
      </ns0:c>
      <ns0:c r="B1514" s="28" t="str">
        <ns0:f>IF($E1514="","",INDEX('Banka Dökümü'!$B$2:$B$2001,$E1514))</ns0:f>
        <ns0:v/>
      </ns0:c>
      <ns0:c r="C1514" s="33" t="str">
        <ns0:f>IF($E1514="","",INDEX('Banka Dökümü'!$C$2:$C$2001,$E1514))</ns0:f>
        <ns0:v/>
      </ns0:c>
      <ns0:c r="D1514" s="28" t="str">
        <ns0:f>IF(E1514="","","Müşteri adı / aranacak ad / il bilgisini kontrol edin")</ns0:f>
        <ns0:v/>
      </ns0:c>
      <ns0:c r="E1514" s="28" t="str">
        <ns0:f>IFERROR(MATCH(1510,'Banka Dökümü'!$I$2:$I$2001,0),"")</ns0:f>
        <ns0:v/>
      </ns0:c>
    </ns0:row>
    <ns0:row r="1515" ht="21" customHeight="1">
      <ns0:c r="A1515" s="32" t="str">
        <ns0:f>IF($E1515="","",INDEX('Banka Dökümü'!$A$2:$A$2001,$E1515))</ns0:f>
        <ns0:v/>
      </ns0:c>
      <ns0:c r="B1515" s="28" t="str">
        <ns0:f>IF($E1515="","",INDEX('Banka Dökümü'!$B$2:$B$2001,$E1515))</ns0:f>
        <ns0:v/>
      </ns0:c>
      <ns0:c r="C1515" s="33" t="str">
        <ns0:f>IF($E1515="","",INDEX('Banka Dökümü'!$C$2:$C$2001,$E1515))</ns0:f>
        <ns0:v/>
      </ns0:c>
      <ns0:c r="D1515" s="28" t="str">
        <ns0:f>IF(E1515="","","Müşteri adı / aranacak ad / il bilgisini kontrol edin")</ns0:f>
        <ns0:v/>
      </ns0:c>
      <ns0:c r="E1515" s="28" t="str">
        <ns0:f>IFERROR(MATCH(1511,'Banka Dökümü'!$I$2:$I$2001,0),"")</ns0:f>
        <ns0:v/>
      </ns0:c>
    </ns0:row>
    <ns0:row r="1516" ht="21" customHeight="1">
      <ns0:c r="A1516" s="32" t="str">
        <ns0:f>IF($E1516="","",INDEX('Banka Dökümü'!$A$2:$A$2001,$E1516))</ns0:f>
        <ns0:v/>
      </ns0:c>
      <ns0:c r="B1516" s="28" t="str">
        <ns0:f>IF($E1516="","",INDEX('Banka Dökümü'!$B$2:$B$2001,$E1516))</ns0:f>
        <ns0:v/>
      </ns0:c>
      <ns0:c r="C1516" s="33" t="str">
        <ns0:f>IF($E1516="","",INDEX('Banka Dökümü'!$C$2:$C$2001,$E1516))</ns0:f>
        <ns0:v/>
      </ns0:c>
      <ns0:c r="D1516" s="28" t="str">
        <ns0:f>IF(E1516="","","Müşteri adı / aranacak ad / il bilgisini kontrol edin")</ns0:f>
        <ns0:v/>
      </ns0:c>
      <ns0:c r="E1516" s="28" t="str">
        <ns0:f>IFERROR(MATCH(1512,'Banka Dökümü'!$I$2:$I$2001,0),"")</ns0:f>
        <ns0:v/>
      </ns0:c>
    </ns0:row>
    <ns0:row r="1517" ht="21" customHeight="1">
      <ns0:c r="A1517" s="32" t="str">
        <ns0:f>IF($E1517="","",INDEX('Banka Dökümü'!$A$2:$A$2001,$E1517))</ns0:f>
        <ns0:v/>
      </ns0:c>
      <ns0:c r="B1517" s="28" t="str">
        <ns0:f>IF($E1517="","",INDEX('Banka Dökümü'!$B$2:$B$2001,$E1517))</ns0:f>
        <ns0:v/>
      </ns0:c>
      <ns0:c r="C1517" s="33" t="str">
        <ns0:f>IF($E1517="","",INDEX('Banka Dökümü'!$C$2:$C$2001,$E1517))</ns0:f>
        <ns0:v/>
      </ns0:c>
      <ns0:c r="D1517" s="28" t="str">
        <ns0:f>IF(E1517="","","Müşteri adı / aranacak ad / il bilgisini kontrol edin")</ns0:f>
        <ns0:v/>
      </ns0:c>
      <ns0:c r="E1517" s="28" t="str">
        <ns0:f>IFERROR(MATCH(1513,'Banka Dökümü'!$I$2:$I$2001,0),"")</ns0:f>
        <ns0:v/>
      </ns0:c>
    </ns0:row>
    <ns0:row r="1518" ht="21" customHeight="1">
      <ns0:c r="A1518" s="32" t="str">
        <ns0:f>IF($E1518="","",INDEX('Banka Dökümü'!$A$2:$A$2001,$E1518))</ns0:f>
        <ns0:v/>
      </ns0:c>
      <ns0:c r="B1518" s="28" t="str">
        <ns0:f>IF($E1518="","",INDEX('Banka Dökümü'!$B$2:$B$2001,$E1518))</ns0:f>
        <ns0:v/>
      </ns0:c>
      <ns0:c r="C1518" s="33" t="str">
        <ns0:f>IF($E1518="","",INDEX('Banka Dökümü'!$C$2:$C$2001,$E1518))</ns0:f>
        <ns0:v/>
      </ns0:c>
      <ns0:c r="D1518" s="28" t="str">
        <ns0:f>IF(E1518="","","Müşteri adı / aranacak ad / il bilgisini kontrol edin")</ns0:f>
        <ns0:v/>
      </ns0:c>
      <ns0:c r="E1518" s="28" t="str">
        <ns0:f>IFERROR(MATCH(1514,'Banka Dökümü'!$I$2:$I$2001,0),"")</ns0:f>
        <ns0:v/>
      </ns0:c>
    </ns0:row>
    <ns0:row r="1519" ht="21" customHeight="1">
      <ns0:c r="A1519" s="32" t="str">
        <ns0:f>IF($E1519="","",INDEX('Banka Dökümü'!$A$2:$A$2001,$E1519))</ns0:f>
        <ns0:v/>
      </ns0:c>
      <ns0:c r="B1519" s="28" t="str">
        <ns0:f>IF($E1519="","",INDEX('Banka Dökümü'!$B$2:$B$2001,$E1519))</ns0:f>
        <ns0:v/>
      </ns0:c>
      <ns0:c r="C1519" s="33" t="str">
        <ns0:f>IF($E1519="","",INDEX('Banka Dökümü'!$C$2:$C$2001,$E1519))</ns0:f>
        <ns0:v/>
      </ns0:c>
      <ns0:c r="D1519" s="28" t="str">
        <ns0:f>IF(E1519="","","Müşteri adı / aranacak ad / il bilgisini kontrol edin")</ns0:f>
        <ns0:v/>
      </ns0:c>
      <ns0:c r="E1519" s="28" t="str">
        <ns0:f>IFERROR(MATCH(1515,'Banka Dökümü'!$I$2:$I$2001,0),"")</ns0:f>
        <ns0:v/>
      </ns0:c>
    </ns0:row>
    <ns0:row r="1520" ht="21" customHeight="1">
      <ns0:c r="A1520" s="32" t="str">
        <ns0:f>IF($E1520="","",INDEX('Banka Dökümü'!$A$2:$A$2001,$E1520))</ns0:f>
        <ns0:v/>
      </ns0:c>
      <ns0:c r="B1520" s="28" t="str">
        <ns0:f>IF($E1520="","",INDEX('Banka Dökümü'!$B$2:$B$2001,$E1520))</ns0:f>
        <ns0:v/>
      </ns0:c>
      <ns0:c r="C1520" s="33" t="str">
        <ns0:f>IF($E1520="","",INDEX('Banka Dökümü'!$C$2:$C$2001,$E1520))</ns0:f>
        <ns0:v/>
      </ns0:c>
      <ns0:c r="D1520" s="28" t="str">
        <ns0:f>IF(E1520="","","Müşteri adı / aranacak ad / il bilgisini kontrol edin")</ns0:f>
        <ns0:v/>
      </ns0:c>
      <ns0:c r="E1520" s="28" t="str">
        <ns0:f>IFERROR(MATCH(1516,'Banka Dökümü'!$I$2:$I$2001,0),"")</ns0:f>
        <ns0:v/>
      </ns0:c>
    </ns0:row>
    <ns0:row r="1521" ht="21" customHeight="1">
      <ns0:c r="A1521" s="32" t="str">
        <ns0:f>IF($E1521="","",INDEX('Banka Dökümü'!$A$2:$A$2001,$E1521))</ns0:f>
        <ns0:v/>
      </ns0:c>
      <ns0:c r="B1521" s="28" t="str">
        <ns0:f>IF($E1521="","",INDEX('Banka Dökümü'!$B$2:$B$2001,$E1521))</ns0:f>
        <ns0:v/>
      </ns0:c>
      <ns0:c r="C1521" s="33" t="str">
        <ns0:f>IF($E1521="","",INDEX('Banka Dökümü'!$C$2:$C$2001,$E1521))</ns0:f>
        <ns0:v/>
      </ns0:c>
      <ns0:c r="D1521" s="28" t="str">
        <ns0:f>IF(E1521="","","Müşteri adı / aranacak ad / il bilgisini kontrol edin")</ns0:f>
        <ns0:v/>
      </ns0:c>
      <ns0:c r="E1521" s="28" t="str">
        <ns0:f>IFERROR(MATCH(1517,'Banka Dökümü'!$I$2:$I$2001,0),"")</ns0:f>
        <ns0:v/>
      </ns0:c>
    </ns0:row>
    <ns0:row r="1522" ht="21" customHeight="1">
      <ns0:c r="A1522" s="32" t="str">
        <ns0:f>IF($E1522="","",INDEX('Banka Dökümü'!$A$2:$A$2001,$E1522))</ns0:f>
        <ns0:v/>
      </ns0:c>
      <ns0:c r="B1522" s="28" t="str">
        <ns0:f>IF($E1522="","",INDEX('Banka Dökümü'!$B$2:$B$2001,$E1522))</ns0:f>
        <ns0:v/>
      </ns0:c>
      <ns0:c r="C1522" s="33" t="str">
        <ns0:f>IF($E1522="","",INDEX('Banka Dökümü'!$C$2:$C$2001,$E1522))</ns0:f>
        <ns0:v/>
      </ns0:c>
      <ns0:c r="D1522" s="28" t="str">
        <ns0:f>IF(E1522="","","Müşteri adı / aranacak ad / il bilgisini kontrol edin")</ns0:f>
        <ns0:v/>
      </ns0:c>
      <ns0:c r="E1522" s="28" t="str">
        <ns0:f>IFERROR(MATCH(1518,'Banka Dökümü'!$I$2:$I$2001,0),"")</ns0:f>
        <ns0:v/>
      </ns0:c>
    </ns0:row>
    <ns0:row r="1523" ht="21" customHeight="1">
      <ns0:c r="A1523" s="32" t="str">
        <ns0:f>IF($E1523="","",INDEX('Banka Dökümü'!$A$2:$A$2001,$E1523))</ns0:f>
        <ns0:v/>
      </ns0:c>
      <ns0:c r="B1523" s="28" t="str">
        <ns0:f>IF($E1523="","",INDEX('Banka Dökümü'!$B$2:$B$2001,$E1523))</ns0:f>
        <ns0:v/>
      </ns0:c>
      <ns0:c r="C1523" s="33" t="str">
        <ns0:f>IF($E1523="","",INDEX('Banka Dökümü'!$C$2:$C$2001,$E1523))</ns0:f>
        <ns0:v/>
      </ns0:c>
      <ns0:c r="D1523" s="28" t="str">
        <ns0:f>IF(E1523="","","Müşteri adı / aranacak ad / il bilgisini kontrol edin")</ns0:f>
        <ns0:v/>
      </ns0:c>
      <ns0:c r="E1523" s="28" t="str">
        <ns0:f>IFERROR(MATCH(1519,'Banka Dökümü'!$I$2:$I$2001,0),"")</ns0:f>
        <ns0:v/>
      </ns0:c>
    </ns0:row>
    <ns0:row r="1524" ht="21" customHeight="1">
      <ns0:c r="A1524" s="32" t="str">
        <ns0:f>IF($E1524="","",INDEX('Banka Dökümü'!$A$2:$A$2001,$E1524))</ns0:f>
        <ns0:v/>
      </ns0:c>
      <ns0:c r="B1524" s="28" t="str">
        <ns0:f>IF($E1524="","",INDEX('Banka Dökümü'!$B$2:$B$2001,$E1524))</ns0:f>
        <ns0:v/>
      </ns0:c>
      <ns0:c r="C1524" s="33" t="str">
        <ns0:f>IF($E1524="","",INDEX('Banka Dökümü'!$C$2:$C$2001,$E1524))</ns0:f>
        <ns0:v/>
      </ns0:c>
      <ns0:c r="D1524" s="28" t="str">
        <ns0:f>IF(E1524="","","Müşteri adı / aranacak ad / il bilgisini kontrol edin")</ns0:f>
        <ns0:v/>
      </ns0:c>
      <ns0:c r="E1524" s="28" t="str">
        <ns0:f>IFERROR(MATCH(1520,'Banka Dökümü'!$I$2:$I$2001,0),"")</ns0:f>
        <ns0:v/>
      </ns0:c>
    </ns0:row>
    <ns0:row r="1525" ht="21" customHeight="1">
      <ns0:c r="A1525" s="32" t="str">
        <ns0:f>IF($E1525="","",INDEX('Banka Dökümü'!$A$2:$A$2001,$E1525))</ns0:f>
        <ns0:v/>
      </ns0:c>
      <ns0:c r="B1525" s="28" t="str">
        <ns0:f>IF($E1525="","",INDEX('Banka Dökümü'!$B$2:$B$2001,$E1525))</ns0:f>
        <ns0:v/>
      </ns0:c>
      <ns0:c r="C1525" s="33" t="str">
        <ns0:f>IF($E1525="","",INDEX('Banka Dökümü'!$C$2:$C$2001,$E1525))</ns0:f>
        <ns0:v/>
      </ns0:c>
      <ns0:c r="D1525" s="28" t="str">
        <ns0:f>IF(E1525="","","Müşteri adı / aranacak ad / il bilgisini kontrol edin")</ns0:f>
        <ns0:v/>
      </ns0:c>
      <ns0:c r="E1525" s="28" t="str">
        <ns0:f>IFERROR(MATCH(1521,'Banka Dökümü'!$I$2:$I$2001,0),"")</ns0:f>
        <ns0:v/>
      </ns0:c>
    </ns0:row>
    <ns0:row r="1526" ht="21" customHeight="1">
      <ns0:c r="A1526" s="32" t="str">
        <ns0:f>IF($E1526="","",INDEX('Banka Dökümü'!$A$2:$A$2001,$E1526))</ns0:f>
        <ns0:v/>
      </ns0:c>
      <ns0:c r="B1526" s="28" t="str">
        <ns0:f>IF($E1526="","",INDEX('Banka Dökümü'!$B$2:$B$2001,$E1526))</ns0:f>
        <ns0:v/>
      </ns0:c>
      <ns0:c r="C1526" s="33" t="str">
        <ns0:f>IF($E1526="","",INDEX('Banka Dökümü'!$C$2:$C$2001,$E1526))</ns0:f>
        <ns0:v/>
      </ns0:c>
      <ns0:c r="D1526" s="28" t="str">
        <ns0:f>IF(E1526="","","Müşteri adı / aranacak ad / il bilgisini kontrol edin")</ns0:f>
        <ns0:v/>
      </ns0:c>
      <ns0:c r="E1526" s="28" t="str">
        <ns0:f>IFERROR(MATCH(1522,'Banka Dökümü'!$I$2:$I$2001,0),"")</ns0:f>
        <ns0:v/>
      </ns0:c>
    </ns0:row>
    <ns0:row r="1527" ht="21" customHeight="1">
      <ns0:c r="A1527" s="32" t="str">
        <ns0:f>IF($E1527="","",INDEX('Banka Dökümü'!$A$2:$A$2001,$E1527))</ns0:f>
        <ns0:v/>
      </ns0:c>
      <ns0:c r="B1527" s="28" t="str">
        <ns0:f>IF($E1527="","",INDEX('Banka Dökümü'!$B$2:$B$2001,$E1527))</ns0:f>
        <ns0:v/>
      </ns0:c>
      <ns0:c r="C1527" s="33" t="str">
        <ns0:f>IF($E1527="","",INDEX('Banka Dökümü'!$C$2:$C$2001,$E1527))</ns0:f>
        <ns0:v/>
      </ns0:c>
      <ns0:c r="D1527" s="28" t="str">
        <ns0:f>IF(E1527="","","Müşteri adı / aranacak ad / il bilgisini kontrol edin")</ns0:f>
        <ns0:v/>
      </ns0:c>
      <ns0:c r="E1527" s="28" t="str">
        <ns0:f>IFERROR(MATCH(1523,'Banka Dökümü'!$I$2:$I$2001,0),"")</ns0:f>
        <ns0:v/>
      </ns0:c>
    </ns0:row>
    <ns0:row r="1528" ht="21" customHeight="1">
      <ns0:c r="A1528" s="32" t="str">
        <ns0:f>IF($E1528="","",INDEX('Banka Dökümü'!$A$2:$A$2001,$E1528))</ns0:f>
        <ns0:v/>
      </ns0:c>
      <ns0:c r="B1528" s="28" t="str">
        <ns0:f>IF($E1528="","",INDEX('Banka Dökümü'!$B$2:$B$2001,$E1528))</ns0:f>
        <ns0:v/>
      </ns0:c>
      <ns0:c r="C1528" s="33" t="str">
        <ns0:f>IF($E1528="","",INDEX('Banka Dökümü'!$C$2:$C$2001,$E1528))</ns0:f>
        <ns0:v/>
      </ns0:c>
      <ns0:c r="D1528" s="28" t="str">
        <ns0:f>IF(E1528="","","Müşteri adı / aranacak ad / il bilgisini kontrol edin")</ns0:f>
        <ns0:v/>
      </ns0:c>
      <ns0:c r="E1528" s="28" t="str">
        <ns0:f>IFERROR(MATCH(1524,'Banka Dökümü'!$I$2:$I$2001,0),"")</ns0:f>
        <ns0:v/>
      </ns0:c>
    </ns0:row>
    <ns0:row r="1529" ht="21" customHeight="1">
      <ns0:c r="A1529" s="32" t="str">
        <ns0:f>IF($E1529="","",INDEX('Banka Dökümü'!$A$2:$A$2001,$E1529))</ns0:f>
        <ns0:v/>
      </ns0:c>
      <ns0:c r="B1529" s="28" t="str">
        <ns0:f>IF($E1529="","",INDEX('Banka Dökümü'!$B$2:$B$2001,$E1529))</ns0:f>
        <ns0:v/>
      </ns0:c>
      <ns0:c r="C1529" s="33" t="str">
        <ns0:f>IF($E1529="","",INDEX('Banka Dökümü'!$C$2:$C$2001,$E1529))</ns0:f>
        <ns0:v/>
      </ns0:c>
      <ns0:c r="D1529" s="28" t="str">
        <ns0:f>IF(E1529="","","Müşteri adı / aranacak ad / il bilgisini kontrol edin")</ns0:f>
        <ns0:v/>
      </ns0:c>
      <ns0:c r="E1529" s="28" t="str">
        <ns0:f>IFERROR(MATCH(1525,'Banka Dökümü'!$I$2:$I$2001,0),"")</ns0:f>
        <ns0:v/>
      </ns0:c>
    </ns0:row>
    <ns0:row r="1530" ht="21" customHeight="1">
      <ns0:c r="A1530" s="32" t="str">
        <ns0:f>IF($E1530="","",INDEX('Banka Dökümü'!$A$2:$A$2001,$E1530))</ns0:f>
        <ns0:v/>
      </ns0:c>
      <ns0:c r="B1530" s="28" t="str">
        <ns0:f>IF($E1530="","",INDEX('Banka Dökümü'!$B$2:$B$2001,$E1530))</ns0:f>
        <ns0:v/>
      </ns0:c>
      <ns0:c r="C1530" s="33" t="str">
        <ns0:f>IF($E1530="","",INDEX('Banka Dökümü'!$C$2:$C$2001,$E1530))</ns0:f>
        <ns0:v/>
      </ns0:c>
      <ns0:c r="D1530" s="28" t="str">
        <ns0:f>IF(E1530="","","Müşteri adı / aranacak ad / il bilgisini kontrol edin")</ns0:f>
        <ns0:v/>
      </ns0:c>
      <ns0:c r="E1530" s="28" t="str">
        <ns0:f>IFERROR(MATCH(1526,'Banka Dökümü'!$I$2:$I$2001,0),"")</ns0:f>
        <ns0:v/>
      </ns0:c>
    </ns0:row>
    <ns0:row r="1531" ht="21" customHeight="1">
      <ns0:c r="A1531" s="32" t="str">
        <ns0:f>IF($E1531="","",INDEX('Banka Dökümü'!$A$2:$A$2001,$E1531))</ns0:f>
        <ns0:v/>
      </ns0:c>
      <ns0:c r="B1531" s="28" t="str">
        <ns0:f>IF($E1531="","",INDEX('Banka Dökümü'!$B$2:$B$2001,$E1531))</ns0:f>
        <ns0:v/>
      </ns0:c>
      <ns0:c r="C1531" s="33" t="str">
        <ns0:f>IF($E1531="","",INDEX('Banka Dökümü'!$C$2:$C$2001,$E1531))</ns0:f>
        <ns0:v/>
      </ns0:c>
      <ns0:c r="D1531" s="28" t="str">
        <ns0:f>IF(E1531="","","Müşteri adı / aranacak ad / il bilgisini kontrol edin")</ns0:f>
        <ns0:v/>
      </ns0:c>
      <ns0:c r="E1531" s="28" t="str">
        <ns0:f>IFERROR(MATCH(1527,'Banka Dökümü'!$I$2:$I$2001,0),"")</ns0:f>
        <ns0:v/>
      </ns0:c>
    </ns0:row>
    <ns0:row r="1532" ht="21" customHeight="1">
      <ns0:c r="A1532" s="32" t="str">
        <ns0:f>IF($E1532="","",INDEX('Banka Dökümü'!$A$2:$A$2001,$E1532))</ns0:f>
        <ns0:v/>
      </ns0:c>
      <ns0:c r="B1532" s="28" t="str">
        <ns0:f>IF($E1532="","",INDEX('Banka Dökümü'!$B$2:$B$2001,$E1532))</ns0:f>
        <ns0:v/>
      </ns0:c>
      <ns0:c r="C1532" s="33" t="str">
        <ns0:f>IF($E1532="","",INDEX('Banka Dökümü'!$C$2:$C$2001,$E1532))</ns0:f>
        <ns0:v/>
      </ns0:c>
      <ns0:c r="D1532" s="28" t="str">
        <ns0:f>IF(E1532="","","Müşteri adı / aranacak ad / il bilgisini kontrol edin")</ns0:f>
        <ns0:v/>
      </ns0:c>
      <ns0:c r="E1532" s="28" t="str">
        <ns0:f>IFERROR(MATCH(1528,'Banka Dökümü'!$I$2:$I$2001,0),"")</ns0:f>
        <ns0:v/>
      </ns0:c>
    </ns0:row>
    <ns0:row r="1533" ht="21" customHeight="1">
      <ns0:c r="A1533" s="32" t="str">
        <ns0:f>IF($E1533="","",INDEX('Banka Dökümü'!$A$2:$A$2001,$E1533))</ns0:f>
        <ns0:v/>
      </ns0:c>
      <ns0:c r="B1533" s="28" t="str">
        <ns0:f>IF($E1533="","",INDEX('Banka Dökümü'!$B$2:$B$2001,$E1533))</ns0:f>
        <ns0:v/>
      </ns0:c>
      <ns0:c r="C1533" s="33" t="str">
        <ns0:f>IF($E1533="","",INDEX('Banka Dökümü'!$C$2:$C$2001,$E1533))</ns0:f>
        <ns0:v/>
      </ns0:c>
      <ns0:c r="D1533" s="28" t="str">
        <ns0:f>IF(E1533="","","Müşteri adı / aranacak ad / il bilgisini kontrol edin")</ns0:f>
        <ns0:v/>
      </ns0:c>
      <ns0:c r="E1533" s="28" t="str">
        <ns0:f>IFERROR(MATCH(1529,'Banka Dökümü'!$I$2:$I$2001,0),"")</ns0:f>
        <ns0:v/>
      </ns0:c>
    </ns0:row>
    <ns0:row r="1534" ht="21" customHeight="1">
      <ns0:c r="A1534" s="32" t="str">
        <ns0:f>IF($E1534="","",INDEX('Banka Dökümü'!$A$2:$A$2001,$E1534))</ns0:f>
        <ns0:v/>
      </ns0:c>
      <ns0:c r="B1534" s="28" t="str">
        <ns0:f>IF($E1534="","",INDEX('Banka Dökümü'!$B$2:$B$2001,$E1534))</ns0:f>
        <ns0:v/>
      </ns0:c>
      <ns0:c r="C1534" s="33" t="str">
        <ns0:f>IF($E1534="","",INDEX('Banka Dökümü'!$C$2:$C$2001,$E1534))</ns0:f>
        <ns0:v/>
      </ns0:c>
      <ns0:c r="D1534" s="28" t="str">
        <ns0:f>IF(E1534="","","Müşteri adı / aranacak ad / il bilgisini kontrol edin")</ns0:f>
        <ns0:v/>
      </ns0:c>
      <ns0:c r="E1534" s="28" t="str">
        <ns0:f>IFERROR(MATCH(1530,'Banka Dökümü'!$I$2:$I$2001,0),"")</ns0:f>
        <ns0:v/>
      </ns0:c>
    </ns0:row>
    <ns0:row r="1535" ht="21" customHeight="1">
      <ns0:c r="A1535" s="32" t="str">
        <ns0:f>IF($E1535="","",INDEX('Banka Dökümü'!$A$2:$A$2001,$E1535))</ns0:f>
        <ns0:v/>
      </ns0:c>
      <ns0:c r="B1535" s="28" t="str">
        <ns0:f>IF($E1535="","",INDEX('Banka Dökümü'!$B$2:$B$2001,$E1535))</ns0:f>
        <ns0:v/>
      </ns0:c>
      <ns0:c r="C1535" s="33" t="str">
        <ns0:f>IF($E1535="","",INDEX('Banka Dökümü'!$C$2:$C$2001,$E1535))</ns0:f>
        <ns0:v/>
      </ns0:c>
      <ns0:c r="D1535" s="28" t="str">
        <ns0:f>IF(E1535="","","Müşteri adı / aranacak ad / il bilgisini kontrol edin")</ns0:f>
        <ns0:v/>
      </ns0:c>
      <ns0:c r="E1535" s="28" t="str">
        <ns0:f>IFERROR(MATCH(1531,'Banka Dökümü'!$I$2:$I$2001,0),"")</ns0:f>
        <ns0:v/>
      </ns0:c>
    </ns0:row>
    <ns0:row r="1536" ht="21" customHeight="1">
      <ns0:c r="A1536" s="32" t="str">
        <ns0:f>IF($E1536="","",INDEX('Banka Dökümü'!$A$2:$A$2001,$E1536))</ns0:f>
        <ns0:v/>
      </ns0:c>
      <ns0:c r="B1536" s="28" t="str">
        <ns0:f>IF($E1536="","",INDEX('Banka Dökümü'!$B$2:$B$2001,$E1536))</ns0:f>
        <ns0:v/>
      </ns0:c>
      <ns0:c r="C1536" s="33" t="str">
        <ns0:f>IF($E1536="","",INDEX('Banka Dökümü'!$C$2:$C$2001,$E1536))</ns0:f>
        <ns0:v/>
      </ns0:c>
      <ns0:c r="D1536" s="28" t="str">
        <ns0:f>IF(E1536="","","Müşteri adı / aranacak ad / il bilgisini kontrol edin")</ns0:f>
        <ns0:v/>
      </ns0:c>
      <ns0:c r="E1536" s="28" t="str">
        <ns0:f>IFERROR(MATCH(1532,'Banka Dökümü'!$I$2:$I$2001,0),"")</ns0:f>
        <ns0:v/>
      </ns0:c>
    </ns0:row>
    <ns0:row r="1537" ht="21" customHeight="1">
      <ns0:c r="A1537" s="32" t="str">
        <ns0:f>IF($E1537="","",INDEX('Banka Dökümü'!$A$2:$A$2001,$E1537))</ns0:f>
        <ns0:v/>
      </ns0:c>
      <ns0:c r="B1537" s="28" t="str">
        <ns0:f>IF($E1537="","",INDEX('Banka Dökümü'!$B$2:$B$2001,$E1537))</ns0:f>
        <ns0:v/>
      </ns0:c>
      <ns0:c r="C1537" s="33" t="str">
        <ns0:f>IF($E1537="","",INDEX('Banka Dökümü'!$C$2:$C$2001,$E1537))</ns0:f>
        <ns0:v/>
      </ns0:c>
      <ns0:c r="D1537" s="28" t="str">
        <ns0:f>IF(E1537="","","Müşteri adı / aranacak ad / il bilgisini kontrol edin")</ns0:f>
        <ns0:v/>
      </ns0:c>
      <ns0:c r="E1537" s="28" t="str">
        <ns0:f>IFERROR(MATCH(1533,'Banka Dökümü'!$I$2:$I$2001,0),"")</ns0:f>
        <ns0:v/>
      </ns0:c>
    </ns0:row>
    <ns0:row r="1538" ht="21" customHeight="1">
      <ns0:c r="A1538" s="32" t="str">
        <ns0:f>IF($E1538="","",INDEX('Banka Dökümü'!$A$2:$A$2001,$E1538))</ns0:f>
        <ns0:v/>
      </ns0:c>
      <ns0:c r="B1538" s="28" t="str">
        <ns0:f>IF($E1538="","",INDEX('Banka Dökümü'!$B$2:$B$2001,$E1538))</ns0:f>
        <ns0:v/>
      </ns0:c>
      <ns0:c r="C1538" s="33" t="str">
        <ns0:f>IF($E1538="","",INDEX('Banka Dökümü'!$C$2:$C$2001,$E1538))</ns0:f>
        <ns0:v/>
      </ns0:c>
      <ns0:c r="D1538" s="28" t="str">
        <ns0:f>IF(E1538="","","Müşteri adı / aranacak ad / il bilgisini kontrol edin")</ns0:f>
        <ns0:v/>
      </ns0:c>
      <ns0:c r="E1538" s="28" t="str">
        <ns0:f>IFERROR(MATCH(1534,'Banka Dökümü'!$I$2:$I$2001,0),"")</ns0:f>
        <ns0:v/>
      </ns0:c>
    </ns0:row>
    <ns0:row r="1539" ht="21" customHeight="1">
      <ns0:c r="A1539" s="32" t="str">
        <ns0:f>IF($E1539="","",INDEX('Banka Dökümü'!$A$2:$A$2001,$E1539))</ns0:f>
        <ns0:v/>
      </ns0:c>
      <ns0:c r="B1539" s="28" t="str">
        <ns0:f>IF($E1539="","",INDEX('Banka Dökümü'!$B$2:$B$2001,$E1539))</ns0:f>
        <ns0:v/>
      </ns0:c>
      <ns0:c r="C1539" s="33" t="str">
        <ns0:f>IF($E1539="","",INDEX('Banka Dökümü'!$C$2:$C$2001,$E1539))</ns0:f>
        <ns0:v/>
      </ns0:c>
      <ns0:c r="D1539" s="28" t="str">
        <ns0:f>IF(E1539="","","Müşteri adı / aranacak ad / il bilgisini kontrol edin")</ns0:f>
        <ns0:v/>
      </ns0:c>
      <ns0:c r="E1539" s="28" t="str">
        <ns0:f>IFERROR(MATCH(1535,'Banka Dökümü'!$I$2:$I$2001,0),"")</ns0:f>
        <ns0:v/>
      </ns0:c>
    </ns0:row>
    <ns0:row r="1540" ht="21" customHeight="1">
      <ns0:c r="A1540" s="32" t="str">
        <ns0:f>IF($E1540="","",INDEX('Banka Dökümü'!$A$2:$A$2001,$E1540))</ns0:f>
        <ns0:v/>
      </ns0:c>
      <ns0:c r="B1540" s="28" t="str">
        <ns0:f>IF($E1540="","",INDEX('Banka Dökümü'!$B$2:$B$2001,$E1540))</ns0:f>
        <ns0:v/>
      </ns0:c>
      <ns0:c r="C1540" s="33" t="str">
        <ns0:f>IF($E1540="","",INDEX('Banka Dökümü'!$C$2:$C$2001,$E1540))</ns0:f>
        <ns0:v/>
      </ns0:c>
      <ns0:c r="D1540" s="28" t="str">
        <ns0:f>IF(E1540="","","Müşteri adı / aranacak ad / il bilgisini kontrol edin")</ns0:f>
        <ns0:v/>
      </ns0:c>
      <ns0:c r="E1540" s="28" t="str">
        <ns0:f>IFERROR(MATCH(1536,'Banka Dökümü'!$I$2:$I$2001,0),"")</ns0:f>
        <ns0:v/>
      </ns0:c>
    </ns0:row>
    <ns0:row r="1541" ht="21" customHeight="1">
      <ns0:c r="A1541" s="32" t="str">
        <ns0:f>IF($E1541="","",INDEX('Banka Dökümü'!$A$2:$A$2001,$E1541))</ns0:f>
        <ns0:v/>
      </ns0:c>
      <ns0:c r="B1541" s="28" t="str">
        <ns0:f>IF($E1541="","",INDEX('Banka Dökümü'!$B$2:$B$2001,$E1541))</ns0:f>
        <ns0:v/>
      </ns0:c>
      <ns0:c r="C1541" s="33" t="str">
        <ns0:f>IF($E1541="","",INDEX('Banka Dökümü'!$C$2:$C$2001,$E1541))</ns0:f>
        <ns0:v/>
      </ns0:c>
      <ns0:c r="D1541" s="28" t="str">
        <ns0:f>IF(E1541="","","Müşteri adı / aranacak ad / il bilgisini kontrol edin")</ns0:f>
        <ns0:v/>
      </ns0:c>
      <ns0:c r="E1541" s="28" t="str">
        <ns0:f>IFERROR(MATCH(1537,'Banka Dökümü'!$I$2:$I$2001,0),"")</ns0:f>
        <ns0:v/>
      </ns0:c>
    </ns0:row>
    <ns0:row r="1542" ht="21" customHeight="1">
      <ns0:c r="A1542" s="32" t="str">
        <ns0:f>IF($E1542="","",INDEX('Banka Dökümü'!$A$2:$A$2001,$E1542))</ns0:f>
        <ns0:v/>
      </ns0:c>
      <ns0:c r="B1542" s="28" t="str">
        <ns0:f>IF($E1542="","",INDEX('Banka Dökümü'!$B$2:$B$2001,$E1542))</ns0:f>
        <ns0:v/>
      </ns0:c>
      <ns0:c r="C1542" s="33" t="str">
        <ns0:f>IF($E1542="","",INDEX('Banka Dökümü'!$C$2:$C$2001,$E1542))</ns0:f>
        <ns0:v/>
      </ns0:c>
      <ns0:c r="D1542" s="28" t="str">
        <ns0:f>IF(E1542="","","Müşteri adı / aranacak ad / il bilgisini kontrol edin")</ns0:f>
        <ns0:v/>
      </ns0:c>
      <ns0:c r="E1542" s="28" t="str">
        <ns0:f>IFERROR(MATCH(1538,'Banka Dökümü'!$I$2:$I$2001,0),"")</ns0:f>
        <ns0:v/>
      </ns0:c>
    </ns0:row>
    <ns0:row r="1543" ht="21" customHeight="1">
      <ns0:c r="A1543" s="32" t="str">
        <ns0:f>IF($E1543="","",INDEX('Banka Dökümü'!$A$2:$A$2001,$E1543))</ns0:f>
        <ns0:v/>
      </ns0:c>
      <ns0:c r="B1543" s="28" t="str">
        <ns0:f>IF($E1543="","",INDEX('Banka Dökümü'!$B$2:$B$2001,$E1543))</ns0:f>
        <ns0:v/>
      </ns0:c>
      <ns0:c r="C1543" s="33" t="str">
        <ns0:f>IF($E1543="","",INDEX('Banka Dökümü'!$C$2:$C$2001,$E1543))</ns0:f>
        <ns0:v/>
      </ns0:c>
      <ns0:c r="D1543" s="28" t="str">
        <ns0:f>IF(E1543="","","Müşteri adı / aranacak ad / il bilgisini kontrol edin")</ns0:f>
        <ns0:v/>
      </ns0:c>
      <ns0:c r="E1543" s="28" t="str">
        <ns0:f>IFERROR(MATCH(1539,'Banka Dökümü'!$I$2:$I$2001,0),"")</ns0:f>
        <ns0:v/>
      </ns0:c>
    </ns0:row>
    <ns0:row r="1544" ht="21" customHeight="1">
      <ns0:c r="A1544" s="32" t="str">
        <ns0:f>IF($E1544="","",INDEX('Banka Dökümü'!$A$2:$A$2001,$E1544))</ns0:f>
        <ns0:v/>
      </ns0:c>
      <ns0:c r="B1544" s="28" t="str">
        <ns0:f>IF($E1544="","",INDEX('Banka Dökümü'!$B$2:$B$2001,$E1544))</ns0:f>
        <ns0:v/>
      </ns0:c>
      <ns0:c r="C1544" s="33" t="str">
        <ns0:f>IF($E1544="","",INDEX('Banka Dökümü'!$C$2:$C$2001,$E1544))</ns0:f>
        <ns0:v/>
      </ns0:c>
      <ns0:c r="D1544" s="28" t="str">
        <ns0:f>IF(E1544="","","Müşteri adı / aranacak ad / il bilgisini kontrol edin")</ns0:f>
        <ns0:v/>
      </ns0:c>
      <ns0:c r="E1544" s="28" t="str">
        <ns0:f>IFERROR(MATCH(1540,'Banka Dökümü'!$I$2:$I$2001,0),"")</ns0:f>
        <ns0:v/>
      </ns0:c>
    </ns0:row>
    <ns0:row r="1545" ht="21" customHeight="1">
      <ns0:c r="A1545" s="32" t="str">
        <ns0:f>IF($E1545="","",INDEX('Banka Dökümü'!$A$2:$A$2001,$E1545))</ns0:f>
        <ns0:v/>
      </ns0:c>
      <ns0:c r="B1545" s="28" t="str">
        <ns0:f>IF($E1545="","",INDEX('Banka Dökümü'!$B$2:$B$2001,$E1545))</ns0:f>
        <ns0:v/>
      </ns0:c>
      <ns0:c r="C1545" s="33" t="str">
        <ns0:f>IF($E1545="","",INDEX('Banka Dökümü'!$C$2:$C$2001,$E1545))</ns0:f>
        <ns0:v/>
      </ns0:c>
      <ns0:c r="D1545" s="28" t="str">
        <ns0:f>IF(E1545="","","Müşteri adı / aranacak ad / il bilgisini kontrol edin")</ns0:f>
        <ns0:v/>
      </ns0:c>
      <ns0:c r="E1545" s="28" t="str">
        <ns0:f>IFERROR(MATCH(1541,'Banka Dökümü'!$I$2:$I$2001,0),"")</ns0:f>
        <ns0:v/>
      </ns0:c>
    </ns0:row>
    <ns0:row r="1546" ht="21" customHeight="1">
      <ns0:c r="A1546" s="32" t="str">
        <ns0:f>IF($E1546="","",INDEX('Banka Dökümü'!$A$2:$A$2001,$E1546))</ns0:f>
        <ns0:v/>
      </ns0:c>
      <ns0:c r="B1546" s="28" t="str">
        <ns0:f>IF($E1546="","",INDEX('Banka Dökümü'!$B$2:$B$2001,$E1546))</ns0:f>
        <ns0:v/>
      </ns0:c>
      <ns0:c r="C1546" s="33" t="str">
        <ns0:f>IF($E1546="","",INDEX('Banka Dökümü'!$C$2:$C$2001,$E1546))</ns0:f>
        <ns0:v/>
      </ns0:c>
      <ns0:c r="D1546" s="28" t="str">
        <ns0:f>IF(E1546="","","Müşteri adı / aranacak ad / il bilgisini kontrol edin")</ns0:f>
        <ns0:v/>
      </ns0:c>
      <ns0:c r="E1546" s="28" t="str">
        <ns0:f>IFERROR(MATCH(1542,'Banka Dökümü'!$I$2:$I$2001,0),"")</ns0:f>
        <ns0:v/>
      </ns0:c>
    </ns0:row>
    <ns0:row r="1547" ht="21" customHeight="1">
      <ns0:c r="A1547" s="32" t="str">
        <ns0:f>IF($E1547="","",INDEX('Banka Dökümü'!$A$2:$A$2001,$E1547))</ns0:f>
        <ns0:v/>
      </ns0:c>
      <ns0:c r="B1547" s="28" t="str">
        <ns0:f>IF($E1547="","",INDEX('Banka Dökümü'!$B$2:$B$2001,$E1547))</ns0:f>
        <ns0:v/>
      </ns0:c>
      <ns0:c r="C1547" s="33" t="str">
        <ns0:f>IF($E1547="","",INDEX('Banka Dökümü'!$C$2:$C$2001,$E1547))</ns0:f>
        <ns0:v/>
      </ns0:c>
      <ns0:c r="D1547" s="28" t="str">
        <ns0:f>IF(E1547="","","Müşteri adı / aranacak ad / il bilgisini kontrol edin")</ns0:f>
        <ns0:v/>
      </ns0:c>
      <ns0:c r="E1547" s="28" t="str">
        <ns0:f>IFERROR(MATCH(1543,'Banka Dökümü'!$I$2:$I$2001,0),"")</ns0:f>
        <ns0:v/>
      </ns0:c>
    </ns0:row>
    <ns0:row r="1548" ht="21" customHeight="1">
      <ns0:c r="A1548" s="32" t="str">
        <ns0:f>IF($E1548="","",INDEX('Banka Dökümü'!$A$2:$A$2001,$E1548))</ns0:f>
        <ns0:v/>
      </ns0:c>
      <ns0:c r="B1548" s="28" t="str">
        <ns0:f>IF($E1548="","",INDEX('Banka Dökümü'!$B$2:$B$2001,$E1548))</ns0:f>
        <ns0:v/>
      </ns0:c>
      <ns0:c r="C1548" s="33" t="str">
        <ns0:f>IF($E1548="","",INDEX('Banka Dökümü'!$C$2:$C$2001,$E1548))</ns0:f>
        <ns0:v/>
      </ns0:c>
      <ns0:c r="D1548" s="28" t="str">
        <ns0:f>IF(E1548="","","Müşteri adı / aranacak ad / il bilgisini kontrol edin")</ns0:f>
        <ns0:v/>
      </ns0:c>
      <ns0:c r="E1548" s="28" t="str">
        <ns0:f>IFERROR(MATCH(1544,'Banka Dökümü'!$I$2:$I$2001,0),"")</ns0:f>
        <ns0:v/>
      </ns0:c>
    </ns0:row>
    <ns0:row r="1549" ht="21" customHeight="1">
      <ns0:c r="A1549" s="32" t="str">
        <ns0:f>IF($E1549="","",INDEX('Banka Dökümü'!$A$2:$A$2001,$E1549))</ns0:f>
        <ns0:v/>
      </ns0:c>
      <ns0:c r="B1549" s="28" t="str">
        <ns0:f>IF($E1549="","",INDEX('Banka Dökümü'!$B$2:$B$2001,$E1549))</ns0:f>
        <ns0:v/>
      </ns0:c>
      <ns0:c r="C1549" s="33" t="str">
        <ns0:f>IF($E1549="","",INDEX('Banka Dökümü'!$C$2:$C$2001,$E1549))</ns0:f>
        <ns0:v/>
      </ns0:c>
      <ns0:c r="D1549" s="28" t="str">
        <ns0:f>IF(E1549="","","Müşteri adı / aranacak ad / il bilgisini kontrol edin")</ns0:f>
        <ns0:v/>
      </ns0:c>
      <ns0:c r="E1549" s="28" t="str">
        <ns0:f>IFERROR(MATCH(1545,'Banka Dökümü'!$I$2:$I$2001,0),"")</ns0:f>
        <ns0:v/>
      </ns0:c>
    </ns0:row>
    <ns0:row r="1550" ht="21" customHeight="1">
      <ns0:c r="A1550" s="32" t="str">
        <ns0:f>IF($E1550="","",INDEX('Banka Dökümü'!$A$2:$A$2001,$E1550))</ns0:f>
        <ns0:v/>
      </ns0:c>
      <ns0:c r="B1550" s="28" t="str">
        <ns0:f>IF($E1550="","",INDEX('Banka Dökümü'!$B$2:$B$2001,$E1550))</ns0:f>
        <ns0:v/>
      </ns0:c>
      <ns0:c r="C1550" s="33" t="str">
        <ns0:f>IF($E1550="","",INDEX('Banka Dökümü'!$C$2:$C$2001,$E1550))</ns0:f>
        <ns0:v/>
      </ns0:c>
      <ns0:c r="D1550" s="28" t="str">
        <ns0:f>IF(E1550="","","Müşteri adı / aranacak ad / il bilgisini kontrol edin")</ns0:f>
        <ns0:v/>
      </ns0:c>
      <ns0:c r="E1550" s="28" t="str">
        <ns0:f>IFERROR(MATCH(1546,'Banka Dökümü'!$I$2:$I$2001,0),"")</ns0:f>
        <ns0:v/>
      </ns0:c>
    </ns0:row>
    <ns0:row r="1551" ht="21" customHeight="1">
      <ns0:c r="A1551" s="32" t="str">
        <ns0:f>IF($E1551="","",INDEX('Banka Dökümü'!$A$2:$A$2001,$E1551))</ns0:f>
        <ns0:v/>
      </ns0:c>
      <ns0:c r="B1551" s="28" t="str">
        <ns0:f>IF($E1551="","",INDEX('Banka Dökümü'!$B$2:$B$2001,$E1551))</ns0:f>
        <ns0:v/>
      </ns0:c>
      <ns0:c r="C1551" s="33" t="str">
        <ns0:f>IF($E1551="","",INDEX('Banka Dökümü'!$C$2:$C$2001,$E1551))</ns0:f>
        <ns0:v/>
      </ns0:c>
      <ns0:c r="D1551" s="28" t="str">
        <ns0:f>IF(E1551="","","Müşteri adı / aranacak ad / il bilgisini kontrol edin")</ns0:f>
        <ns0:v/>
      </ns0:c>
      <ns0:c r="E1551" s="28" t="str">
        <ns0:f>IFERROR(MATCH(1547,'Banka Dökümü'!$I$2:$I$2001,0),"")</ns0:f>
        <ns0:v/>
      </ns0:c>
    </ns0:row>
    <ns0:row r="1552" ht="21" customHeight="1">
      <ns0:c r="A1552" s="32" t="str">
        <ns0:f>IF($E1552="","",INDEX('Banka Dökümü'!$A$2:$A$2001,$E1552))</ns0:f>
        <ns0:v/>
      </ns0:c>
      <ns0:c r="B1552" s="28" t="str">
        <ns0:f>IF($E1552="","",INDEX('Banka Dökümü'!$B$2:$B$2001,$E1552))</ns0:f>
        <ns0:v/>
      </ns0:c>
      <ns0:c r="C1552" s="33" t="str">
        <ns0:f>IF($E1552="","",INDEX('Banka Dökümü'!$C$2:$C$2001,$E1552))</ns0:f>
        <ns0:v/>
      </ns0:c>
      <ns0:c r="D1552" s="28" t="str">
        <ns0:f>IF(E1552="","","Müşteri adı / aranacak ad / il bilgisini kontrol edin")</ns0:f>
        <ns0:v/>
      </ns0:c>
      <ns0:c r="E1552" s="28" t="str">
        <ns0:f>IFERROR(MATCH(1548,'Banka Dökümü'!$I$2:$I$2001,0),"")</ns0:f>
        <ns0:v/>
      </ns0:c>
    </ns0:row>
    <ns0:row r="1553" ht="21" customHeight="1">
      <ns0:c r="A1553" s="32" t="str">
        <ns0:f>IF($E1553="","",INDEX('Banka Dökümü'!$A$2:$A$2001,$E1553))</ns0:f>
        <ns0:v/>
      </ns0:c>
      <ns0:c r="B1553" s="28" t="str">
        <ns0:f>IF($E1553="","",INDEX('Banka Dökümü'!$B$2:$B$2001,$E1553))</ns0:f>
        <ns0:v/>
      </ns0:c>
      <ns0:c r="C1553" s="33" t="str">
        <ns0:f>IF($E1553="","",INDEX('Banka Dökümü'!$C$2:$C$2001,$E1553))</ns0:f>
        <ns0:v/>
      </ns0:c>
      <ns0:c r="D1553" s="28" t="str">
        <ns0:f>IF(E1553="","","Müşteri adı / aranacak ad / il bilgisini kontrol edin")</ns0:f>
        <ns0:v/>
      </ns0:c>
      <ns0:c r="E1553" s="28" t="str">
        <ns0:f>IFERROR(MATCH(1549,'Banka Dökümü'!$I$2:$I$2001,0),"")</ns0:f>
        <ns0:v/>
      </ns0:c>
    </ns0:row>
    <ns0:row r="1554" ht="21" customHeight="1">
      <ns0:c r="A1554" s="32" t="str">
        <ns0:f>IF($E1554="","",INDEX('Banka Dökümü'!$A$2:$A$2001,$E1554))</ns0:f>
        <ns0:v/>
      </ns0:c>
      <ns0:c r="B1554" s="28" t="str">
        <ns0:f>IF($E1554="","",INDEX('Banka Dökümü'!$B$2:$B$2001,$E1554))</ns0:f>
        <ns0:v/>
      </ns0:c>
      <ns0:c r="C1554" s="33" t="str">
        <ns0:f>IF($E1554="","",INDEX('Banka Dökümü'!$C$2:$C$2001,$E1554))</ns0:f>
        <ns0:v/>
      </ns0:c>
      <ns0:c r="D1554" s="28" t="str">
        <ns0:f>IF(E1554="","","Müşteri adı / aranacak ad / il bilgisini kontrol edin")</ns0:f>
        <ns0:v/>
      </ns0:c>
      <ns0:c r="E1554" s="28" t="str">
        <ns0:f>IFERROR(MATCH(1550,'Banka Dökümü'!$I$2:$I$2001,0),"")</ns0:f>
        <ns0:v/>
      </ns0:c>
    </ns0:row>
    <ns0:row r="1555" ht="21" customHeight="1">
      <ns0:c r="A1555" s="32" t="str">
        <ns0:f>IF($E1555="","",INDEX('Banka Dökümü'!$A$2:$A$2001,$E1555))</ns0:f>
        <ns0:v/>
      </ns0:c>
      <ns0:c r="B1555" s="28" t="str">
        <ns0:f>IF($E1555="","",INDEX('Banka Dökümü'!$B$2:$B$2001,$E1555))</ns0:f>
        <ns0:v/>
      </ns0:c>
      <ns0:c r="C1555" s="33" t="str">
        <ns0:f>IF($E1555="","",INDEX('Banka Dökümü'!$C$2:$C$2001,$E1555))</ns0:f>
        <ns0:v/>
      </ns0:c>
      <ns0:c r="D1555" s="28" t="str">
        <ns0:f>IF(E1555="","","Müşteri adı / aranacak ad / il bilgisini kontrol edin")</ns0:f>
        <ns0:v/>
      </ns0:c>
      <ns0:c r="E1555" s="28" t="str">
        <ns0:f>IFERROR(MATCH(1551,'Banka Dökümü'!$I$2:$I$2001,0),"")</ns0:f>
        <ns0:v/>
      </ns0:c>
    </ns0:row>
    <ns0:row r="1556" ht="21" customHeight="1">
      <ns0:c r="A1556" s="32" t="str">
        <ns0:f>IF($E1556="","",INDEX('Banka Dökümü'!$A$2:$A$2001,$E1556))</ns0:f>
        <ns0:v/>
      </ns0:c>
      <ns0:c r="B1556" s="28" t="str">
        <ns0:f>IF($E1556="","",INDEX('Banka Dökümü'!$B$2:$B$2001,$E1556))</ns0:f>
        <ns0:v/>
      </ns0:c>
      <ns0:c r="C1556" s="33" t="str">
        <ns0:f>IF($E1556="","",INDEX('Banka Dökümü'!$C$2:$C$2001,$E1556))</ns0:f>
        <ns0:v/>
      </ns0:c>
      <ns0:c r="D1556" s="28" t="str">
        <ns0:f>IF(E1556="","","Müşteri adı / aranacak ad / il bilgisini kontrol edin")</ns0:f>
        <ns0:v/>
      </ns0:c>
      <ns0:c r="E1556" s="28" t="str">
        <ns0:f>IFERROR(MATCH(1552,'Banka Dökümü'!$I$2:$I$2001,0),"")</ns0:f>
        <ns0:v/>
      </ns0:c>
    </ns0:row>
    <ns0:row r="1557" ht="21" customHeight="1">
      <ns0:c r="A1557" s="32" t="str">
        <ns0:f>IF($E1557="","",INDEX('Banka Dökümü'!$A$2:$A$2001,$E1557))</ns0:f>
        <ns0:v/>
      </ns0:c>
      <ns0:c r="B1557" s="28" t="str">
        <ns0:f>IF($E1557="","",INDEX('Banka Dökümü'!$B$2:$B$2001,$E1557))</ns0:f>
        <ns0:v/>
      </ns0:c>
      <ns0:c r="C1557" s="33" t="str">
        <ns0:f>IF($E1557="","",INDEX('Banka Dökümü'!$C$2:$C$2001,$E1557))</ns0:f>
        <ns0:v/>
      </ns0:c>
      <ns0:c r="D1557" s="28" t="str">
        <ns0:f>IF(E1557="","","Müşteri adı / aranacak ad / il bilgisini kontrol edin")</ns0:f>
        <ns0:v/>
      </ns0:c>
      <ns0:c r="E1557" s="28" t="str">
        <ns0:f>IFERROR(MATCH(1553,'Banka Dökümü'!$I$2:$I$2001,0),"")</ns0:f>
        <ns0:v/>
      </ns0:c>
    </ns0:row>
    <ns0:row r="1558" ht="21" customHeight="1">
      <ns0:c r="A1558" s="32" t="str">
        <ns0:f>IF($E1558="","",INDEX('Banka Dökümü'!$A$2:$A$2001,$E1558))</ns0:f>
        <ns0:v/>
      </ns0:c>
      <ns0:c r="B1558" s="28" t="str">
        <ns0:f>IF($E1558="","",INDEX('Banka Dökümü'!$B$2:$B$2001,$E1558))</ns0:f>
        <ns0:v/>
      </ns0:c>
      <ns0:c r="C1558" s="33" t="str">
        <ns0:f>IF($E1558="","",INDEX('Banka Dökümü'!$C$2:$C$2001,$E1558))</ns0:f>
        <ns0:v/>
      </ns0:c>
      <ns0:c r="D1558" s="28" t="str">
        <ns0:f>IF(E1558="","","Müşteri adı / aranacak ad / il bilgisini kontrol edin")</ns0:f>
        <ns0:v/>
      </ns0:c>
      <ns0:c r="E1558" s="28" t="str">
        <ns0:f>IFERROR(MATCH(1554,'Banka Dökümü'!$I$2:$I$2001,0),"")</ns0:f>
        <ns0:v/>
      </ns0:c>
    </ns0:row>
    <ns0:row r="1559" ht="21" customHeight="1">
      <ns0:c r="A1559" s="32" t="str">
        <ns0:f>IF($E1559="","",INDEX('Banka Dökümü'!$A$2:$A$2001,$E1559))</ns0:f>
        <ns0:v/>
      </ns0:c>
      <ns0:c r="B1559" s="28" t="str">
        <ns0:f>IF($E1559="","",INDEX('Banka Dökümü'!$B$2:$B$2001,$E1559))</ns0:f>
        <ns0:v/>
      </ns0:c>
      <ns0:c r="C1559" s="33" t="str">
        <ns0:f>IF($E1559="","",INDEX('Banka Dökümü'!$C$2:$C$2001,$E1559))</ns0:f>
        <ns0:v/>
      </ns0:c>
      <ns0:c r="D1559" s="28" t="str">
        <ns0:f>IF(E1559="","","Müşteri adı / aranacak ad / il bilgisini kontrol edin")</ns0:f>
        <ns0:v/>
      </ns0:c>
      <ns0:c r="E1559" s="28" t="str">
        <ns0:f>IFERROR(MATCH(1555,'Banka Dökümü'!$I$2:$I$2001,0),"")</ns0:f>
        <ns0:v/>
      </ns0:c>
    </ns0:row>
    <ns0:row r="1560" ht="21" customHeight="1">
      <ns0:c r="A1560" s="32" t="str">
        <ns0:f>IF($E1560="","",INDEX('Banka Dökümü'!$A$2:$A$2001,$E1560))</ns0:f>
        <ns0:v/>
      </ns0:c>
      <ns0:c r="B1560" s="28" t="str">
        <ns0:f>IF($E1560="","",INDEX('Banka Dökümü'!$B$2:$B$2001,$E1560))</ns0:f>
        <ns0:v/>
      </ns0:c>
      <ns0:c r="C1560" s="33" t="str">
        <ns0:f>IF($E1560="","",INDEX('Banka Dökümü'!$C$2:$C$2001,$E1560))</ns0:f>
        <ns0:v/>
      </ns0:c>
      <ns0:c r="D1560" s="28" t="str">
        <ns0:f>IF(E1560="","","Müşteri adı / aranacak ad / il bilgisini kontrol edin")</ns0:f>
        <ns0:v/>
      </ns0:c>
      <ns0:c r="E1560" s="28" t="str">
        <ns0:f>IFERROR(MATCH(1556,'Banka Dökümü'!$I$2:$I$2001,0),"")</ns0:f>
        <ns0:v/>
      </ns0:c>
    </ns0:row>
    <ns0:row r="1561" ht="21" customHeight="1">
      <ns0:c r="A1561" s="32" t="str">
        <ns0:f>IF($E1561="","",INDEX('Banka Dökümü'!$A$2:$A$2001,$E1561))</ns0:f>
        <ns0:v/>
      </ns0:c>
      <ns0:c r="B1561" s="28" t="str">
        <ns0:f>IF($E1561="","",INDEX('Banka Dökümü'!$B$2:$B$2001,$E1561))</ns0:f>
        <ns0:v/>
      </ns0:c>
      <ns0:c r="C1561" s="33" t="str">
        <ns0:f>IF($E1561="","",INDEX('Banka Dökümü'!$C$2:$C$2001,$E1561))</ns0:f>
        <ns0:v/>
      </ns0:c>
      <ns0:c r="D1561" s="28" t="str">
        <ns0:f>IF(E1561="","","Müşteri adı / aranacak ad / il bilgisini kontrol edin")</ns0:f>
        <ns0:v/>
      </ns0:c>
      <ns0:c r="E1561" s="28" t="str">
        <ns0:f>IFERROR(MATCH(1557,'Banka Dökümü'!$I$2:$I$2001,0),"")</ns0:f>
        <ns0:v/>
      </ns0:c>
    </ns0:row>
    <ns0:row r="1562" ht="21" customHeight="1">
      <ns0:c r="A1562" s="32" t="str">
        <ns0:f>IF($E1562="","",INDEX('Banka Dökümü'!$A$2:$A$2001,$E1562))</ns0:f>
        <ns0:v/>
      </ns0:c>
      <ns0:c r="B1562" s="28" t="str">
        <ns0:f>IF($E1562="","",INDEX('Banka Dökümü'!$B$2:$B$2001,$E1562))</ns0:f>
        <ns0:v/>
      </ns0:c>
      <ns0:c r="C1562" s="33" t="str">
        <ns0:f>IF($E1562="","",INDEX('Banka Dökümü'!$C$2:$C$2001,$E1562))</ns0:f>
        <ns0:v/>
      </ns0:c>
      <ns0:c r="D1562" s="28" t="str">
        <ns0:f>IF(E1562="","","Müşteri adı / aranacak ad / il bilgisini kontrol edin")</ns0:f>
        <ns0:v/>
      </ns0:c>
      <ns0:c r="E1562" s="28" t="str">
        <ns0:f>IFERROR(MATCH(1558,'Banka Dökümü'!$I$2:$I$2001,0),"")</ns0:f>
        <ns0:v/>
      </ns0:c>
    </ns0:row>
    <ns0:row r="1563" ht="21" customHeight="1">
      <ns0:c r="A1563" s="32" t="str">
        <ns0:f>IF($E1563="","",INDEX('Banka Dökümü'!$A$2:$A$2001,$E1563))</ns0:f>
        <ns0:v/>
      </ns0:c>
      <ns0:c r="B1563" s="28" t="str">
        <ns0:f>IF($E1563="","",INDEX('Banka Dökümü'!$B$2:$B$2001,$E1563))</ns0:f>
        <ns0:v/>
      </ns0:c>
      <ns0:c r="C1563" s="33" t="str">
        <ns0:f>IF($E1563="","",INDEX('Banka Dökümü'!$C$2:$C$2001,$E1563))</ns0:f>
        <ns0:v/>
      </ns0:c>
      <ns0:c r="D1563" s="28" t="str">
        <ns0:f>IF(E1563="","","Müşteri adı / aranacak ad / il bilgisini kontrol edin")</ns0:f>
        <ns0:v/>
      </ns0:c>
      <ns0:c r="E1563" s="28" t="str">
        <ns0:f>IFERROR(MATCH(1559,'Banka Dökümü'!$I$2:$I$2001,0),"")</ns0:f>
        <ns0:v/>
      </ns0:c>
    </ns0:row>
    <ns0:row r="1564" ht="21" customHeight="1">
      <ns0:c r="A1564" s="32" t="str">
        <ns0:f>IF($E1564="","",INDEX('Banka Dökümü'!$A$2:$A$2001,$E1564))</ns0:f>
        <ns0:v/>
      </ns0:c>
      <ns0:c r="B1564" s="28" t="str">
        <ns0:f>IF($E1564="","",INDEX('Banka Dökümü'!$B$2:$B$2001,$E1564))</ns0:f>
        <ns0:v/>
      </ns0:c>
      <ns0:c r="C1564" s="33" t="str">
        <ns0:f>IF($E1564="","",INDEX('Banka Dökümü'!$C$2:$C$2001,$E1564))</ns0:f>
        <ns0:v/>
      </ns0:c>
      <ns0:c r="D1564" s="28" t="str">
        <ns0:f>IF(E1564="","","Müşteri adı / aranacak ad / il bilgisini kontrol edin")</ns0:f>
        <ns0:v/>
      </ns0:c>
      <ns0:c r="E1564" s="28" t="str">
        <ns0:f>IFERROR(MATCH(1560,'Banka Dökümü'!$I$2:$I$2001,0),"")</ns0:f>
        <ns0:v/>
      </ns0:c>
    </ns0:row>
    <ns0:row r="1565" ht="21" customHeight="1">
      <ns0:c r="A1565" s="32" t="str">
        <ns0:f>IF($E1565="","",INDEX('Banka Dökümü'!$A$2:$A$2001,$E1565))</ns0:f>
        <ns0:v/>
      </ns0:c>
      <ns0:c r="B1565" s="28" t="str">
        <ns0:f>IF($E1565="","",INDEX('Banka Dökümü'!$B$2:$B$2001,$E1565))</ns0:f>
        <ns0:v/>
      </ns0:c>
      <ns0:c r="C1565" s="33" t="str">
        <ns0:f>IF($E1565="","",INDEX('Banka Dökümü'!$C$2:$C$2001,$E1565))</ns0:f>
        <ns0:v/>
      </ns0:c>
      <ns0:c r="D1565" s="28" t="str">
        <ns0:f>IF(E1565="","","Müşteri adı / aranacak ad / il bilgisini kontrol edin")</ns0:f>
        <ns0:v/>
      </ns0:c>
      <ns0:c r="E1565" s="28" t="str">
        <ns0:f>IFERROR(MATCH(1561,'Banka Dökümü'!$I$2:$I$2001,0),"")</ns0:f>
        <ns0:v/>
      </ns0:c>
    </ns0:row>
    <ns0:row r="1566" ht="21" customHeight="1">
      <ns0:c r="A1566" s="32" t="str">
        <ns0:f>IF($E1566="","",INDEX('Banka Dökümü'!$A$2:$A$2001,$E1566))</ns0:f>
        <ns0:v/>
      </ns0:c>
      <ns0:c r="B1566" s="28" t="str">
        <ns0:f>IF($E1566="","",INDEX('Banka Dökümü'!$B$2:$B$2001,$E1566))</ns0:f>
        <ns0:v/>
      </ns0:c>
      <ns0:c r="C1566" s="33" t="str">
        <ns0:f>IF($E1566="","",INDEX('Banka Dökümü'!$C$2:$C$2001,$E1566))</ns0:f>
        <ns0:v/>
      </ns0:c>
      <ns0:c r="D1566" s="28" t="str">
        <ns0:f>IF(E1566="","","Müşteri adı / aranacak ad / il bilgisini kontrol edin")</ns0:f>
        <ns0:v/>
      </ns0:c>
      <ns0:c r="E1566" s="28" t="str">
        <ns0:f>IFERROR(MATCH(1562,'Banka Dökümü'!$I$2:$I$2001,0),"")</ns0:f>
        <ns0:v/>
      </ns0:c>
    </ns0:row>
    <ns0:row r="1567" ht="21" customHeight="1">
      <ns0:c r="A1567" s="32" t="str">
        <ns0:f>IF($E1567="","",INDEX('Banka Dökümü'!$A$2:$A$2001,$E1567))</ns0:f>
        <ns0:v/>
      </ns0:c>
      <ns0:c r="B1567" s="28" t="str">
        <ns0:f>IF($E1567="","",INDEX('Banka Dökümü'!$B$2:$B$2001,$E1567))</ns0:f>
        <ns0:v/>
      </ns0:c>
      <ns0:c r="C1567" s="33" t="str">
        <ns0:f>IF($E1567="","",INDEX('Banka Dökümü'!$C$2:$C$2001,$E1567))</ns0:f>
        <ns0:v/>
      </ns0:c>
      <ns0:c r="D1567" s="28" t="str">
        <ns0:f>IF(E1567="","","Müşteri adı / aranacak ad / il bilgisini kontrol edin")</ns0:f>
        <ns0:v/>
      </ns0:c>
      <ns0:c r="E1567" s="28" t="str">
        <ns0:f>IFERROR(MATCH(1563,'Banka Dökümü'!$I$2:$I$2001,0),"")</ns0:f>
        <ns0:v/>
      </ns0:c>
    </ns0:row>
    <ns0:row r="1568" ht="21" customHeight="1">
      <ns0:c r="A1568" s="32" t="str">
        <ns0:f>IF($E1568="","",INDEX('Banka Dökümü'!$A$2:$A$2001,$E1568))</ns0:f>
        <ns0:v/>
      </ns0:c>
      <ns0:c r="B1568" s="28" t="str">
        <ns0:f>IF($E1568="","",INDEX('Banka Dökümü'!$B$2:$B$2001,$E1568))</ns0:f>
        <ns0:v/>
      </ns0:c>
      <ns0:c r="C1568" s="33" t="str">
        <ns0:f>IF($E1568="","",INDEX('Banka Dökümü'!$C$2:$C$2001,$E1568))</ns0:f>
        <ns0:v/>
      </ns0:c>
      <ns0:c r="D1568" s="28" t="str">
        <ns0:f>IF(E1568="","","Müşteri adı / aranacak ad / il bilgisini kontrol edin")</ns0:f>
        <ns0:v/>
      </ns0:c>
      <ns0:c r="E1568" s="28" t="str">
        <ns0:f>IFERROR(MATCH(1564,'Banka Dökümü'!$I$2:$I$2001,0),"")</ns0:f>
        <ns0:v/>
      </ns0:c>
    </ns0:row>
    <ns0:row r="1569" ht="21" customHeight="1">
      <ns0:c r="A1569" s="32" t="str">
        <ns0:f>IF($E1569="","",INDEX('Banka Dökümü'!$A$2:$A$2001,$E1569))</ns0:f>
        <ns0:v/>
      </ns0:c>
      <ns0:c r="B1569" s="28" t="str">
        <ns0:f>IF($E1569="","",INDEX('Banka Dökümü'!$B$2:$B$2001,$E1569))</ns0:f>
        <ns0:v/>
      </ns0:c>
      <ns0:c r="C1569" s="33" t="str">
        <ns0:f>IF($E1569="","",INDEX('Banka Dökümü'!$C$2:$C$2001,$E1569))</ns0:f>
        <ns0:v/>
      </ns0:c>
      <ns0:c r="D1569" s="28" t="str">
        <ns0:f>IF(E1569="","","Müşteri adı / aranacak ad / il bilgisini kontrol edin")</ns0:f>
        <ns0:v/>
      </ns0:c>
      <ns0:c r="E1569" s="28" t="str">
        <ns0:f>IFERROR(MATCH(1565,'Banka Dökümü'!$I$2:$I$2001,0),"")</ns0:f>
        <ns0:v/>
      </ns0:c>
    </ns0:row>
    <ns0:row r="1570" ht="21" customHeight="1">
      <ns0:c r="A1570" s="32" t="str">
        <ns0:f>IF($E1570="","",INDEX('Banka Dökümü'!$A$2:$A$2001,$E1570))</ns0:f>
        <ns0:v/>
      </ns0:c>
      <ns0:c r="B1570" s="28" t="str">
        <ns0:f>IF($E1570="","",INDEX('Banka Dökümü'!$B$2:$B$2001,$E1570))</ns0:f>
        <ns0:v/>
      </ns0:c>
      <ns0:c r="C1570" s="33" t="str">
        <ns0:f>IF($E1570="","",INDEX('Banka Dökümü'!$C$2:$C$2001,$E1570))</ns0:f>
        <ns0:v/>
      </ns0:c>
      <ns0:c r="D1570" s="28" t="str">
        <ns0:f>IF(E1570="","","Müşteri adı / aranacak ad / il bilgisini kontrol edin")</ns0:f>
        <ns0:v/>
      </ns0:c>
      <ns0:c r="E1570" s="28" t="str">
        <ns0:f>IFERROR(MATCH(1566,'Banka Dökümü'!$I$2:$I$2001,0),"")</ns0:f>
        <ns0:v/>
      </ns0:c>
    </ns0:row>
    <ns0:row r="1571" ht="21" customHeight="1">
      <ns0:c r="A1571" s="32" t="str">
        <ns0:f>IF($E1571="","",INDEX('Banka Dökümü'!$A$2:$A$2001,$E1571))</ns0:f>
        <ns0:v/>
      </ns0:c>
      <ns0:c r="B1571" s="28" t="str">
        <ns0:f>IF($E1571="","",INDEX('Banka Dökümü'!$B$2:$B$2001,$E1571))</ns0:f>
        <ns0:v/>
      </ns0:c>
      <ns0:c r="C1571" s="33" t="str">
        <ns0:f>IF($E1571="","",INDEX('Banka Dökümü'!$C$2:$C$2001,$E1571))</ns0:f>
        <ns0:v/>
      </ns0:c>
      <ns0:c r="D1571" s="28" t="str">
        <ns0:f>IF(E1571="","","Müşteri adı / aranacak ad / il bilgisini kontrol edin")</ns0:f>
        <ns0:v/>
      </ns0:c>
      <ns0:c r="E1571" s="28" t="str">
        <ns0:f>IFERROR(MATCH(1567,'Banka Dökümü'!$I$2:$I$2001,0),"")</ns0:f>
        <ns0:v/>
      </ns0:c>
    </ns0:row>
    <ns0:row r="1572" ht="21" customHeight="1">
      <ns0:c r="A1572" s="32" t="str">
        <ns0:f>IF($E1572="","",INDEX('Banka Dökümü'!$A$2:$A$2001,$E1572))</ns0:f>
        <ns0:v/>
      </ns0:c>
      <ns0:c r="B1572" s="28" t="str">
        <ns0:f>IF($E1572="","",INDEX('Banka Dökümü'!$B$2:$B$2001,$E1572))</ns0:f>
        <ns0:v/>
      </ns0:c>
      <ns0:c r="C1572" s="33" t="str">
        <ns0:f>IF($E1572="","",INDEX('Banka Dökümü'!$C$2:$C$2001,$E1572))</ns0:f>
        <ns0:v/>
      </ns0:c>
      <ns0:c r="D1572" s="28" t="str">
        <ns0:f>IF(E1572="","","Müşteri adı / aranacak ad / il bilgisini kontrol edin")</ns0:f>
        <ns0:v/>
      </ns0:c>
      <ns0:c r="E1572" s="28" t="str">
        <ns0:f>IFERROR(MATCH(1568,'Banka Dökümü'!$I$2:$I$2001,0),"")</ns0:f>
        <ns0:v/>
      </ns0:c>
    </ns0:row>
    <ns0:row r="1573" ht="21" customHeight="1">
      <ns0:c r="A1573" s="32" t="str">
        <ns0:f>IF($E1573="","",INDEX('Banka Dökümü'!$A$2:$A$2001,$E1573))</ns0:f>
        <ns0:v/>
      </ns0:c>
      <ns0:c r="B1573" s="28" t="str">
        <ns0:f>IF($E1573="","",INDEX('Banka Dökümü'!$B$2:$B$2001,$E1573))</ns0:f>
        <ns0:v/>
      </ns0:c>
      <ns0:c r="C1573" s="33" t="str">
        <ns0:f>IF($E1573="","",INDEX('Banka Dökümü'!$C$2:$C$2001,$E1573))</ns0:f>
        <ns0:v/>
      </ns0:c>
      <ns0:c r="D1573" s="28" t="str">
        <ns0:f>IF(E1573="","","Müşteri adı / aranacak ad / il bilgisini kontrol edin")</ns0:f>
        <ns0:v/>
      </ns0:c>
      <ns0:c r="E1573" s="28" t="str">
        <ns0:f>IFERROR(MATCH(1569,'Banka Dökümü'!$I$2:$I$2001,0),"")</ns0:f>
        <ns0:v/>
      </ns0:c>
    </ns0:row>
    <ns0:row r="1574" ht="21" customHeight="1">
      <ns0:c r="A1574" s="32" t="str">
        <ns0:f>IF($E1574="","",INDEX('Banka Dökümü'!$A$2:$A$2001,$E1574))</ns0:f>
        <ns0:v/>
      </ns0:c>
      <ns0:c r="B1574" s="28" t="str">
        <ns0:f>IF($E1574="","",INDEX('Banka Dökümü'!$B$2:$B$2001,$E1574))</ns0:f>
        <ns0:v/>
      </ns0:c>
      <ns0:c r="C1574" s="33" t="str">
        <ns0:f>IF($E1574="","",INDEX('Banka Dökümü'!$C$2:$C$2001,$E1574))</ns0:f>
        <ns0:v/>
      </ns0:c>
      <ns0:c r="D1574" s="28" t="str">
        <ns0:f>IF(E1574="","","Müşteri adı / aranacak ad / il bilgisini kontrol edin")</ns0:f>
        <ns0:v/>
      </ns0:c>
      <ns0:c r="E1574" s="28" t="str">
        <ns0:f>IFERROR(MATCH(1570,'Banka Dökümü'!$I$2:$I$2001,0),"")</ns0:f>
        <ns0:v/>
      </ns0:c>
    </ns0:row>
    <ns0:row r="1575" ht="21" customHeight="1">
      <ns0:c r="A1575" s="32" t="str">
        <ns0:f>IF($E1575="","",INDEX('Banka Dökümü'!$A$2:$A$2001,$E1575))</ns0:f>
        <ns0:v/>
      </ns0:c>
      <ns0:c r="B1575" s="28" t="str">
        <ns0:f>IF($E1575="","",INDEX('Banka Dökümü'!$B$2:$B$2001,$E1575))</ns0:f>
        <ns0:v/>
      </ns0:c>
      <ns0:c r="C1575" s="33" t="str">
        <ns0:f>IF($E1575="","",INDEX('Banka Dökümü'!$C$2:$C$2001,$E1575))</ns0:f>
        <ns0:v/>
      </ns0:c>
      <ns0:c r="D1575" s="28" t="str">
        <ns0:f>IF(E1575="","","Müşteri adı / aranacak ad / il bilgisini kontrol edin")</ns0:f>
        <ns0:v/>
      </ns0:c>
      <ns0:c r="E1575" s="28" t="str">
        <ns0:f>IFERROR(MATCH(1571,'Banka Dökümü'!$I$2:$I$2001,0),"")</ns0:f>
        <ns0:v/>
      </ns0:c>
    </ns0:row>
    <ns0:row r="1576" ht="21" customHeight="1">
      <ns0:c r="A1576" s="32" t="str">
        <ns0:f>IF($E1576="","",INDEX('Banka Dökümü'!$A$2:$A$2001,$E1576))</ns0:f>
        <ns0:v/>
      </ns0:c>
      <ns0:c r="B1576" s="28" t="str">
        <ns0:f>IF($E1576="","",INDEX('Banka Dökümü'!$B$2:$B$2001,$E1576))</ns0:f>
        <ns0:v/>
      </ns0:c>
      <ns0:c r="C1576" s="33" t="str">
        <ns0:f>IF($E1576="","",INDEX('Banka Dökümü'!$C$2:$C$2001,$E1576))</ns0:f>
        <ns0:v/>
      </ns0:c>
      <ns0:c r="D1576" s="28" t="str">
        <ns0:f>IF(E1576="","","Müşteri adı / aranacak ad / il bilgisini kontrol edin")</ns0:f>
        <ns0:v/>
      </ns0:c>
      <ns0:c r="E1576" s="28" t="str">
        <ns0:f>IFERROR(MATCH(1572,'Banka Dökümü'!$I$2:$I$2001,0),"")</ns0:f>
        <ns0:v/>
      </ns0:c>
    </ns0:row>
    <ns0:row r="1577" ht="21" customHeight="1">
      <ns0:c r="A1577" s="32" t="str">
        <ns0:f>IF($E1577="","",INDEX('Banka Dökümü'!$A$2:$A$2001,$E1577))</ns0:f>
        <ns0:v/>
      </ns0:c>
      <ns0:c r="B1577" s="28" t="str">
        <ns0:f>IF($E1577="","",INDEX('Banka Dökümü'!$B$2:$B$2001,$E1577))</ns0:f>
        <ns0:v/>
      </ns0:c>
      <ns0:c r="C1577" s="33" t="str">
        <ns0:f>IF($E1577="","",INDEX('Banka Dökümü'!$C$2:$C$2001,$E1577))</ns0:f>
        <ns0:v/>
      </ns0:c>
      <ns0:c r="D1577" s="28" t="str">
        <ns0:f>IF(E1577="","","Müşteri adı / aranacak ad / il bilgisini kontrol edin")</ns0:f>
        <ns0:v/>
      </ns0:c>
      <ns0:c r="E1577" s="28" t="str">
        <ns0:f>IFERROR(MATCH(1573,'Banka Dökümü'!$I$2:$I$2001,0),"")</ns0:f>
        <ns0:v/>
      </ns0:c>
    </ns0:row>
    <ns0:row r="1578" ht="21" customHeight="1">
      <ns0:c r="A1578" s="32" t="str">
        <ns0:f>IF($E1578="","",INDEX('Banka Dökümü'!$A$2:$A$2001,$E1578))</ns0:f>
        <ns0:v/>
      </ns0:c>
      <ns0:c r="B1578" s="28" t="str">
        <ns0:f>IF($E1578="","",INDEX('Banka Dökümü'!$B$2:$B$2001,$E1578))</ns0:f>
        <ns0:v/>
      </ns0:c>
      <ns0:c r="C1578" s="33" t="str">
        <ns0:f>IF($E1578="","",INDEX('Banka Dökümü'!$C$2:$C$2001,$E1578))</ns0:f>
        <ns0:v/>
      </ns0:c>
      <ns0:c r="D1578" s="28" t="str">
        <ns0:f>IF(E1578="","","Müşteri adı / aranacak ad / il bilgisini kontrol edin")</ns0:f>
        <ns0:v/>
      </ns0:c>
      <ns0:c r="E1578" s="28" t="str">
        <ns0:f>IFERROR(MATCH(1574,'Banka Dökümü'!$I$2:$I$2001,0),"")</ns0:f>
        <ns0:v/>
      </ns0:c>
    </ns0:row>
    <ns0:row r="1579" ht="21" customHeight="1">
      <ns0:c r="A1579" s="32" t="str">
        <ns0:f>IF($E1579="","",INDEX('Banka Dökümü'!$A$2:$A$2001,$E1579))</ns0:f>
        <ns0:v/>
      </ns0:c>
      <ns0:c r="B1579" s="28" t="str">
        <ns0:f>IF($E1579="","",INDEX('Banka Dökümü'!$B$2:$B$2001,$E1579))</ns0:f>
        <ns0:v/>
      </ns0:c>
      <ns0:c r="C1579" s="33" t="str">
        <ns0:f>IF($E1579="","",INDEX('Banka Dökümü'!$C$2:$C$2001,$E1579))</ns0:f>
        <ns0:v/>
      </ns0:c>
      <ns0:c r="D1579" s="28" t="str">
        <ns0:f>IF(E1579="","","Müşteri adı / aranacak ad / il bilgisini kontrol edin")</ns0:f>
        <ns0:v/>
      </ns0:c>
      <ns0:c r="E1579" s="28" t="str">
        <ns0:f>IFERROR(MATCH(1575,'Banka Dökümü'!$I$2:$I$2001,0),"")</ns0:f>
        <ns0:v/>
      </ns0:c>
    </ns0:row>
    <ns0:row r="1580" ht="21" customHeight="1">
      <ns0:c r="A1580" s="32" t="str">
        <ns0:f>IF($E1580="","",INDEX('Banka Dökümü'!$A$2:$A$2001,$E1580))</ns0:f>
        <ns0:v/>
      </ns0:c>
      <ns0:c r="B1580" s="28" t="str">
        <ns0:f>IF($E1580="","",INDEX('Banka Dökümü'!$B$2:$B$2001,$E1580))</ns0:f>
        <ns0:v/>
      </ns0:c>
      <ns0:c r="C1580" s="33" t="str">
        <ns0:f>IF($E1580="","",INDEX('Banka Dökümü'!$C$2:$C$2001,$E1580))</ns0:f>
        <ns0:v/>
      </ns0:c>
      <ns0:c r="D1580" s="28" t="str">
        <ns0:f>IF(E1580="","","Müşteri adı / aranacak ad / il bilgisini kontrol edin")</ns0:f>
        <ns0:v/>
      </ns0:c>
      <ns0:c r="E1580" s="28" t="str">
        <ns0:f>IFERROR(MATCH(1576,'Banka Dökümü'!$I$2:$I$2001,0),"")</ns0:f>
        <ns0:v/>
      </ns0:c>
    </ns0:row>
    <ns0:row r="1581" ht="21" customHeight="1">
      <ns0:c r="A1581" s="32" t="str">
        <ns0:f>IF($E1581="","",INDEX('Banka Dökümü'!$A$2:$A$2001,$E1581))</ns0:f>
        <ns0:v/>
      </ns0:c>
      <ns0:c r="B1581" s="28" t="str">
        <ns0:f>IF($E1581="","",INDEX('Banka Dökümü'!$B$2:$B$2001,$E1581))</ns0:f>
        <ns0:v/>
      </ns0:c>
      <ns0:c r="C1581" s="33" t="str">
        <ns0:f>IF($E1581="","",INDEX('Banka Dökümü'!$C$2:$C$2001,$E1581))</ns0:f>
        <ns0:v/>
      </ns0:c>
      <ns0:c r="D1581" s="28" t="str">
        <ns0:f>IF(E1581="","","Müşteri adı / aranacak ad / il bilgisini kontrol edin")</ns0:f>
        <ns0:v/>
      </ns0:c>
      <ns0:c r="E1581" s="28" t="str">
        <ns0:f>IFERROR(MATCH(1577,'Banka Dökümü'!$I$2:$I$2001,0),"")</ns0:f>
        <ns0:v/>
      </ns0:c>
    </ns0:row>
    <ns0:row r="1582" ht="21" customHeight="1">
      <ns0:c r="A1582" s="32" t="str">
        <ns0:f>IF($E1582="","",INDEX('Banka Dökümü'!$A$2:$A$2001,$E1582))</ns0:f>
        <ns0:v/>
      </ns0:c>
      <ns0:c r="B1582" s="28" t="str">
        <ns0:f>IF($E1582="","",INDEX('Banka Dökümü'!$B$2:$B$2001,$E1582))</ns0:f>
        <ns0:v/>
      </ns0:c>
      <ns0:c r="C1582" s="33" t="str">
        <ns0:f>IF($E1582="","",INDEX('Banka Dökümü'!$C$2:$C$2001,$E1582))</ns0:f>
        <ns0:v/>
      </ns0:c>
      <ns0:c r="D1582" s="28" t="str">
        <ns0:f>IF(E1582="","","Müşteri adı / aranacak ad / il bilgisini kontrol edin")</ns0:f>
        <ns0:v/>
      </ns0:c>
      <ns0:c r="E1582" s="28" t="str">
        <ns0:f>IFERROR(MATCH(1578,'Banka Dökümü'!$I$2:$I$2001,0),"")</ns0:f>
        <ns0:v/>
      </ns0:c>
    </ns0:row>
    <ns0:row r="1583" ht="21" customHeight="1">
      <ns0:c r="A1583" s="32" t="str">
        <ns0:f>IF($E1583="","",INDEX('Banka Dökümü'!$A$2:$A$2001,$E1583))</ns0:f>
        <ns0:v/>
      </ns0:c>
      <ns0:c r="B1583" s="28" t="str">
        <ns0:f>IF($E1583="","",INDEX('Banka Dökümü'!$B$2:$B$2001,$E1583))</ns0:f>
        <ns0:v/>
      </ns0:c>
      <ns0:c r="C1583" s="33" t="str">
        <ns0:f>IF($E1583="","",INDEX('Banka Dökümü'!$C$2:$C$2001,$E1583))</ns0:f>
        <ns0:v/>
      </ns0:c>
      <ns0:c r="D1583" s="28" t="str">
        <ns0:f>IF(E1583="","","Müşteri adı / aranacak ad / il bilgisini kontrol edin")</ns0:f>
        <ns0:v/>
      </ns0:c>
      <ns0:c r="E1583" s="28" t="str">
        <ns0:f>IFERROR(MATCH(1579,'Banka Dökümü'!$I$2:$I$2001,0),"")</ns0:f>
        <ns0:v/>
      </ns0:c>
    </ns0:row>
    <ns0:row r="1584" ht="21" customHeight="1">
      <ns0:c r="A1584" s="32" t="str">
        <ns0:f>IF($E1584="","",INDEX('Banka Dökümü'!$A$2:$A$2001,$E1584))</ns0:f>
        <ns0:v/>
      </ns0:c>
      <ns0:c r="B1584" s="28" t="str">
        <ns0:f>IF($E1584="","",INDEX('Banka Dökümü'!$B$2:$B$2001,$E1584))</ns0:f>
        <ns0:v/>
      </ns0:c>
      <ns0:c r="C1584" s="33" t="str">
        <ns0:f>IF($E1584="","",INDEX('Banka Dökümü'!$C$2:$C$2001,$E1584))</ns0:f>
        <ns0:v/>
      </ns0:c>
      <ns0:c r="D1584" s="28" t="str">
        <ns0:f>IF(E1584="","","Müşteri adı / aranacak ad / il bilgisini kontrol edin")</ns0:f>
        <ns0:v/>
      </ns0:c>
      <ns0:c r="E1584" s="28" t="str">
        <ns0:f>IFERROR(MATCH(1580,'Banka Dökümü'!$I$2:$I$2001,0),"")</ns0:f>
        <ns0:v/>
      </ns0:c>
    </ns0:row>
    <ns0:row r="1585" ht="21" customHeight="1">
      <ns0:c r="A1585" s="32" t="str">
        <ns0:f>IF($E1585="","",INDEX('Banka Dökümü'!$A$2:$A$2001,$E1585))</ns0:f>
        <ns0:v/>
      </ns0:c>
      <ns0:c r="B1585" s="28" t="str">
        <ns0:f>IF($E1585="","",INDEX('Banka Dökümü'!$B$2:$B$2001,$E1585))</ns0:f>
        <ns0:v/>
      </ns0:c>
      <ns0:c r="C1585" s="33" t="str">
        <ns0:f>IF($E1585="","",INDEX('Banka Dökümü'!$C$2:$C$2001,$E1585))</ns0:f>
        <ns0:v/>
      </ns0:c>
      <ns0:c r="D1585" s="28" t="str">
        <ns0:f>IF(E1585="","","Müşteri adı / aranacak ad / il bilgisini kontrol edin")</ns0:f>
        <ns0:v/>
      </ns0:c>
      <ns0:c r="E1585" s="28" t="str">
        <ns0:f>IFERROR(MATCH(1581,'Banka Dökümü'!$I$2:$I$2001,0),"")</ns0:f>
        <ns0:v/>
      </ns0:c>
    </ns0:row>
    <ns0:row r="1586" ht="21" customHeight="1">
      <ns0:c r="A1586" s="32" t="str">
        <ns0:f>IF($E1586="","",INDEX('Banka Dökümü'!$A$2:$A$2001,$E1586))</ns0:f>
        <ns0:v/>
      </ns0:c>
      <ns0:c r="B1586" s="28" t="str">
        <ns0:f>IF($E1586="","",INDEX('Banka Dökümü'!$B$2:$B$2001,$E1586))</ns0:f>
        <ns0:v/>
      </ns0:c>
      <ns0:c r="C1586" s="33" t="str">
        <ns0:f>IF($E1586="","",INDEX('Banka Dökümü'!$C$2:$C$2001,$E1586))</ns0:f>
        <ns0:v/>
      </ns0:c>
      <ns0:c r="D1586" s="28" t="str">
        <ns0:f>IF(E1586="","","Müşteri adı / aranacak ad / il bilgisini kontrol edin")</ns0:f>
        <ns0:v/>
      </ns0:c>
      <ns0:c r="E1586" s="28" t="str">
        <ns0:f>IFERROR(MATCH(1582,'Banka Dökümü'!$I$2:$I$2001,0),"")</ns0:f>
        <ns0:v/>
      </ns0:c>
    </ns0:row>
    <ns0:row r="1587" ht="21" customHeight="1">
      <ns0:c r="A1587" s="32" t="str">
        <ns0:f>IF($E1587="","",INDEX('Banka Dökümü'!$A$2:$A$2001,$E1587))</ns0:f>
        <ns0:v/>
      </ns0:c>
      <ns0:c r="B1587" s="28" t="str">
        <ns0:f>IF($E1587="","",INDEX('Banka Dökümü'!$B$2:$B$2001,$E1587))</ns0:f>
        <ns0:v/>
      </ns0:c>
      <ns0:c r="C1587" s="33" t="str">
        <ns0:f>IF($E1587="","",INDEX('Banka Dökümü'!$C$2:$C$2001,$E1587))</ns0:f>
        <ns0:v/>
      </ns0:c>
      <ns0:c r="D1587" s="28" t="str">
        <ns0:f>IF(E1587="","","Müşteri adı / aranacak ad / il bilgisini kontrol edin")</ns0:f>
        <ns0:v/>
      </ns0:c>
      <ns0:c r="E1587" s="28" t="str">
        <ns0:f>IFERROR(MATCH(1583,'Banka Dökümü'!$I$2:$I$2001,0),"")</ns0:f>
        <ns0:v/>
      </ns0:c>
    </ns0:row>
    <ns0:row r="1588" ht="21" customHeight="1">
      <ns0:c r="A1588" s="32" t="str">
        <ns0:f>IF($E1588="","",INDEX('Banka Dökümü'!$A$2:$A$2001,$E1588))</ns0:f>
        <ns0:v/>
      </ns0:c>
      <ns0:c r="B1588" s="28" t="str">
        <ns0:f>IF($E1588="","",INDEX('Banka Dökümü'!$B$2:$B$2001,$E1588))</ns0:f>
        <ns0:v/>
      </ns0:c>
      <ns0:c r="C1588" s="33" t="str">
        <ns0:f>IF($E1588="","",INDEX('Banka Dökümü'!$C$2:$C$2001,$E1588))</ns0:f>
        <ns0:v/>
      </ns0:c>
      <ns0:c r="D1588" s="28" t="str">
        <ns0:f>IF(E1588="","","Müşteri adı / aranacak ad / il bilgisini kontrol edin")</ns0:f>
        <ns0:v/>
      </ns0:c>
      <ns0:c r="E1588" s="28" t="str">
        <ns0:f>IFERROR(MATCH(1584,'Banka Dökümü'!$I$2:$I$2001,0),"")</ns0:f>
        <ns0:v/>
      </ns0:c>
    </ns0:row>
    <ns0:row r="1589" ht="21" customHeight="1">
      <ns0:c r="A1589" s="32" t="str">
        <ns0:f>IF($E1589="","",INDEX('Banka Dökümü'!$A$2:$A$2001,$E1589))</ns0:f>
        <ns0:v/>
      </ns0:c>
      <ns0:c r="B1589" s="28" t="str">
        <ns0:f>IF($E1589="","",INDEX('Banka Dökümü'!$B$2:$B$2001,$E1589))</ns0:f>
        <ns0:v/>
      </ns0:c>
      <ns0:c r="C1589" s="33" t="str">
        <ns0:f>IF($E1589="","",INDEX('Banka Dökümü'!$C$2:$C$2001,$E1589))</ns0:f>
        <ns0:v/>
      </ns0:c>
      <ns0:c r="D1589" s="28" t="str">
        <ns0:f>IF(E1589="","","Müşteri adı / aranacak ad / il bilgisini kontrol edin")</ns0:f>
        <ns0:v/>
      </ns0:c>
      <ns0:c r="E1589" s="28" t="str">
        <ns0:f>IFERROR(MATCH(1585,'Banka Dökümü'!$I$2:$I$2001,0),"")</ns0:f>
        <ns0:v/>
      </ns0:c>
    </ns0:row>
    <ns0:row r="1590" ht="21" customHeight="1">
      <ns0:c r="A1590" s="32" t="str">
        <ns0:f>IF($E1590="","",INDEX('Banka Dökümü'!$A$2:$A$2001,$E1590))</ns0:f>
        <ns0:v/>
      </ns0:c>
      <ns0:c r="B1590" s="28" t="str">
        <ns0:f>IF($E1590="","",INDEX('Banka Dökümü'!$B$2:$B$2001,$E1590))</ns0:f>
        <ns0:v/>
      </ns0:c>
      <ns0:c r="C1590" s="33" t="str">
        <ns0:f>IF($E1590="","",INDEX('Banka Dökümü'!$C$2:$C$2001,$E1590))</ns0:f>
        <ns0:v/>
      </ns0:c>
      <ns0:c r="D1590" s="28" t="str">
        <ns0:f>IF(E1590="","","Müşteri adı / aranacak ad / il bilgisini kontrol edin")</ns0:f>
        <ns0:v/>
      </ns0:c>
      <ns0:c r="E1590" s="28" t="str">
        <ns0:f>IFERROR(MATCH(1586,'Banka Dökümü'!$I$2:$I$2001,0),"")</ns0:f>
        <ns0:v/>
      </ns0:c>
    </ns0:row>
    <ns0:row r="1591" ht="21" customHeight="1">
      <ns0:c r="A1591" s="32" t="str">
        <ns0:f>IF($E1591="","",INDEX('Banka Dökümü'!$A$2:$A$2001,$E1591))</ns0:f>
        <ns0:v/>
      </ns0:c>
      <ns0:c r="B1591" s="28" t="str">
        <ns0:f>IF($E1591="","",INDEX('Banka Dökümü'!$B$2:$B$2001,$E1591))</ns0:f>
        <ns0:v/>
      </ns0:c>
      <ns0:c r="C1591" s="33" t="str">
        <ns0:f>IF($E1591="","",INDEX('Banka Dökümü'!$C$2:$C$2001,$E1591))</ns0:f>
        <ns0:v/>
      </ns0:c>
      <ns0:c r="D1591" s="28" t="str">
        <ns0:f>IF(E1591="","","Müşteri adı / aranacak ad / il bilgisini kontrol edin")</ns0:f>
        <ns0:v/>
      </ns0:c>
      <ns0:c r="E1591" s="28" t="str">
        <ns0:f>IFERROR(MATCH(1587,'Banka Dökümü'!$I$2:$I$2001,0),"")</ns0:f>
        <ns0:v/>
      </ns0:c>
    </ns0:row>
    <ns0:row r="1592" ht="21" customHeight="1">
      <ns0:c r="A1592" s="32" t="str">
        <ns0:f>IF($E1592="","",INDEX('Banka Dökümü'!$A$2:$A$2001,$E1592))</ns0:f>
        <ns0:v/>
      </ns0:c>
      <ns0:c r="B1592" s="28" t="str">
        <ns0:f>IF($E1592="","",INDEX('Banka Dökümü'!$B$2:$B$2001,$E1592))</ns0:f>
        <ns0:v/>
      </ns0:c>
      <ns0:c r="C1592" s="33" t="str">
        <ns0:f>IF($E1592="","",INDEX('Banka Dökümü'!$C$2:$C$2001,$E1592))</ns0:f>
        <ns0:v/>
      </ns0:c>
      <ns0:c r="D1592" s="28" t="str">
        <ns0:f>IF(E1592="","","Müşteri adı / aranacak ad / il bilgisini kontrol edin")</ns0:f>
        <ns0:v/>
      </ns0:c>
      <ns0:c r="E1592" s="28" t="str">
        <ns0:f>IFERROR(MATCH(1588,'Banka Dökümü'!$I$2:$I$2001,0),"")</ns0:f>
        <ns0:v/>
      </ns0:c>
    </ns0:row>
    <ns0:row r="1593" ht="21" customHeight="1">
      <ns0:c r="A1593" s="32" t="str">
        <ns0:f>IF($E1593="","",INDEX('Banka Dökümü'!$A$2:$A$2001,$E1593))</ns0:f>
        <ns0:v/>
      </ns0:c>
      <ns0:c r="B1593" s="28" t="str">
        <ns0:f>IF($E1593="","",INDEX('Banka Dökümü'!$B$2:$B$2001,$E1593))</ns0:f>
        <ns0:v/>
      </ns0:c>
      <ns0:c r="C1593" s="33" t="str">
        <ns0:f>IF($E1593="","",INDEX('Banka Dökümü'!$C$2:$C$2001,$E1593))</ns0:f>
        <ns0:v/>
      </ns0:c>
      <ns0:c r="D1593" s="28" t="str">
        <ns0:f>IF(E1593="","","Müşteri adı / aranacak ad / il bilgisini kontrol edin")</ns0:f>
        <ns0:v/>
      </ns0:c>
      <ns0:c r="E1593" s="28" t="str">
        <ns0:f>IFERROR(MATCH(1589,'Banka Dökümü'!$I$2:$I$2001,0),"")</ns0:f>
        <ns0:v/>
      </ns0:c>
    </ns0:row>
    <ns0:row r="1594" ht="21" customHeight="1">
      <ns0:c r="A1594" s="32" t="str">
        <ns0:f>IF($E1594="","",INDEX('Banka Dökümü'!$A$2:$A$2001,$E1594))</ns0:f>
        <ns0:v/>
      </ns0:c>
      <ns0:c r="B1594" s="28" t="str">
        <ns0:f>IF($E1594="","",INDEX('Banka Dökümü'!$B$2:$B$2001,$E1594))</ns0:f>
        <ns0:v/>
      </ns0:c>
      <ns0:c r="C1594" s="33" t="str">
        <ns0:f>IF($E1594="","",INDEX('Banka Dökümü'!$C$2:$C$2001,$E1594))</ns0:f>
        <ns0:v/>
      </ns0:c>
      <ns0:c r="D1594" s="28" t="str">
        <ns0:f>IF(E1594="","","Müşteri adı / aranacak ad / il bilgisini kontrol edin")</ns0:f>
        <ns0:v/>
      </ns0:c>
      <ns0:c r="E1594" s="28" t="str">
        <ns0:f>IFERROR(MATCH(1590,'Banka Dökümü'!$I$2:$I$2001,0),"")</ns0:f>
        <ns0:v/>
      </ns0:c>
    </ns0:row>
    <ns0:row r="1595" ht="21" customHeight="1">
      <ns0:c r="A1595" s="32" t="str">
        <ns0:f>IF($E1595="","",INDEX('Banka Dökümü'!$A$2:$A$2001,$E1595))</ns0:f>
        <ns0:v/>
      </ns0:c>
      <ns0:c r="B1595" s="28" t="str">
        <ns0:f>IF($E1595="","",INDEX('Banka Dökümü'!$B$2:$B$2001,$E1595))</ns0:f>
        <ns0:v/>
      </ns0:c>
      <ns0:c r="C1595" s="33" t="str">
        <ns0:f>IF($E1595="","",INDEX('Banka Dökümü'!$C$2:$C$2001,$E1595))</ns0:f>
        <ns0:v/>
      </ns0:c>
      <ns0:c r="D1595" s="28" t="str">
        <ns0:f>IF(E1595="","","Müşteri adı / aranacak ad / il bilgisini kontrol edin")</ns0:f>
        <ns0:v/>
      </ns0:c>
      <ns0:c r="E1595" s="28" t="str">
        <ns0:f>IFERROR(MATCH(1591,'Banka Dökümü'!$I$2:$I$2001,0),"")</ns0:f>
        <ns0:v/>
      </ns0:c>
    </ns0:row>
    <ns0:row r="1596" ht="21" customHeight="1">
      <ns0:c r="A1596" s="32" t="str">
        <ns0:f>IF($E1596="","",INDEX('Banka Dökümü'!$A$2:$A$2001,$E1596))</ns0:f>
        <ns0:v/>
      </ns0:c>
      <ns0:c r="B1596" s="28" t="str">
        <ns0:f>IF($E1596="","",INDEX('Banka Dökümü'!$B$2:$B$2001,$E1596))</ns0:f>
        <ns0:v/>
      </ns0:c>
      <ns0:c r="C1596" s="33" t="str">
        <ns0:f>IF($E1596="","",INDEX('Banka Dökümü'!$C$2:$C$2001,$E1596))</ns0:f>
        <ns0:v/>
      </ns0:c>
      <ns0:c r="D1596" s="28" t="str">
        <ns0:f>IF(E1596="","","Müşteri adı / aranacak ad / il bilgisini kontrol edin")</ns0:f>
        <ns0:v/>
      </ns0:c>
      <ns0:c r="E1596" s="28" t="str">
        <ns0:f>IFERROR(MATCH(1592,'Banka Dökümü'!$I$2:$I$2001,0),"")</ns0:f>
        <ns0:v/>
      </ns0:c>
    </ns0:row>
    <ns0:row r="1597" ht="21" customHeight="1">
      <ns0:c r="A1597" s="32" t="str">
        <ns0:f>IF($E1597="","",INDEX('Banka Dökümü'!$A$2:$A$2001,$E1597))</ns0:f>
        <ns0:v/>
      </ns0:c>
      <ns0:c r="B1597" s="28" t="str">
        <ns0:f>IF($E1597="","",INDEX('Banka Dökümü'!$B$2:$B$2001,$E1597))</ns0:f>
        <ns0:v/>
      </ns0:c>
      <ns0:c r="C1597" s="33" t="str">
        <ns0:f>IF($E1597="","",INDEX('Banka Dökümü'!$C$2:$C$2001,$E1597))</ns0:f>
        <ns0:v/>
      </ns0:c>
      <ns0:c r="D1597" s="28" t="str">
        <ns0:f>IF(E1597="","","Müşteri adı / aranacak ad / il bilgisini kontrol edin")</ns0:f>
        <ns0:v/>
      </ns0:c>
      <ns0:c r="E1597" s="28" t="str">
        <ns0:f>IFERROR(MATCH(1593,'Banka Dökümü'!$I$2:$I$2001,0),"")</ns0:f>
        <ns0:v/>
      </ns0:c>
    </ns0:row>
    <ns0:row r="1598" ht="21" customHeight="1">
      <ns0:c r="A1598" s="32" t="str">
        <ns0:f>IF($E1598="","",INDEX('Banka Dökümü'!$A$2:$A$2001,$E1598))</ns0:f>
        <ns0:v/>
      </ns0:c>
      <ns0:c r="B1598" s="28" t="str">
        <ns0:f>IF($E1598="","",INDEX('Banka Dökümü'!$B$2:$B$2001,$E1598))</ns0:f>
        <ns0:v/>
      </ns0:c>
      <ns0:c r="C1598" s="33" t="str">
        <ns0:f>IF($E1598="","",INDEX('Banka Dökümü'!$C$2:$C$2001,$E1598))</ns0:f>
        <ns0:v/>
      </ns0:c>
      <ns0:c r="D1598" s="28" t="str">
        <ns0:f>IF(E1598="","","Müşteri adı / aranacak ad / il bilgisini kontrol edin")</ns0:f>
        <ns0:v/>
      </ns0:c>
      <ns0:c r="E1598" s="28" t="str">
        <ns0:f>IFERROR(MATCH(1594,'Banka Dökümü'!$I$2:$I$2001,0),"")</ns0:f>
        <ns0:v/>
      </ns0:c>
    </ns0:row>
    <ns0:row r="1599" ht="21" customHeight="1">
      <ns0:c r="A1599" s="32" t="str">
        <ns0:f>IF($E1599="","",INDEX('Banka Dökümü'!$A$2:$A$2001,$E1599))</ns0:f>
        <ns0:v/>
      </ns0:c>
      <ns0:c r="B1599" s="28" t="str">
        <ns0:f>IF($E1599="","",INDEX('Banka Dökümü'!$B$2:$B$2001,$E1599))</ns0:f>
        <ns0:v/>
      </ns0:c>
      <ns0:c r="C1599" s="33" t="str">
        <ns0:f>IF($E1599="","",INDEX('Banka Dökümü'!$C$2:$C$2001,$E1599))</ns0:f>
        <ns0:v/>
      </ns0:c>
      <ns0:c r="D1599" s="28" t="str">
        <ns0:f>IF(E1599="","","Müşteri adı / aranacak ad / il bilgisini kontrol edin")</ns0:f>
        <ns0:v/>
      </ns0:c>
      <ns0:c r="E1599" s="28" t="str">
        <ns0:f>IFERROR(MATCH(1595,'Banka Dökümü'!$I$2:$I$2001,0),"")</ns0:f>
        <ns0:v/>
      </ns0:c>
    </ns0:row>
    <ns0:row r="1600" ht="21" customHeight="1">
      <ns0:c r="A1600" s="32" t="str">
        <ns0:f>IF($E1600="","",INDEX('Banka Dökümü'!$A$2:$A$2001,$E1600))</ns0:f>
        <ns0:v/>
      </ns0:c>
      <ns0:c r="B1600" s="28" t="str">
        <ns0:f>IF($E1600="","",INDEX('Banka Dökümü'!$B$2:$B$2001,$E1600))</ns0:f>
        <ns0:v/>
      </ns0:c>
      <ns0:c r="C1600" s="33" t="str">
        <ns0:f>IF($E1600="","",INDEX('Banka Dökümü'!$C$2:$C$2001,$E1600))</ns0:f>
        <ns0:v/>
      </ns0:c>
      <ns0:c r="D1600" s="28" t="str">
        <ns0:f>IF(E1600="","","Müşteri adı / aranacak ad / il bilgisini kontrol edin")</ns0:f>
        <ns0:v/>
      </ns0:c>
      <ns0:c r="E1600" s="28" t="str">
        <ns0:f>IFERROR(MATCH(1596,'Banka Dökümü'!$I$2:$I$2001,0),"")</ns0:f>
        <ns0:v/>
      </ns0:c>
    </ns0:row>
    <ns0:row r="1601" ht="21" customHeight="1">
      <ns0:c r="A1601" s="32" t="str">
        <ns0:f>IF($E1601="","",INDEX('Banka Dökümü'!$A$2:$A$2001,$E1601))</ns0:f>
        <ns0:v/>
      </ns0:c>
      <ns0:c r="B1601" s="28" t="str">
        <ns0:f>IF($E1601="","",INDEX('Banka Dökümü'!$B$2:$B$2001,$E1601))</ns0:f>
        <ns0:v/>
      </ns0:c>
      <ns0:c r="C1601" s="33" t="str">
        <ns0:f>IF($E1601="","",INDEX('Banka Dökümü'!$C$2:$C$2001,$E1601))</ns0:f>
        <ns0:v/>
      </ns0:c>
      <ns0:c r="D1601" s="28" t="str">
        <ns0:f>IF(E1601="","","Müşteri adı / aranacak ad / il bilgisini kontrol edin")</ns0:f>
        <ns0:v/>
      </ns0:c>
      <ns0:c r="E1601" s="28" t="str">
        <ns0:f>IFERROR(MATCH(1597,'Banka Dökümü'!$I$2:$I$2001,0),"")</ns0:f>
        <ns0:v/>
      </ns0:c>
    </ns0:row>
    <ns0:row r="1602" ht="21" customHeight="1">
      <ns0:c r="A1602" s="32" t="str">
        <ns0:f>IF($E1602="","",INDEX('Banka Dökümü'!$A$2:$A$2001,$E1602))</ns0:f>
        <ns0:v/>
      </ns0:c>
      <ns0:c r="B1602" s="28" t="str">
        <ns0:f>IF($E1602="","",INDEX('Banka Dökümü'!$B$2:$B$2001,$E1602))</ns0:f>
        <ns0:v/>
      </ns0:c>
      <ns0:c r="C1602" s="33" t="str">
        <ns0:f>IF($E1602="","",INDEX('Banka Dökümü'!$C$2:$C$2001,$E1602))</ns0:f>
        <ns0:v/>
      </ns0:c>
      <ns0:c r="D1602" s="28" t="str">
        <ns0:f>IF(E1602="","","Müşteri adı / aranacak ad / il bilgisini kontrol edin")</ns0:f>
        <ns0:v/>
      </ns0:c>
      <ns0:c r="E1602" s="28" t="str">
        <ns0:f>IFERROR(MATCH(1598,'Banka Dökümü'!$I$2:$I$2001,0),"")</ns0:f>
        <ns0:v/>
      </ns0:c>
    </ns0:row>
    <ns0:row r="1603" ht="21" customHeight="1">
      <ns0:c r="A1603" s="32" t="str">
        <ns0:f>IF($E1603="","",INDEX('Banka Dökümü'!$A$2:$A$2001,$E1603))</ns0:f>
        <ns0:v/>
      </ns0:c>
      <ns0:c r="B1603" s="28" t="str">
        <ns0:f>IF($E1603="","",INDEX('Banka Dökümü'!$B$2:$B$2001,$E1603))</ns0:f>
        <ns0:v/>
      </ns0:c>
      <ns0:c r="C1603" s="33" t="str">
        <ns0:f>IF($E1603="","",INDEX('Banka Dökümü'!$C$2:$C$2001,$E1603))</ns0:f>
        <ns0:v/>
      </ns0:c>
      <ns0:c r="D1603" s="28" t="str">
        <ns0:f>IF(E1603="","","Müşteri adı / aranacak ad / il bilgisini kontrol edin")</ns0:f>
        <ns0:v/>
      </ns0:c>
      <ns0:c r="E1603" s="28" t="str">
        <ns0:f>IFERROR(MATCH(1599,'Banka Dökümü'!$I$2:$I$2001,0),"")</ns0:f>
        <ns0:v/>
      </ns0:c>
    </ns0:row>
    <ns0:row r="1604" ht="21" customHeight="1">
      <ns0:c r="A1604" s="32" t="str">
        <ns0:f>IF($E1604="","",INDEX('Banka Dökümü'!$A$2:$A$2001,$E1604))</ns0:f>
        <ns0:v/>
      </ns0:c>
      <ns0:c r="B1604" s="28" t="str">
        <ns0:f>IF($E1604="","",INDEX('Banka Dökümü'!$B$2:$B$2001,$E1604))</ns0:f>
        <ns0:v/>
      </ns0:c>
      <ns0:c r="C1604" s="33" t="str">
        <ns0:f>IF($E1604="","",INDEX('Banka Dökümü'!$C$2:$C$2001,$E1604))</ns0:f>
        <ns0:v/>
      </ns0:c>
      <ns0:c r="D1604" s="28" t="str">
        <ns0:f>IF(E1604="","","Müşteri adı / aranacak ad / il bilgisini kontrol edin")</ns0:f>
        <ns0:v/>
      </ns0:c>
      <ns0:c r="E1604" s="28" t="str">
        <ns0:f>IFERROR(MATCH(1600,'Banka Dökümü'!$I$2:$I$2001,0),"")</ns0:f>
        <ns0:v/>
      </ns0:c>
    </ns0:row>
    <ns0:row r="1605" ht="21" customHeight="1">
      <ns0:c r="A1605" s="32" t="str">
        <ns0:f>IF($E1605="","",INDEX('Banka Dökümü'!$A$2:$A$2001,$E1605))</ns0:f>
        <ns0:v/>
      </ns0:c>
      <ns0:c r="B1605" s="28" t="str">
        <ns0:f>IF($E1605="","",INDEX('Banka Dökümü'!$B$2:$B$2001,$E1605))</ns0:f>
        <ns0:v/>
      </ns0:c>
      <ns0:c r="C1605" s="33" t="str">
        <ns0:f>IF($E1605="","",INDEX('Banka Dökümü'!$C$2:$C$2001,$E1605))</ns0:f>
        <ns0:v/>
      </ns0:c>
      <ns0:c r="D1605" s="28" t="str">
        <ns0:f>IF(E1605="","","Müşteri adı / aranacak ad / il bilgisini kontrol edin")</ns0:f>
        <ns0:v/>
      </ns0:c>
      <ns0:c r="E1605" s="28" t="str">
        <ns0:f>IFERROR(MATCH(1601,'Banka Dökümü'!$I$2:$I$2001,0),"")</ns0:f>
        <ns0:v/>
      </ns0:c>
    </ns0:row>
    <ns0:row r="1606" ht="21" customHeight="1">
      <ns0:c r="A1606" s="32" t="str">
        <ns0:f>IF($E1606="","",INDEX('Banka Dökümü'!$A$2:$A$2001,$E1606))</ns0:f>
        <ns0:v/>
      </ns0:c>
      <ns0:c r="B1606" s="28" t="str">
        <ns0:f>IF($E1606="","",INDEX('Banka Dökümü'!$B$2:$B$2001,$E1606))</ns0:f>
        <ns0:v/>
      </ns0:c>
      <ns0:c r="C1606" s="33" t="str">
        <ns0:f>IF($E1606="","",INDEX('Banka Dökümü'!$C$2:$C$2001,$E1606))</ns0:f>
        <ns0:v/>
      </ns0:c>
      <ns0:c r="D1606" s="28" t="str">
        <ns0:f>IF(E1606="","","Müşteri adı / aranacak ad / il bilgisini kontrol edin")</ns0:f>
        <ns0:v/>
      </ns0:c>
      <ns0:c r="E1606" s="28" t="str">
        <ns0:f>IFERROR(MATCH(1602,'Banka Dökümü'!$I$2:$I$2001,0),"")</ns0:f>
        <ns0:v/>
      </ns0:c>
    </ns0:row>
    <ns0:row r="1607" ht="21" customHeight="1">
      <ns0:c r="A1607" s="32" t="str">
        <ns0:f>IF($E1607="","",INDEX('Banka Dökümü'!$A$2:$A$2001,$E1607))</ns0:f>
        <ns0:v/>
      </ns0:c>
      <ns0:c r="B1607" s="28" t="str">
        <ns0:f>IF($E1607="","",INDEX('Banka Dökümü'!$B$2:$B$2001,$E1607))</ns0:f>
        <ns0:v/>
      </ns0:c>
      <ns0:c r="C1607" s="33" t="str">
        <ns0:f>IF($E1607="","",INDEX('Banka Dökümü'!$C$2:$C$2001,$E1607))</ns0:f>
        <ns0:v/>
      </ns0:c>
      <ns0:c r="D1607" s="28" t="str">
        <ns0:f>IF(E1607="","","Müşteri adı / aranacak ad / il bilgisini kontrol edin")</ns0:f>
        <ns0:v/>
      </ns0:c>
      <ns0:c r="E1607" s="28" t="str">
        <ns0:f>IFERROR(MATCH(1603,'Banka Dökümü'!$I$2:$I$2001,0),"")</ns0:f>
        <ns0:v/>
      </ns0:c>
    </ns0:row>
    <ns0:row r="1608" ht="21" customHeight="1">
      <ns0:c r="A1608" s="32" t="str">
        <ns0:f>IF($E1608="","",INDEX('Banka Dökümü'!$A$2:$A$2001,$E1608))</ns0:f>
        <ns0:v/>
      </ns0:c>
      <ns0:c r="B1608" s="28" t="str">
        <ns0:f>IF($E1608="","",INDEX('Banka Dökümü'!$B$2:$B$2001,$E1608))</ns0:f>
        <ns0:v/>
      </ns0:c>
      <ns0:c r="C1608" s="33" t="str">
        <ns0:f>IF($E1608="","",INDEX('Banka Dökümü'!$C$2:$C$2001,$E1608))</ns0:f>
        <ns0:v/>
      </ns0:c>
      <ns0:c r="D1608" s="28" t="str">
        <ns0:f>IF(E1608="","","Müşteri adı / aranacak ad / il bilgisini kontrol edin")</ns0:f>
        <ns0:v/>
      </ns0:c>
      <ns0:c r="E1608" s="28" t="str">
        <ns0:f>IFERROR(MATCH(1604,'Banka Dökümü'!$I$2:$I$2001,0),"")</ns0:f>
        <ns0:v/>
      </ns0:c>
    </ns0:row>
    <ns0:row r="1609" ht="21" customHeight="1">
      <ns0:c r="A1609" s="32" t="str">
        <ns0:f>IF($E1609="","",INDEX('Banka Dökümü'!$A$2:$A$2001,$E1609))</ns0:f>
        <ns0:v/>
      </ns0:c>
      <ns0:c r="B1609" s="28" t="str">
        <ns0:f>IF($E1609="","",INDEX('Banka Dökümü'!$B$2:$B$2001,$E1609))</ns0:f>
        <ns0:v/>
      </ns0:c>
      <ns0:c r="C1609" s="33" t="str">
        <ns0:f>IF($E1609="","",INDEX('Banka Dökümü'!$C$2:$C$2001,$E1609))</ns0:f>
        <ns0:v/>
      </ns0:c>
      <ns0:c r="D1609" s="28" t="str">
        <ns0:f>IF(E1609="","","Müşteri adı / aranacak ad / il bilgisini kontrol edin")</ns0:f>
        <ns0:v/>
      </ns0:c>
      <ns0:c r="E1609" s="28" t="str">
        <ns0:f>IFERROR(MATCH(1605,'Banka Dökümü'!$I$2:$I$2001,0),"")</ns0:f>
        <ns0:v/>
      </ns0:c>
    </ns0:row>
    <ns0:row r="1610" ht="21" customHeight="1">
      <ns0:c r="A1610" s="32" t="str">
        <ns0:f>IF($E1610="","",INDEX('Banka Dökümü'!$A$2:$A$2001,$E1610))</ns0:f>
        <ns0:v/>
      </ns0:c>
      <ns0:c r="B1610" s="28" t="str">
        <ns0:f>IF($E1610="","",INDEX('Banka Dökümü'!$B$2:$B$2001,$E1610))</ns0:f>
        <ns0:v/>
      </ns0:c>
      <ns0:c r="C1610" s="33" t="str">
        <ns0:f>IF($E1610="","",INDEX('Banka Dökümü'!$C$2:$C$2001,$E1610))</ns0:f>
        <ns0:v/>
      </ns0:c>
      <ns0:c r="D1610" s="28" t="str">
        <ns0:f>IF(E1610="","","Müşteri adı / aranacak ad / il bilgisini kontrol edin")</ns0:f>
        <ns0:v/>
      </ns0:c>
      <ns0:c r="E1610" s="28" t="str">
        <ns0:f>IFERROR(MATCH(1606,'Banka Dökümü'!$I$2:$I$2001,0),"")</ns0:f>
        <ns0:v/>
      </ns0:c>
    </ns0:row>
    <ns0:row r="1611" ht="21" customHeight="1">
      <ns0:c r="A1611" s="32" t="str">
        <ns0:f>IF($E1611="","",INDEX('Banka Dökümü'!$A$2:$A$2001,$E1611))</ns0:f>
        <ns0:v/>
      </ns0:c>
      <ns0:c r="B1611" s="28" t="str">
        <ns0:f>IF($E1611="","",INDEX('Banka Dökümü'!$B$2:$B$2001,$E1611))</ns0:f>
        <ns0:v/>
      </ns0:c>
      <ns0:c r="C1611" s="33" t="str">
        <ns0:f>IF($E1611="","",INDEX('Banka Dökümü'!$C$2:$C$2001,$E1611))</ns0:f>
        <ns0:v/>
      </ns0:c>
      <ns0:c r="D1611" s="28" t="str">
        <ns0:f>IF(E1611="","","Müşteri adı / aranacak ad / il bilgisini kontrol edin")</ns0:f>
        <ns0:v/>
      </ns0:c>
      <ns0:c r="E1611" s="28" t="str">
        <ns0:f>IFERROR(MATCH(1607,'Banka Dökümü'!$I$2:$I$2001,0),"")</ns0:f>
        <ns0:v/>
      </ns0:c>
    </ns0:row>
    <ns0:row r="1612" ht="21" customHeight="1">
      <ns0:c r="A1612" s="32" t="str">
        <ns0:f>IF($E1612="","",INDEX('Banka Dökümü'!$A$2:$A$2001,$E1612))</ns0:f>
        <ns0:v/>
      </ns0:c>
      <ns0:c r="B1612" s="28" t="str">
        <ns0:f>IF($E1612="","",INDEX('Banka Dökümü'!$B$2:$B$2001,$E1612))</ns0:f>
        <ns0:v/>
      </ns0:c>
      <ns0:c r="C1612" s="33" t="str">
        <ns0:f>IF($E1612="","",INDEX('Banka Dökümü'!$C$2:$C$2001,$E1612))</ns0:f>
        <ns0:v/>
      </ns0:c>
      <ns0:c r="D1612" s="28" t="str">
        <ns0:f>IF(E1612="","","Müşteri adı / aranacak ad / il bilgisini kontrol edin")</ns0:f>
        <ns0:v/>
      </ns0:c>
      <ns0:c r="E1612" s="28" t="str">
        <ns0:f>IFERROR(MATCH(1608,'Banka Dökümü'!$I$2:$I$2001,0),"")</ns0:f>
        <ns0:v/>
      </ns0:c>
    </ns0:row>
    <ns0:row r="1613" ht="21" customHeight="1">
      <ns0:c r="A1613" s="32" t="str">
        <ns0:f>IF($E1613="","",INDEX('Banka Dökümü'!$A$2:$A$2001,$E1613))</ns0:f>
        <ns0:v/>
      </ns0:c>
      <ns0:c r="B1613" s="28" t="str">
        <ns0:f>IF($E1613="","",INDEX('Banka Dökümü'!$B$2:$B$2001,$E1613))</ns0:f>
        <ns0:v/>
      </ns0:c>
      <ns0:c r="C1613" s="33" t="str">
        <ns0:f>IF($E1613="","",INDEX('Banka Dökümü'!$C$2:$C$2001,$E1613))</ns0:f>
        <ns0:v/>
      </ns0:c>
      <ns0:c r="D1613" s="28" t="str">
        <ns0:f>IF(E1613="","","Müşteri adı / aranacak ad / il bilgisini kontrol edin")</ns0:f>
        <ns0:v/>
      </ns0:c>
      <ns0:c r="E1613" s="28" t="str">
        <ns0:f>IFERROR(MATCH(1609,'Banka Dökümü'!$I$2:$I$2001,0),"")</ns0:f>
        <ns0:v/>
      </ns0:c>
    </ns0:row>
    <ns0:row r="1614" ht="21" customHeight="1">
      <ns0:c r="A1614" s="32" t="str">
        <ns0:f>IF($E1614="","",INDEX('Banka Dökümü'!$A$2:$A$2001,$E1614))</ns0:f>
        <ns0:v/>
      </ns0:c>
      <ns0:c r="B1614" s="28" t="str">
        <ns0:f>IF($E1614="","",INDEX('Banka Dökümü'!$B$2:$B$2001,$E1614))</ns0:f>
        <ns0:v/>
      </ns0:c>
      <ns0:c r="C1614" s="33" t="str">
        <ns0:f>IF($E1614="","",INDEX('Banka Dökümü'!$C$2:$C$2001,$E1614))</ns0:f>
        <ns0:v/>
      </ns0:c>
      <ns0:c r="D1614" s="28" t="str">
        <ns0:f>IF(E1614="","","Müşteri adı / aranacak ad / il bilgisini kontrol edin")</ns0:f>
        <ns0:v/>
      </ns0:c>
      <ns0:c r="E1614" s="28" t="str">
        <ns0:f>IFERROR(MATCH(1610,'Banka Dökümü'!$I$2:$I$2001,0),"")</ns0:f>
        <ns0:v/>
      </ns0:c>
    </ns0:row>
    <ns0:row r="1615" ht="21" customHeight="1">
      <ns0:c r="A1615" s="32" t="str">
        <ns0:f>IF($E1615="","",INDEX('Banka Dökümü'!$A$2:$A$2001,$E1615))</ns0:f>
        <ns0:v/>
      </ns0:c>
      <ns0:c r="B1615" s="28" t="str">
        <ns0:f>IF($E1615="","",INDEX('Banka Dökümü'!$B$2:$B$2001,$E1615))</ns0:f>
        <ns0:v/>
      </ns0:c>
      <ns0:c r="C1615" s="33" t="str">
        <ns0:f>IF($E1615="","",INDEX('Banka Dökümü'!$C$2:$C$2001,$E1615))</ns0:f>
        <ns0:v/>
      </ns0:c>
      <ns0:c r="D1615" s="28" t="str">
        <ns0:f>IF(E1615="","","Müşteri adı / aranacak ad / il bilgisini kontrol edin")</ns0:f>
        <ns0:v/>
      </ns0:c>
      <ns0:c r="E1615" s="28" t="str">
        <ns0:f>IFERROR(MATCH(1611,'Banka Dökümü'!$I$2:$I$2001,0),"")</ns0:f>
        <ns0:v/>
      </ns0:c>
    </ns0:row>
    <ns0:row r="1616" ht="21" customHeight="1">
      <ns0:c r="A1616" s="32" t="str">
        <ns0:f>IF($E1616="","",INDEX('Banka Dökümü'!$A$2:$A$2001,$E1616))</ns0:f>
        <ns0:v/>
      </ns0:c>
      <ns0:c r="B1616" s="28" t="str">
        <ns0:f>IF($E1616="","",INDEX('Banka Dökümü'!$B$2:$B$2001,$E1616))</ns0:f>
        <ns0:v/>
      </ns0:c>
      <ns0:c r="C1616" s="33" t="str">
        <ns0:f>IF($E1616="","",INDEX('Banka Dökümü'!$C$2:$C$2001,$E1616))</ns0:f>
        <ns0:v/>
      </ns0:c>
      <ns0:c r="D1616" s="28" t="str">
        <ns0:f>IF(E1616="","","Müşteri adı / aranacak ad / il bilgisini kontrol edin")</ns0:f>
        <ns0:v/>
      </ns0:c>
      <ns0:c r="E1616" s="28" t="str">
        <ns0:f>IFERROR(MATCH(1612,'Banka Dökümü'!$I$2:$I$2001,0),"")</ns0:f>
        <ns0:v/>
      </ns0:c>
    </ns0:row>
    <ns0:row r="1617" ht="21" customHeight="1">
      <ns0:c r="A1617" s="32" t="str">
        <ns0:f>IF($E1617="","",INDEX('Banka Dökümü'!$A$2:$A$2001,$E1617))</ns0:f>
        <ns0:v/>
      </ns0:c>
      <ns0:c r="B1617" s="28" t="str">
        <ns0:f>IF($E1617="","",INDEX('Banka Dökümü'!$B$2:$B$2001,$E1617))</ns0:f>
        <ns0:v/>
      </ns0:c>
      <ns0:c r="C1617" s="33" t="str">
        <ns0:f>IF($E1617="","",INDEX('Banka Dökümü'!$C$2:$C$2001,$E1617))</ns0:f>
        <ns0:v/>
      </ns0:c>
      <ns0:c r="D1617" s="28" t="str">
        <ns0:f>IF(E1617="","","Müşteri adı / aranacak ad / il bilgisini kontrol edin")</ns0:f>
        <ns0:v/>
      </ns0:c>
      <ns0:c r="E1617" s="28" t="str">
        <ns0:f>IFERROR(MATCH(1613,'Banka Dökümü'!$I$2:$I$2001,0),"")</ns0:f>
        <ns0:v/>
      </ns0:c>
    </ns0:row>
    <ns0:row r="1618" ht="21" customHeight="1">
      <ns0:c r="A1618" s="32" t="str">
        <ns0:f>IF($E1618="","",INDEX('Banka Dökümü'!$A$2:$A$2001,$E1618))</ns0:f>
        <ns0:v/>
      </ns0:c>
      <ns0:c r="B1618" s="28" t="str">
        <ns0:f>IF($E1618="","",INDEX('Banka Dökümü'!$B$2:$B$2001,$E1618))</ns0:f>
        <ns0:v/>
      </ns0:c>
      <ns0:c r="C1618" s="33" t="str">
        <ns0:f>IF($E1618="","",INDEX('Banka Dökümü'!$C$2:$C$2001,$E1618))</ns0:f>
        <ns0:v/>
      </ns0:c>
      <ns0:c r="D1618" s="28" t="str">
        <ns0:f>IF(E1618="","","Müşteri adı / aranacak ad / il bilgisini kontrol edin")</ns0:f>
        <ns0:v/>
      </ns0:c>
      <ns0:c r="E1618" s="28" t="str">
        <ns0:f>IFERROR(MATCH(1614,'Banka Dökümü'!$I$2:$I$2001,0),"")</ns0:f>
        <ns0:v/>
      </ns0:c>
    </ns0:row>
    <ns0:row r="1619" ht="21" customHeight="1">
      <ns0:c r="A1619" s="32" t="str">
        <ns0:f>IF($E1619="","",INDEX('Banka Dökümü'!$A$2:$A$2001,$E1619))</ns0:f>
        <ns0:v/>
      </ns0:c>
      <ns0:c r="B1619" s="28" t="str">
        <ns0:f>IF($E1619="","",INDEX('Banka Dökümü'!$B$2:$B$2001,$E1619))</ns0:f>
        <ns0:v/>
      </ns0:c>
      <ns0:c r="C1619" s="33" t="str">
        <ns0:f>IF($E1619="","",INDEX('Banka Dökümü'!$C$2:$C$2001,$E1619))</ns0:f>
        <ns0:v/>
      </ns0:c>
      <ns0:c r="D1619" s="28" t="str">
        <ns0:f>IF(E1619="","","Müşteri adı / aranacak ad / il bilgisini kontrol edin")</ns0:f>
        <ns0:v/>
      </ns0:c>
      <ns0:c r="E1619" s="28" t="str">
        <ns0:f>IFERROR(MATCH(1615,'Banka Dökümü'!$I$2:$I$2001,0),"")</ns0:f>
        <ns0:v/>
      </ns0:c>
    </ns0:row>
    <ns0:row r="1620" ht="21" customHeight="1">
      <ns0:c r="A1620" s="32" t="str">
        <ns0:f>IF($E1620="","",INDEX('Banka Dökümü'!$A$2:$A$2001,$E1620))</ns0:f>
        <ns0:v/>
      </ns0:c>
      <ns0:c r="B1620" s="28" t="str">
        <ns0:f>IF($E1620="","",INDEX('Banka Dökümü'!$B$2:$B$2001,$E1620))</ns0:f>
        <ns0:v/>
      </ns0:c>
      <ns0:c r="C1620" s="33" t="str">
        <ns0:f>IF($E1620="","",INDEX('Banka Dökümü'!$C$2:$C$2001,$E1620))</ns0:f>
        <ns0:v/>
      </ns0:c>
      <ns0:c r="D1620" s="28" t="str">
        <ns0:f>IF(E1620="","","Müşteri adı / aranacak ad / il bilgisini kontrol edin")</ns0:f>
        <ns0:v/>
      </ns0:c>
      <ns0:c r="E1620" s="28" t="str">
        <ns0:f>IFERROR(MATCH(1616,'Banka Dökümü'!$I$2:$I$2001,0),"")</ns0:f>
        <ns0:v/>
      </ns0:c>
    </ns0:row>
    <ns0:row r="1621" ht="21" customHeight="1">
      <ns0:c r="A1621" s="32" t="str">
        <ns0:f>IF($E1621="","",INDEX('Banka Dökümü'!$A$2:$A$2001,$E1621))</ns0:f>
        <ns0:v/>
      </ns0:c>
      <ns0:c r="B1621" s="28" t="str">
        <ns0:f>IF($E1621="","",INDEX('Banka Dökümü'!$B$2:$B$2001,$E1621))</ns0:f>
        <ns0:v/>
      </ns0:c>
      <ns0:c r="C1621" s="33" t="str">
        <ns0:f>IF($E1621="","",INDEX('Banka Dökümü'!$C$2:$C$2001,$E1621))</ns0:f>
        <ns0:v/>
      </ns0:c>
      <ns0:c r="D1621" s="28" t="str">
        <ns0:f>IF(E1621="","","Müşteri adı / aranacak ad / il bilgisini kontrol edin")</ns0:f>
        <ns0:v/>
      </ns0:c>
      <ns0:c r="E1621" s="28" t="str">
        <ns0:f>IFERROR(MATCH(1617,'Banka Dökümü'!$I$2:$I$2001,0),"")</ns0:f>
        <ns0:v/>
      </ns0:c>
    </ns0:row>
    <ns0:row r="1622" ht="21" customHeight="1">
      <ns0:c r="A1622" s="32" t="str">
        <ns0:f>IF($E1622="","",INDEX('Banka Dökümü'!$A$2:$A$2001,$E1622))</ns0:f>
        <ns0:v/>
      </ns0:c>
      <ns0:c r="B1622" s="28" t="str">
        <ns0:f>IF($E1622="","",INDEX('Banka Dökümü'!$B$2:$B$2001,$E1622))</ns0:f>
        <ns0:v/>
      </ns0:c>
      <ns0:c r="C1622" s="33" t="str">
        <ns0:f>IF($E1622="","",INDEX('Banka Dökümü'!$C$2:$C$2001,$E1622))</ns0:f>
        <ns0:v/>
      </ns0:c>
      <ns0:c r="D1622" s="28" t="str">
        <ns0:f>IF(E1622="","","Müşteri adı / aranacak ad / il bilgisini kontrol edin")</ns0:f>
        <ns0:v/>
      </ns0:c>
      <ns0:c r="E1622" s="28" t="str">
        <ns0:f>IFERROR(MATCH(1618,'Banka Dökümü'!$I$2:$I$2001,0),"")</ns0:f>
        <ns0:v/>
      </ns0:c>
    </ns0:row>
    <ns0:row r="1623" ht="21" customHeight="1">
      <ns0:c r="A1623" s="32" t="str">
        <ns0:f>IF($E1623="","",INDEX('Banka Dökümü'!$A$2:$A$2001,$E1623))</ns0:f>
        <ns0:v/>
      </ns0:c>
      <ns0:c r="B1623" s="28" t="str">
        <ns0:f>IF($E1623="","",INDEX('Banka Dökümü'!$B$2:$B$2001,$E1623))</ns0:f>
        <ns0:v/>
      </ns0:c>
      <ns0:c r="C1623" s="33" t="str">
        <ns0:f>IF($E1623="","",INDEX('Banka Dökümü'!$C$2:$C$2001,$E1623))</ns0:f>
        <ns0:v/>
      </ns0:c>
      <ns0:c r="D1623" s="28" t="str">
        <ns0:f>IF(E1623="","","Müşteri adı / aranacak ad / il bilgisini kontrol edin")</ns0:f>
        <ns0:v/>
      </ns0:c>
      <ns0:c r="E1623" s="28" t="str">
        <ns0:f>IFERROR(MATCH(1619,'Banka Dökümü'!$I$2:$I$2001,0),"")</ns0:f>
        <ns0:v/>
      </ns0:c>
    </ns0:row>
    <ns0:row r="1624" ht="21" customHeight="1">
      <ns0:c r="A1624" s="32" t="str">
        <ns0:f>IF($E1624="","",INDEX('Banka Dökümü'!$A$2:$A$2001,$E1624))</ns0:f>
        <ns0:v/>
      </ns0:c>
      <ns0:c r="B1624" s="28" t="str">
        <ns0:f>IF($E1624="","",INDEX('Banka Dökümü'!$B$2:$B$2001,$E1624))</ns0:f>
        <ns0:v/>
      </ns0:c>
      <ns0:c r="C1624" s="33" t="str">
        <ns0:f>IF($E1624="","",INDEX('Banka Dökümü'!$C$2:$C$2001,$E1624))</ns0:f>
        <ns0:v/>
      </ns0:c>
      <ns0:c r="D1624" s="28" t="str">
        <ns0:f>IF(E1624="","","Müşteri adı / aranacak ad / il bilgisini kontrol edin")</ns0:f>
        <ns0:v/>
      </ns0:c>
      <ns0:c r="E1624" s="28" t="str">
        <ns0:f>IFERROR(MATCH(1620,'Banka Dökümü'!$I$2:$I$2001,0),"")</ns0:f>
        <ns0:v/>
      </ns0:c>
    </ns0:row>
    <ns0:row r="1625" ht="21" customHeight="1">
      <ns0:c r="A1625" s="32" t="str">
        <ns0:f>IF($E1625="","",INDEX('Banka Dökümü'!$A$2:$A$2001,$E1625))</ns0:f>
        <ns0:v/>
      </ns0:c>
      <ns0:c r="B1625" s="28" t="str">
        <ns0:f>IF($E1625="","",INDEX('Banka Dökümü'!$B$2:$B$2001,$E1625))</ns0:f>
        <ns0:v/>
      </ns0:c>
      <ns0:c r="C1625" s="33" t="str">
        <ns0:f>IF($E1625="","",INDEX('Banka Dökümü'!$C$2:$C$2001,$E1625))</ns0:f>
        <ns0:v/>
      </ns0:c>
      <ns0:c r="D1625" s="28" t="str">
        <ns0:f>IF(E1625="","","Müşteri adı / aranacak ad / il bilgisini kontrol edin")</ns0:f>
        <ns0:v/>
      </ns0:c>
      <ns0:c r="E1625" s="28" t="str">
        <ns0:f>IFERROR(MATCH(1621,'Banka Dökümü'!$I$2:$I$2001,0),"")</ns0:f>
        <ns0:v/>
      </ns0:c>
    </ns0:row>
    <ns0:row r="1626" ht="21" customHeight="1">
      <ns0:c r="A1626" s="32" t="str">
        <ns0:f>IF($E1626="","",INDEX('Banka Dökümü'!$A$2:$A$2001,$E1626))</ns0:f>
        <ns0:v/>
      </ns0:c>
      <ns0:c r="B1626" s="28" t="str">
        <ns0:f>IF($E1626="","",INDEX('Banka Dökümü'!$B$2:$B$2001,$E1626))</ns0:f>
        <ns0:v/>
      </ns0:c>
      <ns0:c r="C1626" s="33" t="str">
        <ns0:f>IF($E1626="","",INDEX('Banka Dökümü'!$C$2:$C$2001,$E1626))</ns0:f>
        <ns0:v/>
      </ns0:c>
      <ns0:c r="D1626" s="28" t="str">
        <ns0:f>IF(E1626="","","Müşteri adı / aranacak ad / il bilgisini kontrol edin")</ns0:f>
        <ns0:v/>
      </ns0:c>
      <ns0:c r="E1626" s="28" t="str">
        <ns0:f>IFERROR(MATCH(1622,'Banka Dökümü'!$I$2:$I$2001,0),"")</ns0:f>
        <ns0:v/>
      </ns0:c>
    </ns0:row>
    <ns0:row r="1627" ht="21" customHeight="1">
      <ns0:c r="A1627" s="32" t="str">
        <ns0:f>IF($E1627="","",INDEX('Banka Dökümü'!$A$2:$A$2001,$E1627))</ns0:f>
        <ns0:v/>
      </ns0:c>
      <ns0:c r="B1627" s="28" t="str">
        <ns0:f>IF($E1627="","",INDEX('Banka Dökümü'!$B$2:$B$2001,$E1627))</ns0:f>
        <ns0:v/>
      </ns0:c>
      <ns0:c r="C1627" s="33" t="str">
        <ns0:f>IF($E1627="","",INDEX('Banka Dökümü'!$C$2:$C$2001,$E1627))</ns0:f>
        <ns0:v/>
      </ns0:c>
      <ns0:c r="D1627" s="28" t="str">
        <ns0:f>IF(E1627="","","Müşteri adı / aranacak ad / il bilgisini kontrol edin")</ns0:f>
        <ns0:v/>
      </ns0:c>
      <ns0:c r="E1627" s="28" t="str">
        <ns0:f>IFERROR(MATCH(1623,'Banka Dökümü'!$I$2:$I$2001,0),"")</ns0:f>
        <ns0:v/>
      </ns0:c>
    </ns0:row>
    <ns0:row r="1628" ht="21" customHeight="1">
      <ns0:c r="A1628" s="32" t="str">
        <ns0:f>IF($E1628="","",INDEX('Banka Dökümü'!$A$2:$A$2001,$E1628))</ns0:f>
        <ns0:v/>
      </ns0:c>
      <ns0:c r="B1628" s="28" t="str">
        <ns0:f>IF($E1628="","",INDEX('Banka Dökümü'!$B$2:$B$2001,$E1628))</ns0:f>
        <ns0:v/>
      </ns0:c>
      <ns0:c r="C1628" s="33" t="str">
        <ns0:f>IF($E1628="","",INDEX('Banka Dökümü'!$C$2:$C$2001,$E1628))</ns0:f>
        <ns0:v/>
      </ns0:c>
      <ns0:c r="D1628" s="28" t="str">
        <ns0:f>IF(E1628="","","Müşteri adı / aranacak ad / il bilgisini kontrol edin")</ns0:f>
        <ns0:v/>
      </ns0:c>
      <ns0:c r="E1628" s="28" t="str">
        <ns0:f>IFERROR(MATCH(1624,'Banka Dökümü'!$I$2:$I$2001,0),"")</ns0:f>
        <ns0:v/>
      </ns0:c>
    </ns0:row>
    <ns0:row r="1629" ht="21" customHeight="1">
      <ns0:c r="A1629" s="32" t="str">
        <ns0:f>IF($E1629="","",INDEX('Banka Dökümü'!$A$2:$A$2001,$E1629))</ns0:f>
        <ns0:v/>
      </ns0:c>
      <ns0:c r="B1629" s="28" t="str">
        <ns0:f>IF($E1629="","",INDEX('Banka Dökümü'!$B$2:$B$2001,$E1629))</ns0:f>
        <ns0:v/>
      </ns0:c>
      <ns0:c r="C1629" s="33" t="str">
        <ns0:f>IF($E1629="","",INDEX('Banka Dökümü'!$C$2:$C$2001,$E1629))</ns0:f>
        <ns0:v/>
      </ns0:c>
      <ns0:c r="D1629" s="28" t="str">
        <ns0:f>IF(E1629="","","Müşteri adı / aranacak ad / il bilgisini kontrol edin")</ns0:f>
        <ns0:v/>
      </ns0:c>
      <ns0:c r="E1629" s="28" t="str">
        <ns0:f>IFERROR(MATCH(1625,'Banka Dökümü'!$I$2:$I$2001,0),"")</ns0:f>
        <ns0:v/>
      </ns0:c>
    </ns0:row>
    <ns0:row r="1630" ht="21" customHeight="1">
      <ns0:c r="A1630" s="32" t="str">
        <ns0:f>IF($E1630="","",INDEX('Banka Dökümü'!$A$2:$A$2001,$E1630))</ns0:f>
        <ns0:v/>
      </ns0:c>
      <ns0:c r="B1630" s="28" t="str">
        <ns0:f>IF($E1630="","",INDEX('Banka Dökümü'!$B$2:$B$2001,$E1630))</ns0:f>
        <ns0:v/>
      </ns0:c>
      <ns0:c r="C1630" s="33" t="str">
        <ns0:f>IF($E1630="","",INDEX('Banka Dökümü'!$C$2:$C$2001,$E1630))</ns0:f>
        <ns0:v/>
      </ns0:c>
      <ns0:c r="D1630" s="28" t="str">
        <ns0:f>IF(E1630="","","Müşteri adı / aranacak ad / il bilgisini kontrol edin")</ns0:f>
        <ns0:v/>
      </ns0:c>
      <ns0:c r="E1630" s="28" t="str">
        <ns0:f>IFERROR(MATCH(1626,'Banka Dökümü'!$I$2:$I$2001,0),"")</ns0:f>
        <ns0:v/>
      </ns0:c>
    </ns0:row>
    <ns0:row r="1631" ht="21" customHeight="1">
      <ns0:c r="A1631" s="32" t="str">
        <ns0:f>IF($E1631="","",INDEX('Banka Dökümü'!$A$2:$A$2001,$E1631))</ns0:f>
        <ns0:v/>
      </ns0:c>
      <ns0:c r="B1631" s="28" t="str">
        <ns0:f>IF($E1631="","",INDEX('Banka Dökümü'!$B$2:$B$2001,$E1631))</ns0:f>
        <ns0:v/>
      </ns0:c>
      <ns0:c r="C1631" s="33" t="str">
        <ns0:f>IF($E1631="","",INDEX('Banka Dökümü'!$C$2:$C$2001,$E1631))</ns0:f>
        <ns0:v/>
      </ns0:c>
      <ns0:c r="D1631" s="28" t="str">
        <ns0:f>IF(E1631="","","Müşteri adı / aranacak ad / il bilgisini kontrol edin")</ns0:f>
        <ns0:v/>
      </ns0:c>
      <ns0:c r="E1631" s="28" t="str">
        <ns0:f>IFERROR(MATCH(1627,'Banka Dökümü'!$I$2:$I$2001,0),"")</ns0:f>
        <ns0:v/>
      </ns0:c>
    </ns0:row>
    <ns0:row r="1632" ht="21" customHeight="1">
      <ns0:c r="A1632" s="32" t="str">
        <ns0:f>IF($E1632="","",INDEX('Banka Dökümü'!$A$2:$A$2001,$E1632))</ns0:f>
        <ns0:v/>
      </ns0:c>
      <ns0:c r="B1632" s="28" t="str">
        <ns0:f>IF($E1632="","",INDEX('Banka Dökümü'!$B$2:$B$2001,$E1632))</ns0:f>
        <ns0:v/>
      </ns0:c>
      <ns0:c r="C1632" s="33" t="str">
        <ns0:f>IF($E1632="","",INDEX('Banka Dökümü'!$C$2:$C$2001,$E1632))</ns0:f>
        <ns0:v/>
      </ns0:c>
      <ns0:c r="D1632" s="28" t="str">
        <ns0:f>IF(E1632="","","Müşteri adı / aranacak ad / il bilgisini kontrol edin")</ns0:f>
        <ns0:v/>
      </ns0:c>
      <ns0:c r="E1632" s="28" t="str">
        <ns0:f>IFERROR(MATCH(1628,'Banka Dökümü'!$I$2:$I$2001,0),"")</ns0:f>
        <ns0:v/>
      </ns0:c>
    </ns0:row>
    <ns0:row r="1633" ht="21" customHeight="1">
      <ns0:c r="A1633" s="32" t="str">
        <ns0:f>IF($E1633="","",INDEX('Banka Dökümü'!$A$2:$A$2001,$E1633))</ns0:f>
        <ns0:v/>
      </ns0:c>
      <ns0:c r="B1633" s="28" t="str">
        <ns0:f>IF($E1633="","",INDEX('Banka Dökümü'!$B$2:$B$2001,$E1633))</ns0:f>
        <ns0:v/>
      </ns0:c>
      <ns0:c r="C1633" s="33" t="str">
        <ns0:f>IF($E1633="","",INDEX('Banka Dökümü'!$C$2:$C$2001,$E1633))</ns0:f>
        <ns0:v/>
      </ns0:c>
      <ns0:c r="D1633" s="28" t="str">
        <ns0:f>IF(E1633="","","Müşteri adı / aranacak ad / il bilgisini kontrol edin")</ns0:f>
        <ns0:v/>
      </ns0:c>
      <ns0:c r="E1633" s="28" t="str">
        <ns0:f>IFERROR(MATCH(1629,'Banka Dökümü'!$I$2:$I$2001,0),"")</ns0:f>
        <ns0:v/>
      </ns0:c>
    </ns0:row>
    <ns0:row r="1634" ht="21" customHeight="1">
      <ns0:c r="A1634" s="32" t="str">
        <ns0:f>IF($E1634="","",INDEX('Banka Dökümü'!$A$2:$A$2001,$E1634))</ns0:f>
        <ns0:v/>
      </ns0:c>
      <ns0:c r="B1634" s="28" t="str">
        <ns0:f>IF($E1634="","",INDEX('Banka Dökümü'!$B$2:$B$2001,$E1634))</ns0:f>
        <ns0:v/>
      </ns0:c>
      <ns0:c r="C1634" s="33" t="str">
        <ns0:f>IF($E1634="","",INDEX('Banka Dökümü'!$C$2:$C$2001,$E1634))</ns0:f>
        <ns0:v/>
      </ns0:c>
      <ns0:c r="D1634" s="28" t="str">
        <ns0:f>IF(E1634="","","Müşteri adı / aranacak ad / il bilgisini kontrol edin")</ns0:f>
        <ns0:v/>
      </ns0:c>
      <ns0:c r="E1634" s="28" t="str">
        <ns0:f>IFERROR(MATCH(1630,'Banka Dökümü'!$I$2:$I$2001,0),"")</ns0:f>
        <ns0:v/>
      </ns0:c>
    </ns0:row>
    <ns0:row r="1635" ht="21" customHeight="1">
      <ns0:c r="A1635" s="32" t="str">
        <ns0:f>IF($E1635="","",INDEX('Banka Dökümü'!$A$2:$A$2001,$E1635))</ns0:f>
        <ns0:v/>
      </ns0:c>
      <ns0:c r="B1635" s="28" t="str">
        <ns0:f>IF($E1635="","",INDEX('Banka Dökümü'!$B$2:$B$2001,$E1635))</ns0:f>
        <ns0:v/>
      </ns0:c>
      <ns0:c r="C1635" s="33" t="str">
        <ns0:f>IF($E1635="","",INDEX('Banka Dökümü'!$C$2:$C$2001,$E1635))</ns0:f>
        <ns0:v/>
      </ns0:c>
      <ns0:c r="D1635" s="28" t="str">
        <ns0:f>IF(E1635="","","Müşteri adı / aranacak ad / il bilgisini kontrol edin")</ns0:f>
        <ns0:v/>
      </ns0:c>
      <ns0:c r="E1635" s="28" t="str">
        <ns0:f>IFERROR(MATCH(1631,'Banka Dökümü'!$I$2:$I$2001,0),"")</ns0:f>
        <ns0:v/>
      </ns0:c>
    </ns0:row>
    <ns0:row r="1636" ht="21" customHeight="1">
      <ns0:c r="A1636" s="32" t="str">
        <ns0:f>IF($E1636="","",INDEX('Banka Dökümü'!$A$2:$A$2001,$E1636))</ns0:f>
        <ns0:v/>
      </ns0:c>
      <ns0:c r="B1636" s="28" t="str">
        <ns0:f>IF($E1636="","",INDEX('Banka Dökümü'!$B$2:$B$2001,$E1636))</ns0:f>
        <ns0:v/>
      </ns0:c>
      <ns0:c r="C1636" s="33" t="str">
        <ns0:f>IF($E1636="","",INDEX('Banka Dökümü'!$C$2:$C$2001,$E1636))</ns0:f>
        <ns0:v/>
      </ns0:c>
      <ns0:c r="D1636" s="28" t="str">
        <ns0:f>IF(E1636="","","Müşteri adı / aranacak ad / il bilgisini kontrol edin")</ns0:f>
        <ns0:v/>
      </ns0:c>
      <ns0:c r="E1636" s="28" t="str">
        <ns0:f>IFERROR(MATCH(1632,'Banka Dökümü'!$I$2:$I$2001,0),"")</ns0:f>
        <ns0:v/>
      </ns0:c>
    </ns0:row>
    <ns0:row r="1637" ht="21" customHeight="1">
      <ns0:c r="A1637" s="32" t="str">
        <ns0:f>IF($E1637="","",INDEX('Banka Dökümü'!$A$2:$A$2001,$E1637))</ns0:f>
        <ns0:v/>
      </ns0:c>
      <ns0:c r="B1637" s="28" t="str">
        <ns0:f>IF($E1637="","",INDEX('Banka Dökümü'!$B$2:$B$2001,$E1637))</ns0:f>
        <ns0:v/>
      </ns0:c>
      <ns0:c r="C1637" s="33" t="str">
        <ns0:f>IF($E1637="","",INDEX('Banka Dökümü'!$C$2:$C$2001,$E1637))</ns0:f>
        <ns0:v/>
      </ns0:c>
      <ns0:c r="D1637" s="28" t="str">
        <ns0:f>IF(E1637="","","Müşteri adı / aranacak ad / il bilgisini kontrol edin")</ns0:f>
        <ns0:v/>
      </ns0:c>
      <ns0:c r="E1637" s="28" t="str">
        <ns0:f>IFERROR(MATCH(1633,'Banka Dökümü'!$I$2:$I$2001,0),"")</ns0:f>
        <ns0:v/>
      </ns0:c>
    </ns0:row>
    <ns0:row r="1638" ht="21" customHeight="1">
      <ns0:c r="A1638" s="32" t="str">
        <ns0:f>IF($E1638="","",INDEX('Banka Dökümü'!$A$2:$A$2001,$E1638))</ns0:f>
        <ns0:v/>
      </ns0:c>
      <ns0:c r="B1638" s="28" t="str">
        <ns0:f>IF($E1638="","",INDEX('Banka Dökümü'!$B$2:$B$2001,$E1638))</ns0:f>
        <ns0:v/>
      </ns0:c>
      <ns0:c r="C1638" s="33" t="str">
        <ns0:f>IF($E1638="","",INDEX('Banka Dökümü'!$C$2:$C$2001,$E1638))</ns0:f>
        <ns0:v/>
      </ns0:c>
      <ns0:c r="D1638" s="28" t="str">
        <ns0:f>IF(E1638="","","Müşteri adı / aranacak ad / il bilgisini kontrol edin")</ns0:f>
        <ns0:v/>
      </ns0:c>
      <ns0:c r="E1638" s="28" t="str">
        <ns0:f>IFERROR(MATCH(1634,'Banka Dökümü'!$I$2:$I$2001,0),"")</ns0:f>
        <ns0:v/>
      </ns0:c>
    </ns0:row>
    <ns0:row r="1639" ht="21" customHeight="1">
      <ns0:c r="A1639" s="32" t="str">
        <ns0:f>IF($E1639="","",INDEX('Banka Dökümü'!$A$2:$A$2001,$E1639))</ns0:f>
        <ns0:v/>
      </ns0:c>
      <ns0:c r="B1639" s="28" t="str">
        <ns0:f>IF($E1639="","",INDEX('Banka Dökümü'!$B$2:$B$2001,$E1639))</ns0:f>
        <ns0:v/>
      </ns0:c>
      <ns0:c r="C1639" s="33" t="str">
        <ns0:f>IF($E1639="","",INDEX('Banka Dökümü'!$C$2:$C$2001,$E1639))</ns0:f>
        <ns0:v/>
      </ns0:c>
      <ns0:c r="D1639" s="28" t="str">
        <ns0:f>IF(E1639="","","Müşteri adı / aranacak ad / il bilgisini kontrol edin")</ns0:f>
        <ns0:v/>
      </ns0:c>
      <ns0:c r="E1639" s="28" t="str">
        <ns0:f>IFERROR(MATCH(1635,'Banka Dökümü'!$I$2:$I$2001,0),"")</ns0:f>
        <ns0:v/>
      </ns0:c>
    </ns0:row>
    <ns0:row r="1640" ht="21" customHeight="1">
      <ns0:c r="A1640" s="32" t="str">
        <ns0:f>IF($E1640="","",INDEX('Banka Dökümü'!$A$2:$A$2001,$E1640))</ns0:f>
        <ns0:v/>
      </ns0:c>
      <ns0:c r="B1640" s="28" t="str">
        <ns0:f>IF($E1640="","",INDEX('Banka Dökümü'!$B$2:$B$2001,$E1640))</ns0:f>
        <ns0:v/>
      </ns0:c>
      <ns0:c r="C1640" s="33" t="str">
        <ns0:f>IF($E1640="","",INDEX('Banka Dökümü'!$C$2:$C$2001,$E1640))</ns0:f>
        <ns0:v/>
      </ns0:c>
      <ns0:c r="D1640" s="28" t="str">
        <ns0:f>IF(E1640="","","Müşteri adı / aranacak ad / il bilgisini kontrol edin")</ns0:f>
        <ns0:v/>
      </ns0:c>
      <ns0:c r="E1640" s="28" t="str">
        <ns0:f>IFERROR(MATCH(1636,'Banka Dökümü'!$I$2:$I$2001,0),"")</ns0:f>
        <ns0:v/>
      </ns0:c>
    </ns0:row>
    <ns0:row r="1641" ht="21" customHeight="1">
      <ns0:c r="A1641" s="32" t="str">
        <ns0:f>IF($E1641="","",INDEX('Banka Dökümü'!$A$2:$A$2001,$E1641))</ns0:f>
        <ns0:v/>
      </ns0:c>
      <ns0:c r="B1641" s="28" t="str">
        <ns0:f>IF($E1641="","",INDEX('Banka Dökümü'!$B$2:$B$2001,$E1641))</ns0:f>
        <ns0:v/>
      </ns0:c>
      <ns0:c r="C1641" s="33" t="str">
        <ns0:f>IF($E1641="","",INDEX('Banka Dökümü'!$C$2:$C$2001,$E1641))</ns0:f>
        <ns0:v/>
      </ns0:c>
      <ns0:c r="D1641" s="28" t="str">
        <ns0:f>IF(E1641="","","Müşteri adı / aranacak ad / il bilgisini kontrol edin")</ns0:f>
        <ns0:v/>
      </ns0:c>
      <ns0:c r="E1641" s="28" t="str">
        <ns0:f>IFERROR(MATCH(1637,'Banka Dökümü'!$I$2:$I$2001,0),"")</ns0:f>
        <ns0:v/>
      </ns0:c>
    </ns0:row>
    <ns0:row r="1642" ht="21" customHeight="1">
      <ns0:c r="A1642" s="32" t="str">
        <ns0:f>IF($E1642="","",INDEX('Banka Dökümü'!$A$2:$A$2001,$E1642))</ns0:f>
        <ns0:v/>
      </ns0:c>
      <ns0:c r="B1642" s="28" t="str">
        <ns0:f>IF($E1642="","",INDEX('Banka Dökümü'!$B$2:$B$2001,$E1642))</ns0:f>
        <ns0:v/>
      </ns0:c>
      <ns0:c r="C1642" s="33" t="str">
        <ns0:f>IF($E1642="","",INDEX('Banka Dökümü'!$C$2:$C$2001,$E1642))</ns0:f>
        <ns0:v/>
      </ns0:c>
      <ns0:c r="D1642" s="28" t="str">
        <ns0:f>IF(E1642="","","Müşteri adı / aranacak ad / il bilgisini kontrol edin")</ns0:f>
        <ns0:v/>
      </ns0:c>
      <ns0:c r="E1642" s="28" t="str">
        <ns0:f>IFERROR(MATCH(1638,'Banka Dökümü'!$I$2:$I$2001,0),"")</ns0:f>
        <ns0:v/>
      </ns0:c>
    </ns0:row>
    <ns0:row r="1643" ht="21" customHeight="1">
      <ns0:c r="A1643" s="32" t="str">
        <ns0:f>IF($E1643="","",INDEX('Banka Dökümü'!$A$2:$A$2001,$E1643))</ns0:f>
        <ns0:v/>
      </ns0:c>
      <ns0:c r="B1643" s="28" t="str">
        <ns0:f>IF($E1643="","",INDEX('Banka Dökümü'!$B$2:$B$2001,$E1643))</ns0:f>
        <ns0:v/>
      </ns0:c>
      <ns0:c r="C1643" s="33" t="str">
        <ns0:f>IF($E1643="","",INDEX('Banka Dökümü'!$C$2:$C$2001,$E1643))</ns0:f>
        <ns0:v/>
      </ns0:c>
      <ns0:c r="D1643" s="28" t="str">
        <ns0:f>IF(E1643="","","Müşteri adı / aranacak ad / il bilgisini kontrol edin")</ns0:f>
        <ns0:v/>
      </ns0:c>
      <ns0:c r="E1643" s="28" t="str">
        <ns0:f>IFERROR(MATCH(1639,'Banka Dökümü'!$I$2:$I$2001,0),"")</ns0:f>
        <ns0:v/>
      </ns0:c>
    </ns0:row>
    <ns0:row r="1644" ht="21" customHeight="1">
      <ns0:c r="A1644" s="32" t="str">
        <ns0:f>IF($E1644="","",INDEX('Banka Dökümü'!$A$2:$A$2001,$E1644))</ns0:f>
        <ns0:v/>
      </ns0:c>
      <ns0:c r="B1644" s="28" t="str">
        <ns0:f>IF($E1644="","",INDEX('Banka Dökümü'!$B$2:$B$2001,$E1644))</ns0:f>
        <ns0:v/>
      </ns0:c>
      <ns0:c r="C1644" s="33" t="str">
        <ns0:f>IF($E1644="","",INDEX('Banka Dökümü'!$C$2:$C$2001,$E1644))</ns0:f>
        <ns0:v/>
      </ns0:c>
      <ns0:c r="D1644" s="28" t="str">
        <ns0:f>IF(E1644="","","Müşteri adı / aranacak ad / il bilgisini kontrol edin")</ns0:f>
        <ns0:v/>
      </ns0:c>
      <ns0:c r="E1644" s="28" t="str">
        <ns0:f>IFERROR(MATCH(1640,'Banka Dökümü'!$I$2:$I$2001,0),"")</ns0:f>
        <ns0:v/>
      </ns0:c>
    </ns0:row>
    <ns0:row r="1645" ht="21" customHeight="1">
      <ns0:c r="A1645" s="32" t="str">
        <ns0:f>IF($E1645="","",INDEX('Banka Dökümü'!$A$2:$A$2001,$E1645))</ns0:f>
        <ns0:v/>
      </ns0:c>
      <ns0:c r="B1645" s="28" t="str">
        <ns0:f>IF($E1645="","",INDEX('Banka Dökümü'!$B$2:$B$2001,$E1645))</ns0:f>
        <ns0:v/>
      </ns0:c>
      <ns0:c r="C1645" s="33" t="str">
        <ns0:f>IF($E1645="","",INDEX('Banka Dökümü'!$C$2:$C$2001,$E1645))</ns0:f>
        <ns0:v/>
      </ns0:c>
      <ns0:c r="D1645" s="28" t="str">
        <ns0:f>IF(E1645="","","Müşteri adı / aranacak ad / il bilgisini kontrol edin")</ns0:f>
        <ns0:v/>
      </ns0:c>
      <ns0:c r="E1645" s="28" t="str">
        <ns0:f>IFERROR(MATCH(1641,'Banka Dökümü'!$I$2:$I$2001,0),"")</ns0:f>
        <ns0:v/>
      </ns0:c>
    </ns0:row>
    <ns0:row r="1646" ht="21" customHeight="1">
      <ns0:c r="A1646" s="32" t="str">
        <ns0:f>IF($E1646="","",INDEX('Banka Dökümü'!$A$2:$A$2001,$E1646))</ns0:f>
        <ns0:v/>
      </ns0:c>
      <ns0:c r="B1646" s="28" t="str">
        <ns0:f>IF($E1646="","",INDEX('Banka Dökümü'!$B$2:$B$2001,$E1646))</ns0:f>
        <ns0:v/>
      </ns0:c>
      <ns0:c r="C1646" s="33" t="str">
        <ns0:f>IF($E1646="","",INDEX('Banka Dökümü'!$C$2:$C$2001,$E1646))</ns0:f>
        <ns0:v/>
      </ns0:c>
      <ns0:c r="D1646" s="28" t="str">
        <ns0:f>IF(E1646="","","Müşteri adı / aranacak ad / il bilgisini kontrol edin")</ns0:f>
        <ns0:v/>
      </ns0:c>
      <ns0:c r="E1646" s="28" t="str">
        <ns0:f>IFERROR(MATCH(1642,'Banka Dökümü'!$I$2:$I$2001,0),"")</ns0:f>
        <ns0:v/>
      </ns0:c>
    </ns0:row>
    <ns0:row r="1647" ht="21" customHeight="1">
      <ns0:c r="A1647" s="32" t="str">
        <ns0:f>IF($E1647="","",INDEX('Banka Dökümü'!$A$2:$A$2001,$E1647))</ns0:f>
        <ns0:v/>
      </ns0:c>
      <ns0:c r="B1647" s="28" t="str">
        <ns0:f>IF($E1647="","",INDEX('Banka Dökümü'!$B$2:$B$2001,$E1647))</ns0:f>
        <ns0:v/>
      </ns0:c>
      <ns0:c r="C1647" s="33" t="str">
        <ns0:f>IF($E1647="","",INDEX('Banka Dökümü'!$C$2:$C$2001,$E1647))</ns0:f>
        <ns0:v/>
      </ns0:c>
      <ns0:c r="D1647" s="28" t="str">
        <ns0:f>IF(E1647="","","Müşteri adı / aranacak ad / il bilgisini kontrol edin")</ns0:f>
        <ns0:v/>
      </ns0:c>
      <ns0:c r="E1647" s="28" t="str">
        <ns0:f>IFERROR(MATCH(1643,'Banka Dökümü'!$I$2:$I$2001,0),"")</ns0:f>
        <ns0:v/>
      </ns0:c>
    </ns0:row>
    <ns0:row r="1648" ht="21" customHeight="1">
      <ns0:c r="A1648" s="32" t="str">
        <ns0:f>IF($E1648="","",INDEX('Banka Dökümü'!$A$2:$A$2001,$E1648))</ns0:f>
        <ns0:v/>
      </ns0:c>
      <ns0:c r="B1648" s="28" t="str">
        <ns0:f>IF($E1648="","",INDEX('Banka Dökümü'!$B$2:$B$2001,$E1648))</ns0:f>
        <ns0:v/>
      </ns0:c>
      <ns0:c r="C1648" s="33" t="str">
        <ns0:f>IF($E1648="","",INDEX('Banka Dökümü'!$C$2:$C$2001,$E1648))</ns0:f>
        <ns0:v/>
      </ns0:c>
      <ns0:c r="D1648" s="28" t="str">
        <ns0:f>IF(E1648="","","Müşteri adı / aranacak ad / il bilgisini kontrol edin")</ns0:f>
        <ns0:v/>
      </ns0:c>
      <ns0:c r="E1648" s="28" t="str">
        <ns0:f>IFERROR(MATCH(1644,'Banka Dökümü'!$I$2:$I$2001,0),"")</ns0:f>
        <ns0:v/>
      </ns0:c>
    </ns0:row>
    <ns0:row r="1649" ht="21" customHeight="1">
      <ns0:c r="A1649" s="32" t="str">
        <ns0:f>IF($E1649="","",INDEX('Banka Dökümü'!$A$2:$A$2001,$E1649))</ns0:f>
        <ns0:v/>
      </ns0:c>
      <ns0:c r="B1649" s="28" t="str">
        <ns0:f>IF($E1649="","",INDEX('Banka Dökümü'!$B$2:$B$2001,$E1649))</ns0:f>
        <ns0:v/>
      </ns0:c>
      <ns0:c r="C1649" s="33" t="str">
        <ns0:f>IF($E1649="","",INDEX('Banka Dökümü'!$C$2:$C$2001,$E1649))</ns0:f>
        <ns0:v/>
      </ns0:c>
      <ns0:c r="D1649" s="28" t="str">
        <ns0:f>IF(E1649="","","Müşteri adı / aranacak ad / il bilgisini kontrol edin")</ns0:f>
        <ns0:v/>
      </ns0:c>
      <ns0:c r="E1649" s="28" t="str">
        <ns0:f>IFERROR(MATCH(1645,'Banka Dökümü'!$I$2:$I$2001,0),"")</ns0:f>
        <ns0:v/>
      </ns0:c>
    </ns0:row>
    <ns0:row r="1650" ht="21" customHeight="1">
      <ns0:c r="A1650" s="32" t="str">
        <ns0:f>IF($E1650="","",INDEX('Banka Dökümü'!$A$2:$A$2001,$E1650))</ns0:f>
        <ns0:v/>
      </ns0:c>
      <ns0:c r="B1650" s="28" t="str">
        <ns0:f>IF($E1650="","",INDEX('Banka Dökümü'!$B$2:$B$2001,$E1650))</ns0:f>
        <ns0:v/>
      </ns0:c>
      <ns0:c r="C1650" s="33" t="str">
        <ns0:f>IF($E1650="","",INDEX('Banka Dökümü'!$C$2:$C$2001,$E1650))</ns0:f>
        <ns0:v/>
      </ns0:c>
      <ns0:c r="D1650" s="28" t="str">
        <ns0:f>IF(E1650="","","Müşteri adı / aranacak ad / il bilgisini kontrol edin")</ns0:f>
        <ns0:v/>
      </ns0:c>
      <ns0:c r="E1650" s="28" t="str">
        <ns0:f>IFERROR(MATCH(1646,'Banka Dökümü'!$I$2:$I$2001,0),"")</ns0:f>
        <ns0:v/>
      </ns0:c>
    </ns0:row>
    <ns0:row r="1651" ht="21" customHeight="1">
      <ns0:c r="A1651" s="32" t="str">
        <ns0:f>IF($E1651="","",INDEX('Banka Dökümü'!$A$2:$A$2001,$E1651))</ns0:f>
        <ns0:v/>
      </ns0:c>
      <ns0:c r="B1651" s="28" t="str">
        <ns0:f>IF($E1651="","",INDEX('Banka Dökümü'!$B$2:$B$2001,$E1651))</ns0:f>
        <ns0:v/>
      </ns0:c>
      <ns0:c r="C1651" s="33" t="str">
        <ns0:f>IF($E1651="","",INDEX('Banka Dökümü'!$C$2:$C$2001,$E1651))</ns0:f>
        <ns0:v/>
      </ns0:c>
      <ns0:c r="D1651" s="28" t="str">
        <ns0:f>IF(E1651="","","Müşteri adı / aranacak ad / il bilgisini kontrol edin")</ns0:f>
        <ns0:v/>
      </ns0:c>
      <ns0:c r="E1651" s="28" t="str">
        <ns0:f>IFERROR(MATCH(1647,'Banka Dökümü'!$I$2:$I$2001,0),"")</ns0:f>
        <ns0:v/>
      </ns0:c>
    </ns0:row>
    <ns0:row r="1652" ht="21" customHeight="1">
      <ns0:c r="A1652" s="32" t="str">
        <ns0:f>IF($E1652="","",INDEX('Banka Dökümü'!$A$2:$A$2001,$E1652))</ns0:f>
        <ns0:v/>
      </ns0:c>
      <ns0:c r="B1652" s="28" t="str">
        <ns0:f>IF($E1652="","",INDEX('Banka Dökümü'!$B$2:$B$2001,$E1652))</ns0:f>
        <ns0:v/>
      </ns0:c>
      <ns0:c r="C1652" s="33" t="str">
        <ns0:f>IF($E1652="","",INDEX('Banka Dökümü'!$C$2:$C$2001,$E1652))</ns0:f>
        <ns0:v/>
      </ns0:c>
      <ns0:c r="D1652" s="28" t="str">
        <ns0:f>IF(E1652="","","Müşteri adı / aranacak ad / il bilgisini kontrol edin")</ns0:f>
        <ns0:v/>
      </ns0:c>
      <ns0:c r="E1652" s="28" t="str">
        <ns0:f>IFERROR(MATCH(1648,'Banka Dökümü'!$I$2:$I$2001,0),"")</ns0:f>
        <ns0:v/>
      </ns0:c>
    </ns0:row>
    <ns0:row r="1653" ht="21" customHeight="1">
      <ns0:c r="A1653" s="32" t="str">
        <ns0:f>IF($E1653="","",INDEX('Banka Dökümü'!$A$2:$A$2001,$E1653))</ns0:f>
        <ns0:v/>
      </ns0:c>
      <ns0:c r="B1653" s="28" t="str">
        <ns0:f>IF($E1653="","",INDEX('Banka Dökümü'!$B$2:$B$2001,$E1653))</ns0:f>
        <ns0:v/>
      </ns0:c>
      <ns0:c r="C1653" s="33" t="str">
        <ns0:f>IF($E1653="","",INDEX('Banka Dökümü'!$C$2:$C$2001,$E1653))</ns0:f>
        <ns0:v/>
      </ns0:c>
      <ns0:c r="D1653" s="28" t="str">
        <ns0:f>IF(E1653="","","Müşteri adı / aranacak ad / il bilgisini kontrol edin")</ns0:f>
        <ns0:v/>
      </ns0:c>
      <ns0:c r="E1653" s="28" t="str">
        <ns0:f>IFERROR(MATCH(1649,'Banka Dökümü'!$I$2:$I$2001,0),"")</ns0:f>
        <ns0:v/>
      </ns0:c>
    </ns0:row>
    <ns0:row r="1654" ht="21" customHeight="1">
      <ns0:c r="A1654" s="32" t="str">
        <ns0:f>IF($E1654="","",INDEX('Banka Dökümü'!$A$2:$A$2001,$E1654))</ns0:f>
        <ns0:v/>
      </ns0:c>
      <ns0:c r="B1654" s="28" t="str">
        <ns0:f>IF($E1654="","",INDEX('Banka Dökümü'!$B$2:$B$2001,$E1654))</ns0:f>
        <ns0:v/>
      </ns0:c>
      <ns0:c r="C1654" s="33" t="str">
        <ns0:f>IF($E1654="","",INDEX('Banka Dökümü'!$C$2:$C$2001,$E1654))</ns0:f>
        <ns0:v/>
      </ns0:c>
      <ns0:c r="D1654" s="28" t="str">
        <ns0:f>IF(E1654="","","Müşteri adı / aranacak ad / il bilgisini kontrol edin")</ns0:f>
        <ns0:v/>
      </ns0:c>
      <ns0:c r="E1654" s="28" t="str">
        <ns0:f>IFERROR(MATCH(1650,'Banka Dökümü'!$I$2:$I$2001,0),"")</ns0:f>
        <ns0:v/>
      </ns0:c>
    </ns0:row>
    <ns0:row r="1655" ht="21" customHeight="1">
      <ns0:c r="A1655" s="32" t="str">
        <ns0:f>IF($E1655="","",INDEX('Banka Dökümü'!$A$2:$A$2001,$E1655))</ns0:f>
        <ns0:v/>
      </ns0:c>
      <ns0:c r="B1655" s="28" t="str">
        <ns0:f>IF($E1655="","",INDEX('Banka Dökümü'!$B$2:$B$2001,$E1655))</ns0:f>
        <ns0:v/>
      </ns0:c>
      <ns0:c r="C1655" s="33" t="str">
        <ns0:f>IF($E1655="","",INDEX('Banka Dökümü'!$C$2:$C$2001,$E1655))</ns0:f>
        <ns0:v/>
      </ns0:c>
      <ns0:c r="D1655" s="28" t="str">
        <ns0:f>IF(E1655="","","Müşteri adı / aranacak ad / il bilgisini kontrol edin")</ns0:f>
        <ns0:v/>
      </ns0:c>
      <ns0:c r="E1655" s="28" t="str">
        <ns0:f>IFERROR(MATCH(1651,'Banka Dökümü'!$I$2:$I$2001,0),"")</ns0:f>
        <ns0:v/>
      </ns0:c>
    </ns0:row>
    <ns0:row r="1656" ht="21" customHeight="1">
      <ns0:c r="A1656" s="32" t="str">
        <ns0:f>IF($E1656="","",INDEX('Banka Dökümü'!$A$2:$A$2001,$E1656))</ns0:f>
        <ns0:v/>
      </ns0:c>
      <ns0:c r="B1656" s="28" t="str">
        <ns0:f>IF($E1656="","",INDEX('Banka Dökümü'!$B$2:$B$2001,$E1656))</ns0:f>
        <ns0:v/>
      </ns0:c>
      <ns0:c r="C1656" s="33" t="str">
        <ns0:f>IF($E1656="","",INDEX('Banka Dökümü'!$C$2:$C$2001,$E1656))</ns0:f>
        <ns0:v/>
      </ns0:c>
      <ns0:c r="D1656" s="28" t="str">
        <ns0:f>IF(E1656="","","Müşteri adı / aranacak ad / il bilgisini kontrol edin")</ns0:f>
        <ns0:v/>
      </ns0:c>
      <ns0:c r="E1656" s="28" t="str">
        <ns0:f>IFERROR(MATCH(1652,'Banka Dökümü'!$I$2:$I$2001,0),"")</ns0:f>
        <ns0:v/>
      </ns0:c>
    </ns0:row>
    <ns0:row r="1657" ht="21" customHeight="1">
      <ns0:c r="A1657" s="32" t="str">
        <ns0:f>IF($E1657="","",INDEX('Banka Dökümü'!$A$2:$A$2001,$E1657))</ns0:f>
        <ns0:v/>
      </ns0:c>
      <ns0:c r="B1657" s="28" t="str">
        <ns0:f>IF($E1657="","",INDEX('Banka Dökümü'!$B$2:$B$2001,$E1657))</ns0:f>
        <ns0:v/>
      </ns0:c>
      <ns0:c r="C1657" s="33" t="str">
        <ns0:f>IF($E1657="","",INDEX('Banka Dökümü'!$C$2:$C$2001,$E1657))</ns0:f>
        <ns0:v/>
      </ns0:c>
      <ns0:c r="D1657" s="28" t="str">
        <ns0:f>IF(E1657="","","Müşteri adı / aranacak ad / il bilgisini kontrol edin")</ns0:f>
        <ns0:v/>
      </ns0:c>
      <ns0:c r="E1657" s="28" t="str">
        <ns0:f>IFERROR(MATCH(1653,'Banka Dökümü'!$I$2:$I$2001,0),"")</ns0:f>
        <ns0:v/>
      </ns0:c>
    </ns0:row>
    <ns0:row r="1658" ht="21" customHeight="1">
      <ns0:c r="A1658" s="32" t="str">
        <ns0:f>IF($E1658="","",INDEX('Banka Dökümü'!$A$2:$A$2001,$E1658))</ns0:f>
        <ns0:v/>
      </ns0:c>
      <ns0:c r="B1658" s="28" t="str">
        <ns0:f>IF($E1658="","",INDEX('Banka Dökümü'!$B$2:$B$2001,$E1658))</ns0:f>
        <ns0:v/>
      </ns0:c>
      <ns0:c r="C1658" s="33" t="str">
        <ns0:f>IF($E1658="","",INDEX('Banka Dökümü'!$C$2:$C$2001,$E1658))</ns0:f>
        <ns0:v/>
      </ns0:c>
      <ns0:c r="D1658" s="28" t="str">
        <ns0:f>IF(E1658="","","Müşteri adı / aranacak ad / il bilgisini kontrol edin")</ns0:f>
        <ns0:v/>
      </ns0:c>
      <ns0:c r="E1658" s="28" t="str">
        <ns0:f>IFERROR(MATCH(1654,'Banka Dökümü'!$I$2:$I$2001,0),"")</ns0:f>
        <ns0:v/>
      </ns0:c>
    </ns0:row>
    <ns0:row r="1659" ht="21" customHeight="1">
      <ns0:c r="A1659" s="32" t="str">
        <ns0:f>IF($E1659="","",INDEX('Banka Dökümü'!$A$2:$A$2001,$E1659))</ns0:f>
        <ns0:v/>
      </ns0:c>
      <ns0:c r="B1659" s="28" t="str">
        <ns0:f>IF($E1659="","",INDEX('Banka Dökümü'!$B$2:$B$2001,$E1659))</ns0:f>
        <ns0:v/>
      </ns0:c>
      <ns0:c r="C1659" s="33" t="str">
        <ns0:f>IF($E1659="","",INDEX('Banka Dökümü'!$C$2:$C$2001,$E1659))</ns0:f>
        <ns0:v/>
      </ns0:c>
      <ns0:c r="D1659" s="28" t="str">
        <ns0:f>IF(E1659="","","Müşteri adı / aranacak ad / il bilgisini kontrol edin")</ns0:f>
        <ns0:v/>
      </ns0:c>
      <ns0:c r="E1659" s="28" t="str">
        <ns0:f>IFERROR(MATCH(1655,'Banka Dökümü'!$I$2:$I$2001,0),"")</ns0:f>
        <ns0:v/>
      </ns0:c>
    </ns0:row>
    <ns0:row r="1660" ht="21" customHeight="1">
      <ns0:c r="A1660" s="32" t="str">
        <ns0:f>IF($E1660="","",INDEX('Banka Dökümü'!$A$2:$A$2001,$E1660))</ns0:f>
        <ns0:v/>
      </ns0:c>
      <ns0:c r="B1660" s="28" t="str">
        <ns0:f>IF($E1660="","",INDEX('Banka Dökümü'!$B$2:$B$2001,$E1660))</ns0:f>
        <ns0:v/>
      </ns0:c>
      <ns0:c r="C1660" s="33" t="str">
        <ns0:f>IF($E1660="","",INDEX('Banka Dökümü'!$C$2:$C$2001,$E1660))</ns0:f>
        <ns0:v/>
      </ns0:c>
      <ns0:c r="D1660" s="28" t="str">
        <ns0:f>IF(E1660="","","Müşteri adı / aranacak ad / il bilgisini kontrol edin")</ns0:f>
        <ns0:v/>
      </ns0:c>
      <ns0:c r="E1660" s="28" t="str">
        <ns0:f>IFERROR(MATCH(1656,'Banka Dökümü'!$I$2:$I$2001,0),"")</ns0:f>
        <ns0:v/>
      </ns0:c>
    </ns0:row>
    <ns0:row r="1661" ht="21" customHeight="1">
      <ns0:c r="A1661" s="32" t="str">
        <ns0:f>IF($E1661="","",INDEX('Banka Dökümü'!$A$2:$A$2001,$E1661))</ns0:f>
        <ns0:v/>
      </ns0:c>
      <ns0:c r="B1661" s="28" t="str">
        <ns0:f>IF($E1661="","",INDEX('Banka Dökümü'!$B$2:$B$2001,$E1661))</ns0:f>
        <ns0:v/>
      </ns0:c>
      <ns0:c r="C1661" s="33" t="str">
        <ns0:f>IF($E1661="","",INDEX('Banka Dökümü'!$C$2:$C$2001,$E1661))</ns0:f>
        <ns0:v/>
      </ns0:c>
      <ns0:c r="D1661" s="28" t="str">
        <ns0:f>IF(E1661="","","Müşteri adı / aranacak ad / il bilgisini kontrol edin")</ns0:f>
        <ns0:v/>
      </ns0:c>
      <ns0:c r="E1661" s="28" t="str">
        <ns0:f>IFERROR(MATCH(1657,'Banka Dökümü'!$I$2:$I$2001,0),"")</ns0:f>
        <ns0:v/>
      </ns0:c>
    </ns0:row>
    <ns0:row r="1662" ht="21" customHeight="1">
      <ns0:c r="A1662" s="32" t="str">
        <ns0:f>IF($E1662="","",INDEX('Banka Dökümü'!$A$2:$A$2001,$E1662))</ns0:f>
        <ns0:v/>
      </ns0:c>
      <ns0:c r="B1662" s="28" t="str">
        <ns0:f>IF($E1662="","",INDEX('Banka Dökümü'!$B$2:$B$2001,$E1662))</ns0:f>
        <ns0:v/>
      </ns0:c>
      <ns0:c r="C1662" s="33" t="str">
        <ns0:f>IF($E1662="","",INDEX('Banka Dökümü'!$C$2:$C$2001,$E1662))</ns0:f>
        <ns0:v/>
      </ns0:c>
      <ns0:c r="D1662" s="28" t="str">
        <ns0:f>IF(E1662="","","Müşteri adı / aranacak ad / il bilgisini kontrol edin")</ns0:f>
        <ns0:v/>
      </ns0:c>
      <ns0:c r="E1662" s="28" t="str">
        <ns0:f>IFERROR(MATCH(1658,'Banka Dökümü'!$I$2:$I$2001,0),"")</ns0:f>
        <ns0:v/>
      </ns0:c>
    </ns0:row>
    <ns0:row r="1663" ht="21" customHeight="1">
      <ns0:c r="A1663" s="32" t="str">
        <ns0:f>IF($E1663="","",INDEX('Banka Dökümü'!$A$2:$A$2001,$E1663))</ns0:f>
        <ns0:v/>
      </ns0:c>
      <ns0:c r="B1663" s="28" t="str">
        <ns0:f>IF($E1663="","",INDEX('Banka Dökümü'!$B$2:$B$2001,$E1663))</ns0:f>
        <ns0:v/>
      </ns0:c>
      <ns0:c r="C1663" s="33" t="str">
        <ns0:f>IF($E1663="","",INDEX('Banka Dökümü'!$C$2:$C$2001,$E1663))</ns0:f>
        <ns0:v/>
      </ns0:c>
      <ns0:c r="D1663" s="28" t="str">
        <ns0:f>IF(E1663="","","Müşteri adı / aranacak ad / il bilgisini kontrol edin")</ns0:f>
        <ns0:v/>
      </ns0:c>
      <ns0:c r="E1663" s="28" t="str">
        <ns0:f>IFERROR(MATCH(1659,'Banka Dökümü'!$I$2:$I$2001,0),"")</ns0:f>
        <ns0:v/>
      </ns0:c>
    </ns0:row>
    <ns0:row r="1664" ht="21" customHeight="1">
      <ns0:c r="A1664" s="32" t="str">
        <ns0:f>IF($E1664="","",INDEX('Banka Dökümü'!$A$2:$A$2001,$E1664))</ns0:f>
        <ns0:v/>
      </ns0:c>
      <ns0:c r="B1664" s="28" t="str">
        <ns0:f>IF($E1664="","",INDEX('Banka Dökümü'!$B$2:$B$2001,$E1664))</ns0:f>
        <ns0:v/>
      </ns0:c>
      <ns0:c r="C1664" s="33" t="str">
        <ns0:f>IF($E1664="","",INDEX('Banka Dökümü'!$C$2:$C$2001,$E1664))</ns0:f>
        <ns0:v/>
      </ns0:c>
      <ns0:c r="D1664" s="28" t="str">
        <ns0:f>IF(E1664="","","Müşteri adı / aranacak ad / il bilgisini kontrol edin")</ns0:f>
        <ns0:v/>
      </ns0:c>
      <ns0:c r="E1664" s="28" t="str">
        <ns0:f>IFERROR(MATCH(1660,'Banka Dökümü'!$I$2:$I$2001,0),"")</ns0:f>
        <ns0:v/>
      </ns0:c>
    </ns0:row>
    <ns0:row r="1665" ht="21" customHeight="1">
      <ns0:c r="A1665" s="32" t="str">
        <ns0:f>IF($E1665="","",INDEX('Banka Dökümü'!$A$2:$A$2001,$E1665))</ns0:f>
        <ns0:v/>
      </ns0:c>
      <ns0:c r="B1665" s="28" t="str">
        <ns0:f>IF($E1665="","",INDEX('Banka Dökümü'!$B$2:$B$2001,$E1665))</ns0:f>
        <ns0:v/>
      </ns0:c>
      <ns0:c r="C1665" s="33" t="str">
        <ns0:f>IF($E1665="","",INDEX('Banka Dökümü'!$C$2:$C$2001,$E1665))</ns0:f>
        <ns0:v/>
      </ns0:c>
      <ns0:c r="D1665" s="28" t="str">
        <ns0:f>IF(E1665="","","Müşteri adı / aranacak ad / il bilgisini kontrol edin")</ns0:f>
        <ns0:v/>
      </ns0:c>
      <ns0:c r="E1665" s="28" t="str">
        <ns0:f>IFERROR(MATCH(1661,'Banka Dökümü'!$I$2:$I$2001,0),"")</ns0:f>
        <ns0:v/>
      </ns0:c>
    </ns0:row>
    <ns0:row r="1666" ht="21" customHeight="1">
      <ns0:c r="A1666" s="32" t="str">
        <ns0:f>IF($E1666="","",INDEX('Banka Dökümü'!$A$2:$A$2001,$E1666))</ns0:f>
        <ns0:v/>
      </ns0:c>
      <ns0:c r="B1666" s="28" t="str">
        <ns0:f>IF($E1666="","",INDEX('Banka Dökümü'!$B$2:$B$2001,$E1666))</ns0:f>
        <ns0:v/>
      </ns0:c>
      <ns0:c r="C1666" s="33" t="str">
        <ns0:f>IF($E1666="","",INDEX('Banka Dökümü'!$C$2:$C$2001,$E1666))</ns0:f>
        <ns0:v/>
      </ns0:c>
      <ns0:c r="D1666" s="28" t="str">
        <ns0:f>IF(E1666="","","Müşteri adı / aranacak ad / il bilgisini kontrol edin")</ns0:f>
        <ns0:v/>
      </ns0:c>
      <ns0:c r="E1666" s="28" t="str">
        <ns0:f>IFERROR(MATCH(1662,'Banka Dökümü'!$I$2:$I$2001,0),"")</ns0:f>
        <ns0:v/>
      </ns0:c>
    </ns0:row>
    <ns0:row r="1667" ht="21" customHeight="1">
      <ns0:c r="A1667" s="32" t="str">
        <ns0:f>IF($E1667="","",INDEX('Banka Dökümü'!$A$2:$A$2001,$E1667))</ns0:f>
        <ns0:v/>
      </ns0:c>
      <ns0:c r="B1667" s="28" t="str">
        <ns0:f>IF($E1667="","",INDEX('Banka Dökümü'!$B$2:$B$2001,$E1667))</ns0:f>
        <ns0:v/>
      </ns0:c>
      <ns0:c r="C1667" s="33" t="str">
        <ns0:f>IF($E1667="","",INDEX('Banka Dökümü'!$C$2:$C$2001,$E1667))</ns0:f>
        <ns0:v/>
      </ns0:c>
      <ns0:c r="D1667" s="28" t="str">
        <ns0:f>IF(E1667="","","Müşteri adı / aranacak ad / il bilgisini kontrol edin")</ns0:f>
        <ns0:v/>
      </ns0:c>
      <ns0:c r="E1667" s="28" t="str">
        <ns0:f>IFERROR(MATCH(1663,'Banka Dökümü'!$I$2:$I$2001,0),"")</ns0:f>
        <ns0:v/>
      </ns0:c>
    </ns0:row>
    <ns0:row r="1668" ht="21" customHeight="1">
      <ns0:c r="A1668" s="32" t="str">
        <ns0:f>IF($E1668="","",INDEX('Banka Dökümü'!$A$2:$A$2001,$E1668))</ns0:f>
        <ns0:v/>
      </ns0:c>
      <ns0:c r="B1668" s="28" t="str">
        <ns0:f>IF($E1668="","",INDEX('Banka Dökümü'!$B$2:$B$2001,$E1668))</ns0:f>
        <ns0:v/>
      </ns0:c>
      <ns0:c r="C1668" s="33" t="str">
        <ns0:f>IF($E1668="","",INDEX('Banka Dökümü'!$C$2:$C$2001,$E1668))</ns0:f>
        <ns0:v/>
      </ns0:c>
      <ns0:c r="D1668" s="28" t="str">
        <ns0:f>IF(E1668="","","Müşteri adı / aranacak ad / il bilgisini kontrol edin")</ns0:f>
        <ns0:v/>
      </ns0:c>
      <ns0:c r="E1668" s="28" t="str">
        <ns0:f>IFERROR(MATCH(1664,'Banka Dökümü'!$I$2:$I$2001,0),"")</ns0:f>
        <ns0:v/>
      </ns0:c>
    </ns0:row>
    <ns0:row r="1669" ht="21" customHeight="1">
      <ns0:c r="A1669" s="32" t="str">
        <ns0:f>IF($E1669="","",INDEX('Banka Dökümü'!$A$2:$A$2001,$E1669))</ns0:f>
        <ns0:v/>
      </ns0:c>
      <ns0:c r="B1669" s="28" t="str">
        <ns0:f>IF($E1669="","",INDEX('Banka Dökümü'!$B$2:$B$2001,$E1669))</ns0:f>
        <ns0:v/>
      </ns0:c>
      <ns0:c r="C1669" s="33" t="str">
        <ns0:f>IF($E1669="","",INDEX('Banka Dökümü'!$C$2:$C$2001,$E1669))</ns0:f>
        <ns0:v/>
      </ns0:c>
      <ns0:c r="D1669" s="28" t="str">
        <ns0:f>IF(E1669="","","Müşteri adı / aranacak ad / il bilgisini kontrol edin")</ns0:f>
        <ns0:v/>
      </ns0:c>
      <ns0:c r="E1669" s="28" t="str">
        <ns0:f>IFERROR(MATCH(1665,'Banka Dökümü'!$I$2:$I$2001,0),"")</ns0:f>
        <ns0:v/>
      </ns0:c>
    </ns0:row>
    <ns0:row r="1670" ht="21" customHeight="1">
      <ns0:c r="A1670" s="32" t="str">
        <ns0:f>IF($E1670="","",INDEX('Banka Dökümü'!$A$2:$A$2001,$E1670))</ns0:f>
        <ns0:v/>
      </ns0:c>
      <ns0:c r="B1670" s="28" t="str">
        <ns0:f>IF($E1670="","",INDEX('Banka Dökümü'!$B$2:$B$2001,$E1670))</ns0:f>
        <ns0:v/>
      </ns0:c>
      <ns0:c r="C1670" s="33" t="str">
        <ns0:f>IF($E1670="","",INDEX('Banka Dökümü'!$C$2:$C$2001,$E1670))</ns0:f>
        <ns0:v/>
      </ns0:c>
      <ns0:c r="D1670" s="28" t="str">
        <ns0:f>IF(E1670="","","Müşteri adı / aranacak ad / il bilgisini kontrol edin")</ns0:f>
        <ns0:v/>
      </ns0:c>
      <ns0:c r="E1670" s="28" t="str">
        <ns0:f>IFERROR(MATCH(1666,'Banka Dökümü'!$I$2:$I$2001,0),"")</ns0:f>
        <ns0:v/>
      </ns0:c>
    </ns0:row>
    <ns0:row r="1671" ht="21" customHeight="1">
      <ns0:c r="A1671" s="32" t="str">
        <ns0:f>IF($E1671="","",INDEX('Banka Dökümü'!$A$2:$A$2001,$E1671))</ns0:f>
        <ns0:v/>
      </ns0:c>
      <ns0:c r="B1671" s="28" t="str">
        <ns0:f>IF($E1671="","",INDEX('Banka Dökümü'!$B$2:$B$2001,$E1671))</ns0:f>
        <ns0:v/>
      </ns0:c>
      <ns0:c r="C1671" s="33" t="str">
        <ns0:f>IF($E1671="","",INDEX('Banka Dökümü'!$C$2:$C$2001,$E1671))</ns0:f>
        <ns0:v/>
      </ns0:c>
      <ns0:c r="D1671" s="28" t="str">
        <ns0:f>IF(E1671="","","Müşteri adı / aranacak ad / il bilgisini kontrol edin")</ns0:f>
        <ns0:v/>
      </ns0:c>
      <ns0:c r="E1671" s="28" t="str">
        <ns0:f>IFERROR(MATCH(1667,'Banka Dökümü'!$I$2:$I$2001,0),"")</ns0:f>
        <ns0:v/>
      </ns0:c>
    </ns0:row>
    <ns0:row r="1672" ht="21" customHeight="1">
      <ns0:c r="A1672" s="32" t="str">
        <ns0:f>IF($E1672="","",INDEX('Banka Dökümü'!$A$2:$A$2001,$E1672))</ns0:f>
        <ns0:v/>
      </ns0:c>
      <ns0:c r="B1672" s="28" t="str">
        <ns0:f>IF($E1672="","",INDEX('Banka Dökümü'!$B$2:$B$2001,$E1672))</ns0:f>
        <ns0:v/>
      </ns0:c>
      <ns0:c r="C1672" s="33" t="str">
        <ns0:f>IF($E1672="","",INDEX('Banka Dökümü'!$C$2:$C$2001,$E1672))</ns0:f>
        <ns0:v/>
      </ns0:c>
      <ns0:c r="D1672" s="28" t="str">
        <ns0:f>IF(E1672="","","Müşteri adı / aranacak ad / il bilgisini kontrol edin")</ns0:f>
        <ns0:v/>
      </ns0:c>
      <ns0:c r="E1672" s="28" t="str">
        <ns0:f>IFERROR(MATCH(1668,'Banka Dökümü'!$I$2:$I$2001,0),"")</ns0:f>
        <ns0:v/>
      </ns0:c>
    </ns0:row>
    <ns0:row r="1673" ht="21" customHeight="1">
      <ns0:c r="A1673" s="32" t="str">
        <ns0:f>IF($E1673="","",INDEX('Banka Dökümü'!$A$2:$A$2001,$E1673))</ns0:f>
        <ns0:v/>
      </ns0:c>
      <ns0:c r="B1673" s="28" t="str">
        <ns0:f>IF($E1673="","",INDEX('Banka Dökümü'!$B$2:$B$2001,$E1673))</ns0:f>
        <ns0:v/>
      </ns0:c>
      <ns0:c r="C1673" s="33" t="str">
        <ns0:f>IF($E1673="","",INDEX('Banka Dökümü'!$C$2:$C$2001,$E1673))</ns0:f>
        <ns0:v/>
      </ns0:c>
      <ns0:c r="D1673" s="28" t="str">
        <ns0:f>IF(E1673="","","Müşteri adı / aranacak ad / il bilgisini kontrol edin")</ns0:f>
        <ns0:v/>
      </ns0:c>
      <ns0:c r="E1673" s="28" t="str">
        <ns0:f>IFERROR(MATCH(1669,'Banka Dökümü'!$I$2:$I$2001,0),"")</ns0:f>
        <ns0:v/>
      </ns0:c>
    </ns0:row>
    <ns0:row r="1674" ht="21" customHeight="1">
      <ns0:c r="A1674" s="32" t="str">
        <ns0:f>IF($E1674="","",INDEX('Banka Dökümü'!$A$2:$A$2001,$E1674))</ns0:f>
        <ns0:v/>
      </ns0:c>
      <ns0:c r="B1674" s="28" t="str">
        <ns0:f>IF($E1674="","",INDEX('Banka Dökümü'!$B$2:$B$2001,$E1674))</ns0:f>
        <ns0:v/>
      </ns0:c>
      <ns0:c r="C1674" s="33" t="str">
        <ns0:f>IF($E1674="","",INDEX('Banka Dökümü'!$C$2:$C$2001,$E1674))</ns0:f>
        <ns0:v/>
      </ns0:c>
      <ns0:c r="D1674" s="28" t="str">
        <ns0:f>IF(E1674="","","Müşteri adı / aranacak ad / il bilgisini kontrol edin")</ns0:f>
        <ns0:v/>
      </ns0:c>
      <ns0:c r="E1674" s="28" t="str">
        <ns0:f>IFERROR(MATCH(1670,'Banka Dökümü'!$I$2:$I$2001,0),"")</ns0:f>
        <ns0:v/>
      </ns0:c>
    </ns0:row>
    <ns0:row r="1675" ht="21" customHeight="1">
      <ns0:c r="A1675" s="32" t="str">
        <ns0:f>IF($E1675="","",INDEX('Banka Dökümü'!$A$2:$A$2001,$E1675))</ns0:f>
        <ns0:v/>
      </ns0:c>
      <ns0:c r="B1675" s="28" t="str">
        <ns0:f>IF($E1675="","",INDEX('Banka Dökümü'!$B$2:$B$2001,$E1675))</ns0:f>
        <ns0:v/>
      </ns0:c>
      <ns0:c r="C1675" s="33" t="str">
        <ns0:f>IF($E1675="","",INDEX('Banka Dökümü'!$C$2:$C$2001,$E1675))</ns0:f>
        <ns0:v/>
      </ns0:c>
      <ns0:c r="D1675" s="28" t="str">
        <ns0:f>IF(E1675="","","Müşteri adı / aranacak ad / il bilgisini kontrol edin")</ns0:f>
        <ns0:v/>
      </ns0:c>
      <ns0:c r="E1675" s="28" t="str">
        <ns0:f>IFERROR(MATCH(1671,'Banka Dökümü'!$I$2:$I$2001,0),"")</ns0:f>
        <ns0:v/>
      </ns0:c>
    </ns0:row>
    <ns0:row r="1676" ht="21" customHeight="1">
      <ns0:c r="A1676" s="32" t="str">
        <ns0:f>IF($E1676="","",INDEX('Banka Dökümü'!$A$2:$A$2001,$E1676))</ns0:f>
        <ns0:v/>
      </ns0:c>
      <ns0:c r="B1676" s="28" t="str">
        <ns0:f>IF($E1676="","",INDEX('Banka Dökümü'!$B$2:$B$2001,$E1676))</ns0:f>
        <ns0:v/>
      </ns0:c>
      <ns0:c r="C1676" s="33" t="str">
        <ns0:f>IF($E1676="","",INDEX('Banka Dökümü'!$C$2:$C$2001,$E1676))</ns0:f>
        <ns0:v/>
      </ns0:c>
      <ns0:c r="D1676" s="28" t="str">
        <ns0:f>IF(E1676="","","Müşteri adı / aranacak ad / il bilgisini kontrol edin")</ns0:f>
        <ns0:v/>
      </ns0:c>
      <ns0:c r="E1676" s="28" t="str">
        <ns0:f>IFERROR(MATCH(1672,'Banka Dökümü'!$I$2:$I$2001,0),"")</ns0:f>
        <ns0:v/>
      </ns0:c>
    </ns0:row>
    <ns0:row r="1677" ht="21" customHeight="1">
      <ns0:c r="A1677" s="32" t="str">
        <ns0:f>IF($E1677="","",INDEX('Banka Dökümü'!$A$2:$A$2001,$E1677))</ns0:f>
        <ns0:v/>
      </ns0:c>
      <ns0:c r="B1677" s="28" t="str">
        <ns0:f>IF($E1677="","",INDEX('Banka Dökümü'!$B$2:$B$2001,$E1677))</ns0:f>
        <ns0:v/>
      </ns0:c>
      <ns0:c r="C1677" s="33" t="str">
        <ns0:f>IF($E1677="","",INDEX('Banka Dökümü'!$C$2:$C$2001,$E1677))</ns0:f>
        <ns0:v/>
      </ns0:c>
      <ns0:c r="D1677" s="28" t="str">
        <ns0:f>IF(E1677="","","Müşteri adı / aranacak ad / il bilgisini kontrol edin")</ns0:f>
        <ns0:v/>
      </ns0:c>
      <ns0:c r="E1677" s="28" t="str">
        <ns0:f>IFERROR(MATCH(1673,'Banka Dökümü'!$I$2:$I$2001,0),"")</ns0:f>
        <ns0:v/>
      </ns0:c>
    </ns0:row>
    <ns0:row r="1678" ht="21" customHeight="1">
      <ns0:c r="A1678" s="32" t="str">
        <ns0:f>IF($E1678="","",INDEX('Banka Dökümü'!$A$2:$A$2001,$E1678))</ns0:f>
        <ns0:v/>
      </ns0:c>
      <ns0:c r="B1678" s="28" t="str">
        <ns0:f>IF($E1678="","",INDEX('Banka Dökümü'!$B$2:$B$2001,$E1678))</ns0:f>
        <ns0:v/>
      </ns0:c>
      <ns0:c r="C1678" s="33" t="str">
        <ns0:f>IF($E1678="","",INDEX('Banka Dökümü'!$C$2:$C$2001,$E1678))</ns0:f>
        <ns0:v/>
      </ns0:c>
      <ns0:c r="D1678" s="28" t="str">
        <ns0:f>IF(E1678="","","Müşteri adı / aranacak ad / il bilgisini kontrol edin")</ns0:f>
        <ns0:v/>
      </ns0:c>
      <ns0:c r="E1678" s="28" t="str">
        <ns0:f>IFERROR(MATCH(1674,'Banka Dökümü'!$I$2:$I$2001,0),"")</ns0:f>
        <ns0:v/>
      </ns0:c>
    </ns0:row>
    <ns0:row r="1679" ht="21" customHeight="1">
      <ns0:c r="A1679" s="32" t="str">
        <ns0:f>IF($E1679="","",INDEX('Banka Dökümü'!$A$2:$A$2001,$E1679))</ns0:f>
        <ns0:v/>
      </ns0:c>
      <ns0:c r="B1679" s="28" t="str">
        <ns0:f>IF($E1679="","",INDEX('Banka Dökümü'!$B$2:$B$2001,$E1679))</ns0:f>
        <ns0:v/>
      </ns0:c>
      <ns0:c r="C1679" s="33" t="str">
        <ns0:f>IF($E1679="","",INDEX('Banka Dökümü'!$C$2:$C$2001,$E1679))</ns0:f>
        <ns0:v/>
      </ns0:c>
      <ns0:c r="D1679" s="28" t="str">
        <ns0:f>IF(E1679="","","Müşteri adı / aranacak ad / il bilgisini kontrol edin")</ns0:f>
        <ns0:v/>
      </ns0:c>
      <ns0:c r="E1679" s="28" t="str">
        <ns0:f>IFERROR(MATCH(1675,'Banka Dökümü'!$I$2:$I$2001,0),"")</ns0:f>
        <ns0:v/>
      </ns0:c>
    </ns0:row>
    <ns0:row r="1680" ht="21" customHeight="1">
      <ns0:c r="A1680" s="32" t="str">
        <ns0:f>IF($E1680="","",INDEX('Banka Dökümü'!$A$2:$A$2001,$E1680))</ns0:f>
        <ns0:v/>
      </ns0:c>
      <ns0:c r="B1680" s="28" t="str">
        <ns0:f>IF($E1680="","",INDEX('Banka Dökümü'!$B$2:$B$2001,$E1680))</ns0:f>
        <ns0:v/>
      </ns0:c>
      <ns0:c r="C1680" s="33" t="str">
        <ns0:f>IF($E1680="","",INDEX('Banka Dökümü'!$C$2:$C$2001,$E1680))</ns0:f>
        <ns0:v/>
      </ns0:c>
      <ns0:c r="D1680" s="28" t="str">
        <ns0:f>IF(E1680="","","Müşteri adı / aranacak ad / il bilgisini kontrol edin")</ns0:f>
        <ns0:v/>
      </ns0:c>
      <ns0:c r="E1680" s="28" t="str">
        <ns0:f>IFERROR(MATCH(1676,'Banka Dökümü'!$I$2:$I$2001,0),"")</ns0:f>
        <ns0:v/>
      </ns0:c>
    </ns0:row>
    <ns0:row r="1681" ht="21" customHeight="1">
      <ns0:c r="A1681" s="32" t="str">
        <ns0:f>IF($E1681="","",INDEX('Banka Dökümü'!$A$2:$A$2001,$E1681))</ns0:f>
        <ns0:v/>
      </ns0:c>
      <ns0:c r="B1681" s="28" t="str">
        <ns0:f>IF($E1681="","",INDEX('Banka Dökümü'!$B$2:$B$2001,$E1681))</ns0:f>
        <ns0:v/>
      </ns0:c>
      <ns0:c r="C1681" s="33" t="str">
        <ns0:f>IF($E1681="","",INDEX('Banka Dökümü'!$C$2:$C$2001,$E1681))</ns0:f>
        <ns0:v/>
      </ns0:c>
      <ns0:c r="D1681" s="28" t="str">
        <ns0:f>IF(E1681="","","Müşteri adı / aranacak ad / il bilgisini kontrol edin")</ns0:f>
        <ns0:v/>
      </ns0:c>
      <ns0:c r="E1681" s="28" t="str">
        <ns0:f>IFERROR(MATCH(1677,'Banka Dökümü'!$I$2:$I$2001,0),"")</ns0:f>
        <ns0:v/>
      </ns0:c>
    </ns0:row>
    <ns0:row r="1682" ht="21" customHeight="1">
      <ns0:c r="A1682" s="32" t="str">
        <ns0:f>IF($E1682="","",INDEX('Banka Dökümü'!$A$2:$A$2001,$E1682))</ns0:f>
        <ns0:v/>
      </ns0:c>
      <ns0:c r="B1682" s="28" t="str">
        <ns0:f>IF($E1682="","",INDEX('Banka Dökümü'!$B$2:$B$2001,$E1682))</ns0:f>
        <ns0:v/>
      </ns0:c>
      <ns0:c r="C1682" s="33" t="str">
        <ns0:f>IF($E1682="","",INDEX('Banka Dökümü'!$C$2:$C$2001,$E1682))</ns0:f>
        <ns0:v/>
      </ns0:c>
      <ns0:c r="D1682" s="28" t="str">
        <ns0:f>IF(E1682="","","Müşteri adı / aranacak ad / il bilgisini kontrol edin")</ns0:f>
        <ns0:v/>
      </ns0:c>
      <ns0:c r="E1682" s="28" t="str">
        <ns0:f>IFERROR(MATCH(1678,'Banka Dökümü'!$I$2:$I$2001,0),"")</ns0:f>
        <ns0:v/>
      </ns0:c>
    </ns0:row>
    <ns0:row r="1683" ht="21" customHeight="1">
      <ns0:c r="A1683" s="32" t="str">
        <ns0:f>IF($E1683="","",INDEX('Banka Dökümü'!$A$2:$A$2001,$E1683))</ns0:f>
        <ns0:v/>
      </ns0:c>
      <ns0:c r="B1683" s="28" t="str">
        <ns0:f>IF($E1683="","",INDEX('Banka Dökümü'!$B$2:$B$2001,$E1683))</ns0:f>
        <ns0:v/>
      </ns0:c>
      <ns0:c r="C1683" s="33" t="str">
        <ns0:f>IF($E1683="","",INDEX('Banka Dökümü'!$C$2:$C$2001,$E1683))</ns0:f>
        <ns0:v/>
      </ns0:c>
      <ns0:c r="D1683" s="28" t="str">
        <ns0:f>IF(E1683="","","Müşteri adı / aranacak ad / il bilgisini kontrol edin")</ns0:f>
        <ns0:v/>
      </ns0:c>
      <ns0:c r="E1683" s="28" t="str">
        <ns0:f>IFERROR(MATCH(1679,'Banka Dökümü'!$I$2:$I$2001,0),"")</ns0:f>
        <ns0:v/>
      </ns0:c>
    </ns0:row>
    <ns0:row r="1684" ht="21" customHeight="1">
      <ns0:c r="A1684" s="32" t="str">
        <ns0:f>IF($E1684="","",INDEX('Banka Dökümü'!$A$2:$A$2001,$E1684))</ns0:f>
        <ns0:v/>
      </ns0:c>
      <ns0:c r="B1684" s="28" t="str">
        <ns0:f>IF($E1684="","",INDEX('Banka Dökümü'!$B$2:$B$2001,$E1684))</ns0:f>
        <ns0:v/>
      </ns0:c>
      <ns0:c r="C1684" s="33" t="str">
        <ns0:f>IF($E1684="","",INDEX('Banka Dökümü'!$C$2:$C$2001,$E1684))</ns0:f>
        <ns0:v/>
      </ns0:c>
      <ns0:c r="D1684" s="28" t="str">
        <ns0:f>IF(E1684="","","Müşteri adı / aranacak ad / il bilgisini kontrol edin")</ns0:f>
        <ns0:v/>
      </ns0:c>
      <ns0:c r="E1684" s="28" t="str">
        <ns0:f>IFERROR(MATCH(1680,'Banka Dökümü'!$I$2:$I$2001,0),"")</ns0:f>
        <ns0:v/>
      </ns0:c>
    </ns0:row>
    <ns0:row r="1685" ht="21" customHeight="1">
      <ns0:c r="A1685" s="32" t="str">
        <ns0:f>IF($E1685="","",INDEX('Banka Dökümü'!$A$2:$A$2001,$E1685))</ns0:f>
        <ns0:v/>
      </ns0:c>
      <ns0:c r="B1685" s="28" t="str">
        <ns0:f>IF($E1685="","",INDEX('Banka Dökümü'!$B$2:$B$2001,$E1685))</ns0:f>
        <ns0:v/>
      </ns0:c>
      <ns0:c r="C1685" s="33" t="str">
        <ns0:f>IF($E1685="","",INDEX('Banka Dökümü'!$C$2:$C$2001,$E1685))</ns0:f>
        <ns0:v/>
      </ns0:c>
      <ns0:c r="D1685" s="28" t="str">
        <ns0:f>IF(E1685="","","Müşteri adı / aranacak ad / il bilgisini kontrol edin")</ns0:f>
        <ns0:v/>
      </ns0:c>
      <ns0:c r="E1685" s="28" t="str">
        <ns0:f>IFERROR(MATCH(1681,'Banka Dökümü'!$I$2:$I$2001,0),"")</ns0:f>
        <ns0:v/>
      </ns0:c>
    </ns0:row>
    <ns0:row r="1686" ht="21" customHeight="1">
      <ns0:c r="A1686" s="32" t="str">
        <ns0:f>IF($E1686="","",INDEX('Banka Dökümü'!$A$2:$A$2001,$E1686))</ns0:f>
        <ns0:v/>
      </ns0:c>
      <ns0:c r="B1686" s="28" t="str">
        <ns0:f>IF($E1686="","",INDEX('Banka Dökümü'!$B$2:$B$2001,$E1686))</ns0:f>
        <ns0:v/>
      </ns0:c>
      <ns0:c r="C1686" s="33" t="str">
        <ns0:f>IF($E1686="","",INDEX('Banka Dökümü'!$C$2:$C$2001,$E1686))</ns0:f>
        <ns0:v/>
      </ns0:c>
      <ns0:c r="D1686" s="28" t="str">
        <ns0:f>IF(E1686="","","Müşteri adı / aranacak ad / il bilgisini kontrol edin")</ns0:f>
        <ns0:v/>
      </ns0:c>
      <ns0:c r="E1686" s="28" t="str">
        <ns0:f>IFERROR(MATCH(1682,'Banka Dökümü'!$I$2:$I$2001,0),"")</ns0:f>
        <ns0:v/>
      </ns0:c>
    </ns0:row>
    <ns0:row r="1687" ht="21" customHeight="1">
      <ns0:c r="A1687" s="32" t="str">
        <ns0:f>IF($E1687="","",INDEX('Banka Dökümü'!$A$2:$A$2001,$E1687))</ns0:f>
        <ns0:v/>
      </ns0:c>
      <ns0:c r="B1687" s="28" t="str">
        <ns0:f>IF($E1687="","",INDEX('Banka Dökümü'!$B$2:$B$2001,$E1687))</ns0:f>
        <ns0:v/>
      </ns0:c>
      <ns0:c r="C1687" s="33" t="str">
        <ns0:f>IF($E1687="","",INDEX('Banka Dökümü'!$C$2:$C$2001,$E1687))</ns0:f>
        <ns0:v/>
      </ns0:c>
      <ns0:c r="D1687" s="28" t="str">
        <ns0:f>IF(E1687="","","Müşteri adı / aranacak ad / il bilgisini kontrol edin")</ns0:f>
        <ns0:v/>
      </ns0:c>
      <ns0:c r="E1687" s="28" t="str">
        <ns0:f>IFERROR(MATCH(1683,'Banka Dökümü'!$I$2:$I$2001,0),"")</ns0:f>
        <ns0:v/>
      </ns0:c>
    </ns0:row>
    <ns0:row r="1688" ht="21" customHeight="1">
      <ns0:c r="A1688" s="32" t="str">
        <ns0:f>IF($E1688="","",INDEX('Banka Dökümü'!$A$2:$A$2001,$E1688))</ns0:f>
        <ns0:v/>
      </ns0:c>
      <ns0:c r="B1688" s="28" t="str">
        <ns0:f>IF($E1688="","",INDEX('Banka Dökümü'!$B$2:$B$2001,$E1688))</ns0:f>
        <ns0:v/>
      </ns0:c>
      <ns0:c r="C1688" s="33" t="str">
        <ns0:f>IF($E1688="","",INDEX('Banka Dökümü'!$C$2:$C$2001,$E1688))</ns0:f>
        <ns0:v/>
      </ns0:c>
      <ns0:c r="D1688" s="28" t="str">
        <ns0:f>IF(E1688="","","Müşteri adı / aranacak ad / il bilgisini kontrol edin")</ns0:f>
        <ns0:v/>
      </ns0:c>
      <ns0:c r="E1688" s="28" t="str">
        <ns0:f>IFERROR(MATCH(1684,'Banka Dökümü'!$I$2:$I$2001,0),"")</ns0:f>
        <ns0:v/>
      </ns0:c>
    </ns0:row>
    <ns0:row r="1689" ht="21" customHeight="1">
      <ns0:c r="A1689" s="32" t="str">
        <ns0:f>IF($E1689="","",INDEX('Banka Dökümü'!$A$2:$A$2001,$E1689))</ns0:f>
        <ns0:v/>
      </ns0:c>
      <ns0:c r="B1689" s="28" t="str">
        <ns0:f>IF($E1689="","",INDEX('Banka Dökümü'!$B$2:$B$2001,$E1689))</ns0:f>
        <ns0:v/>
      </ns0:c>
      <ns0:c r="C1689" s="33" t="str">
        <ns0:f>IF($E1689="","",INDEX('Banka Dökümü'!$C$2:$C$2001,$E1689))</ns0:f>
        <ns0:v/>
      </ns0:c>
      <ns0:c r="D1689" s="28" t="str">
        <ns0:f>IF(E1689="","","Müşteri adı / aranacak ad / il bilgisini kontrol edin")</ns0:f>
        <ns0:v/>
      </ns0:c>
      <ns0:c r="E1689" s="28" t="str">
        <ns0:f>IFERROR(MATCH(1685,'Banka Dökümü'!$I$2:$I$2001,0),"")</ns0:f>
        <ns0:v/>
      </ns0:c>
    </ns0:row>
    <ns0:row r="1690" ht="21" customHeight="1">
      <ns0:c r="A1690" s="32" t="str">
        <ns0:f>IF($E1690="","",INDEX('Banka Dökümü'!$A$2:$A$2001,$E1690))</ns0:f>
        <ns0:v/>
      </ns0:c>
      <ns0:c r="B1690" s="28" t="str">
        <ns0:f>IF($E1690="","",INDEX('Banka Dökümü'!$B$2:$B$2001,$E1690))</ns0:f>
        <ns0:v/>
      </ns0:c>
      <ns0:c r="C1690" s="33" t="str">
        <ns0:f>IF($E1690="","",INDEX('Banka Dökümü'!$C$2:$C$2001,$E1690))</ns0:f>
        <ns0:v/>
      </ns0:c>
      <ns0:c r="D1690" s="28" t="str">
        <ns0:f>IF(E1690="","","Müşteri adı / aranacak ad / il bilgisini kontrol edin")</ns0:f>
        <ns0:v/>
      </ns0:c>
      <ns0:c r="E1690" s="28" t="str">
        <ns0:f>IFERROR(MATCH(1686,'Banka Dökümü'!$I$2:$I$2001,0),"")</ns0:f>
        <ns0:v/>
      </ns0:c>
    </ns0:row>
    <ns0:row r="1691" ht="21" customHeight="1">
      <ns0:c r="A1691" s="32" t="str">
        <ns0:f>IF($E1691="","",INDEX('Banka Dökümü'!$A$2:$A$2001,$E1691))</ns0:f>
        <ns0:v/>
      </ns0:c>
      <ns0:c r="B1691" s="28" t="str">
        <ns0:f>IF($E1691="","",INDEX('Banka Dökümü'!$B$2:$B$2001,$E1691))</ns0:f>
        <ns0:v/>
      </ns0:c>
      <ns0:c r="C1691" s="33" t="str">
        <ns0:f>IF($E1691="","",INDEX('Banka Dökümü'!$C$2:$C$2001,$E1691))</ns0:f>
        <ns0:v/>
      </ns0:c>
      <ns0:c r="D1691" s="28" t="str">
        <ns0:f>IF(E1691="","","Müşteri adı / aranacak ad / il bilgisini kontrol edin")</ns0:f>
        <ns0:v/>
      </ns0:c>
      <ns0:c r="E1691" s="28" t="str">
        <ns0:f>IFERROR(MATCH(1687,'Banka Dökümü'!$I$2:$I$2001,0),"")</ns0:f>
        <ns0:v/>
      </ns0:c>
    </ns0:row>
    <ns0:row r="1692" ht="21" customHeight="1">
      <ns0:c r="A1692" s="32" t="str">
        <ns0:f>IF($E1692="","",INDEX('Banka Dökümü'!$A$2:$A$2001,$E1692))</ns0:f>
        <ns0:v/>
      </ns0:c>
      <ns0:c r="B1692" s="28" t="str">
        <ns0:f>IF($E1692="","",INDEX('Banka Dökümü'!$B$2:$B$2001,$E1692))</ns0:f>
        <ns0:v/>
      </ns0:c>
      <ns0:c r="C1692" s="33" t="str">
        <ns0:f>IF($E1692="","",INDEX('Banka Dökümü'!$C$2:$C$2001,$E1692))</ns0:f>
        <ns0:v/>
      </ns0:c>
      <ns0:c r="D1692" s="28" t="str">
        <ns0:f>IF(E1692="","","Müşteri adı / aranacak ad / il bilgisini kontrol edin")</ns0:f>
        <ns0:v/>
      </ns0:c>
      <ns0:c r="E1692" s="28" t="str">
        <ns0:f>IFERROR(MATCH(1688,'Banka Dökümü'!$I$2:$I$2001,0),"")</ns0:f>
        <ns0:v/>
      </ns0:c>
    </ns0:row>
    <ns0:row r="1693" ht="21" customHeight="1">
      <ns0:c r="A1693" s="32" t="str">
        <ns0:f>IF($E1693="","",INDEX('Banka Dökümü'!$A$2:$A$2001,$E1693))</ns0:f>
        <ns0:v/>
      </ns0:c>
      <ns0:c r="B1693" s="28" t="str">
        <ns0:f>IF($E1693="","",INDEX('Banka Dökümü'!$B$2:$B$2001,$E1693))</ns0:f>
        <ns0:v/>
      </ns0:c>
      <ns0:c r="C1693" s="33" t="str">
        <ns0:f>IF($E1693="","",INDEX('Banka Dökümü'!$C$2:$C$2001,$E1693))</ns0:f>
        <ns0:v/>
      </ns0:c>
      <ns0:c r="D1693" s="28" t="str">
        <ns0:f>IF(E1693="","","Müşteri adı / aranacak ad / il bilgisini kontrol edin")</ns0:f>
        <ns0:v/>
      </ns0:c>
      <ns0:c r="E1693" s="28" t="str">
        <ns0:f>IFERROR(MATCH(1689,'Banka Dökümü'!$I$2:$I$2001,0),"")</ns0:f>
        <ns0:v/>
      </ns0:c>
    </ns0:row>
    <ns0:row r="1694" ht="21" customHeight="1">
      <ns0:c r="A1694" s="32" t="str">
        <ns0:f>IF($E1694="","",INDEX('Banka Dökümü'!$A$2:$A$2001,$E1694))</ns0:f>
        <ns0:v/>
      </ns0:c>
      <ns0:c r="B1694" s="28" t="str">
        <ns0:f>IF($E1694="","",INDEX('Banka Dökümü'!$B$2:$B$2001,$E1694))</ns0:f>
        <ns0:v/>
      </ns0:c>
      <ns0:c r="C1694" s="33" t="str">
        <ns0:f>IF($E1694="","",INDEX('Banka Dökümü'!$C$2:$C$2001,$E1694))</ns0:f>
        <ns0:v/>
      </ns0:c>
      <ns0:c r="D1694" s="28" t="str">
        <ns0:f>IF(E1694="","","Müşteri adı / aranacak ad / il bilgisini kontrol edin")</ns0:f>
        <ns0:v/>
      </ns0:c>
      <ns0:c r="E1694" s="28" t="str">
        <ns0:f>IFERROR(MATCH(1690,'Banka Dökümü'!$I$2:$I$2001,0),"")</ns0:f>
        <ns0:v/>
      </ns0:c>
    </ns0:row>
    <ns0:row r="1695" ht="21" customHeight="1">
      <ns0:c r="A1695" s="32" t="str">
        <ns0:f>IF($E1695="","",INDEX('Banka Dökümü'!$A$2:$A$2001,$E1695))</ns0:f>
        <ns0:v/>
      </ns0:c>
      <ns0:c r="B1695" s="28" t="str">
        <ns0:f>IF($E1695="","",INDEX('Banka Dökümü'!$B$2:$B$2001,$E1695))</ns0:f>
        <ns0:v/>
      </ns0:c>
      <ns0:c r="C1695" s="33" t="str">
        <ns0:f>IF($E1695="","",INDEX('Banka Dökümü'!$C$2:$C$2001,$E1695))</ns0:f>
        <ns0:v/>
      </ns0:c>
      <ns0:c r="D1695" s="28" t="str">
        <ns0:f>IF(E1695="","","Müşteri adı / aranacak ad / il bilgisini kontrol edin")</ns0:f>
        <ns0:v/>
      </ns0:c>
      <ns0:c r="E1695" s="28" t="str">
        <ns0:f>IFERROR(MATCH(1691,'Banka Dökümü'!$I$2:$I$2001,0),"")</ns0:f>
        <ns0:v/>
      </ns0:c>
    </ns0:row>
    <ns0:row r="1696" ht="21" customHeight="1">
      <ns0:c r="A1696" s="32" t="str">
        <ns0:f>IF($E1696="","",INDEX('Banka Dökümü'!$A$2:$A$2001,$E1696))</ns0:f>
        <ns0:v/>
      </ns0:c>
      <ns0:c r="B1696" s="28" t="str">
        <ns0:f>IF($E1696="","",INDEX('Banka Dökümü'!$B$2:$B$2001,$E1696))</ns0:f>
        <ns0:v/>
      </ns0:c>
      <ns0:c r="C1696" s="33" t="str">
        <ns0:f>IF($E1696="","",INDEX('Banka Dökümü'!$C$2:$C$2001,$E1696))</ns0:f>
        <ns0:v/>
      </ns0:c>
      <ns0:c r="D1696" s="28" t="str">
        <ns0:f>IF(E1696="","","Müşteri adı / aranacak ad / il bilgisini kontrol edin")</ns0:f>
        <ns0:v/>
      </ns0:c>
      <ns0:c r="E1696" s="28" t="str">
        <ns0:f>IFERROR(MATCH(1692,'Banka Dökümü'!$I$2:$I$2001,0),"")</ns0:f>
        <ns0:v/>
      </ns0:c>
    </ns0:row>
    <ns0:row r="1697" ht="21" customHeight="1">
      <ns0:c r="A1697" s="32" t="str">
        <ns0:f>IF($E1697="","",INDEX('Banka Dökümü'!$A$2:$A$2001,$E1697))</ns0:f>
        <ns0:v/>
      </ns0:c>
      <ns0:c r="B1697" s="28" t="str">
        <ns0:f>IF($E1697="","",INDEX('Banka Dökümü'!$B$2:$B$2001,$E1697))</ns0:f>
        <ns0:v/>
      </ns0:c>
      <ns0:c r="C1697" s="33" t="str">
        <ns0:f>IF($E1697="","",INDEX('Banka Dökümü'!$C$2:$C$2001,$E1697))</ns0:f>
        <ns0:v/>
      </ns0:c>
      <ns0:c r="D1697" s="28" t="str">
        <ns0:f>IF(E1697="","","Müşteri adı / aranacak ad / il bilgisini kontrol edin")</ns0:f>
        <ns0:v/>
      </ns0:c>
      <ns0:c r="E1697" s="28" t="str">
        <ns0:f>IFERROR(MATCH(1693,'Banka Dökümü'!$I$2:$I$2001,0),"")</ns0:f>
        <ns0:v/>
      </ns0:c>
    </ns0:row>
    <ns0:row r="1698" ht="21" customHeight="1">
      <ns0:c r="A1698" s="32" t="str">
        <ns0:f>IF($E1698="","",INDEX('Banka Dökümü'!$A$2:$A$2001,$E1698))</ns0:f>
        <ns0:v/>
      </ns0:c>
      <ns0:c r="B1698" s="28" t="str">
        <ns0:f>IF($E1698="","",INDEX('Banka Dökümü'!$B$2:$B$2001,$E1698))</ns0:f>
        <ns0:v/>
      </ns0:c>
      <ns0:c r="C1698" s="33" t="str">
        <ns0:f>IF($E1698="","",INDEX('Banka Dökümü'!$C$2:$C$2001,$E1698))</ns0:f>
        <ns0:v/>
      </ns0:c>
      <ns0:c r="D1698" s="28" t="str">
        <ns0:f>IF(E1698="","","Müşteri adı / aranacak ad / il bilgisini kontrol edin")</ns0:f>
        <ns0:v/>
      </ns0:c>
      <ns0:c r="E1698" s="28" t="str">
        <ns0:f>IFERROR(MATCH(1694,'Banka Dökümü'!$I$2:$I$2001,0),"")</ns0:f>
        <ns0:v/>
      </ns0:c>
    </ns0:row>
    <ns0:row r="1699" ht="21" customHeight="1">
      <ns0:c r="A1699" s="32" t="str">
        <ns0:f>IF($E1699="","",INDEX('Banka Dökümü'!$A$2:$A$2001,$E1699))</ns0:f>
        <ns0:v/>
      </ns0:c>
      <ns0:c r="B1699" s="28" t="str">
        <ns0:f>IF($E1699="","",INDEX('Banka Dökümü'!$B$2:$B$2001,$E1699))</ns0:f>
        <ns0:v/>
      </ns0:c>
      <ns0:c r="C1699" s="33" t="str">
        <ns0:f>IF($E1699="","",INDEX('Banka Dökümü'!$C$2:$C$2001,$E1699))</ns0:f>
        <ns0:v/>
      </ns0:c>
      <ns0:c r="D1699" s="28" t="str">
        <ns0:f>IF(E1699="","","Müşteri adı / aranacak ad / il bilgisini kontrol edin")</ns0:f>
        <ns0:v/>
      </ns0:c>
      <ns0:c r="E1699" s="28" t="str">
        <ns0:f>IFERROR(MATCH(1695,'Banka Dökümü'!$I$2:$I$2001,0),"")</ns0:f>
        <ns0:v/>
      </ns0:c>
    </ns0:row>
    <ns0:row r="1700" ht="21" customHeight="1">
      <ns0:c r="A1700" s="32" t="str">
        <ns0:f>IF($E1700="","",INDEX('Banka Dökümü'!$A$2:$A$2001,$E1700))</ns0:f>
        <ns0:v/>
      </ns0:c>
      <ns0:c r="B1700" s="28" t="str">
        <ns0:f>IF($E1700="","",INDEX('Banka Dökümü'!$B$2:$B$2001,$E1700))</ns0:f>
        <ns0:v/>
      </ns0:c>
      <ns0:c r="C1700" s="33" t="str">
        <ns0:f>IF($E1700="","",INDEX('Banka Dökümü'!$C$2:$C$2001,$E1700))</ns0:f>
        <ns0:v/>
      </ns0:c>
      <ns0:c r="D1700" s="28" t="str">
        <ns0:f>IF(E1700="","","Müşteri adı / aranacak ad / il bilgisini kontrol edin")</ns0:f>
        <ns0:v/>
      </ns0:c>
      <ns0:c r="E1700" s="28" t="str">
        <ns0:f>IFERROR(MATCH(1696,'Banka Dökümü'!$I$2:$I$2001,0),"")</ns0:f>
        <ns0:v/>
      </ns0:c>
    </ns0:row>
    <ns0:row r="1701" ht="21" customHeight="1">
      <ns0:c r="A1701" s="32" t="str">
        <ns0:f>IF($E1701="","",INDEX('Banka Dökümü'!$A$2:$A$2001,$E1701))</ns0:f>
        <ns0:v/>
      </ns0:c>
      <ns0:c r="B1701" s="28" t="str">
        <ns0:f>IF($E1701="","",INDEX('Banka Dökümü'!$B$2:$B$2001,$E1701))</ns0:f>
        <ns0:v/>
      </ns0:c>
      <ns0:c r="C1701" s="33" t="str">
        <ns0:f>IF($E1701="","",INDEX('Banka Dökümü'!$C$2:$C$2001,$E1701))</ns0:f>
        <ns0:v/>
      </ns0:c>
      <ns0:c r="D1701" s="28" t="str">
        <ns0:f>IF(E1701="","","Müşteri adı / aranacak ad / il bilgisini kontrol edin")</ns0:f>
        <ns0:v/>
      </ns0:c>
      <ns0:c r="E1701" s="28" t="str">
        <ns0:f>IFERROR(MATCH(1697,'Banka Dökümü'!$I$2:$I$2001,0),"")</ns0:f>
        <ns0:v/>
      </ns0:c>
    </ns0:row>
    <ns0:row r="1702" ht="21" customHeight="1">
      <ns0:c r="A1702" s="32" t="str">
        <ns0:f>IF($E1702="","",INDEX('Banka Dökümü'!$A$2:$A$2001,$E1702))</ns0:f>
        <ns0:v/>
      </ns0:c>
      <ns0:c r="B1702" s="28" t="str">
        <ns0:f>IF($E1702="","",INDEX('Banka Dökümü'!$B$2:$B$2001,$E1702))</ns0:f>
        <ns0:v/>
      </ns0:c>
      <ns0:c r="C1702" s="33" t="str">
        <ns0:f>IF($E1702="","",INDEX('Banka Dökümü'!$C$2:$C$2001,$E1702))</ns0:f>
        <ns0:v/>
      </ns0:c>
      <ns0:c r="D1702" s="28" t="str">
        <ns0:f>IF(E1702="","","Müşteri adı / aranacak ad / il bilgisini kontrol edin")</ns0:f>
        <ns0:v/>
      </ns0:c>
      <ns0:c r="E1702" s="28" t="str">
        <ns0:f>IFERROR(MATCH(1698,'Banka Dökümü'!$I$2:$I$2001,0),"")</ns0:f>
        <ns0:v/>
      </ns0:c>
    </ns0:row>
    <ns0:row r="1703" ht="21" customHeight="1">
      <ns0:c r="A1703" s="32" t="str">
        <ns0:f>IF($E1703="","",INDEX('Banka Dökümü'!$A$2:$A$2001,$E1703))</ns0:f>
        <ns0:v/>
      </ns0:c>
      <ns0:c r="B1703" s="28" t="str">
        <ns0:f>IF($E1703="","",INDEX('Banka Dökümü'!$B$2:$B$2001,$E1703))</ns0:f>
        <ns0:v/>
      </ns0:c>
      <ns0:c r="C1703" s="33" t="str">
        <ns0:f>IF($E1703="","",INDEX('Banka Dökümü'!$C$2:$C$2001,$E1703))</ns0:f>
        <ns0:v/>
      </ns0:c>
      <ns0:c r="D1703" s="28" t="str">
        <ns0:f>IF(E1703="","","Müşteri adı / aranacak ad / il bilgisini kontrol edin")</ns0:f>
        <ns0:v/>
      </ns0:c>
      <ns0:c r="E1703" s="28" t="str">
        <ns0:f>IFERROR(MATCH(1699,'Banka Dökümü'!$I$2:$I$2001,0),"")</ns0:f>
        <ns0:v/>
      </ns0:c>
    </ns0:row>
    <ns0:row r="1704" ht="21" customHeight="1">
      <ns0:c r="A1704" s="32" t="str">
        <ns0:f>IF($E1704="","",INDEX('Banka Dökümü'!$A$2:$A$2001,$E1704))</ns0:f>
        <ns0:v/>
      </ns0:c>
      <ns0:c r="B1704" s="28" t="str">
        <ns0:f>IF($E1704="","",INDEX('Banka Dökümü'!$B$2:$B$2001,$E1704))</ns0:f>
        <ns0:v/>
      </ns0:c>
      <ns0:c r="C1704" s="33" t="str">
        <ns0:f>IF($E1704="","",INDEX('Banka Dökümü'!$C$2:$C$2001,$E1704))</ns0:f>
        <ns0:v/>
      </ns0:c>
      <ns0:c r="D1704" s="28" t="str">
        <ns0:f>IF(E1704="","","Müşteri adı / aranacak ad / il bilgisini kontrol edin")</ns0:f>
        <ns0:v/>
      </ns0:c>
      <ns0:c r="E1704" s="28" t="str">
        <ns0:f>IFERROR(MATCH(1700,'Banka Dökümü'!$I$2:$I$2001,0),"")</ns0:f>
        <ns0:v/>
      </ns0:c>
    </ns0:row>
    <ns0:row r="1705" ht="21" customHeight="1">
      <ns0:c r="A1705" s="32" t="str">
        <ns0:f>IF($E1705="","",INDEX('Banka Dökümü'!$A$2:$A$2001,$E1705))</ns0:f>
        <ns0:v/>
      </ns0:c>
      <ns0:c r="B1705" s="28" t="str">
        <ns0:f>IF($E1705="","",INDEX('Banka Dökümü'!$B$2:$B$2001,$E1705))</ns0:f>
        <ns0:v/>
      </ns0:c>
      <ns0:c r="C1705" s="33" t="str">
        <ns0:f>IF($E1705="","",INDEX('Banka Dökümü'!$C$2:$C$2001,$E1705))</ns0:f>
        <ns0:v/>
      </ns0:c>
      <ns0:c r="D1705" s="28" t="str">
        <ns0:f>IF(E1705="","","Müşteri adı / aranacak ad / il bilgisini kontrol edin")</ns0:f>
        <ns0:v/>
      </ns0:c>
      <ns0:c r="E1705" s="28" t="str">
        <ns0:f>IFERROR(MATCH(1701,'Banka Dökümü'!$I$2:$I$2001,0),"")</ns0:f>
        <ns0:v/>
      </ns0:c>
    </ns0:row>
    <ns0:row r="1706" ht="21" customHeight="1">
      <ns0:c r="A1706" s="32" t="str">
        <ns0:f>IF($E1706="","",INDEX('Banka Dökümü'!$A$2:$A$2001,$E1706))</ns0:f>
        <ns0:v/>
      </ns0:c>
      <ns0:c r="B1706" s="28" t="str">
        <ns0:f>IF($E1706="","",INDEX('Banka Dökümü'!$B$2:$B$2001,$E1706))</ns0:f>
        <ns0:v/>
      </ns0:c>
      <ns0:c r="C1706" s="33" t="str">
        <ns0:f>IF($E1706="","",INDEX('Banka Dökümü'!$C$2:$C$2001,$E1706))</ns0:f>
        <ns0:v/>
      </ns0:c>
      <ns0:c r="D1706" s="28" t="str">
        <ns0:f>IF(E1706="","","Müşteri adı / aranacak ad / il bilgisini kontrol edin")</ns0:f>
        <ns0:v/>
      </ns0:c>
      <ns0:c r="E1706" s="28" t="str">
        <ns0:f>IFERROR(MATCH(1702,'Banka Dökümü'!$I$2:$I$2001,0),"")</ns0:f>
        <ns0:v/>
      </ns0:c>
    </ns0:row>
    <ns0:row r="1707" ht="21" customHeight="1">
      <ns0:c r="A1707" s="32" t="str">
        <ns0:f>IF($E1707="","",INDEX('Banka Dökümü'!$A$2:$A$2001,$E1707))</ns0:f>
        <ns0:v/>
      </ns0:c>
      <ns0:c r="B1707" s="28" t="str">
        <ns0:f>IF($E1707="","",INDEX('Banka Dökümü'!$B$2:$B$2001,$E1707))</ns0:f>
        <ns0:v/>
      </ns0:c>
      <ns0:c r="C1707" s="33" t="str">
        <ns0:f>IF($E1707="","",INDEX('Banka Dökümü'!$C$2:$C$2001,$E1707))</ns0:f>
        <ns0:v/>
      </ns0:c>
      <ns0:c r="D1707" s="28" t="str">
        <ns0:f>IF(E1707="","","Müşteri adı / aranacak ad / il bilgisini kontrol edin")</ns0:f>
        <ns0:v/>
      </ns0:c>
      <ns0:c r="E1707" s="28" t="str">
        <ns0:f>IFERROR(MATCH(1703,'Banka Dökümü'!$I$2:$I$2001,0),"")</ns0:f>
        <ns0:v/>
      </ns0:c>
    </ns0:row>
    <ns0:row r="1708" ht="21" customHeight="1">
      <ns0:c r="A1708" s="32" t="str">
        <ns0:f>IF($E1708="","",INDEX('Banka Dökümü'!$A$2:$A$2001,$E1708))</ns0:f>
        <ns0:v/>
      </ns0:c>
      <ns0:c r="B1708" s="28" t="str">
        <ns0:f>IF($E1708="","",INDEX('Banka Dökümü'!$B$2:$B$2001,$E1708))</ns0:f>
        <ns0:v/>
      </ns0:c>
      <ns0:c r="C1708" s="33" t="str">
        <ns0:f>IF($E1708="","",INDEX('Banka Dökümü'!$C$2:$C$2001,$E1708))</ns0:f>
        <ns0:v/>
      </ns0:c>
      <ns0:c r="D1708" s="28" t="str">
        <ns0:f>IF(E1708="","","Müşteri adı / aranacak ad / il bilgisini kontrol edin")</ns0:f>
        <ns0:v/>
      </ns0:c>
      <ns0:c r="E1708" s="28" t="str">
        <ns0:f>IFERROR(MATCH(1704,'Banka Dökümü'!$I$2:$I$2001,0),"")</ns0:f>
        <ns0:v/>
      </ns0:c>
    </ns0:row>
    <ns0:row r="1709" ht="21" customHeight="1">
      <ns0:c r="A1709" s="32" t="str">
        <ns0:f>IF($E1709="","",INDEX('Banka Dökümü'!$A$2:$A$2001,$E1709))</ns0:f>
        <ns0:v/>
      </ns0:c>
      <ns0:c r="B1709" s="28" t="str">
        <ns0:f>IF($E1709="","",INDEX('Banka Dökümü'!$B$2:$B$2001,$E1709))</ns0:f>
        <ns0:v/>
      </ns0:c>
      <ns0:c r="C1709" s="33" t="str">
        <ns0:f>IF($E1709="","",INDEX('Banka Dökümü'!$C$2:$C$2001,$E1709))</ns0:f>
        <ns0:v/>
      </ns0:c>
      <ns0:c r="D1709" s="28" t="str">
        <ns0:f>IF(E1709="","","Müşteri adı / aranacak ad / il bilgisini kontrol edin")</ns0:f>
        <ns0:v/>
      </ns0:c>
      <ns0:c r="E1709" s="28" t="str">
        <ns0:f>IFERROR(MATCH(1705,'Banka Dökümü'!$I$2:$I$2001,0),"")</ns0:f>
        <ns0:v/>
      </ns0:c>
    </ns0:row>
    <ns0:row r="1710" ht="21" customHeight="1">
      <ns0:c r="A1710" s="32" t="str">
        <ns0:f>IF($E1710="","",INDEX('Banka Dökümü'!$A$2:$A$2001,$E1710))</ns0:f>
        <ns0:v/>
      </ns0:c>
      <ns0:c r="B1710" s="28" t="str">
        <ns0:f>IF($E1710="","",INDEX('Banka Dökümü'!$B$2:$B$2001,$E1710))</ns0:f>
        <ns0:v/>
      </ns0:c>
      <ns0:c r="C1710" s="33" t="str">
        <ns0:f>IF($E1710="","",INDEX('Banka Dökümü'!$C$2:$C$2001,$E1710))</ns0:f>
        <ns0:v/>
      </ns0:c>
      <ns0:c r="D1710" s="28" t="str">
        <ns0:f>IF(E1710="","","Müşteri adı / aranacak ad / il bilgisini kontrol edin")</ns0:f>
        <ns0:v/>
      </ns0:c>
      <ns0:c r="E1710" s="28" t="str">
        <ns0:f>IFERROR(MATCH(1706,'Banka Dökümü'!$I$2:$I$2001,0),"")</ns0:f>
        <ns0:v/>
      </ns0:c>
    </ns0:row>
    <ns0:row r="1711" ht="21" customHeight="1">
      <ns0:c r="A1711" s="32" t="str">
        <ns0:f>IF($E1711="","",INDEX('Banka Dökümü'!$A$2:$A$2001,$E1711))</ns0:f>
        <ns0:v/>
      </ns0:c>
      <ns0:c r="B1711" s="28" t="str">
        <ns0:f>IF($E1711="","",INDEX('Banka Dökümü'!$B$2:$B$2001,$E1711))</ns0:f>
        <ns0:v/>
      </ns0:c>
      <ns0:c r="C1711" s="33" t="str">
        <ns0:f>IF($E1711="","",INDEX('Banka Dökümü'!$C$2:$C$2001,$E1711))</ns0:f>
        <ns0:v/>
      </ns0:c>
      <ns0:c r="D1711" s="28" t="str">
        <ns0:f>IF(E1711="","","Müşteri adı / aranacak ad / il bilgisini kontrol edin")</ns0:f>
        <ns0:v/>
      </ns0:c>
      <ns0:c r="E1711" s="28" t="str">
        <ns0:f>IFERROR(MATCH(1707,'Banka Dökümü'!$I$2:$I$2001,0),"")</ns0:f>
        <ns0:v/>
      </ns0:c>
    </ns0:row>
    <ns0:row r="1712" ht="21" customHeight="1">
      <ns0:c r="A1712" s="32" t="str">
        <ns0:f>IF($E1712="","",INDEX('Banka Dökümü'!$A$2:$A$2001,$E1712))</ns0:f>
        <ns0:v/>
      </ns0:c>
      <ns0:c r="B1712" s="28" t="str">
        <ns0:f>IF($E1712="","",INDEX('Banka Dökümü'!$B$2:$B$2001,$E1712))</ns0:f>
        <ns0:v/>
      </ns0:c>
      <ns0:c r="C1712" s="33" t="str">
        <ns0:f>IF($E1712="","",INDEX('Banka Dökümü'!$C$2:$C$2001,$E1712))</ns0:f>
        <ns0:v/>
      </ns0:c>
      <ns0:c r="D1712" s="28" t="str">
        <ns0:f>IF(E1712="","","Müşteri adı / aranacak ad / il bilgisini kontrol edin")</ns0:f>
        <ns0:v/>
      </ns0:c>
      <ns0:c r="E1712" s="28" t="str">
        <ns0:f>IFERROR(MATCH(1708,'Banka Dökümü'!$I$2:$I$2001,0),"")</ns0:f>
        <ns0:v/>
      </ns0:c>
    </ns0:row>
    <ns0:row r="1713" ht="21" customHeight="1">
      <ns0:c r="A1713" s="32" t="str">
        <ns0:f>IF($E1713="","",INDEX('Banka Dökümü'!$A$2:$A$2001,$E1713))</ns0:f>
        <ns0:v/>
      </ns0:c>
      <ns0:c r="B1713" s="28" t="str">
        <ns0:f>IF($E1713="","",INDEX('Banka Dökümü'!$B$2:$B$2001,$E1713))</ns0:f>
        <ns0:v/>
      </ns0:c>
      <ns0:c r="C1713" s="33" t="str">
        <ns0:f>IF($E1713="","",INDEX('Banka Dökümü'!$C$2:$C$2001,$E1713))</ns0:f>
        <ns0:v/>
      </ns0:c>
      <ns0:c r="D1713" s="28" t="str">
        <ns0:f>IF(E1713="","","Müşteri adı / aranacak ad / il bilgisini kontrol edin")</ns0:f>
        <ns0:v/>
      </ns0:c>
      <ns0:c r="E1713" s="28" t="str">
        <ns0:f>IFERROR(MATCH(1709,'Banka Dökümü'!$I$2:$I$2001,0),"")</ns0:f>
        <ns0:v/>
      </ns0:c>
    </ns0:row>
    <ns0:row r="1714" ht="21" customHeight="1">
      <ns0:c r="A1714" s="32" t="str">
        <ns0:f>IF($E1714="","",INDEX('Banka Dökümü'!$A$2:$A$2001,$E1714))</ns0:f>
        <ns0:v/>
      </ns0:c>
      <ns0:c r="B1714" s="28" t="str">
        <ns0:f>IF($E1714="","",INDEX('Banka Dökümü'!$B$2:$B$2001,$E1714))</ns0:f>
        <ns0:v/>
      </ns0:c>
      <ns0:c r="C1714" s="33" t="str">
        <ns0:f>IF($E1714="","",INDEX('Banka Dökümü'!$C$2:$C$2001,$E1714))</ns0:f>
        <ns0:v/>
      </ns0:c>
      <ns0:c r="D1714" s="28" t="str">
        <ns0:f>IF(E1714="","","Müşteri adı / aranacak ad / il bilgisini kontrol edin")</ns0:f>
        <ns0:v/>
      </ns0:c>
      <ns0:c r="E1714" s="28" t="str">
        <ns0:f>IFERROR(MATCH(1710,'Banka Dökümü'!$I$2:$I$2001,0),"")</ns0:f>
        <ns0:v/>
      </ns0:c>
    </ns0:row>
    <ns0:row r="1715" ht="21" customHeight="1">
      <ns0:c r="A1715" s="32" t="str">
        <ns0:f>IF($E1715="","",INDEX('Banka Dökümü'!$A$2:$A$2001,$E1715))</ns0:f>
        <ns0:v/>
      </ns0:c>
      <ns0:c r="B1715" s="28" t="str">
        <ns0:f>IF($E1715="","",INDEX('Banka Dökümü'!$B$2:$B$2001,$E1715))</ns0:f>
        <ns0:v/>
      </ns0:c>
      <ns0:c r="C1715" s="33" t="str">
        <ns0:f>IF($E1715="","",INDEX('Banka Dökümü'!$C$2:$C$2001,$E1715))</ns0:f>
        <ns0:v/>
      </ns0:c>
      <ns0:c r="D1715" s="28" t="str">
        <ns0:f>IF(E1715="","","Müşteri adı / aranacak ad / il bilgisini kontrol edin")</ns0:f>
        <ns0:v/>
      </ns0:c>
      <ns0:c r="E1715" s="28" t="str">
        <ns0:f>IFERROR(MATCH(1711,'Banka Dökümü'!$I$2:$I$2001,0),"")</ns0:f>
        <ns0:v/>
      </ns0:c>
    </ns0:row>
    <ns0:row r="1716" ht="21" customHeight="1">
      <ns0:c r="A1716" s="32" t="str">
        <ns0:f>IF($E1716="","",INDEX('Banka Dökümü'!$A$2:$A$2001,$E1716))</ns0:f>
        <ns0:v/>
      </ns0:c>
      <ns0:c r="B1716" s="28" t="str">
        <ns0:f>IF($E1716="","",INDEX('Banka Dökümü'!$B$2:$B$2001,$E1716))</ns0:f>
        <ns0:v/>
      </ns0:c>
      <ns0:c r="C1716" s="33" t="str">
        <ns0:f>IF($E1716="","",INDEX('Banka Dökümü'!$C$2:$C$2001,$E1716))</ns0:f>
        <ns0:v/>
      </ns0:c>
      <ns0:c r="D1716" s="28" t="str">
        <ns0:f>IF(E1716="","","Müşteri adı / aranacak ad / il bilgisini kontrol edin")</ns0:f>
        <ns0:v/>
      </ns0:c>
      <ns0:c r="E1716" s="28" t="str">
        <ns0:f>IFERROR(MATCH(1712,'Banka Dökümü'!$I$2:$I$2001,0),"")</ns0:f>
        <ns0:v/>
      </ns0:c>
    </ns0:row>
    <ns0:row r="1717" ht="21" customHeight="1">
      <ns0:c r="A1717" s="32" t="str">
        <ns0:f>IF($E1717="","",INDEX('Banka Dökümü'!$A$2:$A$2001,$E1717))</ns0:f>
        <ns0:v/>
      </ns0:c>
      <ns0:c r="B1717" s="28" t="str">
        <ns0:f>IF($E1717="","",INDEX('Banka Dökümü'!$B$2:$B$2001,$E1717))</ns0:f>
        <ns0:v/>
      </ns0:c>
      <ns0:c r="C1717" s="33" t="str">
        <ns0:f>IF($E1717="","",INDEX('Banka Dökümü'!$C$2:$C$2001,$E1717))</ns0:f>
        <ns0:v/>
      </ns0:c>
      <ns0:c r="D1717" s="28" t="str">
        <ns0:f>IF(E1717="","","Müşteri adı / aranacak ad / il bilgisini kontrol edin")</ns0:f>
        <ns0:v/>
      </ns0:c>
      <ns0:c r="E1717" s="28" t="str">
        <ns0:f>IFERROR(MATCH(1713,'Banka Dökümü'!$I$2:$I$2001,0),"")</ns0:f>
        <ns0:v/>
      </ns0:c>
    </ns0:row>
    <ns0:row r="1718" ht="21" customHeight="1">
      <ns0:c r="A1718" s="32" t="str">
        <ns0:f>IF($E1718="","",INDEX('Banka Dökümü'!$A$2:$A$2001,$E1718))</ns0:f>
        <ns0:v/>
      </ns0:c>
      <ns0:c r="B1718" s="28" t="str">
        <ns0:f>IF($E1718="","",INDEX('Banka Dökümü'!$B$2:$B$2001,$E1718))</ns0:f>
        <ns0:v/>
      </ns0:c>
      <ns0:c r="C1718" s="33" t="str">
        <ns0:f>IF($E1718="","",INDEX('Banka Dökümü'!$C$2:$C$2001,$E1718))</ns0:f>
        <ns0:v/>
      </ns0:c>
      <ns0:c r="D1718" s="28" t="str">
        <ns0:f>IF(E1718="","","Müşteri adı / aranacak ad / il bilgisini kontrol edin")</ns0:f>
        <ns0:v/>
      </ns0:c>
      <ns0:c r="E1718" s="28" t="str">
        <ns0:f>IFERROR(MATCH(1714,'Banka Dökümü'!$I$2:$I$2001,0),"")</ns0:f>
        <ns0:v/>
      </ns0:c>
    </ns0:row>
    <ns0:row r="1719" ht="21" customHeight="1">
      <ns0:c r="A1719" s="32" t="str">
        <ns0:f>IF($E1719="","",INDEX('Banka Dökümü'!$A$2:$A$2001,$E1719))</ns0:f>
        <ns0:v/>
      </ns0:c>
      <ns0:c r="B1719" s="28" t="str">
        <ns0:f>IF($E1719="","",INDEX('Banka Dökümü'!$B$2:$B$2001,$E1719))</ns0:f>
        <ns0:v/>
      </ns0:c>
      <ns0:c r="C1719" s="33" t="str">
        <ns0:f>IF($E1719="","",INDEX('Banka Dökümü'!$C$2:$C$2001,$E1719))</ns0:f>
        <ns0:v/>
      </ns0:c>
      <ns0:c r="D1719" s="28" t="str">
        <ns0:f>IF(E1719="","","Müşteri adı / aranacak ad / il bilgisini kontrol edin")</ns0:f>
        <ns0:v/>
      </ns0:c>
      <ns0:c r="E1719" s="28" t="str">
        <ns0:f>IFERROR(MATCH(1715,'Banka Dökümü'!$I$2:$I$2001,0),"")</ns0:f>
        <ns0:v/>
      </ns0:c>
    </ns0:row>
    <ns0:row r="1720" ht="21" customHeight="1">
      <ns0:c r="A1720" s="32" t="str">
        <ns0:f>IF($E1720="","",INDEX('Banka Dökümü'!$A$2:$A$2001,$E1720))</ns0:f>
        <ns0:v/>
      </ns0:c>
      <ns0:c r="B1720" s="28" t="str">
        <ns0:f>IF($E1720="","",INDEX('Banka Dökümü'!$B$2:$B$2001,$E1720))</ns0:f>
        <ns0:v/>
      </ns0:c>
      <ns0:c r="C1720" s="33" t="str">
        <ns0:f>IF($E1720="","",INDEX('Banka Dökümü'!$C$2:$C$2001,$E1720))</ns0:f>
        <ns0:v/>
      </ns0:c>
      <ns0:c r="D1720" s="28" t="str">
        <ns0:f>IF(E1720="","","Müşteri adı / aranacak ad / il bilgisini kontrol edin")</ns0:f>
        <ns0:v/>
      </ns0:c>
      <ns0:c r="E1720" s="28" t="str">
        <ns0:f>IFERROR(MATCH(1716,'Banka Dökümü'!$I$2:$I$2001,0),"")</ns0:f>
        <ns0:v/>
      </ns0:c>
    </ns0:row>
    <ns0:row r="1721" ht="21" customHeight="1">
      <ns0:c r="A1721" s="32" t="str">
        <ns0:f>IF($E1721="","",INDEX('Banka Dökümü'!$A$2:$A$2001,$E1721))</ns0:f>
        <ns0:v/>
      </ns0:c>
      <ns0:c r="B1721" s="28" t="str">
        <ns0:f>IF($E1721="","",INDEX('Banka Dökümü'!$B$2:$B$2001,$E1721))</ns0:f>
        <ns0:v/>
      </ns0:c>
      <ns0:c r="C1721" s="33" t="str">
        <ns0:f>IF($E1721="","",INDEX('Banka Dökümü'!$C$2:$C$2001,$E1721))</ns0:f>
        <ns0:v/>
      </ns0:c>
      <ns0:c r="D1721" s="28" t="str">
        <ns0:f>IF(E1721="","","Müşteri adı / aranacak ad / il bilgisini kontrol edin")</ns0:f>
        <ns0:v/>
      </ns0:c>
      <ns0:c r="E1721" s="28" t="str">
        <ns0:f>IFERROR(MATCH(1717,'Banka Dökümü'!$I$2:$I$2001,0),"")</ns0:f>
        <ns0:v/>
      </ns0:c>
    </ns0:row>
    <ns0:row r="1722" ht="21" customHeight="1">
      <ns0:c r="A1722" s="32" t="str">
        <ns0:f>IF($E1722="","",INDEX('Banka Dökümü'!$A$2:$A$2001,$E1722))</ns0:f>
        <ns0:v/>
      </ns0:c>
      <ns0:c r="B1722" s="28" t="str">
        <ns0:f>IF($E1722="","",INDEX('Banka Dökümü'!$B$2:$B$2001,$E1722))</ns0:f>
        <ns0:v/>
      </ns0:c>
      <ns0:c r="C1722" s="33" t="str">
        <ns0:f>IF($E1722="","",INDEX('Banka Dökümü'!$C$2:$C$2001,$E1722))</ns0:f>
        <ns0:v/>
      </ns0:c>
      <ns0:c r="D1722" s="28" t="str">
        <ns0:f>IF(E1722="","","Müşteri adı / aranacak ad / il bilgisini kontrol edin")</ns0:f>
        <ns0:v/>
      </ns0:c>
      <ns0:c r="E1722" s="28" t="str">
        <ns0:f>IFERROR(MATCH(1718,'Banka Dökümü'!$I$2:$I$2001,0),"")</ns0:f>
        <ns0:v/>
      </ns0:c>
    </ns0:row>
    <ns0:row r="1723" ht="21" customHeight="1">
      <ns0:c r="A1723" s="32" t="str">
        <ns0:f>IF($E1723="","",INDEX('Banka Dökümü'!$A$2:$A$2001,$E1723))</ns0:f>
        <ns0:v/>
      </ns0:c>
      <ns0:c r="B1723" s="28" t="str">
        <ns0:f>IF($E1723="","",INDEX('Banka Dökümü'!$B$2:$B$2001,$E1723))</ns0:f>
        <ns0:v/>
      </ns0:c>
      <ns0:c r="C1723" s="33" t="str">
        <ns0:f>IF($E1723="","",INDEX('Banka Dökümü'!$C$2:$C$2001,$E1723))</ns0:f>
        <ns0:v/>
      </ns0:c>
      <ns0:c r="D1723" s="28" t="str">
        <ns0:f>IF(E1723="","","Müşteri adı / aranacak ad / il bilgisini kontrol edin")</ns0:f>
        <ns0:v/>
      </ns0:c>
      <ns0:c r="E1723" s="28" t="str">
        <ns0:f>IFERROR(MATCH(1719,'Banka Dökümü'!$I$2:$I$2001,0),"")</ns0:f>
        <ns0:v/>
      </ns0:c>
    </ns0:row>
    <ns0:row r="1724" ht="21" customHeight="1">
      <ns0:c r="A1724" s="32" t="str">
        <ns0:f>IF($E1724="","",INDEX('Banka Dökümü'!$A$2:$A$2001,$E1724))</ns0:f>
        <ns0:v/>
      </ns0:c>
      <ns0:c r="B1724" s="28" t="str">
        <ns0:f>IF($E1724="","",INDEX('Banka Dökümü'!$B$2:$B$2001,$E1724))</ns0:f>
        <ns0:v/>
      </ns0:c>
      <ns0:c r="C1724" s="33" t="str">
        <ns0:f>IF($E1724="","",INDEX('Banka Dökümü'!$C$2:$C$2001,$E1724))</ns0:f>
        <ns0:v/>
      </ns0:c>
      <ns0:c r="D1724" s="28" t="str">
        <ns0:f>IF(E1724="","","Müşteri adı / aranacak ad / il bilgisini kontrol edin")</ns0:f>
        <ns0:v/>
      </ns0:c>
      <ns0:c r="E1724" s="28" t="str">
        <ns0:f>IFERROR(MATCH(1720,'Banka Dökümü'!$I$2:$I$2001,0),"")</ns0:f>
        <ns0:v/>
      </ns0:c>
    </ns0:row>
    <ns0:row r="1725" ht="21" customHeight="1">
      <ns0:c r="A1725" s="32" t="str">
        <ns0:f>IF($E1725="","",INDEX('Banka Dökümü'!$A$2:$A$2001,$E1725))</ns0:f>
        <ns0:v/>
      </ns0:c>
      <ns0:c r="B1725" s="28" t="str">
        <ns0:f>IF($E1725="","",INDEX('Banka Dökümü'!$B$2:$B$2001,$E1725))</ns0:f>
        <ns0:v/>
      </ns0:c>
      <ns0:c r="C1725" s="33" t="str">
        <ns0:f>IF($E1725="","",INDEX('Banka Dökümü'!$C$2:$C$2001,$E1725))</ns0:f>
        <ns0:v/>
      </ns0:c>
      <ns0:c r="D1725" s="28" t="str">
        <ns0:f>IF(E1725="","","Müşteri adı / aranacak ad / il bilgisini kontrol edin")</ns0:f>
        <ns0:v/>
      </ns0:c>
      <ns0:c r="E1725" s="28" t="str">
        <ns0:f>IFERROR(MATCH(1721,'Banka Dökümü'!$I$2:$I$2001,0),"")</ns0:f>
        <ns0:v/>
      </ns0:c>
    </ns0:row>
    <ns0:row r="1726" ht="21" customHeight="1">
      <ns0:c r="A1726" s="32" t="str">
        <ns0:f>IF($E1726="","",INDEX('Banka Dökümü'!$A$2:$A$2001,$E1726))</ns0:f>
        <ns0:v/>
      </ns0:c>
      <ns0:c r="B1726" s="28" t="str">
        <ns0:f>IF($E1726="","",INDEX('Banka Dökümü'!$B$2:$B$2001,$E1726))</ns0:f>
        <ns0:v/>
      </ns0:c>
      <ns0:c r="C1726" s="33" t="str">
        <ns0:f>IF($E1726="","",INDEX('Banka Dökümü'!$C$2:$C$2001,$E1726))</ns0:f>
        <ns0:v/>
      </ns0:c>
      <ns0:c r="D1726" s="28" t="str">
        <ns0:f>IF(E1726="","","Müşteri adı / aranacak ad / il bilgisini kontrol edin")</ns0:f>
        <ns0:v/>
      </ns0:c>
      <ns0:c r="E1726" s="28" t="str">
        <ns0:f>IFERROR(MATCH(1722,'Banka Dökümü'!$I$2:$I$2001,0),"")</ns0:f>
        <ns0:v/>
      </ns0:c>
    </ns0:row>
    <ns0:row r="1727" ht="21" customHeight="1">
      <ns0:c r="A1727" s="32" t="str">
        <ns0:f>IF($E1727="","",INDEX('Banka Dökümü'!$A$2:$A$2001,$E1727))</ns0:f>
        <ns0:v/>
      </ns0:c>
      <ns0:c r="B1727" s="28" t="str">
        <ns0:f>IF($E1727="","",INDEX('Banka Dökümü'!$B$2:$B$2001,$E1727))</ns0:f>
        <ns0:v/>
      </ns0:c>
      <ns0:c r="C1727" s="33" t="str">
        <ns0:f>IF($E1727="","",INDEX('Banka Dökümü'!$C$2:$C$2001,$E1727))</ns0:f>
        <ns0:v/>
      </ns0:c>
      <ns0:c r="D1727" s="28" t="str">
        <ns0:f>IF(E1727="","","Müşteri adı / aranacak ad / il bilgisini kontrol edin")</ns0:f>
        <ns0:v/>
      </ns0:c>
      <ns0:c r="E1727" s="28" t="str">
        <ns0:f>IFERROR(MATCH(1723,'Banka Dökümü'!$I$2:$I$2001,0),"")</ns0:f>
        <ns0:v/>
      </ns0:c>
    </ns0:row>
    <ns0:row r="1728" ht="21" customHeight="1">
      <ns0:c r="A1728" s="32" t="str">
        <ns0:f>IF($E1728="","",INDEX('Banka Dökümü'!$A$2:$A$2001,$E1728))</ns0:f>
        <ns0:v/>
      </ns0:c>
      <ns0:c r="B1728" s="28" t="str">
        <ns0:f>IF($E1728="","",INDEX('Banka Dökümü'!$B$2:$B$2001,$E1728))</ns0:f>
        <ns0:v/>
      </ns0:c>
      <ns0:c r="C1728" s="33" t="str">
        <ns0:f>IF($E1728="","",INDEX('Banka Dökümü'!$C$2:$C$2001,$E1728))</ns0:f>
        <ns0:v/>
      </ns0:c>
      <ns0:c r="D1728" s="28" t="str">
        <ns0:f>IF(E1728="","","Müşteri adı / aranacak ad / il bilgisini kontrol edin")</ns0:f>
        <ns0:v/>
      </ns0:c>
      <ns0:c r="E1728" s="28" t="str">
        <ns0:f>IFERROR(MATCH(1724,'Banka Dökümü'!$I$2:$I$2001,0),"")</ns0:f>
        <ns0:v/>
      </ns0:c>
    </ns0:row>
    <ns0:row r="1729" ht="21" customHeight="1">
      <ns0:c r="A1729" s="32" t="str">
        <ns0:f>IF($E1729="","",INDEX('Banka Dökümü'!$A$2:$A$2001,$E1729))</ns0:f>
        <ns0:v/>
      </ns0:c>
      <ns0:c r="B1729" s="28" t="str">
        <ns0:f>IF($E1729="","",INDEX('Banka Dökümü'!$B$2:$B$2001,$E1729))</ns0:f>
        <ns0:v/>
      </ns0:c>
      <ns0:c r="C1729" s="33" t="str">
        <ns0:f>IF($E1729="","",INDEX('Banka Dökümü'!$C$2:$C$2001,$E1729))</ns0:f>
        <ns0:v/>
      </ns0:c>
      <ns0:c r="D1729" s="28" t="str">
        <ns0:f>IF(E1729="","","Müşteri adı / aranacak ad / il bilgisini kontrol edin")</ns0:f>
        <ns0:v/>
      </ns0:c>
      <ns0:c r="E1729" s="28" t="str">
        <ns0:f>IFERROR(MATCH(1725,'Banka Dökümü'!$I$2:$I$2001,0),"")</ns0:f>
        <ns0:v/>
      </ns0:c>
    </ns0:row>
    <ns0:row r="1730" ht="21" customHeight="1">
      <ns0:c r="A1730" s="32" t="str">
        <ns0:f>IF($E1730="","",INDEX('Banka Dökümü'!$A$2:$A$2001,$E1730))</ns0:f>
        <ns0:v/>
      </ns0:c>
      <ns0:c r="B1730" s="28" t="str">
        <ns0:f>IF($E1730="","",INDEX('Banka Dökümü'!$B$2:$B$2001,$E1730))</ns0:f>
        <ns0:v/>
      </ns0:c>
      <ns0:c r="C1730" s="33" t="str">
        <ns0:f>IF($E1730="","",INDEX('Banka Dökümü'!$C$2:$C$2001,$E1730))</ns0:f>
        <ns0:v/>
      </ns0:c>
      <ns0:c r="D1730" s="28" t="str">
        <ns0:f>IF(E1730="","","Müşteri adı / aranacak ad / il bilgisini kontrol edin")</ns0:f>
        <ns0:v/>
      </ns0:c>
      <ns0:c r="E1730" s="28" t="str">
        <ns0:f>IFERROR(MATCH(1726,'Banka Dökümü'!$I$2:$I$2001,0),"")</ns0:f>
        <ns0:v/>
      </ns0:c>
    </ns0:row>
    <ns0:row r="1731" ht="21" customHeight="1">
      <ns0:c r="A1731" s="32" t="str">
        <ns0:f>IF($E1731="","",INDEX('Banka Dökümü'!$A$2:$A$2001,$E1731))</ns0:f>
        <ns0:v/>
      </ns0:c>
      <ns0:c r="B1731" s="28" t="str">
        <ns0:f>IF($E1731="","",INDEX('Banka Dökümü'!$B$2:$B$2001,$E1731))</ns0:f>
        <ns0:v/>
      </ns0:c>
      <ns0:c r="C1731" s="33" t="str">
        <ns0:f>IF($E1731="","",INDEX('Banka Dökümü'!$C$2:$C$2001,$E1731))</ns0:f>
        <ns0:v/>
      </ns0:c>
      <ns0:c r="D1731" s="28" t="str">
        <ns0:f>IF(E1731="","","Müşteri adı / aranacak ad / il bilgisini kontrol edin")</ns0:f>
        <ns0:v/>
      </ns0:c>
      <ns0:c r="E1731" s="28" t="str">
        <ns0:f>IFERROR(MATCH(1727,'Banka Dökümü'!$I$2:$I$2001,0),"")</ns0:f>
        <ns0:v/>
      </ns0:c>
    </ns0:row>
    <ns0:row r="1732" ht="21" customHeight="1">
      <ns0:c r="A1732" s="32" t="str">
        <ns0:f>IF($E1732="","",INDEX('Banka Dökümü'!$A$2:$A$2001,$E1732))</ns0:f>
        <ns0:v/>
      </ns0:c>
      <ns0:c r="B1732" s="28" t="str">
        <ns0:f>IF($E1732="","",INDEX('Banka Dökümü'!$B$2:$B$2001,$E1732))</ns0:f>
        <ns0:v/>
      </ns0:c>
      <ns0:c r="C1732" s="33" t="str">
        <ns0:f>IF($E1732="","",INDEX('Banka Dökümü'!$C$2:$C$2001,$E1732))</ns0:f>
        <ns0:v/>
      </ns0:c>
      <ns0:c r="D1732" s="28" t="str">
        <ns0:f>IF(E1732="","","Müşteri adı / aranacak ad / il bilgisini kontrol edin")</ns0:f>
        <ns0:v/>
      </ns0:c>
      <ns0:c r="E1732" s="28" t="str">
        <ns0:f>IFERROR(MATCH(1728,'Banka Dökümü'!$I$2:$I$2001,0),"")</ns0:f>
        <ns0:v/>
      </ns0:c>
    </ns0:row>
    <ns0:row r="1733" ht="21" customHeight="1">
      <ns0:c r="A1733" s="32" t="str">
        <ns0:f>IF($E1733="","",INDEX('Banka Dökümü'!$A$2:$A$2001,$E1733))</ns0:f>
        <ns0:v/>
      </ns0:c>
      <ns0:c r="B1733" s="28" t="str">
        <ns0:f>IF($E1733="","",INDEX('Banka Dökümü'!$B$2:$B$2001,$E1733))</ns0:f>
        <ns0:v/>
      </ns0:c>
      <ns0:c r="C1733" s="33" t="str">
        <ns0:f>IF($E1733="","",INDEX('Banka Dökümü'!$C$2:$C$2001,$E1733))</ns0:f>
        <ns0:v/>
      </ns0:c>
      <ns0:c r="D1733" s="28" t="str">
        <ns0:f>IF(E1733="","","Müşteri adı / aranacak ad / il bilgisini kontrol edin")</ns0:f>
        <ns0:v/>
      </ns0:c>
      <ns0:c r="E1733" s="28" t="str">
        <ns0:f>IFERROR(MATCH(1729,'Banka Dökümü'!$I$2:$I$2001,0),"")</ns0:f>
        <ns0:v/>
      </ns0:c>
    </ns0:row>
    <ns0:row r="1734" ht="21" customHeight="1">
      <ns0:c r="A1734" s="32" t="str">
        <ns0:f>IF($E1734="","",INDEX('Banka Dökümü'!$A$2:$A$2001,$E1734))</ns0:f>
        <ns0:v/>
      </ns0:c>
      <ns0:c r="B1734" s="28" t="str">
        <ns0:f>IF($E1734="","",INDEX('Banka Dökümü'!$B$2:$B$2001,$E1734))</ns0:f>
        <ns0:v/>
      </ns0:c>
      <ns0:c r="C1734" s="33" t="str">
        <ns0:f>IF($E1734="","",INDEX('Banka Dökümü'!$C$2:$C$2001,$E1734))</ns0:f>
        <ns0:v/>
      </ns0:c>
      <ns0:c r="D1734" s="28" t="str">
        <ns0:f>IF(E1734="","","Müşteri adı / aranacak ad / il bilgisini kontrol edin")</ns0:f>
        <ns0:v/>
      </ns0:c>
      <ns0:c r="E1734" s="28" t="str">
        <ns0:f>IFERROR(MATCH(1730,'Banka Dökümü'!$I$2:$I$2001,0),"")</ns0:f>
        <ns0:v/>
      </ns0:c>
    </ns0:row>
    <ns0:row r="1735" ht="21" customHeight="1">
      <ns0:c r="A1735" s="32" t="str">
        <ns0:f>IF($E1735="","",INDEX('Banka Dökümü'!$A$2:$A$2001,$E1735))</ns0:f>
        <ns0:v/>
      </ns0:c>
      <ns0:c r="B1735" s="28" t="str">
        <ns0:f>IF($E1735="","",INDEX('Banka Dökümü'!$B$2:$B$2001,$E1735))</ns0:f>
        <ns0:v/>
      </ns0:c>
      <ns0:c r="C1735" s="33" t="str">
        <ns0:f>IF($E1735="","",INDEX('Banka Dökümü'!$C$2:$C$2001,$E1735))</ns0:f>
        <ns0:v/>
      </ns0:c>
      <ns0:c r="D1735" s="28" t="str">
        <ns0:f>IF(E1735="","","Müşteri adı / aranacak ad / il bilgisini kontrol edin")</ns0:f>
        <ns0:v/>
      </ns0:c>
      <ns0:c r="E1735" s="28" t="str">
        <ns0:f>IFERROR(MATCH(1731,'Banka Dökümü'!$I$2:$I$2001,0),"")</ns0:f>
        <ns0:v/>
      </ns0:c>
    </ns0:row>
    <ns0:row r="1736" ht="21" customHeight="1">
      <ns0:c r="A1736" s="32" t="str">
        <ns0:f>IF($E1736="","",INDEX('Banka Dökümü'!$A$2:$A$2001,$E1736))</ns0:f>
        <ns0:v/>
      </ns0:c>
      <ns0:c r="B1736" s="28" t="str">
        <ns0:f>IF($E1736="","",INDEX('Banka Dökümü'!$B$2:$B$2001,$E1736))</ns0:f>
        <ns0:v/>
      </ns0:c>
      <ns0:c r="C1736" s="33" t="str">
        <ns0:f>IF($E1736="","",INDEX('Banka Dökümü'!$C$2:$C$2001,$E1736))</ns0:f>
        <ns0:v/>
      </ns0:c>
      <ns0:c r="D1736" s="28" t="str">
        <ns0:f>IF(E1736="","","Müşteri adı / aranacak ad / il bilgisini kontrol edin")</ns0:f>
        <ns0:v/>
      </ns0:c>
      <ns0:c r="E1736" s="28" t="str">
        <ns0:f>IFERROR(MATCH(1732,'Banka Dökümü'!$I$2:$I$2001,0),"")</ns0:f>
        <ns0:v/>
      </ns0:c>
    </ns0:row>
    <ns0:row r="1737" ht="21" customHeight="1">
      <ns0:c r="A1737" s="32" t="str">
        <ns0:f>IF($E1737="","",INDEX('Banka Dökümü'!$A$2:$A$2001,$E1737))</ns0:f>
        <ns0:v/>
      </ns0:c>
      <ns0:c r="B1737" s="28" t="str">
        <ns0:f>IF($E1737="","",INDEX('Banka Dökümü'!$B$2:$B$2001,$E1737))</ns0:f>
        <ns0:v/>
      </ns0:c>
      <ns0:c r="C1737" s="33" t="str">
        <ns0:f>IF($E1737="","",INDEX('Banka Dökümü'!$C$2:$C$2001,$E1737))</ns0:f>
        <ns0:v/>
      </ns0:c>
      <ns0:c r="D1737" s="28" t="str">
        <ns0:f>IF(E1737="","","Müşteri adı / aranacak ad / il bilgisini kontrol edin")</ns0:f>
        <ns0:v/>
      </ns0:c>
      <ns0:c r="E1737" s="28" t="str">
        <ns0:f>IFERROR(MATCH(1733,'Banka Dökümü'!$I$2:$I$2001,0),"")</ns0:f>
        <ns0:v/>
      </ns0:c>
    </ns0:row>
    <ns0:row r="1738" ht="21" customHeight="1">
      <ns0:c r="A1738" s="32" t="str">
        <ns0:f>IF($E1738="","",INDEX('Banka Dökümü'!$A$2:$A$2001,$E1738))</ns0:f>
        <ns0:v/>
      </ns0:c>
      <ns0:c r="B1738" s="28" t="str">
        <ns0:f>IF($E1738="","",INDEX('Banka Dökümü'!$B$2:$B$2001,$E1738))</ns0:f>
        <ns0:v/>
      </ns0:c>
      <ns0:c r="C1738" s="33" t="str">
        <ns0:f>IF($E1738="","",INDEX('Banka Dökümü'!$C$2:$C$2001,$E1738))</ns0:f>
        <ns0:v/>
      </ns0:c>
      <ns0:c r="D1738" s="28" t="str">
        <ns0:f>IF(E1738="","","Müşteri adı / aranacak ad / il bilgisini kontrol edin")</ns0:f>
        <ns0:v/>
      </ns0:c>
      <ns0:c r="E1738" s="28" t="str">
        <ns0:f>IFERROR(MATCH(1734,'Banka Dökümü'!$I$2:$I$2001,0),"")</ns0:f>
        <ns0:v/>
      </ns0:c>
    </ns0:row>
    <ns0:row r="1739" ht="21" customHeight="1">
      <ns0:c r="A1739" s="32" t="str">
        <ns0:f>IF($E1739="","",INDEX('Banka Dökümü'!$A$2:$A$2001,$E1739))</ns0:f>
        <ns0:v/>
      </ns0:c>
      <ns0:c r="B1739" s="28" t="str">
        <ns0:f>IF($E1739="","",INDEX('Banka Dökümü'!$B$2:$B$2001,$E1739))</ns0:f>
        <ns0:v/>
      </ns0:c>
      <ns0:c r="C1739" s="33" t="str">
        <ns0:f>IF($E1739="","",INDEX('Banka Dökümü'!$C$2:$C$2001,$E1739))</ns0:f>
        <ns0:v/>
      </ns0:c>
      <ns0:c r="D1739" s="28" t="str">
        <ns0:f>IF(E1739="","","Müşteri adı / aranacak ad / il bilgisini kontrol edin")</ns0:f>
        <ns0:v/>
      </ns0:c>
      <ns0:c r="E1739" s="28" t="str">
        <ns0:f>IFERROR(MATCH(1735,'Banka Dökümü'!$I$2:$I$2001,0),"")</ns0:f>
        <ns0:v/>
      </ns0:c>
    </ns0:row>
    <ns0:row r="1740" ht="21" customHeight="1">
      <ns0:c r="A1740" s="32" t="str">
        <ns0:f>IF($E1740="","",INDEX('Banka Dökümü'!$A$2:$A$2001,$E1740))</ns0:f>
        <ns0:v/>
      </ns0:c>
      <ns0:c r="B1740" s="28" t="str">
        <ns0:f>IF($E1740="","",INDEX('Banka Dökümü'!$B$2:$B$2001,$E1740))</ns0:f>
        <ns0:v/>
      </ns0:c>
      <ns0:c r="C1740" s="33" t="str">
        <ns0:f>IF($E1740="","",INDEX('Banka Dökümü'!$C$2:$C$2001,$E1740))</ns0:f>
        <ns0:v/>
      </ns0:c>
      <ns0:c r="D1740" s="28" t="str">
        <ns0:f>IF(E1740="","","Müşteri adı / aranacak ad / il bilgisini kontrol edin")</ns0:f>
        <ns0:v/>
      </ns0:c>
      <ns0:c r="E1740" s="28" t="str">
        <ns0:f>IFERROR(MATCH(1736,'Banka Dökümü'!$I$2:$I$2001,0),"")</ns0:f>
        <ns0:v/>
      </ns0:c>
    </ns0:row>
    <ns0:row r="1741" ht="21" customHeight="1">
      <ns0:c r="A1741" s="32" t="str">
        <ns0:f>IF($E1741="","",INDEX('Banka Dökümü'!$A$2:$A$2001,$E1741))</ns0:f>
        <ns0:v/>
      </ns0:c>
      <ns0:c r="B1741" s="28" t="str">
        <ns0:f>IF($E1741="","",INDEX('Banka Dökümü'!$B$2:$B$2001,$E1741))</ns0:f>
        <ns0:v/>
      </ns0:c>
      <ns0:c r="C1741" s="33" t="str">
        <ns0:f>IF($E1741="","",INDEX('Banka Dökümü'!$C$2:$C$2001,$E1741))</ns0:f>
        <ns0:v/>
      </ns0:c>
      <ns0:c r="D1741" s="28" t="str">
        <ns0:f>IF(E1741="","","Müşteri adı / aranacak ad / il bilgisini kontrol edin")</ns0:f>
        <ns0:v/>
      </ns0:c>
      <ns0:c r="E1741" s="28" t="str">
        <ns0:f>IFERROR(MATCH(1737,'Banka Dökümü'!$I$2:$I$2001,0),"")</ns0:f>
        <ns0:v/>
      </ns0:c>
    </ns0:row>
    <ns0:row r="1742" ht="21" customHeight="1">
      <ns0:c r="A1742" s="32" t="str">
        <ns0:f>IF($E1742="","",INDEX('Banka Dökümü'!$A$2:$A$2001,$E1742))</ns0:f>
        <ns0:v/>
      </ns0:c>
      <ns0:c r="B1742" s="28" t="str">
        <ns0:f>IF($E1742="","",INDEX('Banka Dökümü'!$B$2:$B$2001,$E1742))</ns0:f>
        <ns0:v/>
      </ns0:c>
      <ns0:c r="C1742" s="33" t="str">
        <ns0:f>IF($E1742="","",INDEX('Banka Dökümü'!$C$2:$C$2001,$E1742))</ns0:f>
        <ns0:v/>
      </ns0:c>
      <ns0:c r="D1742" s="28" t="str">
        <ns0:f>IF(E1742="","","Müşteri adı / aranacak ad / il bilgisini kontrol edin")</ns0:f>
        <ns0:v/>
      </ns0:c>
      <ns0:c r="E1742" s="28" t="str">
        <ns0:f>IFERROR(MATCH(1738,'Banka Dökümü'!$I$2:$I$2001,0),"")</ns0:f>
        <ns0:v/>
      </ns0:c>
    </ns0:row>
    <ns0:row r="1743" ht="21" customHeight="1">
      <ns0:c r="A1743" s="32" t="str">
        <ns0:f>IF($E1743="","",INDEX('Banka Dökümü'!$A$2:$A$2001,$E1743))</ns0:f>
        <ns0:v/>
      </ns0:c>
      <ns0:c r="B1743" s="28" t="str">
        <ns0:f>IF($E1743="","",INDEX('Banka Dökümü'!$B$2:$B$2001,$E1743))</ns0:f>
        <ns0:v/>
      </ns0:c>
      <ns0:c r="C1743" s="33" t="str">
        <ns0:f>IF($E1743="","",INDEX('Banka Dökümü'!$C$2:$C$2001,$E1743))</ns0:f>
        <ns0:v/>
      </ns0:c>
      <ns0:c r="D1743" s="28" t="str">
        <ns0:f>IF(E1743="","","Müşteri adı / aranacak ad / il bilgisini kontrol edin")</ns0:f>
        <ns0:v/>
      </ns0:c>
      <ns0:c r="E1743" s="28" t="str">
        <ns0:f>IFERROR(MATCH(1739,'Banka Dökümü'!$I$2:$I$2001,0),"")</ns0:f>
        <ns0:v/>
      </ns0:c>
    </ns0:row>
    <ns0:row r="1744" ht="21" customHeight="1">
      <ns0:c r="A1744" s="32" t="str">
        <ns0:f>IF($E1744="","",INDEX('Banka Dökümü'!$A$2:$A$2001,$E1744))</ns0:f>
        <ns0:v/>
      </ns0:c>
      <ns0:c r="B1744" s="28" t="str">
        <ns0:f>IF($E1744="","",INDEX('Banka Dökümü'!$B$2:$B$2001,$E1744))</ns0:f>
        <ns0:v/>
      </ns0:c>
      <ns0:c r="C1744" s="33" t="str">
        <ns0:f>IF($E1744="","",INDEX('Banka Dökümü'!$C$2:$C$2001,$E1744))</ns0:f>
        <ns0:v/>
      </ns0:c>
      <ns0:c r="D1744" s="28" t="str">
        <ns0:f>IF(E1744="","","Müşteri adı / aranacak ad / il bilgisini kontrol edin")</ns0:f>
        <ns0:v/>
      </ns0:c>
      <ns0:c r="E1744" s="28" t="str">
        <ns0:f>IFERROR(MATCH(1740,'Banka Dökümü'!$I$2:$I$2001,0),"")</ns0:f>
        <ns0:v/>
      </ns0:c>
    </ns0:row>
    <ns0:row r="1745" ht="21" customHeight="1">
      <ns0:c r="A1745" s="32" t="str">
        <ns0:f>IF($E1745="","",INDEX('Banka Dökümü'!$A$2:$A$2001,$E1745))</ns0:f>
        <ns0:v/>
      </ns0:c>
      <ns0:c r="B1745" s="28" t="str">
        <ns0:f>IF($E1745="","",INDEX('Banka Dökümü'!$B$2:$B$2001,$E1745))</ns0:f>
        <ns0:v/>
      </ns0:c>
      <ns0:c r="C1745" s="33" t="str">
        <ns0:f>IF($E1745="","",INDEX('Banka Dökümü'!$C$2:$C$2001,$E1745))</ns0:f>
        <ns0:v/>
      </ns0:c>
      <ns0:c r="D1745" s="28" t="str">
        <ns0:f>IF(E1745="","","Müşteri adı / aranacak ad / il bilgisini kontrol edin")</ns0:f>
        <ns0:v/>
      </ns0:c>
      <ns0:c r="E1745" s="28" t="str">
        <ns0:f>IFERROR(MATCH(1741,'Banka Dökümü'!$I$2:$I$2001,0),"")</ns0:f>
        <ns0:v/>
      </ns0:c>
    </ns0:row>
    <ns0:row r="1746" ht="21" customHeight="1">
      <ns0:c r="A1746" s="32" t="str">
        <ns0:f>IF($E1746="","",INDEX('Banka Dökümü'!$A$2:$A$2001,$E1746))</ns0:f>
        <ns0:v/>
      </ns0:c>
      <ns0:c r="B1746" s="28" t="str">
        <ns0:f>IF($E1746="","",INDEX('Banka Dökümü'!$B$2:$B$2001,$E1746))</ns0:f>
        <ns0:v/>
      </ns0:c>
      <ns0:c r="C1746" s="33" t="str">
        <ns0:f>IF($E1746="","",INDEX('Banka Dökümü'!$C$2:$C$2001,$E1746))</ns0:f>
        <ns0:v/>
      </ns0:c>
      <ns0:c r="D1746" s="28" t="str">
        <ns0:f>IF(E1746="","","Müşteri adı / aranacak ad / il bilgisini kontrol edin")</ns0:f>
        <ns0:v/>
      </ns0:c>
      <ns0:c r="E1746" s="28" t="str">
        <ns0:f>IFERROR(MATCH(1742,'Banka Dökümü'!$I$2:$I$2001,0),"")</ns0:f>
        <ns0:v/>
      </ns0:c>
    </ns0:row>
    <ns0:row r="1747" ht="21" customHeight="1">
      <ns0:c r="A1747" s="32" t="str">
        <ns0:f>IF($E1747="","",INDEX('Banka Dökümü'!$A$2:$A$2001,$E1747))</ns0:f>
        <ns0:v/>
      </ns0:c>
      <ns0:c r="B1747" s="28" t="str">
        <ns0:f>IF($E1747="","",INDEX('Banka Dökümü'!$B$2:$B$2001,$E1747))</ns0:f>
        <ns0:v/>
      </ns0:c>
      <ns0:c r="C1747" s="33" t="str">
        <ns0:f>IF($E1747="","",INDEX('Banka Dökümü'!$C$2:$C$2001,$E1747))</ns0:f>
        <ns0:v/>
      </ns0:c>
      <ns0:c r="D1747" s="28" t="str">
        <ns0:f>IF(E1747="","","Müşteri adı / aranacak ad / il bilgisini kontrol edin")</ns0:f>
        <ns0:v/>
      </ns0:c>
      <ns0:c r="E1747" s="28" t="str">
        <ns0:f>IFERROR(MATCH(1743,'Banka Dökümü'!$I$2:$I$2001,0),"")</ns0:f>
        <ns0:v/>
      </ns0:c>
    </ns0:row>
    <ns0:row r="1748" ht="21" customHeight="1">
      <ns0:c r="A1748" s="32" t="str">
        <ns0:f>IF($E1748="","",INDEX('Banka Dökümü'!$A$2:$A$2001,$E1748))</ns0:f>
        <ns0:v/>
      </ns0:c>
      <ns0:c r="B1748" s="28" t="str">
        <ns0:f>IF($E1748="","",INDEX('Banka Dökümü'!$B$2:$B$2001,$E1748))</ns0:f>
        <ns0:v/>
      </ns0:c>
      <ns0:c r="C1748" s="33" t="str">
        <ns0:f>IF($E1748="","",INDEX('Banka Dökümü'!$C$2:$C$2001,$E1748))</ns0:f>
        <ns0:v/>
      </ns0:c>
      <ns0:c r="D1748" s="28" t="str">
        <ns0:f>IF(E1748="","","Müşteri adı / aranacak ad / il bilgisini kontrol edin")</ns0:f>
        <ns0:v/>
      </ns0:c>
      <ns0:c r="E1748" s="28" t="str">
        <ns0:f>IFERROR(MATCH(1744,'Banka Dökümü'!$I$2:$I$2001,0),"")</ns0:f>
        <ns0:v/>
      </ns0:c>
    </ns0:row>
    <ns0:row r="1749" ht="21" customHeight="1">
      <ns0:c r="A1749" s="32" t="str">
        <ns0:f>IF($E1749="","",INDEX('Banka Dökümü'!$A$2:$A$2001,$E1749))</ns0:f>
        <ns0:v/>
      </ns0:c>
      <ns0:c r="B1749" s="28" t="str">
        <ns0:f>IF($E1749="","",INDEX('Banka Dökümü'!$B$2:$B$2001,$E1749))</ns0:f>
        <ns0:v/>
      </ns0:c>
      <ns0:c r="C1749" s="33" t="str">
        <ns0:f>IF($E1749="","",INDEX('Banka Dökümü'!$C$2:$C$2001,$E1749))</ns0:f>
        <ns0:v/>
      </ns0:c>
      <ns0:c r="D1749" s="28" t="str">
        <ns0:f>IF(E1749="","","Müşteri adı / aranacak ad / il bilgisini kontrol edin")</ns0:f>
        <ns0:v/>
      </ns0:c>
      <ns0:c r="E1749" s="28" t="str">
        <ns0:f>IFERROR(MATCH(1745,'Banka Dökümü'!$I$2:$I$2001,0),"")</ns0:f>
        <ns0:v/>
      </ns0:c>
    </ns0:row>
    <ns0:row r="1750" ht="21" customHeight="1">
      <ns0:c r="A1750" s="32" t="str">
        <ns0:f>IF($E1750="","",INDEX('Banka Dökümü'!$A$2:$A$2001,$E1750))</ns0:f>
        <ns0:v/>
      </ns0:c>
      <ns0:c r="B1750" s="28" t="str">
        <ns0:f>IF($E1750="","",INDEX('Banka Dökümü'!$B$2:$B$2001,$E1750))</ns0:f>
        <ns0:v/>
      </ns0:c>
      <ns0:c r="C1750" s="33" t="str">
        <ns0:f>IF($E1750="","",INDEX('Banka Dökümü'!$C$2:$C$2001,$E1750))</ns0:f>
        <ns0:v/>
      </ns0:c>
      <ns0:c r="D1750" s="28" t="str">
        <ns0:f>IF(E1750="","","Müşteri adı / aranacak ad / il bilgisini kontrol edin")</ns0:f>
        <ns0:v/>
      </ns0:c>
      <ns0:c r="E1750" s="28" t="str">
        <ns0:f>IFERROR(MATCH(1746,'Banka Dökümü'!$I$2:$I$2001,0),"")</ns0:f>
        <ns0:v/>
      </ns0:c>
    </ns0:row>
    <ns0:row r="1751" ht="21" customHeight="1">
      <ns0:c r="A1751" s="32" t="str">
        <ns0:f>IF($E1751="","",INDEX('Banka Dökümü'!$A$2:$A$2001,$E1751))</ns0:f>
        <ns0:v/>
      </ns0:c>
      <ns0:c r="B1751" s="28" t="str">
        <ns0:f>IF($E1751="","",INDEX('Banka Dökümü'!$B$2:$B$2001,$E1751))</ns0:f>
        <ns0:v/>
      </ns0:c>
      <ns0:c r="C1751" s="33" t="str">
        <ns0:f>IF($E1751="","",INDEX('Banka Dökümü'!$C$2:$C$2001,$E1751))</ns0:f>
        <ns0:v/>
      </ns0:c>
      <ns0:c r="D1751" s="28" t="str">
        <ns0:f>IF(E1751="","","Müşteri adı / aranacak ad / il bilgisini kontrol edin")</ns0:f>
        <ns0:v/>
      </ns0:c>
      <ns0:c r="E1751" s="28" t="str">
        <ns0:f>IFERROR(MATCH(1747,'Banka Dökümü'!$I$2:$I$2001,0),"")</ns0:f>
        <ns0:v/>
      </ns0:c>
    </ns0:row>
    <ns0:row r="1752" ht="21" customHeight="1">
      <ns0:c r="A1752" s="32" t="str">
        <ns0:f>IF($E1752="","",INDEX('Banka Dökümü'!$A$2:$A$2001,$E1752))</ns0:f>
        <ns0:v/>
      </ns0:c>
      <ns0:c r="B1752" s="28" t="str">
        <ns0:f>IF($E1752="","",INDEX('Banka Dökümü'!$B$2:$B$2001,$E1752))</ns0:f>
        <ns0:v/>
      </ns0:c>
      <ns0:c r="C1752" s="33" t="str">
        <ns0:f>IF($E1752="","",INDEX('Banka Dökümü'!$C$2:$C$2001,$E1752))</ns0:f>
        <ns0:v/>
      </ns0:c>
      <ns0:c r="D1752" s="28" t="str">
        <ns0:f>IF(E1752="","","Müşteri adı / aranacak ad / il bilgisini kontrol edin")</ns0:f>
        <ns0:v/>
      </ns0:c>
      <ns0:c r="E1752" s="28" t="str">
        <ns0:f>IFERROR(MATCH(1748,'Banka Dökümü'!$I$2:$I$2001,0),"")</ns0:f>
        <ns0:v/>
      </ns0:c>
    </ns0:row>
    <ns0:row r="1753" ht="21" customHeight="1">
      <ns0:c r="A1753" s="32" t="str">
        <ns0:f>IF($E1753="","",INDEX('Banka Dökümü'!$A$2:$A$2001,$E1753))</ns0:f>
        <ns0:v/>
      </ns0:c>
      <ns0:c r="B1753" s="28" t="str">
        <ns0:f>IF($E1753="","",INDEX('Banka Dökümü'!$B$2:$B$2001,$E1753))</ns0:f>
        <ns0:v/>
      </ns0:c>
      <ns0:c r="C1753" s="33" t="str">
        <ns0:f>IF($E1753="","",INDEX('Banka Dökümü'!$C$2:$C$2001,$E1753))</ns0:f>
        <ns0:v/>
      </ns0:c>
      <ns0:c r="D1753" s="28" t="str">
        <ns0:f>IF(E1753="","","Müşteri adı / aranacak ad / il bilgisini kontrol edin")</ns0:f>
        <ns0:v/>
      </ns0:c>
      <ns0:c r="E1753" s="28" t="str">
        <ns0:f>IFERROR(MATCH(1749,'Banka Dökümü'!$I$2:$I$2001,0),"")</ns0:f>
        <ns0:v/>
      </ns0:c>
    </ns0:row>
    <ns0:row r="1754" ht="21" customHeight="1">
      <ns0:c r="A1754" s="32" t="str">
        <ns0:f>IF($E1754="","",INDEX('Banka Dökümü'!$A$2:$A$2001,$E1754))</ns0:f>
        <ns0:v/>
      </ns0:c>
      <ns0:c r="B1754" s="28" t="str">
        <ns0:f>IF($E1754="","",INDEX('Banka Dökümü'!$B$2:$B$2001,$E1754))</ns0:f>
        <ns0:v/>
      </ns0:c>
      <ns0:c r="C1754" s="33" t="str">
        <ns0:f>IF($E1754="","",INDEX('Banka Dökümü'!$C$2:$C$2001,$E1754))</ns0:f>
        <ns0:v/>
      </ns0:c>
      <ns0:c r="D1754" s="28" t="str">
        <ns0:f>IF(E1754="","","Müşteri adı / aranacak ad / il bilgisini kontrol edin")</ns0:f>
        <ns0:v/>
      </ns0:c>
      <ns0:c r="E1754" s="28" t="str">
        <ns0:f>IFERROR(MATCH(1750,'Banka Dökümü'!$I$2:$I$2001,0),"")</ns0:f>
        <ns0:v/>
      </ns0:c>
    </ns0:row>
    <ns0:row r="1755" ht="21" customHeight="1">
      <ns0:c r="A1755" s="32" t="str">
        <ns0:f>IF($E1755="","",INDEX('Banka Dökümü'!$A$2:$A$2001,$E1755))</ns0:f>
        <ns0:v/>
      </ns0:c>
      <ns0:c r="B1755" s="28" t="str">
        <ns0:f>IF($E1755="","",INDEX('Banka Dökümü'!$B$2:$B$2001,$E1755))</ns0:f>
        <ns0:v/>
      </ns0:c>
      <ns0:c r="C1755" s="33" t="str">
        <ns0:f>IF($E1755="","",INDEX('Banka Dökümü'!$C$2:$C$2001,$E1755))</ns0:f>
        <ns0:v/>
      </ns0:c>
      <ns0:c r="D1755" s="28" t="str">
        <ns0:f>IF(E1755="","","Müşteri adı / aranacak ad / il bilgisini kontrol edin")</ns0:f>
        <ns0:v/>
      </ns0:c>
      <ns0:c r="E1755" s="28" t="str">
        <ns0:f>IFERROR(MATCH(1751,'Banka Dökümü'!$I$2:$I$2001,0),"")</ns0:f>
        <ns0:v/>
      </ns0:c>
    </ns0:row>
    <ns0:row r="1756" ht="21" customHeight="1">
      <ns0:c r="A1756" s="32" t="str">
        <ns0:f>IF($E1756="","",INDEX('Banka Dökümü'!$A$2:$A$2001,$E1756))</ns0:f>
        <ns0:v/>
      </ns0:c>
      <ns0:c r="B1756" s="28" t="str">
        <ns0:f>IF($E1756="","",INDEX('Banka Dökümü'!$B$2:$B$2001,$E1756))</ns0:f>
        <ns0:v/>
      </ns0:c>
      <ns0:c r="C1756" s="33" t="str">
        <ns0:f>IF($E1756="","",INDEX('Banka Dökümü'!$C$2:$C$2001,$E1756))</ns0:f>
        <ns0:v/>
      </ns0:c>
      <ns0:c r="D1756" s="28" t="str">
        <ns0:f>IF(E1756="","","Müşteri adı / aranacak ad / il bilgisini kontrol edin")</ns0:f>
        <ns0:v/>
      </ns0:c>
      <ns0:c r="E1756" s="28" t="str">
        <ns0:f>IFERROR(MATCH(1752,'Banka Dökümü'!$I$2:$I$2001,0),"")</ns0:f>
        <ns0:v/>
      </ns0:c>
    </ns0:row>
    <ns0:row r="1757" ht="21" customHeight="1">
      <ns0:c r="A1757" s="32" t="str">
        <ns0:f>IF($E1757="","",INDEX('Banka Dökümü'!$A$2:$A$2001,$E1757))</ns0:f>
        <ns0:v/>
      </ns0:c>
      <ns0:c r="B1757" s="28" t="str">
        <ns0:f>IF($E1757="","",INDEX('Banka Dökümü'!$B$2:$B$2001,$E1757))</ns0:f>
        <ns0:v/>
      </ns0:c>
      <ns0:c r="C1757" s="33" t="str">
        <ns0:f>IF($E1757="","",INDEX('Banka Dökümü'!$C$2:$C$2001,$E1757))</ns0:f>
        <ns0:v/>
      </ns0:c>
      <ns0:c r="D1757" s="28" t="str">
        <ns0:f>IF(E1757="","","Müşteri adı / aranacak ad / il bilgisini kontrol edin")</ns0:f>
        <ns0:v/>
      </ns0:c>
      <ns0:c r="E1757" s="28" t="str">
        <ns0:f>IFERROR(MATCH(1753,'Banka Dökümü'!$I$2:$I$2001,0),"")</ns0:f>
        <ns0:v/>
      </ns0:c>
    </ns0:row>
    <ns0:row r="1758" ht="21" customHeight="1">
      <ns0:c r="A1758" s="32" t="str">
        <ns0:f>IF($E1758="","",INDEX('Banka Dökümü'!$A$2:$A$2001,$E1758))</ns0:f>
        <ns0:v/>
      </ns0:c>
      <ns0:c r="B1758" s="28" t="str">
        <ns0:f>IF($E1758="","",INDEX('Banka Dökümü'!$B$2:$B$2001,$E1758))</ns0:f>
        <ns0:v/>
      </ns0:c>
      <ns0:c r="C1758" s="33" t="str">
        <ns0:f>IF($E1758="","",INDEX('Banka Dökümü'!$C$2:$C$2001,$E1758))</ns0:f>
        <ns0:v/>
      </ns0:c>
      <ns0:c r="D1758" s="28" t="str">
        <ns0:f>IF(E1758="","","Müşteri adı / aranacak ad / il bilgisini kontrol edin")</ns0:f>
        <ns0:v/>
      </ns0:c>
      <ns0:c r="E1758" s="28" t="str">
        <ns0:f>IFERROR(MATCH(1754,'Banka Dökümü'!$I$2:$I$2001,0),"")</ns0:f>
        <ns0:v/>
      </ns0:c>
    </ns0:row>
    <ns0:row r="1759" ht="21" customHeight="1">
      <ns0:c r="A1759" s="32" t="str">
        <ns0:f>IF($E1759="","",INDEX('Banka Dökümü'!$A$2:$A$2001,$E1759))</ns0:f>
        <ns0:v/>
      </ns0:c>
      <ns0:c r="B1759" s="28" t="str">
        <ns0:f>IF($E1759="","",INDEX('Banka Dökümü'!$B$2:$B$2001,$E1759))</ns0:f>
        <ns0:v/>
      </ns0:c>
      <ns0:c r="C1759" s="33" t="str">
        <ns0:f>IF($E1759="","",INDEX('Banka Dökümü'!$C$2:$C$2001,$E1759))</ns0:f>
        <ns0:v/>
      </ns0:c>
      <ns0:c r="D1759" s="28" t="str">
        <ns0:f>IF(E1759="","","Müşteri adı / aranacak ad / il bilgisini kontrol edin")</ns0:f>
        <ns0:v/>
      </ns0:c>
      <ns0:c r="E1759" s="28" t="str">
        <ns0:f>IFERROR(MATCH(1755,'Banka Dökümü'!$I$2:$I$2001,0),"")</ns0:f>
        <ns0:v/>
      </ns0:c>
    </ns0:row>
    <ns0:row r="1760" ht="21" customHeight="1">
      <ns0:c r="A1760" s="32" t="str">
        <ns0:f>IF($E1760="","",INDEX('Banka Dökümü'!$A$2:$A$2001,$E1760))</ns0:f>
        <ns0:v/>
      </ns0:c>
      <ns0:c r="B1760" s="28" t="str">
        <ns0:f>IF($E1760="","",INDEX('Banka Dökümü'!$B$2:$B$2001,$E1760))</ns0:f>
        <ns0:v/>
      </ns0:c>
      <ns0:c r="C1760" s="33" t="str">
        <ns0:f>IF($E1760="","",INDEX('Banka Dökümü'!$C$2:$C$2001,$E1760))</ns0:f>
        <ns0:v/>
      </ns0:c>
      <ns0:c r="D1760" s="28" t="str">
        <ns0:f>IF(E1760="","","Müşteri adı / aranacak ad / il bilgisini kontrol edin")</ns0:f>
        <ns0:v/>
      </ns0:c>
      <ns0:c r="E1760" s="28" t="str">
        <ns0:f>IFERROR(MATCH(1756,'Banka Dökümü'!$I$2:$I$2001,0),"")</ns0:f>
        <ns0:v/>
      </ns0:c>
    </ns0:row>
    <ns0:row r="1761" ht="21" customHeight="1">
      <ns0:c r="A1761" s="32" t="str">
        <ns0:f>IF($E1761="","",INDEX('Banka Dökümü'!$A$2:$A$2001,$E1761))</ns0:f>
        <ns0:v/>
      </ns0:c>
      <ns0:c r="B1761" s="28" t="str">
        <ns0:f>IF($E1761="","",INDEX('Banka Dökümü'!$B$2:$B$2001,$E1761))</ns0:f>
        <ns0:v/>
      </ns0:c>
      <ns0:c r="C1761" s="33" t="str">
        <ns0:f>IF($E1761="","",INDEX('Banka Dökümü'!$C$2:$C$2001,$E1761))</ns0:f>
        <ns0:v/>
      </ns0:c>
      <ns0:c r="D1761" s="28" t="str">
        <ns0:f>IF(E1761="","","Müşteri adı / aranacak ad / il bilgisini kontrol edin")</ns0:f>
        <ns0:v/>
      </ns0:c>
      <ns0:c r="E1761" s="28" t="str">
        <ns0:f>IFERROR(MATCH(1757,'Banka Dökümü'!$I$2:$I$2001,0),"")</ns0:f>
        <ns0:v/>
      </ns0:c>
    </ns0:row>
    <ns0:row r="1762" ht="21" customHeight="1">
      <ns0:c r="A1762" s="32" t="str">
        <ns0:f>IF($E1762="","",INDEX('Banka Dökümü'!$A$2:$A$2001,$E1762))</ns0:f>
        <ns0:v/>
      </ns0:c>
      <ns0:c r="B1762" s="28" t="str">
        <ns0:f>IF($E1762="","",INDEX('Banka Dökümü'!$B$2:$B$2001,$E1762))</ns0:f>
        <ns0:v/>
      </ns0:c>
      <ns0:c r="C1762" s="33" t="str">
        <ns0:f>IF($E1762="","",INDEX('Banka Dökümü'!$C$2:$C$2001,$E1762))</ns0:f>
        <ns0:v/>
      </ns0:c>
      <ns0:c r="D1762" s="28" t="str">
        <ns0:f>IF(E1762="","","Müşteri adı / aranacak ad / il bilgisini kontrol edin")</ns0:f>
        <ns0:v/>
      </ns0:c>
      <ns0:c r="E1762" s="28" t="str">
        <ns0:f>IFERROR(MATCH(1758,'Banka Dökümü'!$I$2:$I$2001,0),"")</ns0:f>
        <ns0:v/>
      </ns0:c>
    </ns0:row>
    <ns0:row r="1763" ht="21" customHeight="1">
      <ns0:c r="A1763" s="32" t="str">
        <ns0:f>IF($E1763="","",INDEX('Banka Dökümü'!$A$2:$A$2001,$E1763))</ns0:f>
        <ns0:v/>
      </ns0:c>
      <ns0:c r="B1763" s="28" t="str">
        <ns0:f>IF($E1763="","",INDEX('Banka Dökümü'!$B$2:$B$2001,$E1763))</ns0:f>
        <ns0:v/>
      </ns0:c>
      <ns0:c r="C1763" s="33" t="str">
        <ns0:f>IF($E1763="","",INDEX('Banka Dökümü'!$C$2:$C$2001,$E1763))</ns0:f>
        <ns0:v/>
      </ns0:c>
      <ns0:c r="D1763" s="28" t="str">
        <ns0:f>IF(E1763="","","Müşteri adı / aranacak ad / il bilgisini kontrol edin")</ns0:f>
        <ns0:v/>
      </ns0:c>
      <ns0:c r="E1763" s="28" t="str">
        <ns0:f>IFERROR(MATCH(1759,'Banka Dökümü'!$I$2:$I$2001,0),"")</ns0:f>
        <ns0:v/>
      </ns0:c>
    </ns0:row>
    <ns0:row r="1764" ht="21" customHeight="1">
      <ns0:c r="A1764" s="32" t="str">
        <ns0:f>IF($E1764="","",INDEX('Banka Dökümü'!$A$2:$A$2001,$E1764))</ns0:f>
        <ns0:v/>
      </ns0:c>
      <ns0:c r="B1764" s="28" t="str">
        <ns0:f>IF($E1764="","",INDEX('Banka Dökümü'!$B$2:$B$2001,$E1764))</ns0:f>
        <ns0:v/>
      </ns0:c>
      <ns0:c r="C1764" s="33" t="str">
        <ns0:f>IF($E1764="","",INDEX('Banka Dökümü'!$C$2:$C$2001,$E1764))</ns0:f>
        <ns0:v/>
      </ns0:c>
      <ns0:c r="D1764" s="28" t="str">
        <ns0:f>IF(E1764="","","Müşteri adı / aranacak ad / il bilgisini kontrol edin")</ns0:f>
        <ns0:v/>
      </ns0:c>
      <ns0:c r="E1764" s="28" t="str">
        <ns0:f>IFERROR(MATCH(1760,'Banka Dökümü'!$I$2:$I$2001,0),"")</ns0:f>
        <ns0:v/>
      </ns0:c>
    </ns0:row>
    <ns0:row r="1765" ht="21" customHeight="1">
      <ns0:c r="A1765" s="32" t="str">
        <ns0:f>IF($E1765="","",INDEX('Banka Dökümü'!$A$2:$A$2001,$E1765))</ns0:f>
        <ns0:v/>
      </ns0:c>
      <ns0:c r="B1765" s="28" t="str">
        <ns0:f>IF($E1765="","",INDEX('Banka Dökümü'!$B$2:$B$2001,$E1765))</ns0:f>
        <ns0:v/>
      </ns0:c>
      <ns0:c r="C1765" s="33" t="str">
        <ns0:f>IF($E1765="","",INDEX('Banka Dökümü'!$C$2:$C$2001,$E1765))</ns0:f>
        <ns0:v/>
      </ns0:c>
      <ns0:c r="D1765" s="28" t="str">
        <ns0:f>IF(E1765="","","Müşteri adı / aranacak ad / il bilgisini kontrol edin")</ns0:f>
        <ns0:v/>
      </ns0:c>
      <ns0:c r="E1765" s="28" t="str">
        <ns0:f>IFERROR(MATCH(1761,'Banka Dökümü'!$I$2:$I$2001,0),"")</ns0:f>
        <ns0:v/>
      </ns0:c>
    </ns0:row>
    <ns0:row r="1766" ht="21" customHeight="1">
      <ns0:c r="A1766" s="32" t="str">
        <ns0:f>IF($E1766="","",INDEX('Banka Dökümü'!$A$2:$A$2001,$E1766))</ns0:f>
        <ns0:v/>
      </ns0:c>
      <ns0:c r="B1766" s="28" t="str">
        <ns0:f>IF($E1766="","",INDEX('Banka Dökümü'!$B$2:$B$2001,$E1766))</ns0:f>
        <ns0:v/>
      </ns0:c>
      <ns0:c r="C1766" s="33" t="str">
        <ns0:f>IF($E1766="","",INDEX('Banka Dökümü'!$C$2:$C$2001,$E1766))</ns0:f>
        <ns0:v/>
      </ns0:c>
      <ns0:c r="D1766" s="28" t="str">
        <ns0:f>IF(E1766="","","Müşteri adı / aranacak ad / il bilgisini kontrol edin")</ns0:f>
        <ns0:v/>
      </ns0:c>
      <ns0:c r="E1766" s="28" t="str">
        <ns0:f>IFERROR(MATCH(1762,'Banka Dökümü'!$I$2:$I$2001,0),"")</ns0:f>
        <ns0:v/>
      </ns0:c>
    </ns0:row>
    <ns0:row r="1767" ht="21" customHeight="1">
      <ns0:c r="A1767" s="32" t="str">
        <ns0:f>IF($E1767="","",INDEX('Banka Dökümü'!$A$2:$A$2001,$E1767))</ns0:f>
        <ns0:v/>
      </ns0:c>
      <ns0:c r="B1767" s="28" t="str">
        <ns0:f>IF($E1767="","",INDEX('Banka Dökümü'!$B$2:$B$2001,$E1767))</ns0:f>
        <ns0:v/>
      </ns0:c>
      <ns0:c r="C1767" s="33" t="str">
        <ns0:f>IF($E1767="","",INDEX('Banka Dökümü'!$C$2:$C$2001,$E1767))</ns0:f>
        <ns0:v/>
      </ns0:c>
      <ns0:c r="D1767" s="28" t="str">
        <ns0:f>IF(E1767="","","Müşteri adı / aranacak ad / il bilgisini kontrol edin")</ns0:f>
        <ns0:v/>
      </ns0:c>
      <ns0:c r="E1767" s="28" t="str">
        <ns0:f>IFERROR(MATCH(1763,'Banka Dökümü'!$I$2:$I$2001,0),"")</ns0:f>
        <ns0:v/>
      </ns0:c>
    </ns0:row>
    <ns0:row r="1768" ht="21" customHeight="1">
      <ns0:c r="A1768" s="32" t="str">
        <ns0:f>IF($E1768="","",INDEX('Banka Dökümü'!$A$2:$A$2001,$E1768))</ns0:f>
        <ns0:v/>
      </ns0:c>
      <ns0:c r="B1768" s="28" t="str">
        <ns0:f>IF($E1768="","",INDEX('Banka Dökümü'!$B$2:$B$2001,$E1768))</ns0:f>
        <ns0:v/>
      </ns0:c>
      <ns0:c r="C1768" s="33" t="str">
        <ns0:f>IF($E1768="","",INDEX('Banka Dökümü'!$C$2:$C$2001,$E1768))</ns0:f>
        <ns0:v/>
      </ns0:c>
      <ns0:c r="D1768" s="28" t="str">
        <ns0:f>IF(E1768="","","Müşteri adı / aranacak ad / il bilgisini kontrol edin")</ns0:f>
        <ns0:v/>
      </ns0:c>
      <ns0:c r="E1768" s="28" t="str">
        <ns0:f>IFERROR(MATCH(1764,'Banka Dökümü'!$I$2:$I$2001,0),"")</ns0:f>
        <ns0:v/>
      </ns0:c>
    </ns0:row>
    <ns0:row r="1769" ht="21" customHeight="1">
      <ns0:c r="A1769" s="32" t="str">
        <ns0:f>IF($E1769="","",INDEX('Banka Dökümü'!$A$2:$A$2001,$E1769))</ns0:f>
        <ns0:v/>
      </ns0:c>
      <ns0:c r="B1769" s="28" t="str">
        <ns0:f>IF($E1769="","",INDEX('Banka Dökümü'!$B$2:$B$2001,$E1769))</ns0:f>
        <ns0:v/>
      </ns0:c>
      <ns0:c r="C1769" s="33" t="str">
        <ns0:f>IF($E1769="","",INDEX('Banka Dökümü'!$C$2:$C$2001,$E1769))</ns0:f>
        <ns0:v/>
      </ns0:c>
      <ns0:c r="D1769" s="28" t="str">
        <ns0:f>IF(E1769="","","Müşteri adı / aranacak ad / il bilgisini kontrol edin")</ns0:f>
        <ns0:v/>
      </ns0:c>
      <ns0:c r="E1769" s="28" t="str">
        <ns0:f>IFERROR(MATCH(1765,'Banka Dökümü'!$I$2:$I$2001,0),"")</ns0:f>
        <ns0:v/>
      </ns0:c>
    </ns0:row>
    <ns0:row r="1770" ht="21" customHeight="1">
      <ns0:c r="A1770" s="32" t="str">
        <ns0:f>IF($E1770="","",INDEX('Banka Dökümü'!$A$2:$A$2001,$E1770))</ns0:f>
        <ns0:v/>
      </ns0:c>
      <ns0:c r="B1770" s="28" t="str">
        <ns0:f>IF($E1770="","",INDEX('Banka Dökümü'!$B$2:$B$2001,$E1770))</ns0:f>
        <ns0:v/>
      </ns0:c>
      <ns0:c r="C1770" s="33" t="str">
        <ns0:f>IF($E1770="","",INDEX('Banka Dökümü'!$C$2:$C$2001,$E1770))</ns0:f>
        <ns0:v/>
      </ns0:c>
      <ns0:c r="D1770" s="28" t="str">
        <ns0:f>IF(E1770="","","Müşteri adı / aranacak ad / il bilgisini kontrol edin")</ns0:f>
        <ns0:v/>
      </ns0:c>
      <ns0:c r="E1770" s="28" t="str">
        <ns0:f>IFERROR(MATCH(1766,'Banka Dökümü'!$I$2:$I$2001,0),"")</ns0:f>
        <ns0:v/>
      </ns0:c>
    </ns0:row>
    <ns0:row r="1771" ht="21" customHeight="1">
      <ns0:c r="A1771" s="32" t="str">
        <ns0:f>IF($E1771="","",INDEX('Banka Dökümü'!$A$2:$A$2001,$E1771))</ns0:f>
        <ns0:v/>
      </ns0:c>
      <ns0:c r="B1771" s="28" t="str">
        <ns0:f>IF($E1771="","",INDEX('Banka Dökümü'!$B$2:$B$2001,$E1771))</ns0:f>
        <ns0:v/>
      </ns0:c>
      <ns0:c r="C1771" s="33" t="str">
        <ns0:f>IF($E1771="","",INDEX('Banka Dökümü'!$C$2:$C$2001,$E1771))</ns0:f>
        <ns0:v/>
      </ns0:c>
      <ns0:c r="D1771" s="28" t="str">
        <ns0:f>IF(E1771="","","Müşteri adı / aranacak ad / il bilgisini kontrol edin")</ns0:f>
        <ns0:v/>
      </ns0:c>
      <ns0:c r="E1771" s="28" t="str">
        <ns0:f>IFERROR(MATCH(1767,'Banka Dökümü'!$I$2:$I$2001,0),"")</ns0:f>
        <ns0:v/>
      </ns0:c>
    </ns0:row>
    <ns0:row r="1772" ht="21" customHeight="1">
      <ns0:c r="A1772" s="32" t="str">
        <ns0:f>IF($E1772="","",INDEX('Banka Dökümü'!$A$2:$A$2001,$E1772))</ns0:f>
        <ns0:v/>
      </ns0:c>
      <ns0:c r="B1772" s="28" t="str">
        <ns0:f>IF($E1772="","",INDEX('Banka Dökümü'!$B$2:$B$2001,$E1772))</ns0:f>
        <ns0:v/>
      </ns0:c>
      <ns0:c r="C1772" s="33" t="str">
        <ns0:f>IF($E1772="","",INDEX('Banka Dökümü'!$C$2:$C$2001,$E1772))</ns0:f>
        <ns0:v/>
      </ns0:c>
      <ns0:c r="D1772" s="28" t="str">
        <ns0:f>IF(E1772="","","Müşteri adı / aranacak ad / il bilgisini kontrol edin")</ns0:f>
        <ns0:v/>
      </ns0:c>
      <ns0:c r="E1772" s="28" t="str">
        <ns0:f>IFERROR(MATCH(1768,'Banka Dökümü'!$I$2:$I$2001,0),"")</ns0:f>
        <ns0:v/>
      </ns0:c>
    </ns0:row>
    <ns0:row r="1773" ht="21" customHeight="1">
      <ns0:c r="A1773" s="32" t="str">
        <ns0:f>IF($E1773="","",INDEX('Banka Dökümü'!$A$2:$A$2001,$E1773))</ns0:f>
        <ns0:v/>
      </ns0:c>
      <ns0:c r="B1773" s="28" t="str">
        <ns0:f>IF($E1773="","",INDEX('Banka Dökümü'!$B$2:$B$2001,$E1773))</ns0:f>
        <ns0:v/>
      </ns0:c>
      <ns0:c r="C1773" s="33" t="str">
        <ns0:f>IF($E1773="","",INDEX('Banka Dökümü'!$C$2:$C$2001,$E1773))</ns0:f>
        <ns0:v/>
      </ns0:c>
      <ns0:c r="D1773" s="28" t="str">
        <ns0:f>IF(E1773="","","Müşteri adı / aranacak ad / il bilgisini kontrol edin")</ns0:f>
        <ns0:v/>
      </ns0:c>
      <ns0:c r="E1773" s="28" t="str">
        <ns0:f>IFERROR(MATCH(1769,'Banka Dökümü'!$I$2:$I$2001,0),"")</ns0:f>
        <ns0:v/>
      </ns0:c>
    </ns0:row>
    <ns0:row r="1774" ht="21" customHeight="1">
      <ns0:c r="A1774" s="32" t="str">
        <ns0:f>IF($E1774="","",INDEX('Banka Dökümü'!$A$2:$A$2001,$E1774))</ns0:f>
        <ns0:v/>
      </ns0:c>
      <ns0:c r="B1774" s="28" t="str">
        <ns0:f>IF($E1774="","",INDEX('Banka Dökümü'!$B$2:$B$2001,$E1774))</ns0:f>
        <ns0:v/>
      </ns0:c>
      <ns0:c r="C1774" s="33" t="str">
        <ns0:f>IF($E1774="","",INDEX('Banka Dökümü'!$C$2:$C$2001,$E1774))</ns0:f>
        <ns0:v/>
      </ns0:c>
      <ns0:c r="D1774" s="28" t="str">
        <ns0:f>IF(E1774="","","Müşteri adı / aranacak ad / il bilgisini kontrol edin")</ns0:f>
        <ns0:v/>
      </ns0:c>
      <ns0:c r="E1774" s="28" t="str">
        <ns0:f>IFERROR(MATCH(1770,'Banka Dökümü'!$I$2:$I$2001,0),"")</ns0:f>
        <ns0:v/>
      </ns0:c>
    </ns0:row>
    <ns0:row r="1775" ht="21" customHeight="1">
      <ns0:c r="A1775" s="32" t="str">
        <ns0:f>IF($E1775="","",INDEX('Banka Dökümü'!$A$2:$A$2001,$E1775))</ns0:f>
        <ns0:v/>
      </ns0:c>
      <ns0:c r="B1775" s="28" t="str">
        <ns0:f>IF($E1775="","",INDEX('Banka Dökümü'!$B$2:$B$2001,$E1775))</ns0:f>
        <ns0:v/>
      </ns0:c>
      <ns0:c r="C1775" s="33" t="str">
        <ns0:f>IF($E1775="","",INDEX('Banka Dökümü'!$C$2:$C$2001,$E1775))</ns0:f>
        <ns0:v/>
      </ns0:c>
      <ns0:c r="D1775" s="28" t="str">
        <ns0:f>IF(E1775="","","Müşteri adı / aranacak ad / il bilgisini kontrol edin")</ns0:f>
        <ns0:v/>
      </ns0:c>
      <ns0:c r="E1775" s="28" t="str">
        <ns0:f>IFERROR(MATCH(1771,'Banka Dökümü'!$I$2:$I$2001,0),"")</ns0:f>
        <ns0:v/>
      </ns0:c>
    </ns0:row>
    <ns0:row r="1776" ht="21" customHeight="1">
      <ns0:c r="A1776" s="32" t="str">
        <ns0:f>IF($E1776="","",INDEX('Banka Dökümü'!$A$2:$A$2001,$E1776))</ns0:f>
        <ns0:v/>
      </ns0:c>
      <ns0:c r="B1776" s="28" t="str">
        <ns0:f>IF($E1776="","",INDEX('Banka Dökümü'!$B$2:$B$2001,$E1776))</ns0:f>
        <ns0:v/>
      </ns0:c>
      <ns0:c r="C1776" s="33" t="str">
        <ns0:f>IF($E1776="","",INDEX('Banka Dökümü'!$C$2:$C$2001,$E1776))</ns0:f>
        <ns0:v/>
      </ns0:c>
      <ns0:c r="D1776" s="28" t="str">
        <ns0:f>IF(E1776="","","Müşteri adı / aranacak ad / il bilgisini kontrol edin")</ns0:f>
        <ns0:v/>
      </ns0:c>
      <ns0:c r="E1776" s="28" t="str">
        <ns0:f>IFERROR(MATCH(1772,'Banka Dökümü'!$I$2:$I$2001,0),"")</ns0:f>
        <ns0:v/>
      </ns0:c>
    </ns0:row>
    <ns0:row r="1777" ht="21" customHeight="1">
      <ns0:c r="A1777" s="32" t="str">
        <ns0:f>IF($E1777="","",INDEX('Banka Dökümü'!$A$2:$A$2001,$E1777))</ns0:f>
        <ns0:v/>
      </ns0:c>
      <ns0:c r="B1777" s="28" t="str">
        <ns0:f>IF($E1777="","",INDEX('Banka Dökümü'!$B$2:$B$2001,$E1777))</ns0:f>
        <ns0:v/>
      </ns0:c>
      <ns0:c r="C1777" s="33" t="str">
        <ns0:f>IF($E1777="","",INDEX('Banka Dökümü'!$C$2:$C$2001,$E1777))</ns0:f>
        <ns0:v/>
      </ns0:c>
      <ns0:c r="D1777" s="28" t="str">
        <ns0:f>IF(E1777="","","Müşteri adı / aranacak ad / il bilgisini kontrol edin")</ns0:f>
        <ns0:v/>
      </ns0:c>
      <ns0:c r="E1777" s="28" t="str">
        <ns0:f>IFERROR(MATCH(1773,'Banka Dökümü'!$I$2:$I$2001,0),"")</ns0:f>
        <ns0:v/>
      </ns0:c>
    </ns0:row>
    <ns0:row r="1778" ht="21" customHeight="1">
      <ns0:c r="A1778" s="32" t="str">
        <ns0:f>IF($E1778="","",INDEX('Banka Dökümü'!$A$2:$A$2001,$E1778))</ns0:f>
        <ns0:v/>
      </ns0:c>
      <ns0:c r="B1778" s="28" t="str">
        <ns0:f>IF($E1778="","",INDEX('Banka Dökümü'!$B$2:$B$2001,$E1778))</ns0:f>
        <ns0:v/>
      </ns0:c>
      <ns0:c r="C1778" s="33" t="str">
        <ns0:f>IF($E1778="","",INDEX('Banka Dökümü'!$C$2:$C$2001,$E1778))</ns0:f>
        <ns0:v/>
      </ns0:c>
      <ns0:c r="D1778" s="28" t="str">
        <ns0:f>IF(E1778="","","Müşteri adı / aranacak ad / il bilgisini kontrol edin")</ns0:f>
        <ns0:v/>
      </ns0:c>
      <ns0:c r="E1778" s="28" t="str">
        <ns0:f>IFERROR(MATCH(1774,'Banka Dökümü'!$I$2:$I$2001,0),"")</ns0:f>
        <ns0:v/>
      </ns0:c>
    </ns0:row>
    <ns0:row r="1779" ht="21" customHeight="1">
      <ns0:c r="A1779" s="32" t="str">
        <ns0:f>IF($E1779="","",INDEX('Banka Dökümü'!$A$2:$A$2001,$E1779))</ns0:f>
        <ns0:v/>
      </ns0:c>
      <ns0:c r="B1779" s="28" t="str">
        <ns0:f>IF($E1779="","",INDEX('Banka Dökümü'!$B$2:$B$2001,$E1779))</ns0:f>
        <ns0:v/>
      </ns0:c>
      <ns0:c r="C1779" s="33" t="str">
        <ns0:f>IF($E1779="","",INDEX('Banka Dökümü'!$C$2:$C$2001,$E1779))</ns0:f>
        <ns0:v/>
      </ns0:c>
      <ns0:c r="D1779" s="28" t="str">
        <ns0:f>IF(E1779="","","Müşteri adı / aranacak ad / il bilgisini kontrol edin")</ns0:f>
        <ns0:v/>
      </ns0:c>
      <ns0:c r="E1779" s="28" t="str">
        <ns0:f>IFERROR(MATCH(1775,'Banka Dökümü'!$I$2:$I$2001,0),"")</ns0:f>
        <ns0:v/>
      </ns0:c>
    </ns0:row>
    <ns0:row r="1780" ht="21" customHeight="1">
      <ns0:c r="A1780" s="32" t="str">
        <ns0:f>IF($E1780="","",INDEX('Banka Dökümü'!$A$2:$A$2001,$E1780))</ns0:f>
        <ns0:v/>
      </ns0:c>
      <ns0:c r="B1780" s="28" t="str">
        <ns0:f>IF($E1780="","",INDEX('Banka Dökümü'!$B$2:$B$2001,$E1780))</ns0:f>
        <ns0:v/>
      </ns0:c>
      <ns0:c r="C1780" s="33" t="str">
        <ns0:f>IF($E1780="","",INDEX('Banka Dökümü'!$C$2:$C$2001,$E1780))</ns0:f>
        <ns0:v/>
      </ns0:c>
      <ns0:c r="D1780" s="28" t="str">
        <ns0:f>IF(E1780="","","Müşteri adı / aranacak ad / il bilgisini kontrol edin")</ns0:f>
        <ns0:v/>
      </ns0:c>
      <ns0:c r="E1780" s="28" t="str">
        <ns0:f>IFERROR(MATCH(1776,'Banka Dökümü'!$I$2:$I$2001,0),"")</ns0:f>
        <ns0:v/>
      </ns0:c>
    </ns0:row>
    <ns0:row r="1781" ht="21" customHeight="1">
      <ns0:c r="A1781" s="32" t="str">
        <ns0:f>IF($E1781="","",INDEX('Banka Dökümü'!$A$2:$A$2001,$E1781))</ns0:f>
        <ns0:v/>
      </ns0:c>
      <ns0:c r="B1781" s="28" t="str">
        <ns0:f>IF($E1781="","",INDEX('Banka Dökümü'!$B$2:$B$2001,$E1781))</ns0:f>
        <ns0:v/>
      </ns0:c>
      <ns0:c r="C1781" s="33" t="str">
        <ns0:f>IF($E1781="","",INDEX('Banka Dökümü'!$C$2:$C$2001,$E1781))</ns0:f>
        <ns0:v/>
      </ns0:c>
      <ns0:c r="D1781" s="28" t="str">
        <ns0:f>IF(E1781="","","Müşteri adı / aranacak ad / il bilgisini kontrol edin")</ns0:f>
        <ns0:v/>
      </ns0:c>
      <ns0:c r="E1781" s="28" t="str">
        <ns0:f>IFERROR(MATCH(1777,'Banka Dökümü'!$I$2:$I$2001,0),"")</ns0:f>
        <ns0:v/>
      </ns0:c>
    </ns0:row>
    <ns0:row r="1782" ht="21" customHeight="1">
      <ns0:c r="A1782" s="32" t="str">
        <ns0:f>IF($E1782="","",INDEX('Banka Dökümü'!$A$2:$A$2001,$E1782))</ns0:f>
        <ns0:v/>
      </ns0:c>
      <ns0:c r="B1782" s="28" t="str">
        <ns0:f>IF($E1782="","",INDEX('Banka Dökümü'!$B$2:$B$2001,$E1782))</ns0:f>
        <ns0:v/>
      </ns0:c>
      <ns0:c r="C1782" s="33" t="str">
        <ns0:f>IF($E1782="","",INDEX('Banka Dökümü'!$C$2:$C$2001,$E1782))</ns0:f>
        <ns0:v/>
      </ns0:c>
      <ns0:c r="D1782" s="28" t="str">
        <ns0:f>IF(E1782="","","Müşteri adı / aranacak ad / il bilgisini kontrol edin")</ns0:f>
        <ns0:v/>
      </ns0:c>
      <ns0:c r="E1782" s="28" t="str">
        <ns0:f>IFERROR(MATCH(1778,'Banka Dökümü'!$I$2:$I$2001,0),"")</ns0:f>
        <ns0:v/>
      </ns0:c>
    </ns0:row>
    <ns0:row r="1783" ht="21" customHeight="1">
      <ns0:c r="A1783" s="32" t="str">
        <ns0:f>IF($E1783="","",INDEX('Banka Dökümü'!$A$2:$A$2001,$E1783))</ns0:f>
        <ns0:v/>
      </ns0:c>
      <ns0:c r="B1783" s="28" t="str">
        <ns0:f>IF($E1783="","",INDEX('Banka Dökümü'!$B$2:$B$2001,$E1783))</ns0:f>
        <ns0:v/>
      </ns0:c>
      <ns0:c r="C1783" s="33" t="str">
        <ns0:f>IF($E1783="","",INDEX('Banka Dökümü'!$C$2:$C$2001,$E1783))</ns0:f>
        <ns0:v/>
      </ns0:c>
      <ns0:c r="D1783" s="28" t="str">
        <ns0:f>IF(E1783="","","Müşteri adı / aranacak ad / il bilgisini kontrol edin")</ns0:f>
        <ns0:v/>
      </ns0:c>
      <ns0:c r="E1783" s="28" t="str">
        <ns0:f>IFERROR(MATCH(1779,'Banka Dökümü'!$I$2:$I$2001,0),"")</ns0:f>
        <ns0:v/>
      </ns0:c>
    </ns0:row>
    <ns0:row r="1784" ht="21" customHeight="1">
      <ns0:c r="A1784" s="32" t="str">
        <ns0:f>IF($E1784="","",INDEX('Banka Dökümü'!$A$2:$A$2001,$E1784))</ns0:f>
        <ns0:v/>
      </ns0:c>
      <ns0:c r="B1784" s="28" t="str">
        <ns0:f>IF($E1784="","",INDEX('Banka Dökümü'!$B$2:$B$2001,$E1784))</ns0:f>
        <ns0:v/>
      </ns0:c>
      <ns0:c r="C1784" s="33" t="str">
        <ns0:f>IF($E1784="","",INDEX('Banka Dökümü'!$C$2:$C$2001,$E1784))</ns0:f>
        <ns0:v/>
      </ns0:c>
      <ns0:c r="D1784" s="28" t="str">
        <ns0:f>IF(E1784="","","Müşteri adı / aranacak ad / il bilgisini kontrol edin")</ns0:f>
        <ns0:v/>
      </ns0:c>
      <ns0:c r="E1784" s="28" t="str">
        <ns0:f>IFERROR(MATCH(1780,'Banka Dökümü'!$I$2:$I$2001,0),"")</ns0:f>
        <ns0:v/>
      </ns0:c>
    </ns0:row>
    <ns0:row r="1785" ht="21" customHeight="1">
      <ns0:c r="A1785" s="32" t="str">
        <ns0:f>IF($E1785="","",INDEX('Banka Dökümü'!$A$2:$A$2001,$E1785))</ns0:f>
        <ns0:v/>
      </ns0:c>
      <ns0:c r="B1785" s="28" t="str">
        <ns0:f>IF($E1785="","",INDEX('Banka Dökümü'!$B$2:$B$2001,$E1785))</ns0:f>
        <ns0:v/>
      </ns0:c>
      <ns0:c r="C1785" s="33" t="str">
        <ns0:f>IF($E1785="","",INDEX('Banka Dökümü'!$C$2:$C$2001,$E1785))</ns0:f>
        <ns0:v/>
      </ns0:c>
      <ns0:c r="D1785" s="28" t="str">
        <ns0:f>IF(E1785="","","Müşteri adı / aranacak ad / il bilgisini kontrol edin")</ns0:f>
        <ns0:v/>
      </ns0:c>
      <ns0:c r="E1785" s="28" t="str">
        <ns0:f>IFERROR(MATCH(1781,'Banka Dökümü'!$I$2:$I$2001,0),"")</ns0:f>
        <ns0:v/>
      </ns0:c>
    </ns0:row>
    <ns0:row r="1786" ht="21" customHeight="1">
      <ns0:c r="A1786" s="32" t="str">
        <ns0:f>IF($E1786="","",INDEX('Banka Dökümü'!$A$2:$A$2001,$E1786))</ns0:f>
        <ns0:v/>
      </ns0:c>
      <ns0:c r="B1786" s="28" t="str">
        <ns0:f>IF($E1786="","",INDEX('Banka Dökümü'!$B$2:$B$2001,$E1786))</ns0:f>
        <ns0:v/>
      </ns0:c>
      <ns0:c r="C1786" s="33" t="str">
        <ns0:f>IF($E1786="","",INDEX('Banka Dökümü'!$C$2:$C$2001,$E1786))</ns0:f>
        <ns0:v/>
      </ns0:c>
      <ns0:c r="D1786" s="28" t="str">
        <ns0:f>IF(E1786="","","Müşteri adı / aranacak ad / il bilgisini kontrol edin")</ns0:f>
        <ns0:v/>
      </ns0:c>
      <ns0:c r="E1786" s="28" t="str">
        <ns0:f>IFERROR(MATCH(1782,'Banka Dökümü'!$I$2:$I$2001,0),"")</ns0:f>
        <ns0:v/>
      </ns0:c>
    </ns0:row>
    <ns0:row r="1787" ht="21" customHeight="1">
      <ns0:c r="A1787" s="32" t="str">
        <ns0:f>IF($E1787="","",INDEX('Banka Dökümü'!$A$2:$A$2001,$E1787))</ns0:f>
        <ns0:v/>
      </ns0:c>
      <ns0:c r="B1787" s="28" t="str">
        <ns0:f>IF($E1787="","",INDEX('Banka Dökümü'!$B$2:$B$2001,$E1787))</ns0:f>
        <ns0:v/>
      </ns0:c>
      <ns0:c r="C1787" s="33" t="str">
        <ns0:f>IF($E1787="","",INDEX('Banka Dökümü'!$C$2:$C$2001,$E1787))</ns0:f>
        <ns0:v/>
      </ns0:c>
      <ns0:c r="D1787" s="28" t="str">
        <ns0:f>IF(E1787="","","Müşteri adı / aranacak ad / il bilgisini kontrol edin")</ns0:f>
        <ns0:v/>
      </ns0:c>
      <ns0:c r="E1787" s="28" t="str">
        <ns0:f>IFERROR(MATCH(1783,'Banka Dökümü'!$I$2:$I$2001,0),"")</ns0:f>
        <ns0:v/>
      </ns0:c>
    </ns0:row>
    <ns0:row r="1788" ht="21" customHeight="1">
      <ns0:c r="A1788" s="32" t="str">
        <ns0:f>IF($E1788="","",INDEX('Banka Dökümü'!$A$2:$A$2001,$E1788))</ns0:f>
        <ns0:v/>
      </ns0:c>
      <ns0:c r="B1788" s="28" t="str">
        <ns0:f>IF($E1788="","",INDEX('Banka Dökümü'!$B$2:$B$2001,$E1788))</ns0:f>
        <ns0:v/>
      </ns0:c>
      <ns0:c r="C1788" s="33" t="str">
        <ns0:f>IF($E1788="","",INDEX('Banka Dökümü'!$C$2:$C$2001,$E1788))</ns0:f>
        <ns0:v/>
      </ns0:c>
      <ns0:c r="D1788" s="28" t="str">
        <ns0:f>IF(E1788="","","Müşteri adı / aranacak ad / il bilgisini kontrol edin")</ns0:f>
        <ns0:v/>
      </ns0:c>
      <ns0:c r="E1788" s="28" t="str">
        <ns0:f>IFERROR(MATCH(1784,'Banka Dökümü'!$I$2:$I$2001,0),"")</ns0:f>
        <ns0:v/>
      </ns0:c>
    </ns0:row>
    <ns0:row r="1789" ht="21" customHeight="1">
      <ns0:c r="A1789" s="32" t="str">
        <ns0:f>IF($E1789="","",INDEX('Banka Dökümü'!$A$2:$A$2001,$E1789))</ns0:f>
        <ns0:v/>
      </ns0:c>
      <ns0:c r="B1789" s="28" t="str">
        <ns0:f>IF($E1789="","",INDEX('Banka Dökümü'!$B$2:$B$2001,$E1789))</ns0:f>
        <ns0:v/>
      </ns0:c>
      <ns0:c r="C1789" s="33" t="str">
        <ns0:f>IF($E1789="","",INDEX('Banka Dökümü'!$C$2:$C$2001,$E1789))</ns0:f>
        <ns0:v/>
      </ns0:c>
      <ns0:c r="D1789" s="28" t="str">
        <ns0:f>IF(E1789="","","Müşteri adı / aranacak ad / il bilgisini kontrol edin")</ns0:f>
        <ns0:v/>
      </ns0:c>
      <ns0:c r="E1789" s="28" t="str">
        <ns0:f>IFERROR(MATCH(1785,'Banka Dökümü'!$I$2:$I$2001,0),"")</ns0:f>
        <ns0:v/>
      </ns0:c>
    </ns0:row>
    <ns0:row r="1790" ht="21" customHeight="1">
      <ns0:c r="A1790" s="32" t="str">
        <ns0:f>IF($E1790="","",INDEX('Banka Dökümü'!$A$2:$A$2001,$E1790))</ns0:f>
        <ns0:v/>
      </ns0:c>
      <ns0:c r="B1790" s="28" t="str">
        <ns0:f>IF($E1790="","",INDEX('Banka Dökümü'!$B$2:$B$2001,$E1790))</ns0:f>
        <ns0:v/>
      </ns0:c>
      <ns0:c r="C1790" s="33" t="str">
        <ns0:f>IF($E1790="","",INDEX('Banka Dökümü'!$C$2:$C$2001,$E1790))</ns0:f>
        <ns0:v/>
      </ns0:c>
      <ns0:c r="D1790" s="28" t="str">
        <ns0:f>IF(E1790="","","Müşteri adı / aranacak ad / il bilgisini kontrol edin")</ns0:f>
        <ns0:v/>
      </ns0:c>
      <ns0:c r="E1790" s="28" t="str">
        <ns0:f>IFERROR(MATCH(1786,'Banka Dökümü'!$I$2:$I$2001,0),"")</ns0:f>
        <ns0:v/>
      </ns0:c>
    </ns0:row>
    <ns0:row r="1791" ht="21" customHeight="1">
      <ns0:c r="A1791" s="32" t="str">
        <ns0:f>IF($E1791="","",INDEX('Banka Dökümü'!$A$2:$A$2001,$E1791))</ns0:f>
        <ns0:v/>
      </ns0:c>
      <ns0:c r="B1791" s="28" t="str">
        <ns0:f>IF($E1791="","",INDEX('Banka Dökümü'!$B$2:$B$2001,$E1791))</ns0:f>
        <ns0:v/>
      </ns0:c>
      <ns0:c r="C1791" s="33" t="str">
        <ns0:f>IF($E1791="","",INDEX('Banka Dökümü'!$C$2:$C$2001,$E1791))</ns0:f>
        <ns0:v/>
      </ns0:c>
      <ns0:c r="D1791" s="28" t="str">
        <ns0:f>IF(E1791="","","Müşteri adı / aranacak ad / il bilgisini kontrol edin")</ns0:f>
        <ns0:v/>
      </ns0:c>
      <ns0:c r="E1791" s="28" t="str">
        <ns0:f>IFERROR(MATCH(1787,'Banka Dökümü'!$I$2:$I$2001,0),"")</ns0:f>
        <ns0:v/>
      </ns0:c>
    </ns0:row>
    <ns0:row r="1792" ht="21" customHeight="1">
      <ns0:c r="A1792" s="32" t="str">
        <ns0:f>IF($E1792="","",INDEX('Banka Dökümü'!$A$2:$A$2001,$E1792))</ns0:f>
        <ns0:v/>
      </ns0:c>
      <ns0:c r="B1792" s="28" t="str">
        <ns0:f>IF($E1792="","",INDEX('Banka Dökümü'!$B$2:$B$2001,$E1792))</ns0:f>
        <ns0:v/>
      </ns0:c>
      <ns0:c r="C1792" s="33" t="str">
        <ns0:f>IF($E1792="","",INDEX('Banka Dökümü'!$C$2:$C$2001,$E1792))</ns0:f>
        <ns0:v/>
      </ns0:c>
      <ns0:c r="D1792" s="28" t="str">
        <ns0:f>IF(E1792="","","Müşteri adı / aranacak ad / il bilgisini kontrol edin")</ns0:f>
        <ns0:v/>
      </ns0:c>
      <ns0:c r="E1792" s="28" t="str">
        <ns0:f>IFERROR(MATCH(1788,'Banka Dökümü'!$I$2:$I$2001,0),"")</ns0:f>
        <ns0:v/>
      </ns0:c>
    </ns0:row>
    <ns0:row r="1793" ht="21" customHeight="1">
      <ns0:c r="A1793" s="32" t="str">
        <ns0:f>IF($E1793="","",INDEX('Banka Dökümü'!$A$2:$A$2001,$E1793))</ns0:f>
        <ns0:v/>
      </ns0:c>
      <ns0:c r="B1793" s="28" t="str">
        <ns0:f>IF($E1793="","",INDEX('Banka Dökümü'!$B$2:$B$2001,$E1793))</ns0:f>
        <ns0:v/>
      </ns0:c>
      <ns0:c r="C1793" s="33" t="str">
        <ns0:f>IF($E1793="","",INDEX('Banka Dökümü'!$C$2:$C$2001,$E1793))</ns0:f>
        <ns0:v/>
      </ns0:c>
      <ns0:c r="D1793" s="28" t="str">
        <ns0:f>IF(E1793="","","Müşteri adı / aranacak ad / il bilgisini kontrol edin")</ns0:f>
        <ns0:v/>
      </ns0:c>
      <ns0:c r="E1793" s="28" t="str">
        <ns0:f>IFERROR(MATCH(1789,'Banka Dökümü'!$I$2:$I$2001,0),"")</ns0:f>
        <ns0:v/>
      </ns0:c>
    </ns0:row>
    <ns0:row r="1794" ht="21" customHeight="1">
      <ns0:c r="A1794" s="32" t="str">
        <ns0:f>IF($E1794="","",INDEX('Banka Dökümü'!$A$2:$A$2001,$E1794))</ns0:f>
        <ns0:v/>
      </ns0:c>
      <ns0:c r="B1794" s="28" t="str">
        <ns0:f>IF($E1794="","",INDEX('Banka Dökümü'!$B$2:$B$2001,$E1794))</ns0:f>
        <ns0:v/>
      </ns0:c>
      <ns0:c r="C1794" s="33" t="str">
        <ns0:f>IF($E1794="","",INDEX('Banka Dökümü'!$C$2:$C$2001,$E1794))</ns0:f>
        <ns0:v/>
      </ns0:c>
      <ns0:c r="D1794" s="28" t="str">
        <ns0:f>IF(E1794="","","Müşteri adı / aranacak ad / il bilgisini kontrol edin")</ns0:f>
        <ns0:v/>
      </ns0:c>
      <ns0:c r="E1794" s="28" t="str">
        <ns0:f>IFERROR(MATCH(1790,'Banka Dökümü'!$I$2:$I$2001,0),"")</ns0:f>
        <ns0:v/>
      </ns0:c>
    </ns0:row>
    <ns0:row r="1795" ht="21" customHeight="1">
      <ns0:c r="A1795" s="32" t="str">
        <ns0:f>IF($E1795="","",INDEX('Banka Dökümü'!$A$2:$A$2001,$E1795))</ns0:f>
        <ns0:v/>
      </ns0:c>
      <ns0:c r="B1795" s="28" t="str">
        <ns0:f>IF($E1795="","",INDEX('Banka Dökümü'!$B$2:$B$2001,$E1795))</ns0:f>
        <ns0:v/>
      </ns0:c>
      <ns0:c r="C1795" s="33" t="str">
        <ns0:f>IF($E1795="","",INDEX('Banka Dökümü'!$C$2:$C$2001,$E1795))</ns0:f>
        <ns0:v/>
      </ns0:c>
      <ns0:c r="D1795" s="28" t="str">
        <ns0:f>IF(E1795="","","Müşteri adı / aranacak ad / il bilgisini kontrol edin")</ns0:f>
        <ns0:v/>
      </ns0:c>
      <ns0:c r="E1795" s="28" t="str">
        <ns0:f>IFERROR(MATCH(1791,'Banka Dökümü'!$I$2:$I$2001,0),"")</ns0:f>
        <ns0:v/>
      </ns0:c>
    </ns0:row>
    <ns0:row r="1796" ht="21" customHeight="1">
      <ns0:c r="A1796" s="32" t="str">
        <ns0:f>IF($E1796="","",INDEX('Banka Dökümü'!$A$2:$A$2001,$E1796))</ns0:f>
        <ns0:v/>
      </ns0:c>
      <ns0:c r="B1796" s="28" t="str">
        <ns0:f>IF($E1796="","",INDEX('Banka Dökümü'!$B$2:$B$2001,$E1796))</ns0:f>
        <ns0:v/>
      </ns0:c>
      <ns0:c r="C1796" s="33" t="str">
        <ns0:f>IF($E1796="","",INDEX('Banka Dökümü'!$C$2:$C$2001,$E1796))</ns0:f>
        <ns0:v/>
      </ns0:c>
      <ns0:c r="D1796" s="28" t="str">
        <ns0:f>IF(E1796="","","Müşteri adı / aranacak ad / il bilgisini kontrol edin")</ns0:f>
        <ns0:v/>
      </ns0:c>
      <ns0:c r="E1796" s="28" t="str">
        <ns0:f>IFERROR(MATCH(1792,'Banka Dökümü'!$I$2:$I$2001,0),"")</ns0:f>
        <ns0:v/>
      </ns0:c>
    </ns0:row>
    <ns0:row r="1797" ht="21" customHeight="1">
      <ns0:c r="A1797" s="32" t="str">
        <ns0:f>IF($E1797="","",INDEX('Banka Dökümü'!$A$2:$A$2001,$E1797))</ns0:f>
        <ns0:v/>
      </ns0:c>
      <ns0:c r="B1797" s="28" t="str">
        <ns0:f>IF($E1797="","",INDEX('Banka Dökümü'!$B$2:$B$2001,$E1797))</ns0:f>
        <ns0:v/>
      </ns0:c>
      <ns0:c r="C1797" s="33" t="str">
        <ns0:f>IF($E1797="","",INDEX('Banka Dökümü'!$C$2:$C$2001,$E1797))</ns0:f>
        <ns0:v/>
      </ns0:c>
      <ns0:c r="D1797" s="28" t="str">
        <ns0:f>IF(E1797="","","Müşteri adı / aranacak ad / il bilgisini kontrol edin")</ns0:f>
        <ns0:v/>
      </ns0:c>
      <ns0:c r="E1797" s="28" t="str">
        <ns0:f>IFERROR(MATCH(1793,'Banka Dökümü'!$I$2:$I$2001,0),"")</ns0:f>
        <ns0:v/>
      </ns0:c>
    </ns0:row>
    <ns0:row r="1798" ht="21" customHeight="1">
      <ns0:c r="A1798" s="32" t="str">
        <ns0:f>IF($E1798="","",INDEX('Banka Dökümü'!$A$2:$A$2001,$E1798))</ns0:f>
        <ns0:v/>
      </ns0:c>
      <ns0:c r="B1798" s="28" t="str">
        <ns0:f>IF($E1798="","",INDEX('Banka Dökümü'!$B$2:$B$2001,$E1798))</ns0:f>
        <ns0:v/>
      </ns0:c>
      <ns0:c r="C1798" s="33" t="str">
        <ns0:f>IF($E1798="","",INDEX('Banka Dökümü'!$C$2:$C$2001,$E1798))</ns0:f>
        <ns0:v/>
      </ns0:c>
      <ns0:c r="D1798" s="28" t="str">
        <ns0:f>IF(E1798="","","Müşteri adı / aranacak ad / il bilgisini kontrol edin")</ns0:f>
        <ns0:v/>
      </ns0:c>
      <ns0:c r="E1798" s="28" t="str">
        <ns0:f>IFERROR(MATCH(1794,'Banka Dökümü'!$I$2:$I$2001,0),"")</ns0:f>
        <ns0:v/>
      </ns0:c>
    </ns0:row>
    <ns0:row r="1799" ht="21" customHeight="1">
      <ns0:c r="A1799" s="32" t="str">
        <ns0:f>IF($E1799="","",INDEX('Banka Dökümü'!$A$2:$A$2001,$E1799))</ns0:f>
        <ns0:v/>
      </ns0:c>
      <ns0:c r="B1799" s="28" t="str">
        <ns0:f>IF($E1799="","",INDEX('Banka Dökümü'!$B$2:$B$2001,$E1799))</ns0:f>
        <ns0:v/>
      </ns0:c>
      <ns0:c r="C1799" s="33" t="str">
        <ns0:f>IF($E1799="","",INDEX('Banka Dökümü'!$C$2:$C$2001,$E1799))</ns0:f>
        <ns0:v/>
      </ns0:c>
      <ns0:c r="D1799" s="28" t="str">
        <ns0:f>IF(E1799="","","Müşteri adı / aranacak ad / il bilgisini kontrol edin")</ns0:f>
        <ns0:v/>
      </ns0:c>
      <ns0:c r="E1799" s="28" t="str">
        <ns0:f>IFERROR(MATCH(1795,'Banka Dökümü'!$I$2:$I$2001,0),"")</ns0:f>
        <ns0:v/>
      </ns0:c>
    </ns0:row>
    <ns0:row r="1800" ht="21" customHeight="1">
      <ns0:c r="A1800" s="32" t="str">
        <ns0:f>IF($E1800="","",INDEX('Banka Dökümü'!$A$2:$A$2001,$E1800))</ns0:f>
        <ns0:v/>
      </ns0:c>
      <ns0:c r="B1800" s="28" t="str">
        <ns0:f>IF($E1800="","",INDEX('Banka Dökümü'!$B$2:$B$2001,$E1800))</ns0:f>
        <ns0:v/>
      </ns0:c>
      <ns0:c r="C1800" s="33" t="str">
        <ns0:f>IF($E1800="","",INDEX('Banka Dökümü'!$C$2:$C$2001,$E1800))</ns0:f>
        <ns0:v/>
      </ns0:c>
      <ns0:c r="D1800" s="28" t="str">
        <ns0:f>IF(E1800="","","Müşteri adı / aranacak ad / il bilgisini kontrol edin")</ns0:f>
        <ns0:v/>
      </ns0:c>
      <ns0:c r="E1800" s="28" t="str">
        <ns0:f>IFERROR(MATCH(1796,'Banka Dökümü'!$I$2:$I$2001,0),"")</ns0:f>
        <ns0:v/>
      </ns0:c>
    </ns0:row>
    <ns0:row r="1801" ht="21" customHeight="1">
      <ns0:c r="A1801" s="32" t="str">
        <ns0:f>IF($E1801="","",INDEX('Banka Dökümü'!$A$2:$A$2001,$E1801))</ns0:f>
        <ns0:v/>
      </ns0:c>
      <ns0:c r="B1801" s="28" t="str">
        <ns0:f>IF($E1801="","",INDEX('Banka Dökümü'!$B$2:$B$2001,$E1801))</ns0:f>
        <ns0:v/>
      </ns0:c>
      <ns0:c r="C1801" s="33" t="str">
        <ns0:f>IF($E1801="","",INDEX('Banka Dökümü'!$C$2:$C$2001,$E1801))</ns0:f>
        <ns0:v/>
      </ns0:c>
      <ns0:c r="D1801" s="28" t="str">
        <ns0:f>IF(E1801="","","Müşteri adı / aranacak ad / il bilgisini kontrol edin")</ns0:f>
        <ns0:v/>
      </ns0:c>
      <ns0:c r="E1801" s="28" t="str">
        <ns0:f>IFERROR(MATCH(1797,'Banka Dökümü'!$I$2:$I$2001,0),"")</ns0:f>
        <ns0:v/>
      </ns0:c>
    </ns0:row>
    <ns0:row r="1802" ht="21" customHeight="1">
      <ns0:c r="A1802" s="32" t="str">
        <ns0:f>IF($E1802="","",INDEX('Banka Dökümü'!$A$2:$A$2001,$E1802))</ns0:f>
        <ns0:v/>
      </ns0:c>
      <ns0:c r="B1802" s="28" t="str">
        <ns0:f>IF($E1802="","",INDEX('Banka Dökümü'!$B$2:$B$2001,$E1802))</ns0:f>
        <ns0:v/>
      </ns0:c>
      <ns0:c r="C1802" s="33" t="str">
        <ns0:f>IF($E1802="","",INDEX('Banka Dökümü'!$C$2:$C$2001,$E1802))</ns0:f>
        <ns0:v/>
      </ns0:c>
      <ns0:c r="D1802" s="28" t="str">
        <ns0:f>IF(E1802="","","Müşteri adı / aranacak ad / il bilgisini kontrol edin")</ns0:f>
        <ns0:v/>
      </ns0:c>
      <ns0:c r="E1802" s="28" t="str">
        <ns0:f>IFERROR(MATCH(1798,'Banka Dökümü'!$I$2:$I$2001,0),"")</ns0:f>
        <ns0:v/>
      </ns0:c>
    </ns0:row>
    <ns0:row r="1803" ht="21" customHeight="1">
      <ns0:c r="A1803" s="32" t="str">
        <ns0:f>IF($E1803="","",INDEX('Banka Dökümü'!$A$2:$A$2001,$E1803))</ns0:f>
        <ns0:v/>
      </ns0:c>
      <ns0:c r="B1803" s="28" t="str">
        <ns0:f>IF($E1803="","",INDEX('Banka Dökümü'!$B$2:$B$2001,$E1803))</ns0:f>
        <ns0:v/>
      </ns0:c>
      <ns0:c r="C1803" s="33" t="str">
        <ns0:f>IF($E1803="","",INDEX('Banka Dökümü'!$C$2:$C$2001,$E1803))</ns0:f>
        <ns0:v/>
      </ns0:c>
      <ns0:c r="D1803" s="28" t="str">
        <ns0:f>IF(E1803="","","Müşteri adı / aranacak ad / il bilgisini kontrol edin")</ns0:f>
        <ns0:v/>
      </ns0:c>
      <ns0:c r="E1803" s="28" t="str">
        <ns0:f>IFERROR(MATCH(1799,'Banka Dökümü'!$I$2:$I$2001,0),"")</ns0:f>
        <ns0:v/>
      </ns0:c>
    </ns0:row>
    <ns0:row r="1804" ht="21" customHeight="1">
      <ns0:c r="A1804" s="32" t="str">
        <ns0:f>IF($E1804="","",INDEX('Banka Dökümü'!$A$2:$A$2001,$E1804))</ns0:f>
        <ns0:v/>
      </ns0:c>
      <ns0:c r="B1804" s="28" t="str">
        <ns0:f>IF($E1804="","",INDEX('Banka Dökümü'!$B$2:$B$2001,$E1804))</ns0:f>
        <ns0:v/>
      </ns0:c>
      <ns0:c r="C1804" s="33" t="str">
        <ns0:f>IF($E1804="","",INDEX('Banka Dökümü'!$C$2:$C$2001,$E1804))</ns0:f>
        <ns0:v/>
      </ns0:c>
      <ns0:c r="D1804" s="28" t="str">
        <ns0:f>IF(E1804="","","Müşteri adı / aranacak ad / il bilgisini kontrol edin")</ns0:f>
        <ns0:v/>
      </ns0:c>
      <ns0:c r="E1804" s="28" t="str">
        <ns0:f>IFERROR(MATCH(1800,'Banka Dökümü'!$I$2:$I$2001,0),"")</ns0:f>
        <ns0:v/>
      </ns0:c>
    </ns0:row>
    <ns0:row r="1805" ht="21" customHeight="1">
      <ns0:c r="A1805" s="32" t="str">
        <ns0:f>IF($E1805="","",INDEX('Banka Dökümü'!$A$2:$A$2001,$E1805))</ns0:f>
        <ns0:v/>
      </ns0:c>
      <ns0:c r="B1805" s="28" t="str">
        <ns0:f>IF($E1805="","",INDEX('Banka Dökümü'!$B$2:$B$2001,$E1805))</ns0:f>
        <ns0:v/>
      </ns0:c>
      <ns0:c r="C1805" s="33" t="str">
        <ns0:f>IF($E1805="","",INDEX('Banka Dökümü'!$C$2:$C$2001,$E1805))</ns0:f>
        <ns0:v/>
      </ns0:c>
      <ns0:c r="D1805" s="28" t="str">
        <ns0:f>IF(E1805="","","Müşteri adı / aranacak ad / il bilgisini kontrol edin")</ns0:f>
        <ns0:v/>
      </ns0:c>
      <ns0:c r="E1805" s="28" t="str">
        <ns0:f>IFERROR(MATCH(1801,'Banka Dökümü'!$I$2:$I$2001,0),"")</ns0:f>
        <ns0:v/>
      </ns0:c>
    </ns0:row>
    <ns0:row r="1806" ht="21" customHeight="1">
      <ns0:c r="A1806" s="32" t="str">
        <ns0:f>IF($E1806="","",INDEX('Banka Dökümü'!$A$2:$A$2001,$E1806))</ns0:f>
        <ns0:v/>
      </ns0:c>
      <ns0:c r="B1806" s="28" t="str">
        <ns0:f>IF($E1806="","",INDEX('Banka Dökümü'!$B$2:$B$2001,$E1806))</ns0:f>
        <ns0:v/>
      </ns0:c>
      <ns0:c r="C1806" s="33" t="str">
        <ns0:f>IF($E1806="","",INDEX('Banka Dökümü'!$C$2:$C$2001,$E1806))</ns0:f>
        <ns0:v/>
      </ns0:c>
      <ns0:c r="D1806" s="28" t="str">
        <ns0:f>IF(E1806="","","Müşteri adı / aranacak ad / il bilgisini kontrol edin")</ns0:f>
        <ns0:v/>
      </ns0:c>
      <ns0:c r="E1806" s="28" t="str">
        <ns0:f>IFERROR(MATCH(1802,'Banka Dökümü'!$I$2:$I$2001,0),"")</ns0:f>
        <ns0:v/>
      </ns0:c>
    </ns0:row>
    <ns0:row r="1807" ht="21" customHeight="1">
      <ns0:c r="A1807" s="32" t="str">
        <ns0:f>IF($E1807="","",INDEX('Banka Dökümü'!$A$2:$A$2001,$E1807))</ns0:f>
        <ns0:v/>
      </ns0:c>
      <ns0:c r="B1807" s="28" t="str">
        <ns0:f>IF($E1807="","",INDEX('Banka Dökümü'!$B$2:$B$2001,$E1807))</ns0:f>
        <ns0:v/>
      </ns0:c>
      <ns0:c r="C1807" s="33" t="str">
        <ns0:f>IF($E1807="","",INDEX('Banka Dökümü'!$C$2:$C$2001,$E1807))</ns0:f>
        <ns0:v/>
      </ns0:c>
      <ns0:c r="D1807" s="28" t="str">
        <ns0:f>IF(E1807="","","Müşteri adı / aranacak ad / il bilgisini kontrol edin")</ns0:f>
        <ns0:v/>
      </ns0:c>
      <ns0:c r="E1807" s="28" t="str">
        <ns0:f>IFERROR(MATCH(1803,'Banka Dökümü'!$I$2:$I$2001,0),"")</ns0:f>
        <ns0:v/>
      </ns0:c>
    </ns0:row>
    <ns0:row r="1808" ht="21" customHeight="1">
      <ns0:c r="A1808" s="32" t="str">
        <ns0:f>IF($E1808="","",INDEX('Banka Dökümü'!$A$2:$A$2001,$E1808))</ns0:f>
        <ns0:v/>
      </ns0:c>
      <ns0:c r="B1808" s="28" t="str">
        <ns0:f>IF($E1808="","",INDEX('Banka Dökümü'!$B$2:$B$2001,$E1808))</ns0:f>
        <ns0:v/>
      </ns0:c>
      <ns0:c r="C1808" s="33" t="str">
        <ns0:f>IF($E1808="","",INDEX('Banka Dökümü'!$C$2:$C$2001,$E1808))</ns0:f>
        <ns0:v/>
      </ns0:c>
      <ns0:c r="D1808" s="28" t="str">
        <ns0:f>IF(E1808="","","Müşteri adı / aranacak ad / il bilgisini kontrol edin")</ns0:f>
        <ns0:v/>
      </ns0:c>
      <ns0:c r="E1808" s="28" t="str">
        <ns0:f>IFERROR(MATCH(1804,'Banka Dökümü'!$I$2:$I$2001,0),"")</ns0:f>
        <ns0:v/>
      </ns0:c>
    </ns0:row>
    <ns0:row r="1809" ht="21" customHeight="1">
      <ns0:c r="A1809" s="32" t="str">
        <ns0:f>IF($E1809="","",INDEX('Banka Dökümü'!$A$2:$A$2001,$E1809))</ns0:f>
        <ns0:v/>
      </ns0:c>
      <ns0:c r="B1809" s="28" t="str">
        <ns0:f>IF($E1809="","",INDEX('Banka Dökümü'!$B$2:$B$2001,$E1809))</ns0:f>
        <ns0:v/>
      </ns0:c>
      <ns0:c r="C1809" s="33" t="str">
        <ns0:f>IF($E1809="","",INDEX('Banka Dökümü'!$C$2:$C$2001,$E1809))</ns0:f>
        <ns0:v/>
      </ns0:c>
      <ns0:c r="D1809" s="28" t="str">
        <ns0:f>IF(E1809="","","Müşteri adı / aranacak ad / il bilgisini kontrol edin")</ns0:f>
        <ns0:v/>
      </ns0:c>
      <ns0:c r="E1809" s="28" t="str">
        <ns0:f>IFERROR(MATCH(1805,'Banka Dökümü'!$I$2:$I$2001,0),"")</ns0:f>
        <ns0:v/>
      </ns0:c>
    </ns0:row>
    <ns0:row r="1810" ht="21" customHeight="1">
      <ns0:c r="A1810" s="32" t="str">
        <ns0:f>IF($E1810="","",INDEX('Banka Dökümü'!$A$2:$A$2001,$E1810))</ns0:f>
        <ns0:v/>
      </ns0:c>
      <ns0:c r="B1810" s="28" t="str">
        <ns0:f>IF($E1810="","",INDEX('Banka Dökümü'!$B$2:$B$2001,$E1810))</ns0:f>
        <ns0:v/>
      </ns0:c>
      <ns0:c r="C1810" s="33" t="str">
        <ns0:f>IF($E1810="","",INDEX('Banka Dökümü'!$C$2:$C$2001,$E1810))</ns0:f>
        <ns0:v/>
      </ns0:c>
      <ns0:c r="D1810" s="28" t="str">
        <ns0:f>IF(E1810="","","Müşteri adı / aranacak ad / il bilgisini kontrol edin")</ns0:f>
        <ns0:v/>
      </ns0:c>
      <ns0:c r="E1810" s="28" t="str">
        <ns0:f>IFERROR(MATCH(1806,'Banka Dökümü'!$I$2:$I$2001,0),"")</ns0:f>
        <ns0:v/>
      </ns0:c>
    </ns0:row>
    <ns0:row r="1811" ht="21" customHeight="1">
      <ns0:c r="A1811" s="32" t="str">
        <ns0:f>IF($E1811="","",INDEX('Banka Dökümü'!$A$2:$A$2001,$E1811))</ns0:f>
        <ns0:v/>
      </ns0:c>
      <ns0:c r="B1811" s="28" t="str">
        <ns0:f>IF($E1811="","",INDEX('Banka Dökümü'!$B$2:$B$2001,$E1811))</ns0:f>
        <ns0:v/>
      </ns0:c>
      <ns0:c r="C1811" s="33" t="str">
        <ns0:f>IF($E1811="","",INDEX('Banka Dökümü'!$C$2:$C$2001,$E1811))</ns0:f>
        <ns0:v/>
      </ns0:c>
      <ns0:c r="D1811" s="28" t="str">
        <ns0:f>IF(E1811="","","Müşteri adı / aranacak ad / il bilgisini kontrol edin")</ns0:f>
        <ns0:v/>
      </ns0:c>
      <ns0:c r="E1811" s="28" t="str">
        <ns0:f>IFERROR(MATCH(1807,'Banka Dökümü'!$I$2:$I$2001,0),"")</ns0:f>
        <ns0:v/>
      </ns0:c>
    </ns0:row>
    <ns0:row r="1812" ht="21" customHeight="1">
      <ns0:c r="A1812" s="32" t="str">
        <ns0:f>IF($E1812="","",INDEX('Banka Dökümü'!$A$2:$A$2001,$E1812))</ns0:f>
        <ns0:v/>
      </ns0:c>
      <ns0:c r="B1812" s="28" t="str">
        <ns0:f>IF($E1812="","",INDEX('Banka Dökümü'!$B$2:$B$2001,$E1812))</ns0:f>
        <ns0:v/>
      </ns0:c>
      <ns0:c r="C1812" s="33" t="str">
        <ns0:f>IF($E1812="","",INDEX('Banka Dökümü'!$C$2:$C$2001,$E1812))</ns0:f>
        <ns0:v/>
      </ns0:c>
      <ns0:c r="D1812" s="28" t="str">
        <ns0:f>IF(E1812="","","Müşteri adı / aranacak ad / il bilgisini kontrol edin")</ns0:f>
        <ns0:v/>
      </ns0:c>
      <ns0:c r="E1812" s="28" t="str">
        <ns0:f>IFERROR(MATCH(1808,'Banka Dökümü'!$I$2:$I$2001,0),"")</ns0:f>
        <ns0:v/>
      </ns0:c>
    </ns0:row>
    <ns0:row r="1813" ht="21" customHeight="1">
      <ns0:c r="A1813" s="32" t="str">
        <ns0:f>IF($E1813="","",INDEX('Banka Dökümü'!$A$2:$A$2001,$E1813))</ns0:f>
        <ns0:v/>
      </ns0:c>
      <ns0:c r="B1813" s="28" t="str">
        <ns0:f>IF($E1813="","",INDEX('Banka Dökümü'!$B$2:$B$2001,$E1813))</ns0:f>
        <ns0:v/>
      </ns0:c>
      <ns0:c r="C1813" s="33" t="str">
        <ns0:f>IF($E1813="","",INDEX('Banka Dökümü'!$C$2:$C$2001,$E1813))</ns0:f>
        <ns0:v/>
      </ns0:c>
      <ns0:c r="D1813" s="28" t="str">
        <ns0:f>IF(E1813="","","Müşteri adı / aranacak ad / il bilgisini kontrol edin")</ns0:f>
        <ns0:v/>
      </ns0:c>
      <ns0:c r="E1813" s="28" t="str">
        <ns0:f>IFERROR(MATCH(1809,'Banka Dökümü'!$I$2:$I$2001,0),"")</ns0:f>
        <ns0:v/>
      </ns0:c>
    </ns0:row>
    <ns0:row r="1814" ht="21" customHeight="1">
      <ns0:c r="A1814" s="32" t="str">
        <ns0:f>IF($E1814="","",INDEX('Banka Dökümü'!$A$2:$A$2001,$E1814))</ns0:f>
        <ns0:v/>
      </ns0:c>
      <ns0:c r="B1814" s="28" t="str">
        <ns0:f>IF($E1814="","",INDEX('Banka Dökümü'!$B$2:$B$2001,$E1814))</ns0:f>
        <ns0:v/>
      </ns0:c>
      <ns0:c r="C1814" s="33" t="str">
        <ns0:f>IF($E1814="","",INDEX('Banka Dökümü'!$C$2:$C$2001,$E1814))</ns0:f>
        <ns0:v/>
      </ns0:c>
      <ns0:c r="D1814" s="28" t="str">
        <ns0:f>IF(E1814="","","Müşteri adı / aranacak ad / il bilgisini kontrol edin")</ns0:f>
        <ns0:v/>
      </ns0:c>
      <ns0:c r="E1814" s="28" t="str">
        <ns0:f>IFERROR(MATCH(1810,'Banka Dökümü'!$I$2:$I$2001,0),"")</ns0:f>
        <ns0:v/>
      </ns0:c>
    </ns0:row>
    <ns0:row r="1815" ht="21" customHeight="1">
      <ns0:c r="A1815" s="32" t="str">
        <ns0:f>IF($E1815="","",INDEX('Banka Dökümü'!$A$2:$A$2001,$E1815))</ns0:f>
        <ns0:v/>
      </ns0:c>
      <ns0:c r="B1815" s="28" t="str">
        <ns0:f>IF($E1815="","",INDEX('Banka Dökümü'!$B$2:$B$2001,$E1815))</ns0:f>
        <ns0:v/>
      </ns0:c>
      <ns0:c r="C1815" s="33" t="str">
        <ns0:f>IF($E1815="","",INDEX('Banka Dökümü'!$C$2:$C$2001,$E1815))</ns0:f>
        <ns0:v/>
      </ns0:c>
      <ns0:c r="D1815" s="28" t="str">
        <ns0:f>IF(E1815="","","Müşteri adı / aranacak ad / il bilgisini kontrol edin")</ns0:f>
        <ns0:v/>
      </ns0:c>
      <ns0:c r="E1815" s="28" t="str">
        <ns0:f>IFERROR(MATCH(1811,'Banka Dökümü'!$I$2:$I$2001,0),"")</ns0:f>
        <ns0:v/>
      </ns0:c>
    </ns0:row>
    <ns0:row r="1816" ht="21" customHeight="1">
      <ns0:c r="A1816" s="32" t="str">
        <ns0:f>IF($E1816="","",INDEX('Banka Dökümü'!$A$2:$A$2001,$E1816))</ns0:f>
        <ns0:v/>
      </ns0:c>
      <ns0:c r="B1816" s="28" t="str">
        <ns0:f>IF($E1816="","",INDEX('Banka Dökümü'!$B$2:$B$2001,$E1816))</ns0:f>
        <ns0:v/>
      </ns0:c>
      <ns0:c r="C1816" s="33" t="str">
        <ns0:f>IF($E1816="","",INDEX('Banka Dökümü'!$C$2:$C$2001,$E1816))</ns0:f>
        <ns0:v/>
      </ns0:c>
      <ns0:c r="D1816" s="28" t="str">
        <ns0:f>IF(E1816="","","Müşteri adı / aranacak ad / il bilgisini kontrol edin")</ns0:f>
        <ns0:v/>
      </ns0:c>
      <ns0:c r="E1816" s="28" t="str">
        <ns0:f>IFERROR(MATCH(1812,'Banka Dökümü'!$I$2:$I$2001,0),"")</ns0:f>
        <ns0:v/>
      </ns0:c>
    </ns0:row>
    <ns0:row r="1817" ht="21" customHeight="1">
      <ns0:c r="A1817" s="32" t="str">
        <ns0:f>IF($E1817="","",INDEX('Banka Dökümü'!$A$2:$A$2001,$E1817))</ns0:f>
        <ns0:v/>
      </ns0:c>
      <ns0:c r="B1817" s="28" t="str">
        <ns0:f>IF($E1817="","",INDEX('Banka Dökümü'!$B$2:$B$2001,$E1817))</ns0:f>
        <ns0:v/>
      </ns0:c>
      <ns0:c r="C1817" s="33" t="str">
        <ns0:f>IF($E1817="","",INDEX('Banka Dökümü'!$C$2:$C$2001,$E1817))</ns0:f>
        <ns0:v/>
      </ns0:c>
      <ns0:c r="D1817" s="28" t="str">
        <ns0:f>IF(E1817="","","Müşteri adı / aranacak ad / il bilgisini kontrol edin")</ns0:f>
        <ns0:v/>
      </ns0:c>
      <ns0:c r="E1817" s="28" t="str">
        <ns0:f>IFERROR(MATCH(1813,'Banka Dökümü'!$I$2:$I$2001,0),"")</ns0:f>
        <ns0:v/>
      </ns0:c>
    </ns0:row>
    <ns0:row r="1818" ht="21" customHeight="1">
      <ns0:c r="A1818" s="32" t="str">
        <ns0:f>IF($E1818="","",INDEX('Banka Dökümü'!$A$2:$A$2001,$E1818))</ns0:f>
        <ns0:v/>
      </ns0:c>
      <ns0:c r="B1818" s="28" t="str">
        <ns0:f>IF($E1818="","",INDEX('Banka Dökümü'!$B$2:$B$2001,$E1818))</ns0:f>
        <ns0:v/>
      </ns0:c>
      <ns0:c r="C1818" s="33" t="str">
        <ns0:f>IF($E1818="","",INDEX('Banka Dökümü'!$C$2:$C$2001,$E1818))</ns0:f>
        <ns0:v/>
      </ns0:c>
      <ns0:c r="D1818" s="28" t="str">
        <ns0:f>IF(E1818="","","Müşteri adı / aranacak ad / il bilgisini kontrol edin")</ns0:f>
        <ns0:v/>
      </ns0:c>
      <ns0:c r="E1818" s="28" t="str">
        <ns0:f>IFERROR(MATCH(1814,'Banka Dökümü'!$I$2:$I$2001,0),"")</ns0:f>
        <ns0:v/>
      </ns0:c>
    </ns0:row>
    <ns0:row r="1819" ht="21" customHeight="1">
      <ns0:c r="A1819" s="32" t="str">
        <ns0:f>IF($E1819="","",INDEX('Banka Dökümü'!$A$2:$A$2001,$E1819))</ns0:f>
        <ns0:v/>
      </ns0:c>
      <ns0:c r="B1819" s="28" t="str">
        <ns0:f>IF($E1819="","",INDEX('Banka Dökümü'!$B$2:$B$2001,$E1819))</ns0:f>
        <ns0:v/>
      </ns0:c>
      <ns0:c r="C1819" s="33" t="str">
        <ns0:f>IF($E1819="","",INDEX('Banka Dökümü'!$C$2:$C$2001,$E1819))</ns0:f>
        <ns0:v/>
      </ns0:c>
      <ns0:c r="D1819" s="28" t="str">
        <ns0:f>IF(E1819="","","Müşteri adı / aranacak ad / il bilgisini kontrol edin")</ns0:f>
        <ns0:v/>
      </ns0:c>
      <ns0:c r="E1819" s="28" t="str">
        <ns0:f>IFERROR(MATCH(1815,'Banka Dökümü'!$I$2:$I$2001,0),"")</ns0:f>
        <ns0:v/>
      </ns0:c>
    </ns0:row>
    <ns0:row r="1820" ht="21" customHeight="1">
      <ns0:c r="A1820" s="32" t="str">
        <ns0:f>IF($E1820="","",INDEX('Banka Dökümü'!$A$2:$A$2001,$E1820))</ns0:f>
        <ns0:v/>
      </ns0:c>
      <ns0:c r="B1820" s="28" t="str">
        <ns0:f>IF($E1820="","",INDEX('Banka Dökümü'!$B$2:$B$2001,$E1820))</ns0:f>
        <ns0:v/>
      </ns0:c>
      <ns0:c r="C1820" s="33" t="str">
        <ns0:f>IF($E1820="","",INDEX('Banka Dökümü'!$C$2:$C$2001,$E1820))</ns0:f>
        <ns0:v/>
      </ns0:c>
      <ns0:c r="D1820" s="28" t="str">
        <ns0:f>IF(E1820="","","Müşteri adı / aranacak ad / il bilgisini kontrol edin")</ns0:f>
        <ns0:v/>
      </ns0:c>
      <ns0:c r="E1820" s="28" t="str">
        <ns0:f>IFERROR(MATCH(1816,'Banka Dökümü'!$I$2:$I$2001,0),"")</ns0:f>
        <ns0:v/>
      </ns0:c>
    </ns0:row>
    <ns0:row r="1821" ht="21" customHeight="1">
      <ns0:c r="A1821" s="32" t="str">
        <ns0:f>IF($E1821="","",INDEX('Banka Dökümü'!$A$2:$A$2001,$E1821))</ns0:f>
        <ns0:v/>
      </ns0:c>
      <ns0:c r="B1821" s="28" t="str">
        <ns0:f>IF($E1821="","",INDEX('Banka Dökümü'!$B$2:$B$2001,$E1821))</ns0:f>
        <ns0:v/>
      </ns0:c>
      <ns0:c r="C1821" s="33" t="str">
        <ns0:f>IF($E1821="","",INDEX('Banka Dökümü'!$C$2:$C$2001,$E1821))</ns0:f>
        <ns0:v/>
      </ns0:c>
      <ns0:c r="D1821" s="28" t="str">
        <ns0:f>IF(E1821="","","Müşteri adı / aranacak ad / il bilgisini kontrol edin")</ns0:f>
        <ns0:v/>
      </ns0:c>
      <ns0:c r="E1821" s="28" t="str">
        <ns0:f>IFERROR(MATCH(1817,'Banka Dökümü'!$I$2:$I$2001,0),"")</ns0:f>
        <ns0:v/>
      </ns0:c>
    </ns0:row>
    <ns0:row r="1822" ht="21" customHeight="1">
      <ns0:c r="A1822" s="32" t="str">
        <ns0:f>IF($E1822="","",INDEX('Banka Dökümü'!$A$2:$A$2001,$E1822))</ns0:f>
        <ns0:v/>
      </ns0:c>
      <ns0:c r="B1822" s="28" t="str">
        <ns0:f>IF($E1822="","",INDEX('Banka Dökümü'!$B$2:$B$2001,$E1822))</ns0:f>
        <ns0:v/>
      </ns0:c>
      <ns0:c r="C1822" s="33" t="str">
        <ns0:f>IF($E1822="","",INDEX('Banka Dökümü'!$C$2:$C$2001,$E1822))</ns0:f>
        <ns0:v/>
      </ns0:c>
      <ns0:c r="D1822" s="28" t="str">
        <ns0:f>IF(E1822="","","Müşteri adı / aranacak ad / il bilgisini kontrol edin")</ns0:f>
        <ns0:v/>
      </ns0:c>
      <ns0:c r="E1822" s="28" t="str">
        <ns0:f>IFERROR(MATCH(1818,'Banka Dökümü'!$I$2:$I$2001,0),"")</ns0:f>
        <ns0:v/>
      </ns0:c>
    </ns0:row>
    <ns0:row r="1823" ht="21" customHeight="1">
      <ns0:c r="A1823" s="32" t="str">
        <ns0:f>IF($E1823="","",INDEX('Banka Dökümü'!$A$2:$A$2001,$E1823))</ns0:f>
        <ns0:v/>
      </ns0:c>
      <ns0:c r="B1823" s="28" t="str">
        <ns0:f>IF($E1823="","",INDEX('Banka Dökümü'!$B$2:$B$2001,$E1823))</ns0:f>
        <ns0:v/>
      </ns0:c>
      <ns0:c r="C1823" s="33" t="str">
        <ns0:f>IF($E1823="","",INDEX('Banka Dökümü'!$C$2:$C$2001,$E1823))</ns0:f>
        <ns0:v/>
      </ns0:c>
      <ns0:c r="D1823" s="28" t="str">
        <ns0:f>IF(E1823="","","Müşteri adı / aranacak ad / il bilgisini kontrol edin")</ns0:f>
        <ns0:v/>
      </ns0:c>
      <ns0:c r="E1823" s="28" t="str">
        <ns0:f>IFERROR(MATCH(1819,'Banka Dökümü'!$I$2:$I$2001,0),"")</ns0:f>
        <ns0:v/>
      </ns0:c>
    </ns0:row>
    <ns0:row r="1824" ht="21" customHeight="1">
      <ns0:c r="A1824" s="32" t="str">
        <ns0:f>IF($E1824="","",INDEX('Banka Dökümü'!$A$2:$A$2001,$E1824))</ns0:f>
        <ns0:v/>
      </ns0:c>
      <ns0:c r="B1824" s="28" t="str">
        <ns0:f>IF($E1824="","",INDEX('Banka Dökümü'!$B$2:$B$2001,$E1824))</ns0:f>
        <ns0:v/>
      </ns0:c>
      <ns0:c r="C1824" s="33" t="str">
        <ns0:f>IF($E1824="","",INDEX('Banka Dökümü'!$C$2:$C$2001,$E1824))</ns0:f>
        <ns0:v/>
      </ns0:c>
      <ns0:c r="D1824" s="28" t="str">
        <ns0:f>IF(E1824="","","Müşteri adı / aranacak ad / il bilgisini kontrol edin")</ns0:f>
        <ns0:v/>
      </ns0:c>
      <ns0:c r="E1824" s="28" t="str">
        <ns0:f>IFERROR(MATCH(1820,'Banka Dökümü'!$I$2:$I$2001,0),"")</ns0:f>
        <ns0:v/>
      </ns0:c>
    </ns0:row>
    <ns0:row r="1825" ht="21" customHeight="1">
      <ns0:c r="A1825" s="32" t="str">
        <ns0:f>IF($E1825="","",INDEX('Banka Dökümü'!$A$2:$A$2001,$E1825))</ns0:f>
        <ns0:v/>
      </ns0:c>
      <ns0:c r="B1825" s="28" t="str">
        <ns0:f>IF($E1825="","",INDEX('Banka Dökümü'!$B$2:$B$2001,$E1825))</ns0:f>
        <ns0:v/>
      </ns0:c>
      <ns0:c r="C1825" s="33" t="str">
        <ns0:f>IF($E1825="","",INDEX('Banka Dökümü'!$C$2:$C$2001,$E1825))</ns0:f>
        <ns0:v/>
      </ns0:c>
      <ns0:c r="D1825" s="28" t="str">
        <ns0:f>IF(E1825="","","Müşteri adı / aranacak ad / il bilgisini kontrol edin")</ns0:f>
        <ns0:v/>
      </ns0:c>
      <ns0:c r="E1825" s="28" t="str">
        <ns0:f>IFERROR(MATCH(1821,'Banka Dökümü'!$I$2:$I$2001,0),"")</ns0:f>
        <ns0:v/>
      </ns0:c>
    </ns0:row>
    <ns0:row r="1826" ht="21" customHeight="1">
      <ns0:c r="A1826" s="32" t="str">
        <ns0:f>IF($E1826="","",INDEX('Banka Dökümü'!$A$2:$A$2001,$E1826))</ns0:f>
        <ns0:v/>
      </ns0:c>
      <ns0:c r="B1826" s="28" t="str">
        <ns0:f>IF($E1826="","",INDEX('Banka Dökümü'!$B$2:$B$2001,$E1826))</ns0:f>
        <ns0:v/>
      </ns0:c>
      <ns0:c r="C1826" s="33" t="str">
        <ns0:f>IF($E1826="","",INDEX('Banka Dökümü'!$C$2:$C$2001,$E1826))</ns0:f>
        <ns0:v/>
      </ns0:c>
      <ns0:c r="D1826" s="28" t="str">
        <ns0:f>IF(E1826="","","Müşteri adı / aranacak ad / il bilgisini kontrol edin")</ns0:f>
        <ns0:v/>
      </ns0:c>
      <ns0:c r="E1826" s="28" t="str">
        <ns0:f>IFERROR(MATCH(1822,'Banka Dökümü'!$I$2:$I$2001,0),"")</ns0:f>
        <ns0:v/>
      </ns0:c>
    </ns0:row>
    <ns0:row r="1827" ht="21" customHeight="1">
      <ns0:c r="A1827" s="32" t="str">
        <ns0:f>IF($E1827="","",INDEX('Banka Dökümü'!$A$2:$A$2001,$E1827))</ns0:f>
        <ns0:v/>
      </ns0:c>
      <ns0:c r="B1827" s="28" t="str">
        <ns0:f>IF($E1827="","",INDEX('Banka Dökümü'!$B$2:$B$2001,$E1827))</ns0:f>
        <ns0:v/>
      </ns0:c>
      <ns0:c r="C1827" s="33" t="str">
        <ns0:f>IF($E1827="","",INDEX('Banka Dökümü'!$C$2:$C$2001,$E1827))</ns0:f>
        <ns0:v/>
      </ns0:c>
      <ns0:c r="D1827" s="28" t="str">
        <ns0:f>IF(E1827="","","Müşteri adı / aranacak ad / il bilgisini kontrol edin")</ns0:f>
        <ns0:v/>
      </ns0:c>
      <ns0:c r="E1827" s="28" t="str">
        <ns0:f>IFERROR(MATCH(1823,'Banka Dökümü'!$I$2:$I$2001,0),"")</ns0:f>
        <ns0:v/>
      </ns0:c>
    </ns0:row>
    <ns0:row r="1828" ht="21" customHeight="1">
      <ns0:c r="A1828" s="32" t="str">
        <ns0:f>IF($E1828="","",INDEX('Banka Dökümü'!$A$2:$A$2001,$E1828))</ns0:f>
        <ns0:v/>
      </ns0:c>
      <ns0:c r="B1828" s="28" t="str">
        <ns0:f>IF($E1828="","",INDEX('Banka Dökümü'!$B$2:$B$2001,$E1828))</ns0:f>
        <ns0:v/>
      </ns0:c>
      <ns0:c r="C1828" s="33" t="str">
        <ns0:f>IF($E1828="","",INDEX('Banka Dökümü'!$C$2:$C$2001,$E1828))</ns0:f>
        <ns0:v/>
      </ns0:c>
      <ns0:c r="D1828" s="28" t="str">
        <ns0:f>IF(E1828="","","Müşteri adı / aranacak ad / il bilgisini kontrol edin")</ns0:f>
        <ns0:v/>
      </ns0:c>
      <ns0:c r="E1828" s="28" t="str">
        <ns0:f>IFERROR(MATCH(1824,'Banka Dökümü'!$I$2:$I$2001,0),"")</ns0:f>
        <ns0:v/>
      </ns0:c>
    </ns0:row>
    <ns0:row r="1829" ht="21" customHeight="1">
      <ns0:c r="A1829" s="32" t="str">
        <ns0:f>IF($E1829="","",INDEX('Banka Dökümü'!$A$2:$A$2001,$E1829))</ns0:f>
        <ns0:v/>
      </ns0:c>
      <ns0:c r="B1829" s="28" t="str">
        <ns0:f>IF($E1829="","",INDEX('Banka Dökümü'!$B$2:$B$2001,$E1829))</ns0:f>
        <ns0:v/>
      </ns0:c>
      <ns0:c r="C1829" s="33" t="str">
        <ns0:f>IF($E1829="","",INDEX('Banka Dökümü'!$C$2:$C$2001,$E1829))</ns0:f>
        <ns0:v/>
      </ns0:c>
      <ns0:c r="D1829" s="28" t="str">
        <ns0:f>IF(E1829="","","Müşteri adı / aranacak ad / il bilgisini kontrol edin")</ns0:f>
        <ns0:v/>
      </ns0:c>
      <ns0:c r="E1829" s="28" t="str">
        <ns0:f>IFERROR(MATCH(1825,'Banka Dökümü'!$I$2:$I$2001,0),"")</ns0:f>
        <ns0:v/>
      </ns0:c>
    </ns0:row>
    <ns0:row r="1830" ht="21" customHeight="1">
      <ns0:c r="A1830" s="32" t="str">
        <ns0:f>IF($E1830="","",INDEX('Banka Dökümü'!$A$2:$A$2001,$E1830))</ns0:f>
        <ns0:v/>
      </ns0:c>
      <ns0:c r="B1830" s="28" t="str">
        <ns0:f>IF($E1830="","",INDEX('Banka Dökümü'!$B$2:$B$2001,$E1830))</ns0:f>
        <ns0:v/>
      </ns0:c>
      <ns0:c r="C1830" s="33" t="str">
        <ns0:f>IF($E1830="","",INDEX('Banka Dökümü'!$C$2:$C$2001,$E1830))</ns0:f>
        <ns0:v/>
      </ns0:c>
      <ns0:c r="D1830" s="28" t="str">
        <ns0:f>IF(E1830="","","Müşteri adı / aranacak ad / il bilgisini kontrol edin")</ns0:f>
        <ns0:v/>
      </ns0:c>
      <ns0:c r="E1830" s="28" t="str">
        <ns0:f>IFERROR(MATCH(1826,'Banka Dökümü'!$I$2:$I$2001,0),"")</ns0:f>
        <ns0:v/>
      </ns0:c>
    </ns0:row>
    <ns0:row r="1831" ht="21" customHeight="1">
      <ns0:c r="A1831" s="32" t="str">
        <ns0:f>IF($E1831="","",INDEX('Banka Dökümü'!$A$2:$A$2001,$E1831))</ns0:f>
        <ns0:v/>
      </ns0:c>
      <ns0:c r="B1831" s="28" t="str">
        <ns0:f>IF($E1831="","",INDEX('Banka Dökümü'!$B$2:$B$2001,$E1831))</ns0:f>
        <ns0:v/>
      </ns0:c>
      <ns0:c r="C1831" s="33" t="str">
        <ns0:f>IF($E1831="","",INDEX('Banka Dökümü'!$C$2:$C$2001,$E1831))</ns0:f>
        <ns0:v/>
      </ns0:c>
      <ns0:c r="D1831" s="28" t="str">
        <ns0:f>IF(E1831="","","Müşteri adı / aranacak ad / il bilgisini kontrol edin")</ns0:f>
        <ns0:v/>
      </ns0:c>
      <ns0:c r="E1831" s="28" t="str">
        <ns0:f>IFERROR(MATCH(1827,'Banka Dökümü'!$I$2:$I$2001,0),"")</ns0:f>
        <ns0:v/>
      </ns0:c>
    </ns0:row>
    <ns0:row r="1832" ht="21" customHeight="1">
      <ns0:c r="A1832" s="32" t="str">
        <ns0:f>IF($E1832="","",INDEX('Banka Dökümü'!$A$2:$A$2001,$E1832))</ns0:f>
        <ns0:v/>
      </ns0:c>
      <ns0:c r="B1832" s="28" t="str">
        <ns0:f>IF($E1832="","",INDEX('Banka Dökümü'!$B$2:$B$2001,$E1832))</ns0:f>
        <ns0:v/>
      </ns0:c>
      <ns0:c r="C1832" s="33" t="str">
        <ns0:f>IF($E1832="","",INDEX('Banka Dökümü'!$C$2:$C$2001,$E1832))</ns0:f>
        <ns0:v/>
      </ns0:c>
      <ns0:c r="D1832" s="28" t="str">
        <ns0:f>IF(E1832="","","Müşteri adı / aranacak ad / il bilgisini kontrol edin")</ns0:f>
        <ns0:v/>
      </ns0:c>
      <ns0:c r="E1832" s="28" t="str">
        <ns0:f>IFERROR(MATCH(1828,'Banka Dökümü'!$I$2:$I$2001,0),"")</ns0:f>
        <ns0:v/>
      </ns0:c>
    </ns0:row>
    <ns0:row r="1833" ht="21" customHeight="1">
      <ns0:c r="A1833" s="32" t="str">
        <ns0:f>IF($E1833="","",INDEX('Banka Dökümü'!$A$2:$A$2001,$E1833))</ns0:f>
        <ns0:v/>
      </ns0:c>
      <ns0:c r="B1833" s="28" t="str">
        <ns0:f>IF($E1833="","",INDEX('Banka Dökümü'!$B$2:$B$2001,$E1833))</ns0:f>
        <ns0:v/>
      </ns0:c>
      <ns0:c r="C1833" s="33" t="str">
        <ns0:f>IF($E1833="","",INDEX('Banka Dökümü'!$C$2:$C$2001,$E1833))</ns0:f>
        <ns0:v/>
      </ns0:c>
      <ns0:c r="D1833" s="28" t="str">
        <ns0:f>IF(E1833="","","Müşteri adı / aranacak ad / il bilgisini kontrol edin")</ns0:f>
        <ns0:v/>
      </ns0:c>
      <ns0:c r="E1833" s="28" t="str">
        <ns0:f>IFERROR(MATCH(1829,'Banka Dökümü'!$I$2:$I$2001,0),"")</ns0:f>
        <ns0:v/>
      </ns0:c>
    </ns0:row>
    <ns0:row r="1834" ht="21" customHeight="1">
      <ns0:c r="A1834" s="32" t="str">
        <ns0:f>IF($E1834="","",INDEX('Banka Dökümü'!$A$2:$A$2001,$E1834))</ns0:f>
        <ns0:v/>
      </ns0:c>
      <ns0:c r="B1834" s="28" t="str">
        <ns0:f>IF($E1834="","",INDEX('Banka Dökümü'!$B$2:$B$2001,$E1834))</ns0:f>
        <ns0:v/>
      </ns0:c>
      <ns0:c r="C1834" s="33" t="str">
        <ns0:f>IF($E1834="","",INDEX('Banka Dökümü'!$C$2:$C$2001,$E1834))</ns0:f>
        <ns0:v/>
      </ns0:c>
      <ns0:c r="D1834" s="28" t="str">
        <ns0:f>IF(E1834="","","Müşteri adı / aranacak ad / il bilgisini kontrol edin")</ns0:f>
        <ns0:v/>
      </ns0:c>
      <ns0:c r="E1834" s="28" t="str">
        <ns0:f>IFERROR(MATCH(1830,'Banka Dökümü'!$I$2:$I$2001,0),"")</ns0:f>
        <ns0:v/>
      </ns0:c>
    </ns0:row>
    <ns0:row r="1835" ht="21" customHeight="1">
      <ns0:c r="A1835" s="32" t="str">
        <ns0:f>IF($E1835="","",INDEX('Banka Dökümü'!$A$2:$A$2001,$E1835))</ns0:f>
        <ns0:v/>
      </ns0:c>
      <ns0:c r="B1835" s="28" t="str">
        <ns0:f>IF($E1835="","",INDEX('Banka Dökümü'!$B$2:$B$2001,$E1835))</ns0:f>
        <ns0:v/>
      </ns0:c>
      <ns0:c r="C1835" s="33" t="str">
        <ns0:f>IF($E1835="","",INDEX('Banka Dökümü'!$C$2:$C$2001,$E1835))</ns0:f>
        <ns0:v/>
      </ns0:c>
      <ns0:c r="D1835" s="28" t="str">
        <ns0:f>IF(E1835="","","Müşteri adı / aranacak ad / il bilgisini kontrol edin")</ns0:f>
        <ns0:v/>
      </ns0:c>
      <ns0:c r="E1835" s="28" t="str">
        <ns0:f>IFERROR(MATCH(1831,'Banka Dökümü'!$I$2:$I$2001,0),"")</ns0:f>
        <ns0:v/>
      </ns0:c>
    </ns0:row>
    <ns0:row r="1836" ht="21" customHeight="1">
      <ns0:c r="A1836" s="32" t="str">
        <ns0:f>IF($E1836="","",INDEX('Banka Dökümü'!$A$2:$A$2001,$E1836))</ns0:f>
        <ns0:v/>
      </ns0:c>
      <ns0:c r="B1836" s="28" t="str">
        <ns0:f>IF($E1836="","",INDEX('Banka Dökümü'!$B$2:$B$2001,$E1836))</ns0:f>
        <ns0:v/>
      </ns0:c>
      <ns0:c r="C1836" s="33" t="str">
        <ns0:f>IF($E1836="","",INDEX('Banka Dökümü'!$C$2:$C$2001,$E1836))</ns0:f>
        <ns0:v/>
      </ns0:c>
      <ns0:c r="D1836" s="28" t="str">
        <ns0:f>IF(E1836="","","Müşteri adı / aranacak ad / il bilgisini kontrol edin")</ns0:f>
        <ns0:v/>
      </ns0:c>
      <ns0:c r="E1836" s="28" t="str">
        <ns0:f>IFERROR(MATCH(1832,'Banka Dökümü'!$I$2:$I$2001,0),"")</ns0:f>
        <ns0:v/>
      </ns0:c>
    </ns0:row>
    <ns0:row r="1837" ht="21" customHeight="1">
      <ns0:c r="A1837" s="32" t="str">
        <ns0:f>IF($E1837="","",INDEX('Banka Dökümü'!$A$2:$A$2001,$E1837))</ns0:f>
        <ns0:v/>
      </ns0:c>
      <ns0:c r="B1837" s="28" t="str">
        <ns0:f>IF($E1837="","",INDEX('Banka Dökümü'!$B$2:$B$2001,$E1837))</ns0:f>
        <ns0:v/>
      </ns0:c>
      <ns0:c r="C1837" s="33" t="str">
        <ns0:f>IF($E1837="","",INDEX('Banka Dökümü'!$C$2:$C$2001,$E1837))</ns0:f>
        <ns0:v/>
      </ns0:c>
      <ns0:c r="D1837" s="28" t="str">
        <ns0:f>IF(E1837="","","Müşteri adı / aranacak ad / il bilgisini kontrol edin")</ns0:f>
        <ns0:v/>
      </ns0:c>
      <ns0:c r="E1837" s="28" t="str">
        <ns0:f>IFERROR(MATCH(1833,'Banka Dökümü'!$I$2:$I$2001,0),"")</ns0:f>
        <ns0:v/>
      </ns0:c>
    </ns0:row>
    <ns0:row r="1838" ht="21" customHeight="1">
      <ns0:c r="A1838" s="32" t="str">
        <ns0:f>IF($E1838="","",INDEX('Banka Dökümü'!$A$2:$A$2001,$E1838))</ns0:f>
        <ns0:v/>
      </ns0:c>
      <ns0:c r="B1838" s="28" t="str">
        <ns0:f>IF($E1838="","",INDEX('Banka Dökümü'!$B$2:$B$2001,$E1838))</ns0:f>
        <ns0:v/>
      </ns0:c>
      <ns0:c r="C1838" s="33" t="str">
        <ns0:f>IF($E1838="","",INDEX('Banka Dökümü'!$C$2:$C$2001,$E1838))</ns0:f>
        <ns0:v/>
      </ns0:c>
      <ns0:c r="D1838" s="28" t="str">
        <ns0:f>IF(E1838="","","Müşteri adı / aranacak ad / il bilgisini kontrol edin")</ns0:f>
        <ns0:v/>
      </ns0:c>
      <ns0:c r="E1838" s="28" t="str">
        <ns0:f>IFERROR(MATCH(1834,'Banka Dökümü'!$I$2:$I$2001,0),"")</ns0:f>
        <ns0:v/>
      </ns0:c>
    </ns0:row>
    <ns0:row r="1839" ht="21" customHeight="1">
      <ns0:c r="A1839" s="32" t="str">
        <ns0:f>IF($E1839="","",INDEX('Banka Dökümü'!$A$2:$A$2001,$E1839))</ns0:f>
        <ns0:v/>
      </ns0:c>
      <ns0:c r="B1839" s="28" t="str">
        <ns0:f>IF($E1839="","",INDEX('Banka Dökümü'!$B$2:$B$2001,$E1839))</ns0:f>
        <ns0:v/>
      </ns0:c>
      <ns0:c r="C1839" s="33" t="str">
        <ns0:f>IF($E1839="","",INDEX('Banka Dökümü'!$C$2:$C$2001,$E1839))</ns0:f>
        <ns0:v/>
      </ns0:c>
      <ns0:c r="D1839" s="28" t="str">
        <ns0:f>IF(E1839="","","Müşteri adı / aranacak ad / il bilgisini kontrol edin")</ns0:f>
        <ns0:v/>
      </ns0:c>
      <ns0:c r="E1839" s="28" t="str">
        <ns0:f>IFERROR(MATCH(1835,'Banka Dökümü'!$I$2:$I$2001,0),"")</ns0:f>
        <ns0:v/>
      </ns0:c>
    </ns0:row>
    <ns0:row r="1840" ht="21" customHeight="1">
      <ns0:c r="A1840" s="32" t="str">
        <ns0:f>IF($E1840="","",INDEX('Banka Dökümü'!$A$2:$A$2001,$E1840))</ns0:f>
        <ns0:v/>
      </ns0:c>
      <ns0:c r="B1840" s="28" t="str">
        <ns0:f>IF($E1840="","",INDEX('Banka Dökümü'!$B$2:$B$2001,$E1840))</ns0:f>
        <ns0:v/>
      </ns0:c>
      <ns0:c r="C1840" s="33" t="str">
        <ns0:f>IF($E1840="","",INDEX('Banka Dökümü'!$C$2:$C$2001,$E1840))</ns0:f>
        <ns0:v/>
      </ns0:c>
      <ns0:c r="D1840" s="28" t="str">
        <ns0:f>IF(E1840="","","Müşteri adı / aranacak ad / il bilgisini kontrol edin")</ns0:f>
        <ns0:v/>
      </ns0:c>
      <ns0:c r="E1840" s="28" t="str">
        <ns0:f>IFERROR(MATCH(1836,'Banka Dökümü'!$I$2:$I$2001,0),"")</ns0:f>
        <ns0:v/>
      </ns0:c>
    </ns0:row>
    <ns0:row r="1841" ht="21" customHeight="1">
      <ns0:c r="A1841" s="32" t="str">
        <ns0:f>IF($E1841="","",INDEX('Banka Dökümü'!$A$2:$A$2001,$E1841))</ns0:f>
        <ns0:v/>
      </ns0:c>
      <ns0:c r="B1841" s="28" t="str">
        <ns0:f>IF($E1841="","",INDEX('Banka Dökümü'!$B$2:$B$2001,$E1841))</ns0:f>
        <ns0:v/>
      </ns0:c>
      <ns0:c r="C1841" s="33" t="str">
        <ns0:f>IF($E1841="","",INDEX('Banka Dökümü'!$C$2:$C$2001,$E1841))</ns0:f>
        <ns0:v/>
      </ns0:c>
      <ns0:c r="D1841" s="28" t="str">
        <ns0:f>IF(E1841="","","Müşteri adı / aranacak ad / il bilgisini kontrol edin")</ns0:f>
        <ns0:v/>
      </ns0:c>
      <ns0:c r="E1841" s="28" t="str">
        <ns0:f>IFERROR(MATCH(1837,'Banka Dökümü'!$I$2:$I$2001,0),"")</ns0:f>
        <ns0:v/>
      </ns0:c>
    </ns0:row>
    <ns0:row r="1842" ht="21" customHeight="1">
      <ns0:c r="A1842" s="32" t="str">
        <ns0:f>IF($E1842="","",INDEX('Banka Dökümü'!$A$2:$A$2001,$E1842))</ns0:f>
        <ns0:v/>
      </ns0:c>
      <ns0:c r="B1842" s="28" t="str">
        <ns0:f>IF($E1842="","",INDEX('Banka Dökümü'!$B$2:$B$2001,$E1842))</ns0:f>
        <ns0:v/>
      </ns0:c>
      <ns0:c r="C1842" s="33" t="str">
        <ns0:f>IF($E1842="","",INDEX('Banka Dökümü'!$C$2:$C$2001,$E1842))</ns0:f>
        <ns0:v/>
      </ns0:c>
      <ns0:c r="D1842" s="28" t="str">
        <ns0:f>IF(E1842="","","Müşteri adı / aranacak ad / il bilgisini kontrol edin")</ns0:f>
        <ns0:v/>
      </ns0:c>
      <ns0:c r="E1842" s="28" t="str">
        <ns0:f>IFERROR(MATCH(1838,'Banka Dökümü'!$I$2:$I$2001,0),"")</ns0:f>
        <ns0:v/>
      </ns0:c>
    </ns0:row>
    <ns0:row r="1843" ht="21" customHeight="1">
      <ns0:c r="A1843" s="32" t="str">
        <ns0:f>IF($E1843="","",INDEX('Banka Dökümü'!$A$2:$A$2001,$E1843))</ns0:f>
        <ns0:v/>
      </ns0:c>
      <ns0:c r="B1843" s="28" t="str">
        <ns0:f>IF($E1843="","",INDEX('Banka Dökümü'!$B$2:$B$2001,$E1843))</ns0:f>
        <ns0:v/>
      </ns0:c>
      <ns0:c r="C1843" s="33" t="str">
        <ns0:f>IF($E1843="","",INDEX('Banka Dökümü'!$C$2:$C$2001,$E1843))</ns0:f>
        <ns0:v/>
      </ns0:c>
      <ns0:c r="D1843" s="28" t="str">
        <ns0:f>IF(E1843="","","Müşteri adı / aranacak ad / il bilgisini kontrol edin")</ns0:f>
        <ns0:v/>
      </ns0:c>
      <ns0:c r="E1843" s="28" t="str">
        <ns0:f>IFERROR(MATCH(1839,'Banka Dökümü'!$I$2:$I$2001,0),"")</ns0:f>
        <ns0:v/>
      </ns0:c>
    </ns0:row>
    <ns0:row r="1844" ht="21" customHeight="1">
      <ns0:c r="A1844" s="32" t="str">
        <ns0:f>IF($E1844="","",INDEX('Banka Dökümü'!$A$2:$A$2001,$E1844))</ns0:f>
        <ns0:v/>
      </ns0:c>
      <ns0:c r="B1844" s="28" t="str">
        <ns0:f>IF($E1844="","",INDEX('Banka Dökümü'!$B$2:$B$2001,$E1844))</ns0:f>
        <ns0:v/>
      </ns0:c>
      <ns0:c r="C1844" s="33" t="str">
        <ns0:f>IF($E1844="","",INDEX('Banka Dökümü'!$C$2:$C$2001,$E1844))</ns0:f>
        <ns0:v/>
      </ns0:c>
      <ns0:c r="D1844" s="28" t="str">
        <ns0:f>IF(E1844="","","Müşteri adı / aranacak ad / il bilgisini kontrol edin")</ns0:f>
        <ns0:v/>
      </ns0:c>
      <ns0:c r="E1844" s="28" t="str">
        <ns0:f>IFERROR(MATCH(1840,'Banka Dökümü'!$I$2:$I$2001,0),"")</ns0:f>
        <ns0:v/>
      </ns0:c>
    </ns0:row>
    <ns0:row r="1845" ht="21" customHeight="1">
      <ns0:c r="A1845" s="32" t="str">
        <ns0:f>IF($E1845="","",INDEX('Banka Dökümü'!$A$2:$A$2001,$E1845))</ns0:f>
        <ns0:v/>
      </ns0:c>
      <ns0:c r="B1845" s="28" t="str">
        <ns0:f>IF($E1845="","",INDEX('Banka Dökümü'!$B$2:$B$2001,$E1845))</ns0:f>
        <ns0:v/>
      </ns0:c>
      <ns0:c r="C1845" s="33" t="str">
        <ns0:f>IF($E1845="","",INDEX('Banka Dökümü'!$C$2:$C$2001,$E1845))</ns0:f>
        <ns0:v/>
      </ns0:c>
      <ns0:c r="D1845" s="28" t="str">
        <ns0:f>IF(E1845="","","Müşteri adı / aranacak ad / il bilgisini kontrol edin")</ns0:f>
        <ns0:v/>
      </ns0:c>
      <ns0:c r="E1845" s="28" t="str">
        <ns0:f>IFERROR(MATCH(1841,'Banka Dökümü'!$I$2:$I$2001,0),"")</ns0:f>
        <ns0:v/>
      </ns0:c>
    </ns0:row>
    <ns0:row r="1846" ht="21" customHeight="1">
      <ns0:c r="A1846" s="32" t="str">
        <ns0:f>IF($E1846="","",INDEX('Banka Dökümü'!$A$2:$A$2001,$E1846))</ns0:f>
        <ns0:v/>
      </ns0:c>
      <ns0:c r="B1846" s="28" t="str">
        <ns0:f>IF($E1846="","",INDEX('Banka Dökümü'!$B$2:$B$2001,$E1846))</ns0:f>
        <ns0:v/>
      </ns0:c>
      <ns0:c r="C1846" s="33" t="str">
        <ns0:f>IF($E1846="","",INDEX('Banka Dökümü'!$C$2:$C$2001,$E1846))</ns0:f>
        <ns0:v/>
      </ns0:c>
      <ns0:c r="D1846" s="28" t="str">
        <ns0:f>IF(E1846="","","Müşteri adı / aranacak ad / il bilgisini kontrol edin")</ns0:f>
        <ns0:v/>
      </ns0:c>
      <ns0:c r="E1846" s="28" t="str">
        <ns0:f>IFERROR(MATCH(1842,'Banka Dökümü'!$I$2:$I$2001,0),"")</ns0:f>
        <ns0:v/>
      </ns0:c>
    </ns0:row>
    <ns0:row r="1847" ht="21" customHeight="1">
      <ns0:c r="A1847" s="32" t="str">
        <ns0:f>IF($E1847="","",INDEX('Banka Dökümü'!$A$2:$A$2001,$E1847))</ns0:f>
        <ns0:v/>
      </ns0:c>
      <ns0:c r="B1847" s="28" t="str">
        <ns0:f>IF($E1847="","",INDEX('Banka Dökümü'!$B$2:$B$2001,$E1847))</ns0:f>
        <ns0:v/>
      </ns0:c>
      <ns0:c r="C1847" s="33" t="str">
        <ns0:f>IF($E1847="","",INDEX('Banka Dökümü'!$C$2:$C$2001,$E1847))</ns0:f>
        <ns0:v/>
      </ns0:c>
      <ns0:c r="D1847" s="28" t="str">
        <ns0:f>IF(E1847="","","Müşteri adı / aranacak ad / il bilgisini kontrol edin")</ns0:f>
        <ns0:v/>
      </ns0:c>
      <ns0:c r="E1847" s="28" t="str">
        <ns0:f>IFERROR(MATCH(1843,'Banka Dökümü'!$I$2:$I$2001,0),"")</ns0:f>
        <ns0:v/>
      </ns0:c>
    </ns0:row>
    <ns0:row r="1848" ht="21" customHeight="1">
      <ns0:c r="A1848" s="32" t="str">
        <ns0:f>IF($E1848="","",INDEX('Banka Dökümü'!$A$2:$A$2001,$E1848))</ns0:f>
        <ns0:v/>
      </ns0:c>
      <ns0:c r="B1848" s="28" t="str">
        <ns0:f>IF($E1848="","",INDEX('Banka Dökümü'!$B$2:$B$2001,$E1848))</ns0:f>
        <ns0:v/>
      </ns0:c>
      <ns0:c r="C1848" s="33" t="str">
        <ns0:f>IF($E1848="","",INDEX('Banka Dökümü'!$C$2:$C$2001,$E1848))</ns0:f>
        <ns0:v/>
      </ns0:c>
      <ns0:c r="D1848" s="28" t="str">
        <ns0:f>IF(E1848="","","Müşteri adı / aranacak ad / il bilgisini kontrol edin")</ns0:f>
        <ns0:v/>
      </ns0:c>
      <ns0:c r="E1848" s="28" t="str">
        <ns0:f>IFERROR(MATCH(1844,'Banka Dökümü'!$I$2:$I$2001,0),"")</ns0:f>
        <ns0:v/>
      </ns0:c>
    </ns0:row>
    <ns0:row r="1849" ht="21" customHeight="1">
      <ns0:c r="A1849" s="32" t="str">
        <ns0:f>IF($E1849="","",INDEX('Banka Dökümü'!$A$2:$A$2001,$E1849))</ns0:f>
        <ns0:v/>
      </ns0:c>
      <ns0:c r="B1849" s="28" t="str">
        <ns0:f>IF($E1849="","",INDEX('Banka Dökümü'!$B$2:$B$2001,$E1849))</ns0:f>
        <ns0:v/>
      </ns0:c>
      <ns0:c r="C1849" s="33" t="str">
        <ns0:f>IF($E1849="","",INDEX('Banka Dökümü'!$C$2:$C$2001,$E1849))</ns0:f>
        <ns0:v/>
      </ns0:c>
      <ns0:c r="D1849" s="28" t="str">
        <ns0:f>IF(E1849="","","Müşteri adı / aranacak ad / il bilgisini kontrol edin")</ns0:f>
        <ns0:v/>
      </ns0:c>
      <ns0:c r="E1849" s="28" t="str">
        <ns0:f>IFERROR(MATCH(1845,'Banka Dökümü'!$I$2:$I$2001,0),"")</ns0:f>
        <ns0:v/>
      </ns0:c>
    </ns0:row>
    <ns0:row r="1850" ht="21" customHeight="1">
      <ns0:c r="A1850" s="32" t="str">
        <ns0:f>IF($E1850="","",INDEX('Banka Dökümü'!$A$2:$A$2001,$E1850))</ns0:f>
        <ns0:v/>
      </ns0:c>
      <ns0:c r="B1850" s="28" t="str">
        <ns0:f>IF($E1850="","",INDEX('Banka Dökümü'!$B$2:$B$2001,$E1850))</ns0:f>
        <ns0:v/>
      </ns0:c>
      <ns0:c r="C1850" s="33" t="str">
        <ns0:f>IF($E1850="","",INDEX('Banka Dökümü'!$C$2:$C$2001,$E1850))</ns0:f>
        <ns0:v/>
      </ns0:c>
      <ns0:c r="D1850" s="28" t="str">
        <ns0:f>IF(E1850="","","Müşteri adı / aranacak ad / il bilgisini kontrol edin")</ns0:f>
        <ns0:v/>
      </ns0:c>
      <ns0:c r="E1850" s="28" t="str">
        <ns0:f>IFERROR(MATCH(1846,'Banka Dökümü'!$I$2:$I$2001,0),"")</ns0:f>
        <ns0:v/>
      </ns0:c>
    </ns0:row>
    <ns0:row r="1851" ht="21" customHeight="1">
      <ns0:c r="A1851" s="32" t="str">
        <ns0:f>IF($E1851="","",INDEX('Banka Dökümü'!$A$2:$A$2001,$E1851))</ns0:f>
        <ns0:v/>
      </ns0:c>
      <ns0:c r="B1851" s="28" t="str">
        <ns0:f>IF($E1851="","",INDEX('Banka Dökümü'!$B$2:$B$2001,$E1851))</ns0:f>
        <ns0:v/>
      </ns0:c>
      <ns0:c r="C1851" s="33" t="str">
        <ns0:f>IF($E1851="","",INDEX('Banka Dökümü'!$C$2:$C$2001,$E1851))</ns0:f>
        <ns0:v/>
      </ns0:c>
      <ns0:c r="D1851" s="28" t="str">
        <ns0:f>IF(E1851="","","Müşteri adı / aranacak ad / il bilgisini kontrol edin")</ns0:f>
        <ns0:v/>
      </ns0:c>
      <ns0:c r="E1851" s="28" t="str">
        <ns0:f>IFERROR(MATCH(1847,'Banka Dökümü'!$I$2:$I$2001,0),"")</ns0:f>
        <ns0:v/>
      </ns0:c>
    </ns0:row>
    <ns0:row r="1852" ht="21" customHeight="1">
      <ns0:c r="A1852" s="32" t="str">
        <ns0:f>IF($E1852="","",INDEX('Banka Dökümü'!$A$2:$A$2001,$E1852))</ns0:f>
        <ns0:v/>
      </ns0:c>
      <ns0:c r="B1852" s="28" t="str">
        <ns0:f>IF($E1852="","",INDEX('Banka Dökümü'!$B$2:$B$2001,$E1852))</ns0:f>
        <ns0:v/>
      </ns0:c>
      <ns0:c r="C1852" s="33" t="str">
        <ns0:f>IF($E1852="","",INDEX('Banka Dökümü'!$C$2:$C$2001,$E1852))</ns0:f>
        <ns0:v/>
      </ns0:c>
      <ns0:c r="D1852" s="28" t="str">
        <ns0:f>IF(E1852="","","Müşteri adı / aranacak ad / il bilgisini kontrol edin")</ns0:f>
        <ns0:v/>
      </ns0:c>
      <ns0:c r="E1852" s="28" t="str">
        <ns0:f>IFERROR(MATCH(1848,'Banka Dökümü'!$I$2:$I$2001,0),"")</ns0:f>
        <ns0:v/>
      </ns0:c>
    </ns0:row>
    <ns0:row r="1853" ht="21" customHeight="1">
      <ns0:c r="A1853" s="32" t="str">
        <ns0:f>IF($E1853="","",INDEX('Banka Dökümü'!$A$2:$A$2001,$E1853))</ns0:f>
        <ns0:v/>
      </ns0:c>
      <ns0:c r="B1853" s="28" t="str">
        <ns0:f>IF($E1853="","",INDEX('Banka Dökümü'!$B$2:$B$2001,$E1853))</ns0:f>
        <ns0:v/>
      </ns0:c>
      <ns0:c r="C1853" s="33" t="str">
        <ns0:f>IF($E1853="","",INDEX('Banka Dökümü'!$C$2:$C$2001,$E1853))</ns0:f>
        <ns0:v/>
      </ns0:c>
      <ns0:c r="D1853" s="28" t="str">
        <ns0:f>IF(E1853="","","Müşteri adı / aranacak ad / il bilgisini kontrol edin")</ns0:f>
        <ns0:v/>
      </ns0:c>
      <ns0:c r="E1853" s="28" t="str">
        <ns0:f>IFERROR(MATCH(1849,'Banka Dökümü'!$I$2:$I$2001,0),"")</ns0:f>
        <ns0:v/>
      </ns0:c>
    </ns0:row>
    <ns0:row r="1854" ht="21" customHeight="1">
      <ns0:c r="A1854" s="32" t="str">
        <ns0:f>IF($E1854="","",INDEX('Banka Dökümü'!$A$2:$A$2001,$E1854))</ns0:f>
        <ns0:v/>
      </ns0:c>
      <ns0:c r="B1854" s="28" t="str">
        <ns0:f>IF($E1854="","",INDEX('Banka Dökümü'!$B$2:$B$2001,$E1854))</ns0:f>
        <ns0:v/>
      </ns0:c>
      <ns0:c r="C1854" s="33" t="str">
        <ns0:f>IF($E1854="","",INDEX('Banka Dökümü'!$C$2:$C$2001,$E1854))</ns0:f>
        <ns0:v/>
      </ns0:c>
      <ns0:c r="D1854" s="28" t="str">
        <ns0:f>IF(E1854="","","Müşteri adı / aranacak ad / il bilgisini kontrol edin")</ns0:f>
        <ns0:v/>
      </ns0:c>
      <ns0:c r="E1854" s="28" t="str">
        <ns0:f>IFERROR(MATCH(1850,'Banka Dökümü'!$I$2:$I$2001,0),"")</ns0:f>
        <ns0:v/>
      </ns0:c>
    </ns0:row>
    <ns0:row r="1855" ht="21" customHeight="1">
      <ns0:c r="A1855" s="32" t="str">
        <ns0:f>IF($E1855="","",INDEX('Banka Dökümü'!$A$2:$A$2001,$E1855))</ns0:f>
        <ns0:v/>
      </ns0:c>
      <ns0:c r="B1855" s="28" t="str">
        <ns0:f>IF($E1855="","",INDEX('Banka Dökümü'!$B$2:$B$2001,$E1855))</ns0:f>
        <ns0:v/>
      </ns0:c>
      <ns0:c r="C1855" s="33" t="str">
        <ns0:f>IF($E1855="","",INDEX('Banka Dökümü'!$C$2:$C$2001,$E1855))</ns0:f>
        <ns0:v/>
      </ns0:c>
      <ns0:c r="D1855" s="28" t="str">
        <ns0:f>IF(E1855="","","Müşteri adı / aranacak ad / il bilgisini kontrol edin")</ns0:f>
        <ns0:v/>
      </ns0:c>
      <ns0:c r="E1855" s="28" t="str">
        <ns0:f>IFERROR(MATCH(1851,'Banka Dökümü'!$I$2:$I$2001,0),"")</ns0:f>
        <ns0:v/>
      </ns0:c>
    </ns0:row>
    <ns0:row r="1856" ht="21" customHeight="1">
      <ns0:c r="A1856" s="32" t="str">
        <ns0:f>IF($E1856="","",INDEX('Banka Dökümü'!$A$2:$A$2001,$E1856))</ns0:f>
        <ns0:v/>
      </ns0:c>
      <ns0:c r="B1856" s="28" t="str">
        <ns0:f>IF($E1856="","",INDEX('Banka Dökümü'!$B$2:$B$2001,$E1856))</ns0:f>
        <ns0:v/>
      </ns0:c>
      <ns0:c r="C1856" s="33" t="str">
        <ns0:f>IF($E1856="","",INDEX('Banka Dökümü'!$C$2:$C$2001,$E1856))</ns0:f>
        <ns0:v/>
      </ns0:c>
      <ns0:c r="D1856" s="28" t="str">
        <ns0:f>IF(E1856="","","Müşteri adı / aranacak ad / il bilgisini kontrol edin")</ns0:f>
        <ns0:v/>
      </ns0:c>
      <ns0:c r="E1856" s="28" t="str">
        <ns0:f>IFERROR(MATCH(1852,'Banka Dökümü'!$I$2:$I$2001,0),"")</ns0:f>
        <ns0:v/>
      </ns0:c>
    </ns0:row>
    <ns0:row r="1857" ht="21" customHeight="1">
      <ns0:c r="A1857" s="32" t="str">
        <ns0:f>IF($E1857="","",INDEX('Banka Dökümü'!$A$2:$A$2001,$E1857))</ns0:f>
        <ns0:v/>
      </ns0:c>
      <ns0:c r="B1857" s="28" t="str">
        <ns0:f>IF($E1857="","",INDEX('Banka Dökümü'!$B$2:$B$2001,$E1857))</ns0:f>
        <ns0:v/>
      </ns0:c>
      <ns0:c r="C1857" s="33" t="str">
        <ns0:f>IF($E1857="","",INDEX('Banka Dökümü'!$C$2:$C$2001,$E1857))</ns0:f>
        <ns0:v/>
      </ns0:c>
      <ns0:c r="D1857" s="28" t="str">
        <ns0:f>IF(E1857="","","Müşteri adı / aranacak ad / il bilgisini kontrol edin")</ns0:f>
        <ns0:v/>
      </ns0:c>
      <ns0:c r="E1857" s="28" t="str">
        <ns0:f>IFERROR(MATCH(1853,'Banka Dökümü'!$I$2:$I$2001,0),"")</ns0:f>
        <ns0:v/>
      </ns0:c>
    </ns0:row>
    <ns0:row r="1858" ht="21" customHeight="1">
      <ns0:c r="A1858" s="32" t="str">
        <ns0:f>IF($E1858="","",INDEX('Banka Dökümü'!$A$2:$A$2001,$E1858))</ns0:f>
        <ns0:v/>
      </ns0:c>
      <ns0:c r="B1858" s="28" t="str">
        <ns0:f>IF($E1858="","",INDEX('Banka Dökümü'!$B$2:$B$2001,$E1858))</ns0:f>
        <ns0:v/>
      </ns0:c>
      <ns0:c r="C1858" s="33" t="str">
        <ns0:f>IF($E1858="","",INDEX('Banka Dökümü'!$C$2:$C$2001,$E1858))</ns0:f>
        <ns0:v/>
      </ns0:c>
      <ns0:c r="D1858" s="28" t="str">
        <ns0:f>IF(E1858="","","Müşteri adı / aranacak ad / il bilgisini kontrol edin")</ns0:f>
        <ns0:v/>
      </ns0:c>
      <ns0:c r="E1858" s="28" t="str">
        <ns0:f>IFERROR(MATCH(1854,'Banka Dökümü'!$I$2:$I$2001,0),"")</ns0:f>
        <ns0:v/>
      </ns0:c>
    </ns0:row>
    <ns0:row r="1859" ht="21" customHeight="1">
      <ns0:c r="A1859" s="32" t="str">
        <ns0:f>IF($E1859="","",INDEX('Banka Dökümü'!$A$2:$A$2001,$E1859))</ns0:f>
        <ns0:v/>
      </ns0:c>
      <ns0:c r="B1859" s="28" t="str">
        <ns0:f>IF($E1859="","",INDEX('Banka Dökümü'!$B$2:$B$2001,$E1859))</ns0:f>
        <ns0:v/>
      </ns0:c>
      <ns0:c r="C1859" s="33" t="str">
        <ns0:f>IF($E1859="","",INDEX('Banka Dökümü'!$C$2:$C$2001,$E1859))</ns0:f>
        <ns0:v/>
      </ns0:c>
      <ns0:c r="D1859" s="28" t="str">
        <ns0:f>IF(E1859="","","Müşteri adı / aranacak ad / il bilgisini kontrol edin")</ns0:f>
        <ns0:v/>
      </ns0:c>
      <ns0:c r="E1859" s="28" t="str">
        <ns0:f>IFERROR(MATCH(1855,'Banka Dökümü'!$I$2:$I$2001,0),"")</ns0:f>
        <ns0:v/>
      </ns0:c>
    </ns0:row>
    <ns0:row r="1860" ht="21" customHeight="1">
      <ns0:c r="A1860" s="32" t="str">
        <ns0:f>IF($E1860="","",INDEX('Banka Dökümü'!$A$2:$A$2001,$E1860))</ns0:f>
        <ns0:v/>
      </ns0:c>
      <ns0:c r="B1860" s="28" t="str">
        <ns0:f>IF($E1860="","",INDEX('Banka Dökümü'!$B$2:$B$2001,$E1860))</ns0:f>
        <ns0:v/>
      </ns0:c>
      <ns0:c r="C1860" s="33" t="str">
        <ns0:f>IF($E1860="","",INDEX('Banka Dökümü'!$C$2:$C$2001,$E1860))</ns0:f>
        <ns0:v/>
      </ns0:c>
      <ns0:c r="D1860" s="28" t="str">
        <ns0:f>IF(E1860="","","Müşteri adı / aranacak ad / il bilgisini kontrol edin")</ns0:f>
        <ns0:v/>
      </ns0:c>
      <ns0:c r="E1860" s="28" t="str">
        <ns0:f>IFERROR(MATCH(1856,'Banka Dökümü'!$I$2:$I$2001,0),"")</ns0:f>
        <ns0:v/>
      </ns0:c>
    </ns0:row>
    <ns0:row r="1861" ht="21" customHeight="1">
      <ns0:c r="A1861" s="32" t="str">
        <ns0:f>IF($E1861="","",INDEX('Banka Dökümü'!$A$2:$A$2001,$E1861))</ns0:f>
        <ns0:v/>
      </ns0:c>
      <ns0:c r="B1861" s="28" t="str">
        <ns0:f>IF($E1861="","",INDEX('Banka Dökümü'!$B$2:$B$2001,$E1861))</ns0:f>
        <ns0:v/>
      </ns0:c>
      <ns0:c r="C1861" s="33" t="str">
        <ns0:f>IF($E1861="","",INDEX('Banka Dökümü'!$C$2:$C$2001,$E1861))</ns0:f>
        <ns0:v/>
      </ns0:c>
      <ns0:c r="D1861" s="28" t="str">
        <ns0:f>IF(E1861="","","Müşteri adı / aranacak ad / il bilgisini kontrol edin")</ns0:f>
        <ns0:v/>
      </ns0:c>
      <ns0:c r="E1861" s="28" t="str">
        <ns0:f>IFERROR(MATCH(1857,'Banka Dökümü'!$I$2:$I$2001,0),"")</ns0:f>
        <ns0:v/>
      </ns0:c>
    </ns0:row>
    <ns0:row r="1862" ht="21" customHeight="1">
      <ns0:c r="A1862" s="32" t="str">
        <ns0:f>IF($E1862="","",INDEX('Banka Dökümü'!$A$2:$A$2001,$E1862))</ns0:f>
        <ns0:v/>
      </ns0:c>
      <ns0:c r="B1862" s="28" t="str">
        <ns0:f>IF($E1862="","",INDEX('Banka Dökümü'!$B$2:$B$2001,$E1862))</ns0:f>
        <ns0:v/>
      </ns0:c>
      <ns0:c r="C1862" s="33" t="str">
        <ns0:f>IF($E1862="","",INDEX('Banka Dökümü'!$C$2:$C$2001,$E1862))</ns0:f>
        <ns0:v/>
      </ns0:c>
      <ns0:c r="D1862" s="28" t="str">
        <ns0:f>IF(E1862="","","Müşteri adı / aranacak ad / il bilgisini kontrol edin")</ns0:f>
        <ns0:v/>
      </ns0:c>
      <ns0:c r="E1862" s="28" t="str">
        <ns0:f>IFERROR(MATCH(1858,'Banka Dökümü'!$I$2:$I$2001,0),"")</ns0:f>
        <ns0:v/>
      </ns0:c>
    </ns0:row>
    <ns0:row r="1863" ht="21" customHeight="1">
      <ns0:c r="A1863" s="32" t="str">
        <ns0:f>IF($E1863="","",INDEX('Banka Dökümü'!$A$2:$A$2001,$E1863))</ns0:f>
        <ns0:v/>
      </ns0:c>
      <ns0:c r="B1863" s="28" t="str">
        <ns0:f>IF($E1863="","",INDEX('Banka Dökümü'!$B$2:$B$2001,$E1863))</ns0:f>
        <ns0:v/>
      </ns0:c>
      <ns0:c r="C1863" s="33" t="str">
        <ns0:f>IF($E1863="","",INDEX('Banka Dökümü'!$C$2:$C$2001,$E1863))</ns0:f>
        <ns0:v/>
      </ns0:c>
      <ns0:c r="D1863" s="28" t="str">
        <ns0:f>IF(E1863="","","Müşteri adı / aranacak ad / il bilgisini kontrol edin")</ns0:f>
        <ns0:v/>
      </ns0:c>
      <ns0:c r="E1863" s="28" t="str">
        <ns0:f>IFERROR(MATCH(1859,'Banka Dökümü'!$I$2:$I$2001,0),"")</ns0:f>
        <ns0:v/>
      </ns0:c>
    </ns0:row>
    <ns0:row r="1864" ht="21" customHeight="1">
      <ns0:c r="A1864" s="32" t="str">
        <ns0:f>IF($E1864="","",INDEX('Banka Dökümü'!$A$2:$A$2001,$E1864))</ns0:f>
        <ns0:v/>
      </ns0:c>
      <ns0:c r="B1864" s="28" t="str">
        <ns0:f>IF($E1864="","",INDEX('Banka Dökümü'!$B$2:$B$2001,$E1864))</ns0:f>
        <ns0:v/>
      </ns0:c>
      <ns0:c r="C1864" s="33" t="str">
        <ns0:f>IF($E1864="","",INDEX('Banka Dökümü'!$C$2:$C$2001,$E1864))</ns0:f>
        <ns0:v/>
      </ns0:c>
      <ns0:c r="D1864" s="28" t="str">
        <ns0:f>IF(E1864="","","Müşteri adı / aranacak ad / il bilgisini kontrol edin")</ns0:f>
        <ns0:v/>
      </ns0:c>
      <ns0:c r="E1864" s="28" t="str">
        <ns0:f>IFERROR(MATCH(1860,'Banka Dökümü'!$I$2:$I$2001,0),"")</ns0:f>
        <ns0:v/>
      </ns0:c>
    </ns0:row>
    <ns0:row r="1865" ht="21" customHeight="1">
      <ns0:c r="A1865" s="32" t="str">
        <ns0:f>IF($E1865="","",INDEX('Banka Dökümü'!$A$2:$A$2001,$E1865))</ns0:f>
        <ns0:v/>
      </ns0:c>
      <ns0:c r="B1865" s="28" t="str">
        <ns0:f>IF($E1865="","",INDEX('Banka Dökümü'!$B$2:$B$2001,$E1865))</ns0:f>
        <ns0:v/>
      </ns0:c>
      <ns0:c r="C1865" s="33" t="str">
        <ns0:f>IF($E1865="","",INDEX('Banka Dökümü'!$C$2:$C$2001,$E1865))</ns0:f>
        <ns0:v/>
      </ns0:c>
      <ns0:c r="D1865" s="28" t="str">
        <ns0:f>IF(E1865="","","Müşteri adı / aranacak ad / il bilgisini kontrol edin")</ns0:f>
        <ns0:v/>
      </ns0:c>
      <ns0:c r="E1865" s="28" t="str">
        <ns0:f>IFERROR(MATCH(1861,'Banka Dökümü'!$I$2:$I$2001,0),"")</ns0:f>
        <ns0:v/>
      </ns0:c>
    </ns0:row>
    <ns0:row r="1866" ht="21" customHeight="1">
      <ns0:c r="A1866" s="32" t="str">
        <ns0:f>IF($E1866="","",INDEX('Banka Dökümü'!$A$2:$A$2001,$E1866))</ns0:f>
        <ns0:v/>
      </ns0:c>
      <ns0:c r="B1866" s="28" t="str">
        <ns0:f>IF($E1866="","",INDEX('Banka Dökümü'!$B$2:$B$2001,$E1866))</ns0:f>
        <ns0:v/>
      </ns0:c>
      <ns0:c r="C1866" s="33" t="str">
        <ns0:f>IF($E1866="","",INDEX('Banka Dökümü'!$C$2:$C$2001,$E1866))</ns0:f>
        <ns0:v/>
      </ns0:c>
      <ns0:c r="D1866" s="28" t="str">
        <ns0:f>IF(E1866="","","Müşteri adı / aranacak ad / il bilgisini kontrol edin")</ns0:f>
        <ns0:v/>
      </ns0:c>
      <ns0:c r="E1866" s="28" t="str">
        <ns0:f>IFERROR(MATCH(1862,'Banka Dökümü'!$I$2:$I$2001,0),"")</ns0:f>
        <ns0:v/>
      </ns0:c>
    </ns0:row>
    <ns0:row r="1867" ht="21" customHeight="1">
      <ns0:c r="A1867" s="32" t="str">
        <ns0:f>IF($E1867="","",INDEX('Banka Dökümü'!$A$2:$A$2001,$E1867))</ns0:f>
        <ns0:v/>
      </ns0:c>
      <ns0:c r="B1867" s="28" t="str">
        <ns0:f>IF($E1867="","",INDEX('Banka Dökümü'!$B$2:$B$2001,$E1867))</ns0:f>
        <ns0:v/>
      </ns0:c>
      <ns0:c r="C1867" s="33" t="str">
        <ns0:f>IF($E1867="","",INDEX('Banka Dökümü'!$C$2:$C$2001,$E1867))</ns0:f>
        <ns0:v/>
      </ns0:c>
      <ns0:c r="D1867" s="28" t="str">
        <ns0:f>IF(E1867="","","Müşteri adı / aranacak ad / il bilgisini kontrol edin")</ns0:f>
        <ns0:v/>
      </ns0:c>
      <ns0:c r="E1867" s="28" t="str">
        <ns0:f>IFERROR(MATCH(1863,'Banka Dökümü'!$I$2:$I$2001,0),"")</ns0:f>
        <ns0:v/>
      </ns0:c>
    </ns0:row>
    <ns0:row r="1868" ht="21" customHeight="1">
      <ns0:c r="A1868" s="32" t="str">
        <ns0:f>IF($E1868="","",INDEX('Banka Dökümü'!$A$2:$A$2001,$E1868))</ns0:f>
        <ns0:v/>
      </ns0:c>
      <ns0:c r="B1868" s="28" t="str">
        <ns0:f>IF($E1868="","",INDEX('Banka Dökümü'!$B$2:$B$2001,$E1868))</ns0:f>
        <ns0:v/>
      </ns0:c>
      <ns0:c r="C1868" s="33" t="str">
        <ns0:f>IF($E1868="","",INDEX('Banka Dökümü'!$C$2:$C$2001,$E1868))</ns0:f>
        <ns0:v/>
      </ns0:c>
      <ns0:c r="D1868" s="28" t="str">
        <ns0:f>IF(E1868="","","Müşteri adı / aranacak ad / il bilgisini kontrol edin")</ns0:f>
        <ns0:v/>
      </ns0:c>
      <ns0:c r="E1868" s="28" t="str">
        <ns0:f>IFERROR(MATCH(1864,'Banka Dökümü'!$I$2:$I$2001,0),"")</ns0:f>
        <ns0:v/>
      </ns0:c>
    </ns0:row>
    <ns0:row r="1869" ht="21" customHeight="1">
      <ns0:c r="A1869" s="32" t="str">
        <ns0:f>IF($E1869="","",INDEX('Banka Dökümü'!$A$2:$A$2001,$E1869))</ns0:f>
        <ns0:v/>
      </ns0:c>
      <ns0:c r="B1869" s="28" t="str">
        <ns0:f>IF($E1869="","",INDEX('Banka Dökümü'!$B$2:$B$2001,$E1869))</ns0:f>
        <ns0:v/>
      </ns0:c>
      <ns0:c r="C1869" s="33" t="str">
        <ns0:f>IF($E1869="","",INDEX('Banka Dökümü'!$C$2:$C$2001,$E1869))</ns0:f>
        <ns0:v/>
      </ns0:c>
      <ns0:c r="D1869" s="28" t="str">
        <ns0:f>IF(E1869="","","Müşteri adı / aranacak ad / il bilgisini kontrol edin")</ns0:f>
        <ns0:v/>
      </ns0:c>
      <ns0:c r="E1869" s="28" t="str">
        <ns0:f>IFERROR(MATCH(1865,'Banka Dökümü'!$I$2:$I$2001,0),"")</ns0:f>
        <ns0:v/>
      </ns0:c>
    </ns0:row>
    <ns0:row r="1870" ht="21" customHeight="1">
      <ns0:c r="A1870" s="32" t="str">
        <ns0:f>IF($E1870="","",INDEX('Banka Dökümü'!$A$2:$A$2001,$E1870))</ns0:f>
        <ns0:v/>
      </ns0:c>
      <ns0:c r="B1870" s="28" t="str">
        <ns0:f>IF($E1870="","",INDEX('Banka Dökümü'!$B$2:$B$2001,$E1870))</ns0:f>
        <ns0:v/>
      </ns0:c>
      <ns0:c r="C1870" s="33" t="str">
        <ns0:f>IF($E1870="","",INDEX('Banka Dökümü'!$C$2:$C$2001,$E1870))</ns0:f>
        <ns0:v/>
      </ns0:c>
      <ns0:c r="D1870" s="28" t="str">
        <ns0:f>IF(E1870="","","Müşteri adı / aranacak ad / il bilgisini kontrol edin")</ns0:f>
        <ns0:v/>
      </ns0:c>
      <ns0:c r="E1870" s="28" t="str">
        <ns0:f>IFERROR(MATCH(1866,'Banka Dökümü'!$I$2:$I$2001,0),"")</ns0:f>
        <ns0:v/>
      </ns0:c>
    </ns0:row>
    <ns0:row r="1871" ht="21" customHeight="1">
      <ns0:c r="A1871" s="32" t="str">
        <ns0:f>IF($E1871="","",INDEX('Banka Dökümü'!$A$2:$A$2001,$E1871))</ns0:f>
        <ns0:v/>
      </ns0:c>
      <ns0:c r="B1871" s="28" t="str">
        <ns0:f>IF($E1871="","",INDEX('Banka Dökümü'!$B$2:$B$2001,$E1871))</ns0:f>
        <ns0:v/>
      </ns0:c>
      <ns0:c r="C1871" s="33" t="str">
        <ns0:f>IF($E1871="","",INDEX('Banka Dökümü'!$C$2:$C$2001,$E1871))</ns0:f>
        <ns0:v/>
      </ns0:c>
      <ns0:c r="D1871" s="28" t="str">
        <ns0:f>IF(E1871="","","Müşteri adı / aranacak ad / il bilgisini kontrol edin")</ns0:f>
        <ns0:v/>
      </ns0:c>
      <ns0:c r="E1871" s="28" t="str">
        <ns0:f>IFERROR(MATCH(1867,'Banka Dökümü'!$I$2:$I$2001,0),"")</ns0:f>
        <ns0:v/>
      </ns0:c>
    </ns0:row>
    <ns0:row r="1872" ht="21" customHeight="1">
      <ns0:c r="A1872" s="32" t="str">
        <ns0:f>IF($E1872="","",INDEX('Banka Dökümü'!$A$2:$A$2001,$E1872))</ns0:f>
        <ns0:v/>
      </ns0:c>
      <ns0:c r="B1872" s="28" t="str">
        <ns0:f>IF($E1872="","",INDEX('Banka Dökümü'!$B$2:$B$2001,$E1872))</ns0:f>
        <ns0:v/>
      </ns0:c>
      <ns0:c r="C1872" s="33" t="str">
        <ns0:f>IF($E1872="","",INDEX('Banka Dökümü'!$C$2:$C$2001,$E1872))</ns0:f>
        <ns0:v/>
      </ns0:c>
      <ns0:c r="D1872" s="28" t="str">
        <ns0:f>IF(E1872="","","Müşteri adı / aranacak ad / il bilgisini kontrol edin")</ns0:f>
        <ns0:v/>
      </ns0:c>
      <ns0:c r="E1872" s="28" t="str">
        <ns0:f>IFERROR(MATCH(1868,'Banka Dökümü'!$I$2:$I$2001,0),"")</ns0:f>
        <ns0:v/>
      </ns0:c>
    </ns0:row>
    <ns0:row r="1873" ht="21" customHeight="1">
      <ns0:c r="A1873" s="32" t="str">
        <ns0:f>IF($E1873="","",INDEX('Banka Dökümü'!$A$2:$A$2001,$E1873))</ns0:f>
        <ns0:v/>
      </ns0:c>
      <ns0:c r="B1873" s="28" t="str">
        <ns0:f>IF($E1873="","",INDEX('Banka Dökümü'!$B$2:$B$2001,$E1873))</ns0:f>
        <ns0:v/>
      </ns0:c>
      <ns0:c r="C1873" s="33" t="str">
        <ns0:f>IF($E1873="","",INDEX('Banka Dökümü'!$C$2:$C$2001,$E1873))</ns0:f>
        <ns0:v/>
      </ns0:c>
      <ns0:c r="D1873" s="28" t="str">
        <ns0:f>IF(E1873="","","Müşteri adı / aranacak ad / il bilgisini kontrol edin")</ns0:f>
        <ns0:v/>
      </ns0:c>
      <ns0:c r="E1873" s="28" t="str">
        <ns0:f>IFERROR(MATCH(1869,'Banka Dökümü'!$I$2:$I$2001,0),"")</ns0:f>
        <ns0:v/>
      </ns0:c>
    </ns0:row>
    <ns0:row r="1874" ht="21" customHeight="1">
      <ns0:c r="A1874" s="32" t="str">
        <ns0:f>IF($E1874="","",INDEX('Banka Dökümü'!$A$2:$A$2001,$E1874))</ns0:f>
        <ns0:v/>
      </ns0:c>
      <ns0:c r="B1874" s="28" t="str">
        <ns0:f>IF($E1874="","",INDEX('Banka Dökümü'!$B$2:$B$2001,$E1874))</ns0:f>
        <ns0:v/>
      </ns0:c>
      <ns0:c r="C1874" s="33" t="str">
        <ns0:f>IF($E1874="","",INDEX('Banka Dökümü'!$C$2:$C$2001,$E1874))</ns0:f>
        <ns0:v/>
      </ns0:c>
      <ns0:c r="D1874" s="28" t="str">
        <ns0:f>IF(E1874="","","Müşteri adı / aranacak ad / il bilgisini kontrol edin")</ns0:f>
        <ns0:v/>
      </ns0:c>
      <ns0:c r="E1874" s="28" t="str">
        <ns0:f>IFERROR(MATCH(1870,'Banka Dökümü'!$I$2:$I$2001,0),"")</ns0:f>
        <ns0:v/>
      </ns0:c>
    </ns0:row>
    <ns0:row r="1875" ht="21" customHeight="1">
      <ns0:c r="A1875" s="32" t="str">
        <ns0:f>IF($E1875="","",INDEX('Banka Dökümü'!$A$2:$A$2001,$E1875))</ns0:f>
        <ns0:v/>
      </ns0:c>
      <ns0:c r="B1875" s="28" t="str">
        <ns0:f>IF($E1875="","",INDEX('Banka Dökümü'!$B$2:$B$2001,$E1875))</ns0:f>
        <ns0:v/>
      </ns0:c>
      <ns0:c r="C1875" s="33" t="str">
        <ns0:f>IF($E1875="","",INDEX('Banka Dökümü'!$C$2:$C$2001,$E1875))</ns0:f>
        <ns0:v/>
      </ns0:c>
      <ns0:c r="D1875" s="28" t="str">
        <ns0:f>IF(E1875="","","Müşteri adı / aranacak ad / il bilgisini kontrol edin")</ns0:f>
        <ns0:v/>
      </ns0:c>
      <ns0:c r="E1875" s="28" t="str">
        <ns0:f>IFERROR(MATCH(1871,'Banka Dökümü'!$I$2:$I$2001,0),"")</ns0:f>
        <ns0:v/>
      </ns0:c>
    </ns0:row>
    <ns0:row r="1876" ht="21" customHeight="1">
      <ns0:c r="A1876" s="32" t="str">
        <ns0:f>IF($E1876="","",INDEX('Banka Dökümü'!$A$2:$A$2001,$E1876))</ns0:f>
        <ns0:v/>
      </ns0:c>
      <ns0:c r="B1876" s="28" t="str">
        <ns0:f>IF($E1876="","",INDEX('Banka Dökümü'!$B$2:$B$2001,$E1876))</ns0:f>
        <ns0:v/>
      </ns0:c>
      <ns0:c r="C1876" s="33" t="str">
        <ns0:f>IF($E1876="","",INDEX('Banka Dökümü'!$C$2:$C$2001,$E1876))</ns0:f>
        <ns0:v/>
      </ns0:c>
      <ns0:c r="D1876" s="28" t="str">
        <ns0:f>IF(E1876="","","Müşteri adı / aranacak ad / il bilgisini kontrol edin")</ns0:f>
        <ns0:v/>
      </ns0:c>
      <ns0:c r="E1876" s="28" t="str">
        <ns0:f>IFERROR(MATCH(1872,'Banka Dökümü'!$I$2:$I$2001,0),"")</ns0:f>
        <ns0:v/>
      </ns0:c>
    </ns0:row>
    <ns0:row r="1877" ht="21" customHeight="1">
      <ns0:c r="A1877" s="32" t="str">
        <ns0:f>IF($E1877="","",INDEX('Banka Dökümü'!$A$2:$A$2001,$E1877))</ns0:f>
        <ns0:v/>
      </ns0:c>
      <ns0:c r="B1877" s="28" t="str">
        <ns0:f>IF($E1877="","",INDEX('Banka Dökümü'!$B$2:$B$2001,$E1877))</ns0:f>
        <ns0:v/>
      </ns0:c>
      <ns0:c r="C1877" s="33" t="str">
        <ns0:f>IF($E1877="","",INDEX('Banka Dökümü'!$C$2:$C$2001,$E1877))</ns0:f>
        <ns0:v/>
      </ns0:c>
      <ns0:c r="D1877" s="28" t="str">
        <ns0:f>IF(E1877="","","Müşteri adı / aranacak ad / il bilgisini kontrol edin")</ns0:f>
        <ns0:v/>
      </ns0:c>
      <ns0:c r="E1877" s="28" t="str">
        <ns0:f>IFERROR(MATCH(1873,'Banka Dökümü'!$I$2:$I$2001,0),"")</ns0:f>
        <ns0:v/>
      </ns0:c>
    </ns0:row>
    <ns0:row r="1878" ht="21" customHeight="1">
      <ns0:c r="A1878" s="32" t="str">
        <ns0:f>IF($E1878="","",INDEX('Banka Dökümü'!$A$2:$A$2001,$E1878))</ns0:f>
        <ns0:v/>
      </ns0:c>
      <ns0:c r="B1878" s="28" t="str">
        <ns0:f>IF($E1878="","",INDEX('Banka Dökümü'!$B$2:$B$2001,$E1878))</ns0:f>
        <ns0:v/>
      </ns0:c>
      <ns0:c r="C1878" s="33" t="str">
        <ns0:f>IF($E1878="","",INDEX('Banka Dökümü'!$C$2:$C$2001,$E1878))</ns0:f>
        <ns0:v/>
      </ns0:c>
      <ns0:c r="D1878" s="28" t="str">
        <ns0:f>IF(E1878="","","Müşteri adı / aranacak ad / il bilgisini kontrol edin")</ns0:f>
        <ns0:v/>
      </ns0:c>
      <ns0:c r="E1878" s="28" t="str">
        <ns0:f>IFERROR(MATCH(1874,'Banka Dökümü'!$I$2:$I$2001,0),"")</ns0:f>
        <ns0:v/>
      </ns0:c>
    </ns0:row>
    <ns0:row r="1879" ht="21" customHeight="1">
      <ns0:c r="A1879" s="32" t="str">
        <ns0:f>IF($E1879="","",INDEX('Banka Dökümü'!$A$2:$A$2001,$E1879))</ns0:f>
        <ns0:v/>
      </ns0:c>
      <ns0:c r="B1879" s="28" t="str">
        <ns0:f>IF($E1879="","",INDEX('Banka Dökümü'!$B$2:$B$2001,$E1879))</ns0:f>
        <ns0:v/>
      </ns0:c>
      <ns0:c r="C1879" s="33" t="str">
        <ns0:f>IF($E1879="","",INDEX('Banka Dökümü'!$C$2:$C$2001,$E1879))</ns0:f>
        <ns0:v/>
      </ns0:c>
      <ns0:c r="D1879" s="28" t="str">
        <ns0:f>IF(E1879="","","Müşteri adı / aranacak ad / il bilgisini kontrol edin")</ns0:f>
        <ns0:v/>
      </ns0:c>
      <ns0:c r="E1879" s="28" t="str">
        <ns0:f>IFERROR(MATCH(1875,'Banka Dökümü'!$I$2:$I$2001,0),"")</ns0:f>
        <ns0:v/>
      </ns0:c>
    </ns0:row>
    <ns0:row r="1880" ht="21" customHeight="1">
      <ns0:c r="A1880" s="32" t="str">
        <ns0:f>IF($E1880="","",INDEX('Banka Dökümü'!$A$2:$A$2001,$E1880))</ns0:f>
        <ns0:v/>
      </ns0:c>
      <ns0:c r="B1880" s="28" t="str">
        <ns0:f>IF($E1880="","",INDEX('Banka Dökümü'!$B$2:$B$2001,$E1880))</ns0:f>
        <ns0:v/>
      </ns0:c>
      <ns0:c r="C1880" s="33" t="str">
        <ns0:f>IF($E1880="","",INDEX('Banka Dökümü'!$C$2:$C$2001,$E1880))</ns0:f>
        <ns0:v/>
      </ns0:c>
      <ns0:c r="D1880" s="28" t="str">
        <ns0:f>IF(E1880="","","Müşteri adı / aranacak ad / il bilgisini kontrol edin")</ns0:f>
        <ns0:v/>
      </ns0:c>
      <ns0:c r="E1880" s="28" t="str">
        <ns0:f>IFERROR(MATCH(1876,'Banka Dökümü'!$I$2:$I$2001,0),"")</ns0:f>
        <ns0:v/>
      </ns0:c>
    </ns0:row>
    <ns0:row r="1881" ht="21" customHeight="1">
      <ns0:c r="A1881" s="32" t="str">
        <ns0:f>IF($E1881="","",INDEX('Banka Dökümü'!$A$2:$A$2001,$E1881))</ns0:f>
        <ns0:v/>
      </ns0:c>
      <ns0:c r="B1881" s="28" t="str">
        <ns0:f>IF($E1881="","",INDEX('Banka Dökümü'!$B$2:$B$2001,$E1881))</ns0:f>
        <ns0:v/>
      </ns0:c>
      <ns0:c r="C1881" s="33" t="str">
        <ns0:f>IF($E1881="","",INDEX('Banka Dökümü'!$C$2:$C$2001,$E1881))</ns0:f>
        <ns0:v/>
      </ns0:c>
      <ns0:c r="D1881" s="28" t="str">
        <ns0:f>IF(E1881="","","Müşteri adı / aranacak ad / il bilgisini kontrol edin")</ns0:f>
        <ns0:v/>
      </ns0:c>
      <ns0:c r="E1881" s="28" t="str">
        <ns0:f>IFERROR(MATCH(1877,'Banka Dökümü'!$I$2:$I$2001,0),"")</ns0:f>
        <ns0:v/>
      </ns0:c>
    </ns0:row>
    <ns0:row r="1882" ht="21" customHeight="1">
      <ns0:c r="A1882" s="32" t="str">
        <ns0:f>IF($E1882="","",INDEX('Banka Dökümü'!$A$2:$A$2001,$E1882))</ns0:f>
        <ns0:v/>
      </ns0:c>
      <ns0:c r="B1882" s="28" t="str">
        <ns0:f>IF($E1882="","",INDEX('Banka Dökümü'!$B$2:$B$2001,$E1882))</ns0:f>
        <ns0:v/>
      </ns0:c>
      <ns0:c r="C1882" s="33" t="str">
        <ns0:f>IF($E1882="","",INDEX('Banka Dökümü'!$C$2:$C$2001,$E1882))</ns0:f>
        <ns0:v/>
      </ns0:c>
      <ns0:c r="D1882" s="28" t="str">
        <ns0:f>IF(E1882="","","Müşteri adı / aranacak ad / il bilgisini kontrol edin")</ns0:f>
        <ns0:v/>
      </ns0:c>
      <ns0:c r="E1882" s="28" t="str">
        <ns0:f>IFERROR(MATCH(1878,'Banka Dökümü'!$I$2:$I$2001,0),"")</ns0:f>
        <ns0:v/>
      </ns0:c>
    </ns0:row>
    <ns0:row r="1883" ht="21" customHeight="1">
      <ns0:c r="A1883" s="32" t="str">
        <ns0:f>IF($E1883="","",INDEX('Banka Dökümü'!$A$2:$A$2001,$E1883))</ns0:f>
        <ns0:v/>
      </ns0:c>
      <ns0:c r="B1883" s="28" t="str">
        <ns0:f>IF($E1883="","",INDEX('Banka Dökümü'!$B$2:$B$2001,$E1883))</ns0:f>
        <ns0:v/>
      </ns0:c>
      <ns0:c r="C1883" s="33" t="str">
        <ns0:f>IF($E1883="","",INDEX('Banka Dökümü'!$C$2:$C$2001,$E1883))</ns0:f>
        <ns0:v/>
      </ns0:c>
      <ns0:c r="D1883" s="28" t="str">
        <ns0:f>IF(E1883="","","Müşteri adı / aranacak ad / il bilgisini kontrol edin")</ns0:f>
        <ns0:v/>
      </ns0:c>
      <ns0:c r="E1883" s="28" t="str">
        <ns0:f>IFERROR(MATCH(1879,'Banka Dökümü'!$I$2:$I$2001,0),"")</ns0:f>
        <ns0:v/>
      </ns0:c>
    </ns0:row>
    <ns0:row r="1884" ht="21" customHeight="1">
      <ns0:c r="A1884" s="32" t="str">
        <ns0:f>IF($E1884="","",INDEX('Banka Dökümü'!$A$2:$A$2001,$E1884))</ns0:f>
        <ns0:v/>
      </ns0:c>
      <ns0:c r="B1884" s="28" t="str">
        <ns0:f>IF($E1884="","",INDEX('Banka Dökümü'!$B$2:$B$2001,$E1884))</ns0:f>
        <ns0:v/>
      </ns0:c>
      <ns0:c r="C1884" s="33" t="str">
        <ns0:f>IF($E1884="","",INDEX('Banka Dökümü'!$C$2:$C$2001,$E1884))</ns0:f>
        <ns0:v/>
      </ns0:c>
      <ns0:c r="D1884" s="28" t="str">
        <ns0:f>IF(E1884="","","Müşteri adı / aranacak ad / il bilgisini kontrol edin")</ns0:f>
        <ns0:v/>
      </ns0:c>
      <ns0:c r="E1884" s="28" t="str">
        <ns0:f>IFERROR(MATCH(1880,'Banka Dökümü'!$I$2:$I$2001,0),"")</ns0:f>
        <ns0:v/>
      </ns0:c>
    </ns0:row>
    <ns0:row r="1885" ht="21" customHeight="1">
      <ns0:c r="A1885" s="32" t="str">
        <ns0:f>IF($E1885="","",INDEX('Banka Dökümü'!$A$2:$A$2001,$E1885))</ns0:f>
        <ns0:v/>
      </ns0:c>
      <ns0:c r="B1885" s="28" t="str">
        <ns0:f>IF($E1885="","",INDEX('Banka Dökümü'!$B$2:$B$2001,$E1885))</ns0:f>
        <ns0:v/>
      </ns0:c>
      <ns0:c r="C1885" s="33" t="str">
        <ns0:f>IF($E1885="","",INDEX('Banka Dökümü'!$C$2:$C$2001,$E1885))</ns0:f>
        <ns0:v/>
      </ns0:c>
      <ns0:c r="D1885" s="28" t="str">
        <ns0:f>IF(E1885="","","Müşteri adı / aranacak ad / il bilgisini kontrol edin")</ns0:f>
        <ns0:v/>
      </ns0:c>
      <ns0:c r="E1885" s="28" t="str">
        <ns0:f>IFERROR(MATCH(1881,'Banka Dökümü'!$I$2:$I$2001,0),"")</ns0:f>
        <ns0:v/>
      </ns0:c>
    </ns0:row>
    <ns0:row r="1886" ht="21" customHeight="1">
      <ns0:c r="A1886" s="32" t="str">
        <ns0:f>IF($E1886="","",INDEX('Banka Dökümü'!$A$2:$A$2001,$E1886))</ns0:f>
        <ns0:v/>
      </ns0:c>
      <ns0:c r="B1886" s="28" t="str">
        <ns0:f>IF($E1886="","",INDEX('Banka Dökümü'!$B$2:$B$2001,$E1886))</ns0:f>
        <ns0:v/>
      </ns0:c>
      <ns0:c r="C1886" s="33" t="str">
        <ns0:f>IF($E1886="","",INDEX('Banka Dökümü'!$C$2:$C$2001,$E1886))</ns0:f>
        <ns0:v/>
      </ns0:c>
      <ns0:c r="D1886" s="28" t="str">
        <ns0:f>IF(E1886="","","Müşteri adı / aranacak ad / il bilgisini kontrol edin")</ns0:f>
        <ns0:v/>
      </ns0:c>
      <ns0:c r="E1886" s="28" t="str">
        <ns0:f>IFERROR(MATCH(1882,'Banka Dökümü'!$I$2:$I$2001,0),"")</ns0:f>
        <ns0:v/>
      </ns0:c>
    </ns0:row>
    <ns0:row r="1887" ht="21" customHeight="1">
      <ns0:c r="A1887" s="32" t="str">
        <ns0:f>IF($E1887="","",INDEX('Banka Dökümü'!$A$2:$A$2001,$E1887))</ns0:f>
        <ns0:v/>
      </ns0:c>
      <ns0:c r="B1887" s="28" t="str">
        <ns0:f>IF($E1887="","",INDEX('Banka Dökümü'!$B$2:$B$2001,$E1887))</ns0:f>
        <ns0:v/>
      </ns0:c>
      <ns0:c r="C1887" s="33" t="str">
        <ns0:f>IF($E1887="","",INDEX('Banka Dökümü'!$C$2:$C$2001,$E1887))</ns0:f>
        <ns0:v/>
      </ns0:c>
      <ns0:c r="D1887" s="28" t="str">
        <ns0:f>IF(E1887="","","Müşteri adı / aranacak ad / il bilgisini kontrol edin")</ns0:f>
        <ns0:v/>
      </ns0:c>
      <ns0:c r="E1887" s="28" t="str">
        <ns0:f>IFERROR(MATCH(1883,'Banka Dökümü'!$I$2:$I$2001,0),"")</ns0:f>
        <ns0:v/>
      </ns0:c>
    </ns0:row>
    <ns0:row r="1888" ht="21" customHeight="1">
      <ns0:c r="A1888" s="32" t="str">
        <ns0:f>IF($E1888="","",INDEX('Banka Dökümü'!$A$2:$A$2001,$E1888))</ns0:f>
        <ns0:v/>
      </ns0:c>
      <ns0:c r="B1888" s="28" t="str">
        <ns0:f>IF($E1888="","",INDEX('Banka Dökümü'!$B$2:$B$2001,$E1888))</ns0:f>
        <ns0:v/>
      </ns0:c>
      <ns0:c r="C1888" s="33" t="str">
        <ns0:f>IF($E1888="","",INDEX('Banka Dökümü'!$C$2:$C$2001,$E1888))</ns0:f>
        <ns0:v/>
      </ns0:c>
      <ns0:c r="D1888" s="28" t="str">
        <ns0:f>IF(E1888="","","Müşteri adı / aranacak ad / il bilgisini kontrol edin")</ns0:f>
        <ns0:v/>
      </ns0:c>
      <ns0:c r="E1888" s="28" t="str">
        <ns0:f>IFERROR(MATCH(1884,'Banka Dökümü'!$I$2:$I$2001,0),"")</ns0:f>
        <ns0:v/>
      </ns0:c>
    </ns0:row>
    <ns0:row r="1889" ht="21" customHeight="1">
      <ns0:c r="A1889" s="32" t="str">
        <ns0:f>IF($E1889="","",INDEX('Banka Dökümü'!$A$2:$A$2001,$E1889))</ns0:f>
        <ns0:v/>
      </ns0:c>
      <ns0:c r="B1889" s="28" t="str">
        <ns0:f>IF($E1889="","",INDEX('Banka Dökümü'!$B$2:$B$2001,$E1889))</ns0:f>
        <ns0:v/>
      </ns0:c>
      <ns0:c r="C1889" s="33" t="str">
        <ns0:f>IF($E1889="","",INDEX('Banka Dökümü'!$C$2:$C$2001,$E1889))</ns0:f>
        <ns0:v/>
      </ns0:c>
      <ns0:c r="D1889" s="28" t="str">
        <ns0:f>IF(E1889="","","Müşteri adı / aranacak ad / il bilgisini kontrol edin")</ns0:f>
        <ns0:v/>
      </ns0:c>
      <ns0:c r="E1889" s="28" t="str">
        <ns0:f>IFERROR(MATCH(1885,'Banka Dökümü'!$I$2:$I$2001,0),"")</ns0:f>
        <ns0:v/>
      </ns0:c>
    </ns0:row>
    <ns0:row r="1890" ht="21" customHeight="1">
      <ns0:c r="A1890" s="32" t="str">
        <ns0:f>IF($E1890="","",INDEX('Banka Dökümü'!$A$2:$A$2001,$E1890))</ns0:f>
        <ns0:v/>
      </ns0:c>
      <ns0:c r="B1890" s="28" t="str">
        <ns0:f>IF($E1890="","",INDEX('Banka Dökümü'!$B$2:$B$2001,$E1890))</ns0:f>
        <ns0:v/>
      </ns0:c>
      <ns0:c r="C1890" s="33" t="str">
        <ns0:f>IF($E1890="","",INDEX('Banka Dökümü'!$C$2:$C$2001,$E1890))</ns0:f>
        <ns0:v/>
      </ns0:c>
      <ns0:c r="D1890" s="28" t="str">
        <ns0:f>IF(E1890="","","Müşteri adı / aranacak ad / il bilgisini kontrol edin")</ns0:f>
        <ns0:v/>
      </ns0:c>
      <ns0:c r="E1890" s="28" t="str">
        <ns0:f>IFERROR(MATCH(1886,'Banka Dökümü'!$I$2:$I$2001,0),"")</ns0:f>
        <ns0:v/>
      </ns0:c>
    </ns0:row>
    <ns0:row r="1891" ht="21" customHeight="1">
      <ns0:c r="A1891" s="32" t="str">
        <ns0:f>IF($E1891="","",INDEX('Banka Dökümü'!$A$2:$A$2001,$E1891))</ns0:f>
        <ns0:v/>
      </ns0:c>
      <ns0:c r="B1891" s="28" t="str">
        <ns0:f>IF($E1891="","",INDEX('Banka Dökümü'!$B$2:$B$2001,$E1891))</ns0:f>
        <ns0:v/>
      </ns0:c>
      <ns0:c r="C1891" s="33" t="str">
        <ns0:f>IF($E1891="","",INDEX('Banka Dökümü'!$C$2:$C$2001,$E1891))</ns0:f>
        <ns0:v/>
      </ns0:c>
      <ns0:c r="D1891" s="28" t="str">
        <ns0:f>IF(E1891="","","Müşteri adı / aranacak ad / il bilgisini kontrol edin")</ns0:f>
        <ns0:v/>
      </ns0:c>
      <ns0:c r="E1891" s="28" t="str">
        <ns0:f>IFERROR(MATCH(1887,'Banka Dökümü'!$I$2:$I$2001,0),"")</ns0:f>
        <ns0:v/>
      </ns0:c>
    </ns0:row>
    <ns0:row r="1892" ht="21" customHeight="1">
      <ns0:c r="A1892" s="32" t="str">
        <ns0:f>IF($E1892="","",INDEX('Banka Dökümü'!$A$2:$A$2001,$E1892))</ns0:f>
        <ns0:v/>
      </ns0:c>
      <ns0:c r="B1892" s="28" t="str">
        <ns0:f>IF($E1892="","",INDEX('Banka Dökümü'!$B$2:$B$2001,$E1892))</ns0:f>
        <ns0:v/>
      </ns0:c>
      <ns0:c r="C1892" s="33" t="str">
        <ns0:f>IF($E1892="","",INDEX('Banka Dökümü'!$C$2:$C$2001,$E1892))</ns0:f>
        <ns0:v/>
      </ns0:c>
      <ns0:c r="D1892" s="28" t="str">
        <ns0:f>IF(E1892="","","Müşteri adı / aranacak ad / il bilgisini kontrol edin")</ns0:f>
        <ns0:v/>
      </ns0:c>
      <ns0:c r="E1892" s="28" t="str">
        <ns0:f>IFERROR(MATCH(1888,'Banka Dökümü'!$I$2:$I$2001,0),"")</ns0:f>
        <ns0:v/>
      </ns0:c>
    </ns0:row>
    <ns0:row r="1893" ht="21" customHeight="1">
      <ns0:c r="A1893" s="32" t="str">
        <ns0:f>IF($E1893="","",INDEX('Banka Dökümü'!$A$2:$A$2001,$E1893))</ns0:f>
        <ns0:v/>
      </ns0:c>
      <ns0:c r="B1893" s="28" t="str">
        <ns0:f>IF($E1893="","",INDEX('Banka Dökümü'!$B$2:$B$2001,$E1893))</ns0:f>
        <ns0:v/>
      </ns0:c>
      <ns0:c r="C1893" s="33" t="str">
        <ns0:f>IF($E1893="","",INDEX('Banka Dökümü'!$C$2:$C$2001,$E1893))</ns0:f>
        <ns0:v/>
      </ns0:c>
      <ns0:c r="D1893" s="28" t="str">
        <ns0:f>IF(E1893="","","Müşteri adı / aranacak ad / il bilgisini kontrol edin")</ns0:f>
        <ns0:v/>
      </ns0:c>
      <ns0:c r="E1893" s="28" t="str">
        <ns0:f>IFERROR(MATCH(1889,'Banka Dökümü'!$I$2:$I$2001,0),"")</ns0:f>
        <ns0:v/>
      </ns0:c>
    </ns0:row>
    <ns0:row r="1894" ht="21" customHeight="1">
      <ns0:c r="A1894" s="32" t="str">
        <ns0:f>IF($E1894="","",INDEX('Banka Dökümü'!$A$2:$A$2001,$E1894))</ns0:f>
        <ns0:v/>
      </ns0:c>
      <ns0:c r="B1894" s="28" t="str">
        <ns0:f>IF($E1894="","",INDEX('Banka Dökümü'!$B$2:$B$2001,$E1894))</ns0:f>
        <ns0:v/>
      </ns0:c>
      <ns0:c r="C1894" s="33" t="str">
        <ns0:f>IF($E1894="","",INDEX('Banka Dökümü'!$C$2:$C$2001,$E1894))</ns0:f>
        <ns0:v/>
      </ns0:c>
      <ns0:c r="D1894" s="28" t="str">
        <ns0:f>IF(E1894="","","Müşteri adı / aranacak ad / il bilgisini kontrol edin")</ns0:f>
        <ns0:v/>
      </ns0:c>
      <ns0:c r="E1894" s="28" t="str">
        <ns0:f>IFERROR(MATCH(1890,'Banka Dökümü'!$I$2:$I$2001,0),"")</ns0:f>
        <ns0:v/>
      </ns0:c>
    </ns0:row>
    <ns0:row r="1895" ht="21" customHeight="1">
      <ns0:c r="A1895" s="32" t="str">
        <ns0:f>IF($E1895="","",INDEX('Banka Dökümü'!$A$2:$A$2001,$E1895))</ns0:f>
        <ns0:v/>
      </ns0:c>
      <ns0:c r="B1895" s="28" t="str">
        <ns0:f>IF($E1895="","",INDEX('Banka Dökümü'!$B$2:$B$2001,$E1895))</ns0:f>
        <ns0:v/>
      </ns0:c>
      <ns0:c r="C1895" s="33" t="str">
        <ns0:f>IF($E1895="","",INDEX('Banka Dökümü'!$C$2:$C$2001,$E1895))</ns0:f>
        <ns0:v/>
      </ns0:c>
      <ns0:c r="D1895" s="28" t="str">
        <ns0:f>IF(E1895="","","Müşteri adı / aranacak ad / il bilgisini kontrol edin")</ns0:f>
        <ns0:v/>
      </ns0:c>
      <ns0:c r="E1895" s="28" t="str">
        <ns0:f>IFERROR(MATCH(1891,'Banka Dökümü'!$I$2:$I$2001,0),"")</ns0:f>
        <ns0:v/>
      </ns0:c>
    </ns0:row>
    <ns0:row r="1896" ht="21" customHeight="1">
      <ns0:c r="A1896" s="32" t="str">
        <ns0:f>IF($E1896="","",INDEX('Banka Dökümü'!$A$2:$A$2001,$E1896))</ns0:f>
        <ns0:v/>
      </ns0:c>
      <ns0:c r="B1896" s="28" t="str">
        <ns0:f>IF($E1896="","",INDEX('Banka Dökümü'!$B$2:$B$2001,$E1896))</ns0:f>
        <ns0:v/>
      </ns0:c>
      <ns0:c r="C1896" s="33" t="str">
        <ns0:f>IF($E1896="","",INDEX('Banka Dökümü'!$C$2:$C$2001,$E1896))</ns0:f>
        <ns0:v/>
      </ns0:c>
      <ns0:c r="D1896" s="28" t="str">
        <ns0:f>IF(E1896="","","Müşteri adı / aranacak ad / il bilgisini kontrol edin")</ns0:f>
        <ns0:v/>
      </ns0:c>
      <ns0:c r="E1896" s="28" t="str">
        <ns0:f>IFERROR(MATCH(1892,'Banka Dökümü'!$I$2:$I$2001,0),"")</ns0:f>
        <ns0:v/>
      </ns0:c>
    </ns0:row>
    <ns0:row r="1897" ht="21" customHeight="1">
      <ns0:c r="A1897" s="32" t="str">
        <ns0:f>IF($E1897="","",INDEX('Banka Dökümü'!$A$2:$A$2001,$E1897))</ns0:f>
        <ns0:v/>
      </ns0:c>
      <ns0:c r="B1897" s="28" t="str">
        <ns0:f>IF($E1897="","",INDEX('Banka Dökümü'!$B$2:$B$2001,$E1897))</ns0:f>
        <ns0:v/>
      </ns0:c>
      <ns0:c r="C1897" s="33" t="str">
        <ns0:f>IF($E1897="","",INDEX('Banka Dökümü'!$C$2:$C$2001,$E1897))</ns0:f>
        <ns0:v/>
      </ns0:c>
      <ns0:c r="D1897" s="28" t="str">
        <ns0:f>IF(E1897="","","Müşteri adı / aranacak ad / il bilgisini kontrol edin")</ns0:f>
        <ns0:v/>
      </ns0:c>
      <ns0:c r="E1897" s="28" t="str">
        <ns0:f>IFERROR(MATCH(1893,'Banka Dökümü'!$I$2:$I$2001,0),"")</ns0:f>
        <ns0:v/>
      </ns0:c>
    </ns0:row>
    <ns0:row r="1898" ht="21" customHeight="1">
      <ns0:c r="A1898" s="32" t="str">
        <ns0:f>IF($E1898="","",INDEX('Banka Dökümü'!$A$2:$A$2001,$E1898))</ns0:f>
        <ns0:v/>
      </ns0:c>
      <ns0:c r="B1898" s="28" t="str">
        <ns0:f>IF($E1898="","",INDEX('Banka Dökümü'!$B$2:$B$2001,$E1898))</ns0:f>
        <ns0:v/>
      </ns0:c>
      <ns0:c r="C1898" s="33" t="str">
        <ns0:f>IF($E1898="","",INDEX('Banka Dökümü'!$C$2:$C$2001,$E1898))</ns0:f>
        <ns0:v/>
      </ns0:c>
      <ns0:c r="D1898" s="28" t="str">
        <ns0:f>IF(E1898="","","Müşteri adı / aranacak ad / il bilgisini kontrol edin")</ns0:f>
        <ns0:v/>
      </ns0:c>
      <ns0:c r="E1898" s="28" t="str">
        <ns0:f>IFERROR(MATCH(1894,'Banka Dökümü'!$I$2:$I$2001,0),"")</ns0:f>
        <ns0:v/>
      </ns0:c>
    </ns0:row>
    <ns0:row r="1899" ht="21" customHeight="1">
      <ns0:c r="A1899" s="32" t="str">
        <ns0:f>IF($E1899="","",INDEX('Banka Dökümü'!$A$2:$A$2001,$E1899))</ns0:f>
        <ns0:v/>
      </ns0:c>
      <ns0:c r="B1899" s="28" t="str">
        <ns0:f>IF($E1899="","",INDEX('Banka Dökümü'!$B$2:$B$2001,$E1899))</ns0:f>
        <ns0:v/>
      </ns0:c>
      <ns0:c r="C1899" s="33" t="str">
        <ns0:f>IF($E1899="","",INDEX('Banka Dökümü'!$C$2:$C$2001,$E1899))</ns0:f>
        <ns0:v/>
      </ns0:c>
      <ns0:c r="D1899" s="28" t="str">
        <ns0:f>IF(E1899="","","Müşteri adı / aranacak ad / il bilgisini kontrol edin")</ns0:f>
        <ns0:v/>
      </ns0:c>
      <ns0:c r="E1899" s="28" t="str">
        <ns0:f>IFERROR(MATCH(1895,'Banka Dökümü'!$I$2:$I$2001,0),"")</ns0:f>
        <ns0:v/>
      </ns0:c>
    </ns0:row>
    <ns0:row r="1900" ht="21" customHeight="1">
      <ns0:c r="A1900" s="32" t="str">
        <ns0:f>IF($E1900="","",INDEX('Banka Dökümü'!$A$2:$A$2001,$E1900))</ns0:f>
        <ns0:v/>
      </ns0:c>
      <ns0:c r="B1900" s="28" t="str">
        <ns0:f>IF($E1900="","",INDEX('Banka Dökümü'!$B$2:$B$2001,$E1900))</ns0:f>
        <ns0:v/>
      </ns0:c>
      <ns0:c r="C1900" s="33" t="str">
        <ns0:f>IF($E1900="","",INDEX('Banka Dökümü'!$C$2:$C$2001,$E1900))</ns0:f>
        <ns0:v/>
      </ns0:c>
      <ns0:c r="D1900" s="28" t="str">
        <ns0:f>IF(E1900="","","Müşteri adı / aranacak ad / il bilgisini kontrol edin")</ns0:f>
        <ns0:v/>
      </ns0:c>
      <ns0:c r="E1900" s="28" t="str">
        <ns0:f>IFERROR(MATCH(1896,'Banka Dökümü'!$I$2:$I$2001,0),"")</ns0:f>
        <ns0:v/>
      </ns0:c>
    </ns0:row>
    <ns0:row r="1901" ht="21" customHeight="1">
      <ns0:c r="A1901" s="32" t="str">
        <ns0:f>IF($E1901="","",INDEX('Banka Dökümü'!$A$2:$A$2001,$E1901))</ns0:f>
        <ns0:v/>
      </ns0:c>
      <ns0:c r="B1901" s="28" t="str">
        <ns0:f>IF($E1901="","",INDEX('Banka Dökümü'!$B$2:$B$2001,$E1901))</ns0:f>
        <ns0:v/>
      </ns0:c>
      <ns0:c r="C1901" s="33" t="str">
        <ns0:f>IF($E1901="","",INDEX('Banka Dökümü'!$C$2:$C$2001,$E1901))</ns0:f>
        <ns0:v/>
      </ns0:c>
      <ns0:c r="D1901" s="28" t="str">
        <ns0:f>IF(E1901="","","Müşteri adı / aranacak ad / il bilgisini kontrol edin")</ns0:f>
        <ns0:v/>
      </ns0:c>
      <ns0:c r="E1901" s="28" t="str">
        <ns0:f>IFERROR(MATCH(1897,'Banka Dökümü'!$I$2:$I$2001,0),"")</ns0:f>
        <ns0:v/>
      </ns0:c>
    </ns0:row>
    <ns0:row r="1902" ht="21" customHeight="1">
      <ns0:c r="A1902" s="32" t="str">
        <ns0:f>IF($E1902="","",INDEX('Banka Dökümü'!$A$2:$A$2001,$E1902))</ns0:f>
        <ns0:v/>
      </ns0:c>
      <ns0:c r="B1902" s="28" t="str">
        <ns0:f>IF($E1902="","",INDEX('Banka Dökümü'!$B$2:$B$2001,$E1902))</ns0:f>
        <ns0:v/>
      </ns0:c>
      <ns0:c r="C1902" s="33" t="str">
        <ns0:f>IF($E1902="","",INDEX('Banka Dökümü'!$C$2:$C$2001,$E1902))</ns0:f>
        <ns0:v/>
      </ns0:c>
      <ns0:c r="D1902" s="28" t="str">
        <ns0:f>IF(E1902="","","Müşteri adı / aranacak ad / il bilgisini kontrol edin")</ns0:f>
        <ns0:v/>
      </ns0:c>
      <ns0:c r="E1902" s="28" t="str">
        <ns0:f>IFERROR(MATCH(1898,'Banka Dökümü'!$I$2:$I$2001,0),"")</ns0:f>
        <ns0:v/>
      </ns0:c>
    </ns0:row>
    <ns0:row r="1903" ht="21" customHeight="1">
      <ns0:c r="A1903" s="32" t="str">
        <ns0:f>IF($E1903="","",INDEX('Banka Dökümü'!$A$2:$A$2001,$E1903))</ns0:f>
        <ns0:v/>
      </ns0:c>
      <ns0:c r="B1903" s="28" t="str">
        <ns0:f>IF($E1903="","",INDEX('Banka Dökümü'!$B$2:$B$2001,$E1903))</ns0:f>
        <ns0:v/>
      </ns0:c>
      <ns0:c r="C1903" s="33" t="str">
        <ns0:f>IF($E1903="","",INDEX('Banka Dökümü'!$C$2:$C$2001,$E1903))</ns0:f>
        <ns0:v/>
      </ns0:c>
      <ns0:c r="D1903" s="28" t="str">
        <ns0:f>IF(E1903="","","Müşteri adı / aranacak ad / il bilgisini kontrol edin")</ns0:f>
        <ns0:v/>
      </ns0:c>
      <ns0:c r="E1903" s="28" t="str">
        <ns0:f>IFERROR(MATCH(1899,'Banka Dökümü'!$I$2:$I$2001,0),"")</ns0:f>
        <ns0:v/>
      </ns0:c>
    </ns0:row>
    <ns0:row r="1904" ht="21" customHeight="1">
      <ns0:c r="A1904" s="32" t="str">
        <ns0:f>IF($E1904="","",INDEX('Banka Dökümü'!$A$2:$A$2001,$E1904))</ns0:f>
        <ns0:v/>
      </ns0:c>
      <ns0:c r="B1904" s="28" t="str">
        <ns0:f>IF($E1904="","",INDEX('Banka Dökümü'!$B$2:$B$2001,$E1904))</ns0:f>
        <ns0:v/>
      </ns0:c>
      <ns0:c r="C1904" s="33" t="str">
        <ns0:f>IF($E1904="","",INDEX('Banka Dökümü'!$C$2:$C$2001,$E1904))</ns0:f>
        <ns0:v/>
      </ns0:c>
      <ns0:c r="D1904" s="28" t="str">
        <ns0:f>IF(E1904="","","Müşteri adı / aranacak ad / il bilgisini kontrol edin")</ns0:f>
        <ns0:v/>
      </ns0:c>
      <ns0:c r="E1904" s="28" t="str">
        <ns0:f>IFERROR(MATCH(1900,'Banka Dökümü'!$I$2:$I$2001,0),"")</ns0:f>
        <ns0:v/>
      </ns0:c>
    </ns0:row>
    <ns0:row r="1905" ht="21" customHeight="1">
      <ns0:c r="A1905" s="32" t="str">
        <ns0:f>IF($E1905="","",INDEX('Banka Dökümü'!$A$2:$A$2001,$E1905))</ns0:f>
        <ns0:v/>
      </ns0:c>
      <ns0:c r="B1905" s="28" t="str">
        <ns0:f>IF($E1905="","",INDEX('Banka Dökümü'!$B$2:$B$2001,$E1905))</ns0:f>
        <ns0:v/>
      </ns0:c>
      <ns0:c r="C1905" s="33" t="str">
        <ns0:f>IF($E1905="","",INDEX('Banka Dökümü'!$C$2:$C$2001,$E1905))</ns0:f>
        <ns0:v/>
      </ns0:c>
      <ns0:c r="D1905" s="28" t="str">
        <ns0:f>IF(E1905="","","Müşteri adı / aranacak ad / il bilgisini kontrol edin")</ns0:f>
        <ns0:v/>
      </ns0:c>
      <ns0:c r="E1905" s="28" t="str">
        <ns0:f>IFERROR(MATCH(1901,'Banka Dökümü'!$I$2:$I$2001,0),"")</ns0:f>
        <ns0:v/>
      </ns0:c>
    </ns0:row>
    <ns0:row r="1906" ht="21" customHeight="1">
      <ns0:c r="A1906" s="32" t="str">
        <ns0:f>IF($E1906="","",INDEX('Banka Dökümü'!$A$2:$A$2001,$E1906))</ns0:f>
        <ns0:v/>
      </ns0:c>
      <ns0:c r="B1906" s="28" t="str">
        <ns0:f>IF($E1906="","",INDEX('Banka Dökümü'!$B$2:$B$2001,$E1906))</ns0:f>
        <ns0:v/>
      </ns0:c>
      <ns0:c r="C1906" s="33" t="str">
        <ns0:f>IF($E1906="","",INDEX('Banka Dökümü'!$C$2:$C$2001,$E1906))</ns0:f>
        <ns0:v/>
      </ns0:c>
      <ns0:c r="D1906" s="28" t="str">
        <ns0:f>IF(E1906="","","Müşteri adı / aranacak ad / il bilgisini kontrol edin")</ns0:f>
        <ns0:v/>
      </ns0:c>
      <ns0:c r="E1906" s="28" t="str">
        <ns0:f>IFERROR(MATCH(1902,'Banka Dökümü'!$I$2:$I$2001,0),"")</ns0:f>
        <ns0:v/>
      </ns0:c>
    </ns0:row>
    <ns0:row r="1907" ht="21" customHeight="1">
      <ns0:c r="A1907" s="32" t="str">
        <ns0:f>IF($E1907="","",INDEX('Banka Dökümü'!$A$2:$A$2001,$E1907))</ns0:f>
        <ns0:v/>
      </ns0:c>
      <ns0:c r="B1907" s="28" t="str">
        <ns0:f>IF($E1907="","",INDEX('Banka Dökümü'!$B$2:$B$2001,$E1907))</ns0:f>
        <ns0:v/>
      </ns0:c>
      <ns0:c r="C1907" s="33" t="str">
        <ns0:f>IF($E1907="","",INDEX('Banka Dökümü'!$C$2:$C$2001,$E1907))</ns0:f>
        <ns0:v/>
      </ns0:c>
      <ns0:c r="D1907" s="28" t="str">
        <ns0:f>IF(E1907="","","Müşteri adı / aranacak ad / il bilgisini kontrol edin")</ns0:f>
        <ns0:v/>
      </ns0:c>
      <ns0:c r="E1907" s="28" t="str">
        <ns0:f>IFERROR(MATCH(1903,'Banka Dökümü'!$I$2:$I$2001,0),"")</ns0:f>
        <ns0:v/>
      </ns0:c>
    </ns0:row>
    <ns0:row r="1908" ht="21" customHeight="1">
      <ns0:c r="A1908" s="32" t="str">
        <ns0:f>IF($E1908="","",INDEX('Banka Dökümü'!$A$2:$A$2001,$E1908))</ns0:f>
        <ns0:v/>
      </ns0:c>
      <ns0:c r="B1908" s="28" t="str">
        <ns0:f>IF($E1908="","",INDEX('Banka Dökümü'!$B$2:$B$2001,$E1908))</ns0:f>
        <ns0:v/>
      </ns0:c>
      <ns0:c r="C1908" s="33" t="str">
        <ns0:f>IF($E1908="","",INDEX('Banka Dökümü'!$C$2:$C$2001,$E1908))</ns0:f>
        <ns0:v/>
      </ns0:c>
      <ns0:c r="D1908" s="28" t="str">
        <ns0:f>IF(E1908="","","Müşteri adı / aranacak ad / il bilgisini kontrol edin")</ns0:f>
        <ns0:v/>
      </ns0:c>
      <ns0:c r="E1908" s="28" t="str">
        <ns0:f>IFERROR(MATCH(1904,'Banka Dökümü'!$I$2:$I$2001,0),"")</ns0:f>
        <ns0:v/>
      </ns0:c>
    </ns0:row>
    <ns0:row r="1909" ht="21" customHeight="1">
      <ns0:c r="A1909" s="32" t="str">
        <ns0:f>IF($E1909="","",INDEX('Banka Dökümü'!$A$2:$A$2001,$E1909))</ns0:f>
        <ns0:v/>
      </ns0:c>
      <ns0:c r="B1909" s="28" t="str">
        <ns0:f>IF($E1909="","",INDEX('Banka Dökümü'!$B$2:$B$2001,$E1909))</ns0:f>
        <ns0:v/>
      </ns0:c>
      <ns0:c r="C1909" s="33" t="str">
        <ns0:f>IF($E1909="","",INDEX('Banka Dökümü'!$C$2:$C$2001,$E1909))</ns0:f>
        <ns0:v/>
      </ns0:c>
      <ns0:c r="D1909" s="28" t="str">
        <ns0:f>IF(E1909="","","Müşteri adı / aranacak ad / il bilgisini kontrol edin")</ns0:f>
        <ns0:v/>
      </ns0:c>
      <ns0:c r="E1909" s="28" t="str">
        <ns0:f>IFERROR(MATCH(1905,'Banka Dökümü'!$I$2:$I$2001,0),"")</ns0:f>
        <ns0:v/>
      </ns0:c>
    </ns0:row>
    <ns0:row r="1910" ht="21" customHeight="1">
      <ns0:c r="A1910" s="32" t="str">
        <ns0:f>IF($E1910="","",INDEX('Banka Dökümü'!$A$2:$A$2001,$E1910))</ns0:f>
        <ns0:v/>
      </ns0:c>
      <ns0:c r="B1910" s="28" t="str">
        <ns0:f>IF($E1910="","",INDEX('Banka Dökümü'!$B$2:$B$2001,$E1910))</ns0:f>
        <ns0:v/>
      </ns0:c>
      <ns0:c r="C1910" s="33" t="str">
        <ns0:f>IF($E1910="","",INDEX('Banka Dökümü'!$C$2:$C$2001,$E1910))</ns0:f>
        <ns0:v/>
      </ns0:c>
      <ns0:c r="D1910" s="28" t="str">
        <ns0:f>IF(E1910="","","Müşteri adı / aranacak ad / il bilgisini kontrol edin")</ns0:f>
        <ns0:v/>
      </ns0:c>
      <ns0:c r="E1910" s="28" t="str">
        <ns0:f>IFERROR(MATCH(1906,'Banka Dökümü'!$I$2:$I$2001,0),"")</ns0:f>
        <ns0:v/>
      </ns0:c>
    </ns0:row>
    <ns0:row r="1911" ht="21" customHeight="1">
      <ns0:c r="A1911" s="32" t="str">
        <ns0:f>IF($E1911="","",INDEX('Banka Dökümü'!$A$2:$A$2001,$E1911))</ns0:f>
        <ns0:v/>
      </ns0:c>
      <ns0:c r="B1911" s="28" t="str">
        <ns0:f>IF($E1911="","",INDEX('Banka Dökümü'!$B$2:$B$2001,$E1911))</ns0:f>
        <ns0:v/>
      </ns0:c>
      <ns0:c r="C1911" s="33" t="str">
        <ns0:f>IF($E1911="","",INDEX('Banka Dökümü'!$C$2:$C$2001,$E1911))</ns0:f>
        <ns0:v/>
      </ns0:c>
      <ns0:c r="D1911" s="28" t="str">
        <ns0:f>IF(E1911="","","Müşteri adı / aranacak ad / il bilgisini kontrol edin")</ns0:f>
        <ns0:v/>
      </ns0:c>
      <ns0:c r="E1911" s="28" t="str">
        <ns0:f>IFERROR(MATCH(1907,'Banka Dökümü'!$I$2:$I$2001,0),"")</ns0:f>
        <ns0:v/>
      </ns0:c>
    </ns0:row>
    <ns0:row r="1912" ht="21" customHeight="1">
      <ns0:c r="A1912" s="32" t="str">
        <ns0:f>IF($E1912="","",INDEX('Banka Dökümü'!$A$2:$A$2001,$E1912))</ns0:f>
        <ns0:v/>
      </ns0:c>
      <ns0:c r="B1912" s="28" t="str">
        <ns0:f>IF($E1912="","",INDEX('Banka Dökümü'!$B$2:$B$2001,$E1912))</ns0:f>
        <ns0:v/>
      </ns0:c>
      <ns0:c r="C1912" s="33" t="str">
        <ns0:f>IF($E1912="","",INDEX('Banka Dökümü'!$C$2:$C$2001,$E1912))</ns0:f>
        <ns0:v/>
      </ns0:c>
      <ns0:c r="D1912" s="28" t="str">
        <ns0:f>IF(E1912="","","Müşteri adı / aranacak ad / il bilgisini kontrol edin")</ns0:f>
        <ns0:v/>
      </ns0:c>
      <ns0:c r="E1912" s="28" t="str">
        <ns0:f>IFERROR(MATCH(1908,'Banka Dökümü'!$I$2:$I$2001,0),"")</ns0:f>
        <ns0:v/>
      </ns0:c>
    </ns0:row>
    <ns0:row r="1913" ht="21" customHeight="1">
      <ns0:c r="A1913" s="32" t="str">
        <ns0:f>IF($E1913="","",INDEX('Banka Dökümü'!$A$2:$A$2001,$E1913))</ns0:f>
        <ns0:v/>
      </ns0:c>
      <ns0:c r="B1913" s="28" t="str">
        <ns0:f>IF($E1913="","",INDEX('Banka Dökümü'!$B$2:$B$2001,$E1913))</ns0:f>
        <ns0:v/>
      </ns0:c>
      <ns0:c r="C1913" s="33" t="str">
        <ns0:f>IF($E1913="","",INDEX('Banka Dökümü'!$C$2:$C$2001,$E1913))</ns0:f>
        <ns0:v/>
      </ns0:c>
      <ns0:c r="D1913" s="28" t="str">
        <ns0:f>IF(E1913="","","Müşteri adı / aranacak ad / il bilgisini kontrol edin")</ns0:f>
        <ns0:v/>
      </ns0:c>
      <ns0:c r="E1913" s="28" t="str">
        <ns0:f>IFERROR(MATCH(1909,'Banka Dökümü'!$I$2:$I$2001,0),"")</ns0:f>
        <ns0:v/>
      </ns0:c>
    </ns0:row>
    <ns0:row r="1914" ht="21" customHeight="1">
      <ns0:c r="A1914" s="32" t="str">
        <ns0:f>IF($E1914="","",INDEX('Banka Dökümü'!$A$2:$A$2001,$E1914))</ns0:f>
        <ns0:v/>
      </ns0:c>
      <ns0:c r="B1914" s="28" t="str">
        <ns0:f>IF($E1914="","",INDEX('Banka Dökümü'!$B$2:$B$2001,$E1914))</ns0:f>
        <ns0:v/>
      </ns0:c>
      <ns0:c r="C1914" s="33" t="str">
        <ns0:f>IF($E1914="","",INDEX('Banka Dökümü'!$C$2:$C$2001,$E1914))</ns0:f>
        <ns0:v/>
      </ns0:c>
      <ns0:c r="D1914" s="28" t="str">
        <ns0:f>IF(E1914="","","Müşteri adı / aranacak ad / il bilgisini kontrol edin")</ns0:f>
        <ns0:v/>
      </ns0:c>
      <ns0:c r="E1914" s="28" t="str">
        <ns0:f>IFERROR(MATCH(1910,'Banka Dökümü'!$I$2:$I$2001,0),"")</ns0:f>
        <ns0:v/>
      </ns0:c>
    </ns0:row>
    <ns0:row r="1915" ht="21" customHeight="1">
      <ns0:c r="A1915" s="32" t="str">
        <ns0:f>IF($E1915="","",INDEX('Banka Dökümü'!$A$2:$A$2001,$E1915))</ns0:f>
        <ns0:v/>
      </ns0:c>
      <ns0:c r="B1915" s="28" t="str">
        <ns0:f>IF($E1915="","",INDEX('Banka Dökümü'!$B$2:$B$2001,$E1915))</ns0:f>
        <ns0:v/>
      </ns0:c>
      <ns0:c r="C1915" s="33" t="str">
        <ns0:f>IF($E1915="","",INDEX('Banka Dökümü'!$C$2:$C$2001,$E1915))</ns0:f>
        <ns0:v/>
      </ns0:c>
      <ns0:c r="D1915" s="28" t="str">
        <ns0:f>IF(E1915="","","Müşteri adı / aranacak ad / il bilgisini kontrol edin")</ns0:f>
        <ns0:v/>
      </ns0:c>
      <ns0:c r="E1915" s="28" t="str">
        <ns0:f>IFERROR(MATCH(1911,'Banka Dökümü'!$I$2:$I$2001,0),"")</ns0:f>
        <ns0:v/>
      </ns0:c>
    </ns0:row>
    <ns0:row r="1916" ht="21" customHeight="1">
      <ns0:c r="A1916" s="32" t="str">
        <ns0:f>IF($E1916="","",INDEX('Banka Dökümü'!$A$2:$A$2001,$E1916))</ns0:f>
        <ns0:v/>
      </ns0:c>
      <ns0:c r="B1916" s="28" t="str">
        <ns0:f>IF($E1916="","",INDEX('Banka Dökümü'!$B$2:$B$2001,$E1916))</ns0:f>
        <ns0:v/>
      </ns0:c>
      <ns0:c r="C1916" s="33" t="str">
        <ns0:f>IF($E1916="","",INDEX('Banka Dökümü'!$C$2:$C$2001,$E1916))</ns0:f>
        <ns0:v/>
      </ns0:c>
      <ns0:c r="D1916" s="28" t="str">
        <ns0:f>IF(E1916="","","Müşteri adı / aranacak ad / il bilgisini kontrol edin")</ns0:f>
        <ns0:v/>
      </ns0:c>
      <ns0:c r="E1916" s="28" t="str">
        <ns0:f>IFERROR(MATCH(1912,'Banka Dökümü'!$I$2:$I$2001,0),"")</ns0:f>
        <ns0:v/>
      </ns0:c>
    </ns0:row>
    <ns0:row r="1917" ht="21" customHeight="1">
      <ns0:c r="A1917" s="32" t="str">
        <ns0:f>IF($E1917="","",INDEX('Banka Dökümü'!$A$2:$A$2001,$E1917))</ns0:f>
        <ns0:v/>
      </ns0:c>
      <ns0:c r="B1917" s="28" t="str">
        <ns0:f>IF($E1917="","",INDEX('Banka Dökümü'!$B$2:$B$2001,$E1917))</ns0:f>
        <ns0:v/>
      </ns0:c>
      <ns0:c r="C1917" s="33" t="str">
        <ns0:f>IF($E1917="","",INDEX('Banka Dökümü'!$C$2:$C$2001,$E1917))</ns0:f>
        <ns0:v/>
      </ns0:c>
      <ns0:c r="D1917" s="28" t="str">
        <ns0:f>IF(E1917="","","Müşteri adı / aranacak ad / il bilgisini kontrol edin")</ns0:f>
        <ns0:v/>
      </ns0:c>
      <ns0:c r="E1917" s="28" t="str">
        <ns0:f>IFERROR(MATCH(1913,'Banka Dökümü'!$I$2:$I$2001,0),"")</ns0:f>
        <ns0:v/>
      </ns0:c>
    </ns0:row>
    <ns0:row r="1918" ht="21" customHeight="1">
      <ns0:c r="A1918" s="32" t="str">
        <ns0:f>IF($E1918="","",INDEX('Banka Dökümü'!$A$2:$A$2001,$E1918))</ns0:f>
        <ns0:v/>
      </ns0:c>
      <ns0:c r="B1918" s="28" t="str">
        <ns0:f>IF($E1918="","",INDEX('Banka Dökümü'!$B$2:$B$2001,$E1918))</ns0:f>
        <ns0:v/>
      </ns0:c>
      <ns0:c r="C1918" s="33" t="str">
        <ns0:f>IF($E1918="","",INDEX('Banka Dökümü'!$C$2:$C$2001,$E1918))</ns0:f>
        <ns0:v/>
      </ns0:c>
      <ns0:c r="D1918" s="28" t="str">
        <ns0:f>IF(E1918="","","Müşteri adı / aranacak ad / il bilgisini kontrol edin")</ns0:f>
        <ns0:v/>
      </ns0:c>
      <ns0:c r="E1918" s="28" t="str">
        <ns0:f>IFERROR(MATCH(1914,'Banka Dökümü'!$I$2:$I$2001,0),"")</ns0:f>
        <ns0:v/>
      </ns0:c>
    </ns0:row>
    <ns0:row r="1919" ht="21" customHeight="1">
      <ns0:c r="A1919" s="32" t="str">
        <ns0:f>IF($E1919="","",INDEX('Banka Dökümü'!$A$2:$A$2001,$E1919))</ns0:f>
        <ns0:v/>
      </ns0:c>
      <ns0:c r="B1919" s="28" t="str">
        <ns0:f>IF($E1919="","",INDEX('Banka Dökümü'!$B$2:$B$2001,$E1919))</ns0:f>
        <ns0:v/>
      </ns0:c>
      <ns0:c r="C1919" s="33" t="str">
        <ns0:f>IF($E1919="","",INDEX('Banka Dökümü'!$C$2:$C$2001,$E1919))</ns0:f>
        <ns0:v/>
      </ns0:c>
      <ns0:c r="D1919" s="28" t="str">
        <ns0:f>IF(E1919="","","Müşteri adı / aranacak ad / il bilgisini kontrol edin")</ns0:f>
        <ns0:v/>
      </ns0:c>
      <ns0:c r="E1919" s="28" t="str">
        <ns0:f>IFERROR(MATCH(1915,'Banka Dökümü'!$I$2:$I$2001,0),"")</ns0:f>
        <ns0:v/>
      </ns0:c>
    </ns0:row>
    <ns0:row r="1920" ht="21" customHeight="1">
      <ns0:c r="A1920" s="32" t="str">
        <ns0:f>IF($E1920="","",INDEX('Banka Dökümü'!$A$2:$A$2001,$E1920))</ns0:f>
        <ns0:v/>
      </ns0:c>
      <ns0:c r="B1920" s="28" t="str">
        <ns0:f>IF($E1920="","",INDEX('Banka Dökümü'!$B$2:$B$2001,$E1920))</ns0:f>
        <ns0:v/>
      </ns0:c>
      <ns0:c r="C1920" s="33" t="str">
        <ns0:f>IF($E1920="","",INDEX('Banka Dökümü'!$C$2:$C$2001,$E1920))</ns0:f>
        <ns0:v/>
      </ns0:c>
      <ns0:c r="D1920" s="28" t="str">
        <ns0:f>IF(E1920="","","Müşteri adı / aranacak ad / il bilgisini kontrol edin")</ns0:f>
        <ns0:v/>
      </ns0:c>
      <ns0:c r="E1920" s="28" t="str">
        <ns0:f>IFERROR(MATCH(1916,'Banka Dökümü'!$I$2:$I$2001,0),"")</ns0:f>
        <ns0:v/>
      </ns0:c>
    </ns0:row>
    <ns0:row r="1921" ht="21" customHeight="1">
      <ns0:c r="A1921" s="32" t="str">
        <ns0:f>IF($E1921="","",INDEX('Banka Dökümü'!$A$2:$A$2001,$E1921))</ns0:f>
        <ns0:v/>
      </ns0:c>
      <ns0:c r="B1921" s="28" t="str">
        <ns0:f>IF($E1921="","",INDEX('Banka Dökümü'!$B$2:$B$2001,$E1921))</ns0:f>
        <ns0:v/>
      </ns0:c>
      <ns0:c r="C1921" s="33" t="str">
        <ns0:f>IF($E1921="","",INDEX('Banka Dökümü'!$C$2:$C$2001,$E1921))</ns0:f>
        <ns0:v/>
      </ns0:c>
      <ns0:c r="D1921" s="28" t="str">
        <ns0:f>IF(E1921="","","Müşteri adı / aranacak ad / il bilgisini kontrol edin")</ns0:f>
        <ns0:v/>
      </ns0:c>
      <ns0:c r="E1921" s="28" t="str">
        <ns0:f>IFERROR(MATCH(1917,'Banka Dökümü'!$I$2:$I$2001,0),"")</ns0:f>
        <ns0:v/>
      </ns0:c>
    </ns0:row>
    <ns0:row r="1922" ht="21" customHeight="1">
      <ns0:c r="A1922" s="32" t="str">
        <ns0:f>IF($E1922="","",INDEX('Banka Dökümü'!$A$2:$A$2001,$E1922))</ns0:f>
        <ns0:v/>
      </ns0:c>
      <ns0:c r="B1922" s="28" t="str">
        <ns0:f>IF($E1922="","",INDEX('Banka Dökümü'!$B$2:$B$2001,$E1922))</ns0:f>
        <ns0:v/>
      </ns0:c>
      <ns0:c r="C1922" s="33" t="str">
        <ns0:f>IF($E1922="","",INDEX('Banka Dökümü'!$C$2:$C$2001,$E1922))</ns0:f>
        <ns0:v/>
      </ns0:c>
      <ns0:c r="D1922" s="28" t="str">
        <ns0:f>IF(E1922="","","Müşteri adı / aranacak ad / il bilgisini kontrol edin")</ns0:f>
        <ns0:v/>
      </ns0:c>
      <ns0:c r="E1922" s="28" t="str">
        <ns0:f>IFERROR(MATCH(1918,'Banka Dökümü'!$I$2:$I$2001,0),"")</ns0:f>
        <ns0:v/>
      </ns0:c>
    </ns0:row>
    <ns0:row r="1923" ht="21" customHeight="1">
      <ns0:c r="A1923" s="32" t="str">
        <ns0:f>IF($E1923="","",INDEX('Banka Dökümü'!$A$2:$A$2001,$E1923))</ns0:f>
        <ns0:v/>
      </ns0:c>
      <ns0:c r="B1923" s="28" t="str">
        <ns0:f>IF($E1923="","",INDEX('Banka Dökümü'!$B$2:$B$2001,$E1923))</ns0:f>
        <ns0:v/>
      </ns0:c>
      <ns0:c r="C1923" s="33" t="str">
        <ns0:f>IF($E1923="","",INDEX('Banka Dökümü'!$C$2:$C$2001,$E1923))</ns0:f>
        <ns0:v/>
      </ns0:c>
      <ns0:c r="D1923" s="28" t="str">
        <ns0:f>IF(E1923="","","Müşteri adı / aranacak ad / il bilgisini kontrol edin")</ns0:f>
        <ns0:v/>
      </ns0:c>
      <ns0:c r="E1923" s="28" t="str">
        <ns0:f>IFERROR(MATCH(1919,'Banka Dökümü'!$I$2:$I$2001,0),"")</ns0:f>
        <ns0:v/>
      </ns0:c>
    </ns0:row>
    <ns0:row r="1924" ht="21" customHeight="1">
      <ns0:c r="A1924" s="32" t="str">
        <ns0:f>IF($E1924="","",INDEX('Banka Dökümü'!$A$2:$A$2001,$E1924))</ns0:f>
        <ns0:v/>
      </ns0:c>
      <ns0:c r="B1924" s="28" t="str">
        <ns0:f>IF($E1924="","",INDEX('Banka Dökümü'!$B$2:$B$2001,$E1924))</ns0:f>
        <ns0:v/>
      </ns0:c>
      <ns0:c r="C1924" s="33" t="str">
        <ns0:f>IF($E1924="","",INDEX('Banka Dökümü'!$C$2:$C$2001,$E1924))</ns0:f>
        <ns0:v/>
      </ns0:c>
      <ns0:c r="D1924" s="28" t="str">
        <ns0:f>IF(E1924="","","Müşteri adı / aranacak ad / il bilgisini kontrol edin")</ns0:f>
        <ns0:v/>
      </ns0:c>
      <ns0:c r="E1924" s="28" t="str">
        <ns0:f>IFERROR(MATCH(1920,'Banka Dökümü'!$I$2:$I$2001,0),"")</ns0:f>
        <ns0:v/>
      </ns0:c>
    </ns0:row>
    <ns0:row r="1925" ht="21" customHeight="1">
      <ns0:c r="A1925" s="32" t="str">
        <ns0:f>IF($E1925="","",INDEX('Banka Dökümü'!$A$2:$A$2001,$E1925))</ns0:f>
        <ns0:v/>
      </ns0:c>
      <ns0:c r="B1925" s="28" t="str">
        <ns0:f>IF($E1925="","",INDEX('Banka Dökümü'!$B$2:$B$2001,$E1925))</ns0:f>
        <ns0:v/>
      </ns0:c>
      <ns0:c r="C1925" s="33" t="str">
        <ns0:f>IF($E1925="","",INDEX('Banka Dökümü'!$C$2:$C$2001,$E1925))</ns0:f>
        <ns0:v/>
      </ns0:c>
      <ns0:c r="D1925" s="28" t="str">
        <ns0:f>IF(E1925="","","Müşteri adı / aranacak ad / il bilgisini kontrol edin")</ns0:f>
        <ns0:v/>
      </ns0:c>
      <ns0:c r="E1925" s="28" t="str">
        <ns0:f>IFERROR(MATCH(1921,'Banka Dökümü'!$I$2:$I$2001,0),"")</ns0:f>
        <ns0:v/>
      </ns0:c>
    </ns0:row>
    <ns0:row r="1926" ht="21" customHeight="1">
      <ns0:c r="A1926" s="32" t="str">
        <ns0:f>IF($E1926="","",INDEX('Banka Dökümü'!$A$2:$A$2001,$E1926))</ns0:f>
        <ns0:v/>
      </ns0:c>
      <ns0:c r="B1926" s="28" t="str">
        <ns0:f>IF($E1926="","",INDEX('Banka Dökümü'!$B$2:$B$2001,$E1926))</ns0:f>
        <ns0:v/>
      </ns0:c>
      <ns0:c r="C1926" s="33" t="str">
        <ns0:f>IF($E1926="","",INDEX('Banka Dökümü'!$C$2:$C$2001,$E1926))</ns0:f>
        <ns0:v/>
      </ns0:c>
      <ns0:c r="D1926" s="28" t="str">
        <ns0:f>IF(E1926="","","Müşteri adı / aranacak ad / il bilgisini kontrol edin")</ns0:f>
        <ns0:v/>
      </ns0:c>
      <ns0:c r="E1926" s="28" t="str">
        <ns0:f>IFERROR(MATCH(1922,'Banka Dökümü'!$I$2:$I$2001,0),"")</ns0:f>
        <ns0:v/>
      </ns0:c>
    </ns0:row>
    <ns0:row r="1927" ht="21" customHeight="1">
      <ns0:c r="A1927" s="32" t="str">
        <ns0:f>IF($E1927="","",INDEX('Banka Dökümü'!$A$2:$A$2001,$E1927))</ns0:f>
        <ns0:v/>
      </ns0:c>
      <ns0:c r="B1927" s="28" t="str">
        <ns0:f>IF($E1927="","",INDEX('Banka Dökümü'!$B$2:$B$2001,$E1927))</ns0:f>
        <ns0:v/>
      </ns0:c>
      <ns0:c r="C1927" s="33" t="str">
        <ns0:f>IF($E1927="","",INDEX('Banka Dökümü'!$C$2:$C$2001,$E1927))</ns0:f>
        <ns0:v/>
      </ns0:c>
      <ns0:c r="D1927" s="28" t="str">
        <ns0:f>IF(E1927="","","Müşteri adı / aranacak ad / il bilgisini kontrol edin")</ns0:f>
        <ns0:v/>
      </ns0:c>
      <ns0:c r="E1927" s="28" t="str">
        <ns0:f>IFERROR(MATCH(1923,'Banka Dökümü'!$I$2:$I$2001,0),"")</ns0:f>
        <ns0:v/>
      </ns0:c>
    </ns0:row>
    <ns0:row r="1928" ht="21" customHeight="1">
      <ns0:c r="A1928" s="32" t="str">
        <ns0:f>IF($E1928="","",INDEX('Banka Dökümü'!$A$2:$A$2001,$E1928))</ns0:f>
        <ns0:v/>
      </ns0:c>
      <ns0:c r="B1928" s="28" t="str">
        <ns0:f>IF($E1928="","",INDEX('Banka Dökümü'!$B$2:$B$2001,$E1928))</ns0:f>
        <ns0:v/>
      </ns0:c>
      <ns0:c r="C1928" s="33" t="str">
        <ns0:f>IF($E1928="","",INDEX('Banka Dökümü'!$C$2:$C$2001,$E1928))</ns0:f>
        <ns0:v/>
      </ns0:c>
      <ns0:c r="D1928" s="28" t="str">
        <ns0:f>IF(E1928="","","Müşteri adı / aranacak ad / il bilgisini kontrol edin")</ns0:f>
        <ns0:v/>
      </ns0:c>
      <ns0:c r="E1928" s="28" t="str">
        <ns0:f>IFERROR(MATCH(1924,'Banka Dökümü'!$I$2:$I$2001,0),"")</ns0:f>
        <ns0:v/>
      </ns0:c>
    </ns0:row>
    <ns0:row r="1929" ht="21" customHeight="1">
      <ns0:c r="A1929" s="32" t="str">
        <ns0:f>IF($E1929="","",INDEX('Banka Dökümü'!$A$2:$A$2001,$E1929))</ns0:f>
        <ns0:v/>
      </ns0:c>
      <ns0:c r="B1929" s="28" t="str">
        <ns0:f>IF($E1929="","",INDEX('Banka Dökümü'!$B$2:$B$2001,$E1929))</ns0:f>
        <ns0:v/>
      </ns0:c>
      <ns0:c r="C1929" s="33" t="str">
        <ns0:f>IF($E1929="","",INDEX('Banka Dökümü'!$C$2:$C$2001,$E1929))</ns0:f>
        <ns0:v/>
      </ns0:c>
      <ns0:c r="D1929" s="28" t="str">
        <ns0:f>IF(E1929="","","Müşteri adı / aranacak ad / il bilgisini kontrol edin")</ns0:f>
        <ns0:v/>
      </ns0:c>
      <ns0:c r="E1929" s="28" t="str">
        <ns0:f>IFERROR(MATCH(1925,'Banka Dökümü'!$I$2:$I$2001,0),"")</ns0:f>
        <ns0:v/>
      </ns0:c>
    </ns0:row>
    <ns0:row r="1930" ht="21" customHeight="1">
      <ns0:c r="A1930" s="32" t="str">
        <ns0:f>IF($E1930="","",INDEX('Banka Dökümü'!$A$2:$A$2001,$E1930))</ns0:f>
        <ns0:v/>
      </ns0:c>
      <ns0:c r="B1930" s="28" t="str">
        <ns0:f>IF($E1930="","",INDEX('Banka Dökümü'!$B$2:$B$2001,$E1930))</ns0:f>
        <ns0:v/>
      </ns0:c>
      <ns0:c r="C1930" s="33" t="str">
        <ns0:f>IF($E1930="","",INDEX('Banka Dökümü'!$C$2:$C$2001,$E1930))</ns0:f>
        <ns0:v/>
      </ns0:c>
      <ns0:c r="D1930" s="28" t="str">
        <ns0:f>IF(E1930="","","Müşteri adı / aranacak ad / il bilgisini kontrol edin")</ns0:f>
        <ns0:v/>
      </ns0:c>
      <ns0:c r="E1930" s="28" t="str">
        <ns0:f>IFERROR(MATCH(1926,'Banka Dökümü'!$I$2:$I$2001,0),"")</ns0:f>
        <ns0:v/>
      </ns0:c>
    </ns0:row>
    <ns0:row r="1931" ht="21" customHeight="1">
      <ns0:c r="A1931" s="32" t="str">
        <ns0:f>IF($E1931="","",INDEX('Banka Dökümü'!$A$2:$A$2001,$E1931))</ns0:f>
        <ns0:v/>
      </ns0:c>
      <ns0:c r="B1931" s="28" t="str">
        <ns0:f>IF($E1931="","",INDEX('Banka Dökümü'!$B$2:$B$2001,$E1931))</ns0:f>
        <ns0:v/>
      </ns0:c>
      <ns0:c r="C1931" s="33" t="str">
        <ns0:f>IF($E1931="","",INDEX('Banka Dökümü'!$C$2:$C$2001,$E1931))</ns0:f>
        <ns0:v/>
      </ns0:c>
      <ns0:c r="D1931" s="28" t="str">
        <ns0:f>IF(E1931="","","Müşteri adı / aranacak ad / il bilgisini kontrol edin")</ns0:f>
        <ns0:v/>
      </ns0:c>
      <ns0:c r="E1931" s="28" t="str">
        <ns0:f>IFERROR(MATCH(1927,'Banka Dökümü'!$I$2:$I$2001,0),"")</ns0:f>
        <ns0:v/>
      </ns0:c>
    </ns0:row>
    <ns0:row r="1932" ht="21" customHeight="1">
      <ns0:c r="A1932" s="32" t="str">
        <ns0:f>IF($E1932="","",INDEX('Banka Dökümü'!$A$2:$A$2001,$E1932))</ns0:f>
        <ns0:v/>
      </ns0:c>
      <ns0:c r="B1932" s="28" t="str">
        <ns0:f>IF($E1932="","",INDEX('Banka Dökümü'!$B$2:$B$2001,$E1932))</ns0:f>
        <ns0:v/>
      </ns0:c>
      <ns0:c r="C1932" s="33" t="str">
        <ns0:f>IF($E1932="","",INDEX('Banka Dökümü'!$C$2:$C$2001,$E1932))</ns0:f>
        <ns0:v/>
      </ns0:c>
      <ns0:c r="D1932" s="28" t="str">
        <ns0:f>IF(E1932="","","Müşteri adı / aranacak ad / il bilgisini kontrol edin")</ns0:f>
        <ns0:v/>
      </ns0:c>
      <ns0:c r="E1932" s="28" t="str">
        <ns0:f>IFERROR(MATCH(1928,'Banka Dökümü'!$I$2:$I$2001,0),"")</ns0:f>
        <ns0:v/>
      </ns0:c>
    </ns0:row>
    <ns0:row r="1933" ht="21" customHeight="1">
      <ns0:c r="A1933" s="32" t="str">
        <ns0:f>IF($E1933="","",INDEX('Banka Dökümü'!$A$2:$A$2001,$E1933))</ns0:f>
        <ns0:v/>
      </ns0:c>
      <ns0:c r="B1933" s="28" t="str">
        <ns0:f>IF($E1933="","",INDEX('Banka Dökümü'!$B$2:$B$2001,$E1933))</ns0:f>
        <ns0:v/>
      </ns0:c>
      <ns0:c r="C1933" s="33" t="str">
        <ns0:f>IF($E1933="","",INDEX('Banka Dökümü'!$C$2:$C$2001,$E1933))</ns0:f>
        <ns0:v/>
      </ns0:c>
      <ns0:c r="D1933" s="28" t="str">
        <ns0:f>IF(E1933="","","Müşteri adı / aranacak ad / il bilgisini kontrol edin")</ns0:f>
        <ns0:v/>
      </ns0:c>
      <ns0:c r="E1933" s="28" t="str">
        <ns0:f>IFERROR(MATCH(1929,'Banka Dökümü'!$I$2:$I$2001,0),"")</ns0:f>
        <ns0:v/>
      </ns0:c>
    </ns0:row>
    <ns0:row r="1934" ht="21" customHeight="1">
      <ns0:c r="A1934" s="32" t="str">
        <ns0:f>IF($E1934="","",INDEX('Banka Dökümü'!$A$2:$A$2001,$E1934))</ns0:f>
        <ns0:v/>
      </ns0:c>
      <ns0:c r="B1934" s="28" t="str">
        <ns0:f>IF($E1934="","",INDEX('Banka Dökümü'!$B$2:$B$2001,$E1934))</ns0:f>
        <ns0:v/>
      </ns0:c>
      <ns0:c r="C1934" s="33" t="str">
        <ns0:f>IF($E1934="","",INDEX('Banka Dökümü'!$C$2:$C$2001,$E1934))</ns0:f>
        <ns0:v/>
      </ns0:c>
      <ns0:c r="D1934" s="28" t="str">
        <ns0:f>IF(E1934="","","Müşteri adı / aranacak ad / il bilgisini kontrol edin")</ns0:f>
        <ns0:v/>
      </ns0:c>
      <ns0:c r="E1934" s="28" t="str">
        <ns0:f>IFERROR(MATCH(1930,'Banka Dökümü'!$I$2:$I$2001,0),"")</ns0:f>
        <ns0:v/>
      </ns0:c>
    </ns0:row>
    <ns0:row r="1935" ht="21" customHeight="1">
      <ns0:c r="A1935" s="32" t="str">
        <ns0:f>IF($E1935="","",INDEX('Banka Dökümü'!$A$2:$A$2001,$E1935))</ns0:f>
        <ns0:v/>
      </ns0:c>
      <ns0:c r="B1935" s="28" t="str">
        <ns0:f>IF($E1935="","",INDEX('Banka Dökümü'!$B$2:$B$2001,$E1935))</ns0:f>
        <ns0:v/>
      </ns0:c>
      <ns0:c r="C1935" s="33" t="str">
        <ns0:f>IF($E1935="","",INDEX('Banka Dökümü'!$C$2:$C$2001,$E1935))</ns0:f>
        <ns0:v/>
      </ns0:c>
      <ns0:c r="D1935" s="28" t="str">
        <ns0:f>IF(E1935="","","Müşteri adı / aranacak ad / il bilgisini kontrol edin")</ns0:f>
        <ns0:v/>
      </ns0:c>
      <ns0:c r="E1935" s="28" t="str">
        <ns0:f>IFERROR(MATCH(1931,'Banka Dökümü'!$I$2:$I$2001,0),"")</ns0:f>
        <ns0:v/>
      </ns0:c>
    </ns0:row>
    <ns0:row r="1936" ht="21" customHeight="1">
      <ns0:c r="A1936" s="32" t="str">
        <ns0:f>IF($E1936="","",INDEX('Banka Dökümü'!$A$2:$A$2001,$E1936))</ns0:f>
        <ns0:v/>
      </ns0:c>
      <ns0:c r="B1936" s="28" t="str">
        <ns0:f>IF($E1936="","",INDEX('Banka Dökümü'!$B$2:$B$2001,$E1936))</ns0:f>
        <ns0:v/>
      </ns0:c>
      <ns0:c r="C1936" s="33" t="str">
        <ns0:f>IF($E1936="","",INDEX('Banka Dökümü'!$C$2:$C$2001,$E1936))</ns0:f>
        <ns0:v/>
      </ns0:c>
      <ns0:c r="D1936" s="28" t="str">
        <ns0:f>IF(E1936="","","Müşteri adı / aranacak ad / il bilgisini kontrol edin")</ns0:f>
        <ns0:v/>
      </ns0:c>
      <ns0:c r="E1936" s="28" t="str">
        <ns0:f>IFERROR(MATCH(1932,'Banka Dökümü'!$I$2:$I$2001,0),"")</ns0:f>
        <ns0:v/>
      </ns0:c>
    </ns0:row>
    <ns0:row r="1937" ht="21" customHeight="1">
      <ns0:c r="A1937" s="32" t="str">
        <ns0:f>IF($E1937="","",INDEX('Banka Dökümü'!$A$2:$A$2001,$E1937))</ns0:f>
        <ns0:v/>
      </ns0:c>
      <ns0:c r="B1937" s="28" t="str">
        <ns0:f>IF($E1937="","",INDEX('Banka Dökümü'!$B$2:$B$2001,$E1937))</ns0:f>
        <ns0:v/>
      </ns0:c>
      <ns0:c r="C1937" s="33" t="str">
        <ns0:f>IF($E1937="","",INDEX('Banka Dökümü'!$C$2:$C$2001,$E1937))</ns0:f>
        <ns0:v/>
      </ns0:c>
      <ns0:c r="D1937" s="28" t="str">
        <ns0:f>IF(E1937="","","Müşteri adı / aranacak ad / il bilgisini kontrol edin")</ns0:f>
        <ns0:v/>
      </ns0:c>
      <ns0:c r="E1937" s="28" t="str">
        <ns0:f>IFERROR(MATCH(1933,'Banka Dökümü'!$I$2:$I$2001,0),"")</ns0:f>
        <ns0:v/>
      </ns0:c>
    </ns0:row>
    <ns0:row r="1938" ht="21" customHeight="1">
      <ns0:c r="A1938" s="32" t="str">
        <ns0:f>IF($E1938="","",INDEX('Banka Dökümü'!$A$2:$A$2001,$E1938))</ns0:f>
        <ns0:v/>
      </ns0:c>
      <ns0:c r="B1938" s="28" t="str">
        <ns0:f>IF($E1938="","",INDEX('Banka Dökümü'!$B$2:$B$2001,$E1938))</ns0:f>
        <ns0:v/>
      </ns0:c>
      <ns0:c r="C1938" s="33" t="str">
        <ns0:f>IF($E1938="","",INDEX('Banka Dökümü'!$C$2:$C$2001,$E1938))</ns0:f>
        <ns0:v/>
      </ns0:c>
      <ns0:c r="D1938" s="28" t="str">
        <ns0:f>IF(E1938="","","Müşteri adı / aranacak ad / il bilgisini kontrol edin")</ns0:f>
        <ns0:v/>
      </ns0:c>
      <ns0:c r="E1938" s="28" t="str">
        <ns0:f>IFERROR(MATCH(1934,'Banka Dökümü'!$I$2:$I$2001,0),"")</ns0:f>
        <ns0:v/>
      </ns0:c>
    </ns0:row>
    <ns0:row r="1939" ht="21" customHeight="1">
      <ns0:c r="A1939" s="32" t="str">
        <ns0:f>IF($E1939="","",INDEX('Banka Dökümü'!$A$2:$A$2001,$E1939))</ns0:f>
        <ns0:v/>
      </ns0:c>
      <ns0:c r="B1939" s="28" t="str">
        <ns0:f>IF($E1939="","",INDEX('Banka Dökümü'!$B$2:$B$2001,$E1939))</ns0:f>
        <ns0:v/>
      </ns0:c>
      <ns0:c r="C1939" s="33" t="str">
        <ns0:f>IF($E1939="","",INDEX('Banka Dökümü'!$C$2:$C$2001,$E1939))</ns0:f>
        <ns0:v/>
      </ns0:c>
      <ns0:c r="D1939" s="28" t="str">
        <ns0:f>IF(E1939="","","Müşteri adı / aranacak ad / il bilgisini kontrol edin")</ns0:f>
        <ns0:v/>
      </ns0:c>
      <ns0:c r="E1939" s="28" t="str">
        <ns0:f>IFERROR(MATCH(1935,'Banka Dökümü'!$I$2:$I$2001,0),"")</ns0:f>
        <ns0:v/>
      </ns0:c>
    </ns0:row>
    <ns0:row r="1940" ht="21" customHeight="1">
      <ns0:c r="A1940" s="32" t="str">
        <ns0:f>IF($E1940="","",INDEX('Banka Dökümü'!$A$2:$A$2001,$E1940))</ns0:f>
        <ns0:v/>
      </ns0:c>
      <ns0:c r="B1940" s="28" t="str">
        <ns0:f>IF($E1940="","",INDEX('Banka Dökümü'!$B$2:$B$2001,$E1940))</ns0:f>
        <ns0:v/>
      </ns0:c>
      <ns0:c r="C1940" s="33" t="str">
        <ns0:f>IF($E1940="","",INDEX('Banka Dökümü'!$C$2:$C$2001,$E1940))</ns0:f>
        <ns0:v/>
      </ns0:c>
      <ns0:c r="D1940" s="28" t="str">
        <ns0:f>IF(E1940="","","Müşteri adı / aranacak ad / il bilgisini kontrol edin")</ns0:f>
        <ns0:v/>
      </ns0:c>
      <ns0:c r="E1940" s="28" t="str">
        <ns0:f>IFERROR(MATCH(1936,'Banka Dökümü'!$I$2:$I$2001,0),"")</ns0:f>
        <ns0:v/>
      </ns0:c>
    </ns0:row>
    <ns0:row r="1941" ht="21" customHeight="1">
      <ns0:c r="A1941" s="32" t="str">
        <ns0:f>IF($E1941="","",INDEX('Banka Dökümü'!$A$2:$A$2001,$E1941))</ns0:f>
        <ns0:v/>
      </ns0:c>
      <ns0:c r="B1941" s="28" t="str">
        <ns0:f>IF($E1941="","",INDEX('Banka Dökümü'!$B$2:$B$2001,$E1941))</ns0:f>
        <ns0:v/>
      </ns0:c>
      <ns0:c r="C1941" s="33" t="str">
        <ns0:f>IF($E1941="","",INDEX('Banka Dökümü'!$C$2:$C$2001,$E1941))</ns0:f>
        <ns0:v/>
      </ns0:c>
      <ns0:c r="D1941" s="28" t="str">
        <ns0:f>IF(E1941="","","Müşteri adı / aranacak ad / il bilgisini kontrol edin")</ns0:f>
        <ns0:v/>
      </ns0:c>
      <ns0:c r="E1941" s="28" t="str">
        <ns0:f>IFERROR(MATCH(1937,'Banka Dökümü'!$I$2:$I$2001,0),"")</ns0:f>
        <ns0:v/>
      </ns0:c>
    </ns0:row>
    <ns0:row r="1942" ht="21" customHeight="1">
      <ns0:c r="A1942" s="32" t="str">
        <ns0:f>IF($E1942="","",INDEX('Banka Dökümü'!$A$2:$A$2001,$E1942))</ns0:f>
        <ns0:v/>
      </ns0:c>
      <ns0:c r="B1942" s="28" t="str">
        <ns0:f>IF($E1942="","",INDEX('Banka Dökümü'!$B$2:$B$2001,$E1942))</ns0:f>
        <ns0:v/>
      </ns0:c>
      <ns0:c r="C1942" s="33" t="str">
        <ns0:f>IF($E1942="","",INDEX('Banka Dökümü'!$C$2:$C$2001,$E1942))</ns0:f>
        <ns0:v/>
      </ns0:c>
      <ns0:c r="D1942" s="28" t="str">
        <ns0:f>IF(E1942="","","Müşteri adı / aranacak ad / il bilgisini kontrol edin")</ns0:f>
        <ns0:v/>
      </ns0:c>
      <ns0:c r="E1942" s="28" t="str">
        <ns0:f>IFERROR(MATCH(1938,'Banka Dökümü'!$I$2:$I$2001,0),"")</ns0:f>
        <ns0:v/>
      </ns0:c>
    </ns0:row>
    <ns0:row r="1943" ht="21" customHeight="1">
      <ns0:c r="A1943" s="32" t="str">
        <ns0:f>IF($E1943="","",INDEX('Banka Dökümü'!$A$2:$A$2001,$E1943))</ns0:f>
        <ns0:v/>
      </ns0:c>
      <ns0:c r="B1943" s="28" t="str">
        <ns0:f>IF($E1943="","",INDEX('Banka Dökümü'!$B$2:$B$2001,$E1943))</ns0:f>
        <ns0:v/>
      </ns0:c>
      <ns0:c r="C1943" s="33" t="str">
        <ns0:f>IF($E1943="","",INDEX('Banka Dökümü'!$C$2:$C$2001,$E1943))</ns0:f>
        <ns0:v/>
      </ns0:c>
      <ns0:c r="D1943" s="28" t="str">
        <ns0:f>IF(E1943="","","Müşteri adı / aranacak ad / il bilgisini kontrol edin")</ns0:f>
        <ns0:v/>
      </ns0:c>
      <ns0:c r="E1943" s="28" t="str">
        <ns0:f>IFERROR(MATCH(1939,'Banka Dökümü'!$I$2:$I$2001,0),"")</ns0:f>
        <ns0:v/>
      </ns0:c>
    </ns0:row>
    <ns0:row r="1944" ht="21" customHeight="1">
      <ns0:c r="A1944" s="32" t="str">
        <ns0:f>IF($E1944="","",INDEX('Banka Dökümü'!$A$2:$A$2001,$E1944))</ns0:f>
        <ns0:v/>
      </ns0:c>
      <ns0:c r="B1944" s="28" t="str">
        <ns0:f>IF($E1944="","",INDEX('Banka Dökümü'!$B$2:$B$2001,$E1944))</ns0:f>
        <ns0:v/>
      </ns0:c>
      <ns0:c r="C1944" s="33" t="str">
        <ns0:f>IF($E1944="","",INDEX('Banka Dökümü'!$C$2:$C$2001,$E1944))</ns0:f>
        <ns0:v/>
      </ns0:c>
      <ns0:c r="D1944" s="28" t="str">
        <ns0:f>IF(E1944="","","Müşteri adı / aranacak ad / il bilgisini kontrol edin")</ns0:f>
        <ns0:v/>
      </ns0:c>
      <ns0:c r="E1944" s="28" t="str">
        <ns0:f>IFERROR(MATCH(1940,'Banka Dökümü'!$I$2:$I$2001,0),"")</ns0:f>
        <ns0:v/>
      </ns0:c>
    </ns0:row>
    <ns0:row r="1945" ht="21" customHeight="1">
      <ns0:c r="A1945" s="32" t="str">
        <ns0:f>IF($E1945="","",INDEX('Banka Dökümü'!$A$2:$A$2001,$E1945))</ns0:f>
        <ns0:v/>
      </ns0:c>
      <ns0:c r="B1945" s="28" t="str">
        <ns0:f>IF($E1945="","",INDEX('Banka Dökümü'!$B$2:$B$2001,$E1945))</ns0:f>
        <ns0:v/>
      </ns0:c>
      <ns0:c r="C1945" s="33" t="str">
        <ns0:f>IF($E1945="","",INDEX('Banka Dökümü'!$C$2:$C$2001,$E1945))</ns0:f>
        <ns0:v/>
      </ns0:c>
      <ns0:c r="D1945" s="28" t="str">
        <ns0:f>IF(E1945="","","Müşteri adı / aranacak ad / il bilgisini kontrol edin")</ns0:f>
        <ns0:v/>
      </ns0:c>
      <ns0:c r="E1945" s="28" t="str">
        <ns0:f>IFERROR(MATCH(1941,'Banka Dökümü'!$I$2:$I$2001,0),"")</ns0:f>
        <ns0:v/>
      </ns0:c>
    </ns0:row>
    <ns0:row r="1946" ht="21" customHeight="1">
      <ns0:c r="A1946" s="32" t="str">
        <ns0:f>IF($E1946="","",INDEX('Banka Dökümü'!$A$2:$A$2001,$E1946))</ns0:f>
        <ns0:v/>
      </ns0:c>
      <ns0:c r="B1946" s="28" t="str">
        <ns0:f>IF($E1946="","",INDEX('Banka Dökümü'!$B$2:$B$2001,$E1946))</ns0:f>
        <ns0:v/>
      </ns0:c>
      <ns0:c r="C1946" s="33" t="str">
        <ns0:f>IF($E1946="","",INDEX('Banka Dökümü'!$C$2:$C$2001,$E1946))</ns0:f>
        <ns0:v/>
      </ns0:c>
      <ns0:c r="D1946" s="28" t="str">
        <ns0:f>IF(E1946="","","Müşteri adı / aranacak ad / il bilgisini kontrol edin")</ns0:f>
        <ns0:v/>
      </ns0:c>
      <ns0:c r="E1946" s="28" t="str">
        <ns0:f>IFERROR(MATCH(1942,'Banka Dökümü'!$I$2:$I$2001,0),"")</ns0:f>
        <ns0:v/>
      </ns0:c>
    </ns0:row>
    <ns0:row r="1947" ht="21" customHeight="1">
      <ns0:c r="A1947" s="32" t="str">
        <ns0:f>IF($E1947="","",INDEX('Banka Dökümü'!$A$2:$A$2001,$E1947))</ns0:f>
        <ns0:v/>
      </ns0:c>
      <ns0:c r="B1947" s="28" t="str">
        <ns0:f>IF($E1947="","",INDEX('Banka Dökümü'!$B$2:$B$2001,$E1947))</ns0:f>
        <ns0:v/>
      </ns0:c>
      <ns0:c r="C1947" s="33" t="str">
        <ns0:f>IF($E1947="","",INDEX('Banka Dökümü'!$C$2:$C$2001,$E1947))</ns0:f>
        <ns0:v/>
      </ns0:c>
      <ns0:c r="D1947" s="28" t="str">
        <ns0:f>IF(E1947="","","Müşteri adı / aranacak ad / il bilgisini kontrol edin")</ns0:f>
        <ns0:v/>
      </ns0:c>
      <ns0:c r="E1947" s="28" t="str">
        <ns0:f>IFERROR(MATCH(1943,'Banka Dökümü'!$I$2:$I$2001,0),"")</ns0:f>
        <ns0:v/>
      </ns0:c>
    </ns0:row>
    <ns0:row r="1948" ht="21" customHeight="1">
      <ns0:c r="A1948" s="32" t="str">
        <ns0:f>IF($E1948="","",INDEX('Banka Dökümü'!$A$2:$A$2001,$E1948))</ns0:f>
        <ns0:v/>
      </ns0:c>
      <ns0:c r="B1948" s="28" t="str">
        <ns0:f>IF($E1948="","",INDEX('Banka Dökümü'!$B$2:$B$2001,$E1948))</ns0:f>
        <ns0:v/>
      </ns0:c>
      <ns0:c r="C1948" s="33" t="str">
        <ns0:f>IF($E1948="","",INDEX('Banka Dökümü'!$C$2:$C$2001,$E1948))</ns0:f>
        <ns0:v/>
      </ns0:c>
      <ns0:c r="D1948" s="28" t="str">
        <ns0:f>IF(E1948="","","Müşteri adı / aranacak ad / il bilgisini kontrol edin")</ns0:f>
        <ns0:v/>
      </ns0:c>
      <ns0:c r="E1948" s="28" t="str">
        <ns0:f>IFERROR(MATCH(1944,'Banka Dökümü'!$I$2:$I$2001,0),"")</ns0:f>
        <ns0:v/>
      </ns0:c>
    </ns0:row>
    <ns0:row r="1949" ht="21" customHeight="1">
      <ns0:c r="A1949" s="32" t="str">
        <ns0:f>IF($E1949="","",INDEX('Banka Dökümü'!$A$2:$A$2001,$E1949))</ns0:f>
        <ns0:v/>
      </ns0:c>
      <ns0:c r="B1949" s="28" t="str">
        <ns0:f>IF($E1949="","",INDEX('Banka Dökümü'!$B$2:$B$2001,$E1949))</ns0:f>
        <ns0:v/>
      </ns0:c>
      <ns0:c r="C1949" s="33" t="str">
        <ns0:f>IF($E1949="","",INDEX('Banka Dökümü'!$C$2:$C$2001,$E1949))</ns0:f>
        <ns0:v/>
      </ns0:c>
      <ns0:c r="D1949" s="28" t="str">
        <ns0:f>IF(E1949="","","Müşteri adı / aranacak ad / il bilgisini kontrol edin")</ns0:f>
        <ns0:v/>
      </ns0:c>
      <ns0:c r="E1949" s="28" t="str">
        <ns0:f>IFERROR(MATCH(1945,'Banka Dökümü'!$I$2:$I$2001,0),"")</ns0:f>
        <ns0:v/>
      </ns0:c>
    </ns0:row>
    <ns0:row r="1950" ht="21" customHeight="1">
      <ns0:c r="A1950" s="32" t="str">
        <ns0:f>IF($E1950="","",INDEX('Banka Dökümü'!$A$2:$A$2001,$E1950))</ns0:f>
        <ns0:v/>
      </ns0:c>
      <ns0:c r="B1950" s="28" t="str">
        <ns0:f>IF($E1950="","",INDEX('Banka Dökümü'!$B$2:$B$2001,$E1950))</ns0:f>
        <ns0:v/>
      </ns0:c>
      <ns0:c r="C1950" s="33" t="str">
        <ns0:f>IF($E1950="","",INDEX('Banka Dökümü'!$C$2:$C$2001,$E1950))</ns0:f>
        <ns0:v/>
      </ns0:c>
      <ns0:c r="D1950" s="28" t="str">
        <ns0:f>IF(E1950="","","Müşteri adı / aranacak ad / il bilgisini kontrol edin")</ns0:f>
        <ns0:v/>
      </ns0:c>
      <ns0:c r="E1950" s="28" t="str">
        <ns0:f>IFERROR(MATCH(1946,'Banka Dökümü'!$I$2:$I$2001,0),"")</ns0:f>
        <ns0:v/>
      </ns0:c>
    </ns0:row>
    <ns0:row r="1951" ht="21" customHeight="1">
      <ns0:c r="A1951" s="32" t="str">
        <ns0:f>IF($E1951="","",INDEX('Banka Dökümü'!$A$2:$A$2001,$E1951))</ns0:f>
        <ns0:v/>
      </ns0:c>
      <ns0:c r="B1951" s="28" t="str">
        <ns0:f>IF($E1951="","",INDEX('Banka Dökümü'!$B$2:$B$2001,$E1951))</ns0:f>
        <ns0:v/>
      </ns0:c>
      <ns0:c r="C1951" s="33" t="str">
        <ns0:f>IF($E1951="","",INDEX('Banka Dökümü'!$C$2:$C$2001,$E1951))</ns0:f>
        <ns0:v/>
      </ns0:c>
      <ns0:c r="D1951" s="28" t="str">
        <ns0:f>IF(E1951="","","Müşteri adı / aranacak ad / il bilgisini kontrol edin")</ns0:f>
        <ns0:v/>
      </ns0:c>
      <ns0:c r="E1951" s="28" t="str">
        <ns0:f>IFERROR(MATCH(1947,'Banka Dökümü'!$I$2:$I$2001,0),"")</ns0:f>
        <ns0:v/>
      </ns0:c>
    </ns0:row>
    <ns0:row r="1952" ht="21" customHeight="1">
      <ns0:c r="A1952" s="32" t="str">
        <ns0:f>IF($E1952="","",INDEX('Banka Dökümü'!$A$2:$A$2001,$E1952))</ns0:f>
        <ns0:v/>
      </ns0:c>
      <ns0:c r="B1952" s="28" t="str">
        <ns0:f>IF($E1952="","",INDEX('Banka Dökümü'!$B$2:$B$2001,$E1952))</ns0:f>
        <ns0:v/>
      </ns0:c>
      <ns0:c r="C1952" s="33" t="str">
        <ns0:f>IF($E1952="","",INDEX('Banka Dökümü'!$C$2:$C$2001,$E1952))</ns0:f>
        <ns0:v/>
      </ns0:c>
      <ns0:c r="D1952" s="28" t="str">
        <ns0:f>IF(E1952="","","Müşteri adı / aranacak ad / il bilgisini kontrol edin")</ns0:f>
        <ns0:v/>
      </ns0:c>
      <ns0:c r="E1952" s="28" t="str">
        <ns0:f>IFERROR(MATCH(1948,'Banka Dökümü'!$I$2:$I$2001,0),"")</ns0:f>
        <ns0:v/>
      </ns0:c>
    </ns0:row>
    <ns0:row r="1953" ht="21" customHeight="1">
      <ns0:c r="A1953" s="32" t="str">
        <ns0:f>IF($E1953="","",INDEX('Banka Dökümü'!$A$2:$A$2001,$E1953))</ns0:f>
        <ns0:v/>
      </ns0:c>
      <ns0:c r="B1953" s="28" t="str">
        <ns0:f>IF($E1953="","",INDEX('Banka Dökümü'!$B$2:$B$2001,$E1953))</ns0:f>
        <ns0:v/>
      </ns0:c>
      <ns0:c r="C1953" s="33" t="str">
        <ns0:f>IF($E1953="","",INDEX('Banka Dökümü'!$C$2:$C$2001,$E1953))</ns0:f>
        <ns0:v/>
      </ns0:c>
      <ns0:c r="D1953" s="28" t="str">
        <ns0:f>IF(E1953="","","Müşteri adı / aranacak ad / il bilgisini kontrol edin")</ns0:f>
        <ns0:v/>
      </ns0:c>
      <ns0:c r="E1953" s="28" t="str">
        <ns0:f>IFERROR(MATCH(1949,'Banka Dökümü'!$I$2:$I$2001,0),"")</ns0:f>
        <ns0:v/>
      </ns0:c>
    </ns0:row>
    <ns0:row r="1954" ht="21" customHeight="1">
      <ns0:c r="A1954" s="32" t="str">
        <ns0:f>IF($E1954="","",INDEX('Banka Dökümü'!$A$2:$A$2001,$E1954))</ns0:f>
        <ns0:v/>
      </ns0:c>
      <ns0:c r="B1954" s="28" t="str">
        <ns0:f>IF($E1954="","",INDEX('Banka Dökümü'!$B$2:$B$2001,$E1954))</ns0:f>
        <ns0:v/>
      </ns0:c>
      <ns0:c r="C1954" s="33" t="str">
        <ns0:f>IF($E1954="","",INDEX('Banka Dökümü'!$C$2:$C$2001,$E1954))</ns0:f>
        <ns0:v/>
      </ns0:c>
      <ns0:c r="D1954" s="28" t="str">
        <ns0:f>IF(E1954="","","Müşteri adı / aranacak ad / il bilgisini kontrol edin")</ns0:f>
        <ns0:v/>
      </ns0:c>
      <ns0:c r="E1954" s="28" t="str">
        <ns0:f>IFERROR(MATCH(1950,'Banka Dökümü'!$I$2:$I$2001,0),"")</ns0:f>
        <ns0:v/>
      </ns0:c>
    </ns0:row>
    <ns0:row r="1955" ht="21" customHeight="1">
      <ns0:c r="A1955" s="32" t="str">
        <ns0:f>IF($E1955="","",INDEX('Banka Dökümü'!$A$2:$A$2001,$E1955))</ns0:f>
        <ns0:v/>
      </ns0:c>
      <ns0:c r="B1955" s="28" t="str">
        <ns0:f>IF($E1955="","",INDEX('Banka Dökümü'!$B$2:$B$2001,$E1955))</ns0:f>
        <ns0:v/>
      </ns0:c>
      <ns0:c r="C1955" s="33" t="str">
        <ns0:f>IF($E1955="","",INDEX('Banka Dökümü'!$C$2:$C$2001,$E1955))</ns0:f>
        <ns0:v/>
      </ns0:c>
      <ns0:c r="D1955" s="28" t="str">
        <ns0:f>IF(E1955="","","Müşteri adı / aranacak ad / il bilgisini kontrol edin")</ns0:f>
        <ns0:v/>
      </ns0:c>
      <ns0:c r="E1955" s="28" t="str">
        <ns0:f>IFERROR(MATCH(1951,'Banka Dökümü'!$I$2:$I$2001,0),"")</ns0:f>
        <ns0:v/>
      </ns0:c>
    </ns0:row>
    <ns0:row r="1956" ht="21" customHeight="1">
      <ns0:c r="A1956" s="32" t="str">
        <ns0:f>IF($E1956="","",INDEX('Banka Dökümü'!$A$2:$A$2001,$E1956))</ns0:f>
        <ns0:v/>
      </ns0:c>
      <ns0:c r="B1956" s="28" t="str">
        <ns0:f>IF($E1956="","",INDEX('Banka Dökümü'!$B$2:$B$2001,$E1956))</ns0:f>
        <ns0:v/>
      </ns0:c>
      <ns0:c r="C1956" s="33" t="str">
        <ns0:f>IF($E1956="","",INDEX('Banka Dökümü'!$C$2:$C$2001,$E1956))</ns0:f>
        <ns0:v/>
      </ns0:c>
      <ns0:c r="D1956" s="28" t="str">
        <ns0:f>IF(E1956="","","Müşteri adı / aranacak ad / il bilgisini kontrol edin")</ns0:f>
        <ns0:v/>
      </ns0:c>
      <ns0:c r="E1956" s="28" t="str">
        <ns0:f>IFERROR(MATCH(1952,'Banka Dökümü'!$I$2:$I$2001,0),"")</ns0:f>
        <ns0:v/>
      </ns0:c>
    </ns0:row>
    <ns0:row r="1957" ht="21" customHeight="1">
      <ns0:c r="A1957" s="32" t="str">
        <ns0:f>IF($E1957="","",INDEX('Banka Dökümü'!$A$2:$A$2001,$E1957))</ns0:f>
        <ns0:v/>
      </ns0:c>
      <ns0:c r="B1957" s="28" t="str">
        <ns0:f>IF($E1957="","",INDEX('Banka Dökümü'!$B$2:$B$2001,$E1957))</ns0:f>
        <ns0:v/>
      </ns0:c>
      <ns0:c r="C1957" s="33" t="str">
        <ns0:f>IF($E1957="","",INDEX('Banka Dökümü'!$C$2:$C$2001,$E1957))</ns0:f>
        <ns0:v/>
      </ns0:c>
      <ns0:c r="D1957" s="28" t="str">
        <ns0:f>IF(E1957="","","Müşteri adı / aranacak ad / il bilgisini kontrol edin")</ns0:f>
        <ns0:v/>
      </ns0:c>
      <ns0:c r="E1957" s="28" t="str">
        <ns0:f>IFERROR(MATCH(1953,'Banka Dökümü'!$I$2:$I$2001,0),"")</ns0:f>
        <ns0:v/>
      </ns0:c>
    </ns0:row>
    <ns0:row r="1958" ht="21" customHeight="1">
      <ns0:c r="A1958" s="32" t="str">
        <ns0:f>IF($E1958="","",INDEX('Banka Dökümü'!$A$2:$A$2001,$E1958))</ns0:f>
        <ns0:v/>
      </ns0:c>
      <ns0:c r="B1958" s="28" t="str">
        <ns0:f>IF($E1958="","",INDEX('Banka Dökümü'!$B$2:$B$2001,$E1958))</ns0:f>
        <ns0:v/>
      </ns0:c>
      <ns0:c r="C1958" s="33" t="str">
        <ns0:f>IF($E1958="","",INDEX('Banka Dökümü'!$C$2:$C$2001,$E1958))</ns0:f>
        <ns0:v/>
      </ns0:c>
      <ns0:c r="D1958" s="28" t="str">
        <ns0:f>IF(E1958="","","Müşteri adı / aranacak ad / il bilgisini kontrol edin")</ns0:f>
        <ns0:v/>
      </ns0:c>
      <ns0:c r="E1958" s="28" t="str">
        <ns0:f>IFERROR(MATCH(1954,'Banka Dökümü'!$I$2:$I$2001,0),"")</ns0:f>
        <ns0:v/>
      </ns0:c>
    </ns0:row>
    <ns0:row r="1959" ht="21" customHeight="1">
      <ns0:c r="A1959" s="32" t="str">
        <ns0:f>IF($E1959="","",INDEX('Banka Dökümü'!$A$2:$A$2001,$E1959))</ns0:f>
        <ns0:v/>
      </ns0:c>
      <ns0:c r="B1959" s="28" t="str">
        <ns0:f>IF($E1959="","",INDEX('Banka Dökümü'!$B$2:$B$2001,$E1959))</ns0:f>
        <ns0:v/>
      </ns0:c>
      <ns0:c r="C1959" s="33" t="str">
        <ns0:f>IF($E1959="","",INDEX('Banka Dökümü'!$C$2:$C$2001,$E1959))</ns0:f>
        <ns0:v/>
      </ns0:c>
      <ns0:c r="D1959" s="28" t="str">
        <ns0:f>IF(E1959="","","Müşteri adı / aranacak ad / il bilgisini kontrol edin")</ns0:f>
        <ns0:v/>
      </ns0:c>
      <ns0:c r="E1959" s="28" t="str">
        <ns0:f>IFERROR(MATCH(1955,'Banka Dökümü'!$I$2:$I$2001,0),"")</ns0:f>
        <ns0:v/>
      </ns0:c>
    </ns0:row>
    <ns0:row r="1960" ht="21" customHeight="1">
      <ns0:c r="A1960" s="32" t="str">
        <ns0:f>IF($E1960="","",INDEX('Banka Dökümü'!$A$2:$A$2001,$E1960))</ns0:f>
        <ns0:v/>
      </ns0:c>
      <ns0:c r="B1960" s="28" t="str">
        <ns0:f>IF($E1960="","",INDEX('Banka Dökümü'!$B$2:$B$2001,$E1960))</ns0:f>
        <ns0:v/>
      </ns0:c>
      <ns0:c r="C1960" s="33" t="str">
        <ns0:f>IF($E1960="","",INDEX('Banka Dökümü'!$C$2:$C$2001,$E1960))</ns0:f>
        <ns0:v/>
      </ns0:c>
      <ns0:c r="D1960" s="28" t="str">
        <ns0:f>IF(E1960="","","Müşteri adı / aranacak ad / il bilgisini kontrol edin")</ns0:f>
        <ns0:v/>
      </ns0:c>
      <ns0:c r="E1960" s="28" t="str">
        <ns0:f>IFERROR(MATCH(1956,'Banka Dökümü'!$I$2:$I$2001,0),"")</ns0:f>
        <ns0:v/>
      </ns0:c>
    </ns0:row>
    <ns0:row r="1961" ht="21" customHeight="1">
      <ns0:c r="A1961" s="32" t="str">
        <ns0:f>IF($E1961="","",INDEX('Banka Dökümü'!$A$2:$A$2001,$E1961))</ns0:f>
        <ns0:v/>
      </ns0:c>
      <ns0:c r="B1961" s="28" t="str">
        <ns0:f>IF($E1961="","",INDEX('Banka Dökümü'!$B$2:$B$2001,$E1961))</ns0:f>
        <ns0:v/>
      </ns0:c>
      <ns0:c r="C1961" s="33" t="str">
        <ns0:f>IF($E1961="","",INDEX('Banka Dökümü'!$C$2:$C$2001,$E1961))</ns0:f>
        <ns0:v/>
      </ns0:c>
      <ns0:c r="D1961" s="28" t="str">
        <ns0:f>IF(E1961="","","Müşteri adı / aranacak ad / il bilgisini kontrol edin")</ns0:f>
        <ns0:v/>
      </ns0:c>
      <ns0:c r="E1961" s="28" t="str">
        <ns0:f>IFERROR(MATCH(1957,'Banka Dökümü'!$I$2:$I$2001,0),"")</ns0:f>
        <ns0:v/>
      </ns0:c>
    </ns0:row>
    <ns0:row r="1962" ht="21" customHeight="1">
      <ns0:c r="A1962" s="32" t="str">
        <ns0:f>IF($E1962="","",INDEX('Banka Dökümü'!$A$2:$A$2001,$E1962))</ns0:f>
        <ns0:v/>
      </ns0:c>
      <ns0:c r="B1962" s="28" t="str">
        <ns0:f>IF($E1962="","",INDEX('Banka Dökümü'!$B$2:$B$2001,$E1962))</ns0:f>
        <ns0:v/>
      </ns0:c>
      <ns0:c r="C1962" s="33" t="str">
        <ns0:f>IF($E1962="","",INDEX('Banka Dökümü'!$C$2:$C$2001,$E1962))</ns0:f>
        <ns0:v/>
      </ns0:c>
      <ns0:c r="D1962" s="28" t="str">
        <ns0:f>IF(E1962="","","Müşteri adı / aranacak ad / il bilgisini kontrol edin")</ns0:f>
        <ns0:v/>
      </ns0:c>
      <ns0:c r="E1962" s="28" t="str">
        <ns0:f>IFERROR(MATCH(1958,'Banka Dökümü'!$I$2:$I$2001,0),"")</ns0:f>
        <ns0:v/>
      </ns0:c>
    </ns0:row>
    <ns0:row r="1963" ht="21" customHeight="1">
      <ns0:c r="A1963" s="32" t="str">
        <ns0:f>IF($E1963="","",INDEX('Banka Dökümü'!$A$2:$A$2001,$E1963))</ns0:f>
        <ns0:v/>
      </ns0:c>
      <ns0:c r="B1963" s="28" t="str">
        <ns0:f>IF($E1963="","",INDEX('Banka Dökümü'!$B$2:$B$2001,$E1963))</ns0:f>
        <ns0:v/>
      </ns0:c>
      <ns0:c r="C1963" s="33" t="str">
        <ns0:f>IF($E1963="","",INDEX('Banka Dökümü'!$C$2:$C$2001,$E1963))</ns0:f>
        <ns0:v/>
      </ns0:c>
      <ns0:c r="D1963" s="28" t="str">
        <ns0:f>IF(E1963="","","Müşteri adı / aranacak ad / il bilgisini kontrol edin")</ns0:f>
        <ns0:v/>
      </ns0:c>
      <ns0:c r="E1963" s="28" t="str">
        <ns0:f>IFERROR(MATCH(1959,'Banka Dökümü'!$I$2:$I$2001,0),"")</ns0:f>
        <ns0:v/>
      </ns0:c>
    </ns0:row>
    <ns0:row r="1964" ht="21" customHeight="1">
      <ns0:c r="A1964" s="32" t="str">
        <ns0:f>IF($E1964="","",INDEX('Banka Dökümü'!$A$2:$A$2001,$E1964))</ns0:f>
        <ns0:v/>
      </ns0:c>
      <ns0:c r="B1964" s="28" t="str">
        <ns0:f>IF($E1964="","",INDEX('Banka Dökümü'!$B$2:$B$2001,$E1964))</ns0:f>
        <ns0:v/>
      </ns0:c>
      <ns0:c r="C1964" s="33" t="str">
        <ns0:f>IF($E1964="","",INDEX('Banka Dökümü'!$C$2:$C$2001,$E1964))</ns0:f>
        <ns0:v/>
      </ns0:c>
      <ns0:c r="D1964" s="28" t="str">
        <ns0:f>IF(E1964="","","Müşteri adı / aranacak ad / il bilgisini kontrol edin")</ns0:f>
        <ns0:v/>
      </ns0:c>
      <ns0:c r="E1964" s="28" t="str">
        <ns0:f>IFERROR(MATCH(1960,'Banka Dökümü'!$I$2:$I$2001,0),"")</ns0:f>
        <ns0:v/>
      </ns0:c>
    </ns0:row>
    <ns0:row r="1965" ht="21" customHeight="1">
      <ns0:c r="A1965" s="32" t="str">
        <ns0:f>IF($E1965="","",INDEX('Banka Dökümü'!$A$2:$A$2001,$E1965))</ns0:f>
        <ns0:v/>
      </ns0:c>
      <ns0:c r="B1965" s="28" t="str">
        <ns0:f>IF($E1965="","",INDEX('Banka Dökümü'!$B$2:$B$2001,$E1965))</ns0:f>
        <ns0:v/>
      </ns0:c>
      <ns0:c r="C1965" s="33" t="str">
        <ns0:f>IF($E1965="","",INDEX('Banka Dökümü'!$C$2:$C$2001,$E1965))</ns0:f>
        <ns0:v/>
      </ns0:c>
      <ns0:c r="D1965" s="28" t="str">
        <ns0:f>IF(E1965="","","Müşteri adı / aranacak ad / il bilgisini kontrol edin")</ns0:f>
        <ns0:v/>
      </ns0:c>
      <ns0:c r="E1965" s="28" t="str">
        <ns0:f>IFERROR(MATCH(1961,'Banka Dökümü'!$I$2:$I$2001,0),"")</ns0:f>
        <ns0:v/>
      </ns0:c>
    </ns0:row>
    <ns0:row r="1966" ht="21" customHeight="1">
      <ns0:c r="A1966" s="32" t="str">
        <ns0:f>IF($E1966="","",INDEX('Banka Dökümü'!$A$2:$A$2001,$E1966))</ns0:f>
        <ns0:v/>
      </ns0:c>
      <ns0:c r="B1966" s="28" t="str">
        <ns0:f>IF($E1966="","",INDEX('Banka Dökümü'!$B$2:$B$2001,$E1966))</ns0:f>
        <ns0:v/>
      </ns0:c>
      <ns0:c r="C1966" s="33" t="str">
        <ns0:f>IF($E1966="","",INDEX('Banka Dökümü'!$C$2:$C$2001,$E1966))</ns0:f>
        <ns0:v/>
      </ns0:c>
      <ns0:c r="D1966" s="28" t="str">
        <ns0:f>IF(E1966="","","Müşteri adı / aranacak ad / il bilgisini kontrol edin")</ns0:f>
        <ns0:v/>
      </ns0:c>
      <ns0:c r="E1966" s="28" t="str">
        <ns0:f>IFERROR(MATCH(1962,'Banka Dökümü'!$I$2:$I$2001,0),"")</ns0:f>
        <ns0:v/>
      </ns0:c>
    </ns0:row>
    <ns0:row r="1967" ht="21" customHeight="1">
      <ns0:c r="A1967" s="32" t="str">
        <ns0:f>IF($E1967="","",INDEX('Banka Dökümü'!$A$2:$A$2001,$E1967))</ns0:f>
        <ns0:v/>
      </ns0:c>
      <ns0:c r="B1967" s="28" t="str">
        <ns0:f>IF($E1967="","",INDEX('Banka Dökümü'!$B$2:$B$2001,$E1967))</ns0:f>
        <ns0:v/>
      </ns0:c>
      <ns0:c r="C1967" s="33" t="str">
        <ns0:f>IF($E1967="","",INDEX('Banka Dökümü'!$C$2:$C$2001,$E1967))</ns0:f>
        <ns0:v/>
      </ns0:c>
      <ns0:c r="D1967" s="28" t="str">
        <ns0:f>IF(E1967="","","Müşteri adı / aranacak ad / il bilgisini kontrol edin")</ns0:f>
        <ns0:v/>
      </ns0:c>
      <ns0:c r="E1967" s="28" t="str">
        <ns0:f>IFERROR(MATCH(1963,'Banka Dökümü'!$I$2:$I$2001,0),"")</ns0:f>
        <ns0:v/>
      </ns0:c>
    </ns0:row>
    <ns0:row r="1968" ht="21" customHeight="1">
      <ns0:c r="A1968" s="32" t="str">
        <ns0:f>IF($E1968="","",INDEX('Banka Dökümü'!$A$2:$A$2001,$E1968))</ns0:f>
        <ns0:v/>
      </ns0:c>
      <ns0:c r="B1968" s="28" t="str">
        <ns0:f>IF($E1968="","",INDEX('Banka Dökümü'!$B$2:$B$2001,$E1968))</ns0:f>
        <ns0:v/>
      </ns0:c>
      <ns0:c r="C1968" s="33" t="str">
        <ns0:f>IF($E1968="","",INDEX('Banka Dökümü'!$C$2:$C$2001,$E1968))</ns0:f>
        <ns0:v/>
      </ns0:c>
      <ns0:c r="D1968" s="28" t="str">
        <ns0:f>IF(E1968="","","Müşteri adı / aranacak ad / il bilgisini kontrol edin")</ns0:f>
        <ns0:v/>
      </ns0:c>
      <ns0:c r="E1968" s="28" t="str">
        <ns0:f>IFERROR(MATCH(1964,'Banka Dökümü'!$I$2:$I$2001,0),"")</ns0:f>
        <ns0:v/>
      </ns0:c>
    </ns0:row>
    <ns0:row r="1969" ht="21" customHeight="1">
      <ns0:c r="A1969" s="32" t="str">
        <ns0:f>IF($E1969="","",INDEX('Banka Dökümü'!$A$2:$A$2001,$E1969))</ns0:f>
        <ns0:v/>
      </ns0:c>
      <ns0:c r="B1969" s="28" t="str">
        <ns0:f>IF($E1969="","",INDEX('Banka Dökümü'!$B$2:$B$2001,$E1969))</ns0:f>
        <ns0:v/>
      </ns0:c>
      <ns0:c r="C1969" s="33" t="str">
        <ns0:f>IF($E1969="","",INDEX('Banka Dökümü'!$C$2:$C$2001,$E1969))</ns0:f>
        <ns0:v/>
      </ns0:c>
      <ns0:c r="D1969" s="28" t="str">
        <ns0:f>IF(E1969="","","Müşteri adı / aranacak ad / il bilgisini kontrol edin")</ns0:f>
        <ns0:v/>
      </ns0:c>
      <ns0:c r="E1969" s="28" t="str">
        <ns0:f>IFERROR(MATCH(1965,'Banka Dökümü'!$I$2:$I$2001,0),"")</ns0:f>
        <ns0:v/>
      </ns0:c>
    </ns0:row>
    <ns0:row r="1970" ht="21" customHeight="1">
      <ns0:c r="A1970" s="32" t="str">
        <ns0:f>IF($E1970="","",INDEX('Banka Dökümü'!$A$2:$A$2001,$E1970))</ns0:f>
        <ns0:v/>
      </ns0:c>
      <ns0:c r="B1970" s="28" t="str">
        <ns0:f>IF($E1970="","",INDEX('Banka Dökümü'!$B$2:$B$2001,$E1970))</ns0:f>
        <ns0:v/>
      </ns0:c>
      <ns0:c r="C1970" s="33" t="str">
        <ns0:f>IF($E1970="","",INDEX('Banka Dökümü'!$C$2:$C$2001,$E1970))</ns0:f>
        <ns0:v/>
      </ns0:c>
      <ns0:c r="D1970" s="28" t="str">
        <ns0:f>IF(E1970="","","Müşteri adı / aranacak ad / il bilgisini kontrol edin")</ns0:f>
        <ns0:v/>
      </ns0:c>
      <ns0:c r="E1970" s="28" t="str">
        <ns0:f>IFERROR(MATCH(1966,'Banka Dökümü'!$I$2:$I$2001,0),"")</ns0:f>
        <ns0:v/>
      </ns0:c>
    </ns0:row>
    <ns0:row r="1971" ht="21" customHeight="1">
      <ns0:c r="A1971" s="32" t="str">
        <ns0:f>IF($E1971="","",INDEX('Banka Dökümü'!$A$2:$A$2001,$E1971))</ns0:f>
        <ns0:v/>
      </ns0:c>
      <ns0:c r="B1971" s="28" t="str">
        <ns0:f>IF($E1971="","",INDEX('Banka Dökümü'!$B$2:$B$2001,$E1971))</ns0:f>
        <ns0:v/>
      </ns0:c>
      <ns0:c r="C1971" s="33" t="str">
        <ns0:f>IF($E1971="","",INDEX('Banka Dökümü'!$C$2:$C$2001,$E1971))</ns0:f>
        <ns0:v/>
      </ns0:c>
      <ns0:c r="D1971" s="28" t="str">
        <ns0:f>IF(E1971="","","Müşteri adı / aranacak ad / il bilgisini kontrol edin")</ns0:f>
        <ns0:v/>
      </ns0:c>
      <ns0:c r="E1971" s="28" t="str">
        <ns0:f>IFERROR(MATCH(1967,'Banka Dökümü'!$I$2:$I$2001,0),"")</ns0:f>
        <ns0:v/>
      </ns0:c>
    </ns0:row>
    <ns0:row r="1972" ht="21" customHeight="1">
      <ns0:c r="A1972" s="32" t="str">
        <ns0:f>IF($E1972="","",INDEX('Banka Dökümü'!$A$2:$A$2001,$E1972))</ns0:f>
        <ns0:v/>
      </ns0:c>
      <ns0:c r="B1972" s="28" t="str">
        <ns0:f>IF($E1972="","",INDEX('Banka Dökümü'!$B$2:$B$2001,$E1972))</ns0:f>
        <ns0:v/>
      </ns0:c>
      <ns0:c r="C1972" s="33" t="str">
        <ns0:f>IF($E1972="","",INDEX('Banka Dökümü'!$C$2:$C$2001,$E1972))</ns0:f>
        <ns0:v/>
      </ns0:c>
      <ns0:c r="D1972" s="28" t="str">
        <ns0:f>IF(E1972="","","Müşteri adı / aranacak ad / il bilgisini kontrol edin")</ns0:f>
        <ns0:v/>
      </ns0:c>
      <ns0:c r="E1972" s="28" t="str">
        <ns0:f>IFERROR(MATCH(1968,'Banka Dökümü'!$I$2:$I$2001,0),"")</ns0:f>
        <ns0:v/>
      </ns0:c>
    </ns0:row>
    <ns0:row r="1973" ht="21" customHeight="1">
      <ns0:c r="A1973" s="32" t="str">
        <ns0:f>IF($E1973="","",INDEX('Banka Dökümü'!$A$2:$A$2001,$E1973))</ns0:f>
        <ns0:v/>
      </ns0:c>
      <ns0:c r="B1973" s="28" t="str">
        <ns0:f>IF($E1973="","",INDEX('Banka Dökümü'!$B$2:$B$2001,$E1973))</ns0:f>
        <ns0:v/>
      </ns0:c>
      <ns0:c r="C1973" s="33" t="str">
        <ns0:f>IF($E1973="","",INDEX('Banka Dökümü'!$C$2:$C$2001,$E1973))</ns0:f>
        <ns0:v/>
      </ns0:c>
      <ns0:c r="D1973" s="28" t="str">
        <ns0:f>IF(E1973="","","Müşteri adı / aranacak ad / il bilgisini kontrol edin")</ns0:f>
        <ns0:v/>
      </ns0:c>
      <ns0:c r="E1973" s="28" t="str">
        <ns0:f>IFERROR(MATCH(1969,'Banka Dökümü'!$I$2:$I$2001,0),"")</ns0:f>
        <ns0:v/>
      </ns0:c>
    </ns0:row>
    <ns0:row r="1974" ht="21" customHeight="1">
      <ns0:c r="A1974" s="32" t="str">
        <ns0:f>IF($E1974="","",INDEX('Banka Dökümü'!$A$2:$A$2001,$E1974))</ns0:f>
        <ns0:v/>
      </ns0:c>
      <ns0:c r="B1974" s="28" t="str">
        <ns0:f>IF($E1974="","",INDEX('Banka Dökümü'!$B$2:$B$2001,$E1974))</ns0:f>
        <ns0:v/>
      </ns0:c>
      <ns0:c r="C1974" s="33" t="str">
        <ns0:f>IF($E1974="","",INDEX('Banka Dökümü'!$C$2:$C$2001,$E1974))</ns0:f>
        <ns0:v/>
      </ns0:c>
      <ns0:c r="D1974" s="28" t="str">
        <ns0:f>IF(E1974="","","Müşteri adı / aranacak ad / il bilgisini kontrol edin")</ns0:f>
        <ns0:v/>
      </ns0:c>
      <ns0:c r="E1974" s="28" t="str">
        <ns0:f>IFERROR(MATCH(1970,'Banka Dökümü'!$I$2:$I$2001,0),"")</ns0:f>
        <ns0:v/>
      </ns0:c>
    </ns0:row>
    <ns0:row r="1975" ht="21" customHeight="1">
      <ns0:c r="A1975" s="32" t="str">
        <ns0:f>IF($E1975="","",INDEX('Banka Dökümü'!$A$2:$A$2001,$E1975))</ns0:f>
        <ns0:v/>
      </ns0:c>
      <ns0:c r="B1975" s="28" t="str">
        <ns0:f>IF($E1975="","",INDEX('Banka Dökümü'!$B$2:$B$2001,$E1975))</ns0:f>
        <ns0:v/>
      </ns0:c>
      <ns0:c r="C1975" s="33" t="str">
        <ns0:f>IF($E1975="","",INDEX('Banka Dökümü'!$C$2:$C$2001,$E1975))</ns0:f>
        <ns0:v/>
      </ns0:c>
      <ns0:c r="D1975" s="28" t="str">
        <ns0:f>IF(E1975="","","Müşteri adı / aranacak ad / il bilgisini kontrol edin")</ns0:f>
        <ns0:v/>
      </ns0:c>
      <ns0:c r="E1975" s="28" t="str">
        <ns0:f>IFERROR(MATCH(1971,'Banka Dökümü'!$I$2:$I$2001,0),"")</ns0:f>
        <ns0:v/>
      </ns0:c>
    </ns0:row>
    <ns0:row r="1976" ht="21" customHeight="1">
      <ns0:c r="A1976" s="32" t="str">
        <ns0:f>IF($E1976="","",INDEX('Banka Dökümü'!$A$2:$A$2001,$E1976))</ns0:f>
        <ns0:v/>
      </ns0:c>
      <ns0:c r="B1976" s="28" t="str">
        <ns0:f>IF($E1976="","",INDEX('Banka Dökümü'!$B$2:$B$2001,$E1976))</ns0:f>
        <ns0:v/>
      </ns0:c>
      <ns0:c r="C1976" s="33" t="str">
        <ns0:f>IF($E1976="","",INDEX('Banka Dökümü'!$C$2:$C$2001,$E1976))</ns0:f>
        <ns0:v/>
      </ns0:c>
      <ns0:c r="D1976" s="28" t="str">
        <ns0:f>IF(E1976="","","Müşteri adı / aranacak ad / il bilgisini kontrol edin")</ns0:f>
        <ns0:v/>
      </ns0:c>
      <ns0:c r="E1976" s="28" t="str">
        <ns0:f>IFERROR(MATCH(1972,'Banka Dökümü'!$I$2:$I$2001,0),"")</ns0:f>
        <ns0:v/>
      </ns0:c>
    </ns0:row>
    <ns0:row r="1977" ht="21" customHeight="1">
      <ns0:c r="A1977" s="32" t="str">
        <ns0:f>IF($E1977="","",INDEX('Banka Dökümü'!$A$2:$A$2001,$E1977))</ns0:f>
        <ns0:v/>
      </ns0:c>
      <ns0:c r="B1977" s="28" t="str">
        <ns0:f>IF($E1977="","",INDEX('Banka Dökümü'!$B$2:$B$2001,$E1977))</ns0:f>
        <ns0:v/>
      </ns0:c>
      <ns0:c r="C1977" s="33" t="str">
        <ns0:f>IF($E1977="","",INDEX('Banka Dökümü'!$C$2:$C$2001,$E1977))</ns0:f>
        <ns0:v/>
      </ns0:c>
      <ns0:c r="D1977" s="28" t="str">
        <ns0:f>IF(E1977="","","Müşteri adı / aranacak ad / il bilgisini kontrol edin")</ns0:f>
        <ns0:v/>
      </ns0:c>
      <ns0:c r="E1977" s="28" t="str">
        <ns0:f>IFERROR(MATCH(1973,'Banka Dökümü'!$I$2:$I$2001,0),"")</ns0:f>
        <ns0:v/>
      </ns0:c>
    </ns0:row>
    <ns0:row r="1978" ht="21" customHeight="1">
      <ns0:c r="A1978" s="32" t="str">
        <ns0:f>IF($E1978="","",INDEX('Banka Dökümü'!$A$2:$A$2001,$E1978))</ns0:f>
        <ns0:v/>
      </ns0:c>
      <ns0:c r="B1978" s="28" t="str">
        <ns0:f>IF($E1978="","",INDEX('Banka Dökümü'!$B$2:$B$2001,$E1978))</ns0:f>
        <ns0:v/>
      </ns0:c>
      <ns0:c r="C1978" s="33" t="str">
        <ns0:f>IF($E1978="","",INDEX('Banka Dökümü'!$C$2:$C$2001,$E1978))</ns0:f>
        <ns0:v/>
      </ns0:c>
      <ns0:c r="D1978" s="28" t="str">
        <ns0:f>IF(E1978="","","Müşteri adı / aranacak ad / il bilgisini kontrol edin")</ns0:f>
        <ns0:v/>
      </ns0:c>
      <ns0:c r="E1978" s="28" t="str">
        <ns0:f>IFERROR(MATCH(1974,'Banka Dökümü'!$I$2:$I$2001,0),"")</ns0:f>
        <ns0:v/>
      </ns0:c>
    </ns0:row>
    <ns0:row r="1979" ht="21" customHeight="1">
      <ns0:c r="A1979" s="32" t="str">
        <ns0:f>IF($E1979="","",INDEX('Banka Dökümü'!$A$2:$A$2001,$E1979))</ns0:f>
        <ns0:v/>
      </ns0:c>
      <ns0:c r="B1979" s="28" t="str">
        <ns0:f>IF($E1979="","",INDEX('Banka Dökümü'!$B$2:$B$2001,$E1979))</ns0:f>
        <ns0:v/>
      </ns0:c>
      <ns0:c r="C1979" s="33" t="str">
        <ns0:f>IF($E1979="","",INDEX('Banka Dökümü'!$C$2:$C$2001,$E1979))</ns0:f>
        <ns0:v/>
      </ns0:c>
      <ns0:c r="D1979" s="28" t="str">
        <ns0:f>IF(E1979="","","Müşteri adı / aranacak ad / il bilgisini kontrol edin")</ns0:f>
        <ns0:v/>
      </ns0:c>
      <ns0:c r="E1979" s="28" t="str">
        <ns0:f>IFERROR(MATCH(1975,'Banka Dökümü'!$I$2:$I$2001,0),"")</ns0:f>
        <ns0:v/>
      </ns0:c>
    </ns0:row>
    <ns0:row r="1980" ht="21" customHeight="1">
      <ns0:c r="A1980" s="32" t="str">
        <ns0:f>IF($E1980="","",INDEX('Banka Dökümü'!$A$2:$A$2001,$E1980))</ns0:f>
        <ns0:v/>
      </ns0:c>
      <ns0:c r="B1980" s="28" t="str">
        <ns0:f>IF($E1980="","",INDEX('Banka Dökümü'!$B$2:$B$2001,$E1980))</ns0:f>
        <ns0:v/>
      </ns0:c>
      <ns0:c r="C1980" s="33" t="str">
        <ns0:f>IF($E1980="","",INDEX('Banka Dökümü'!$C$2:$C$2001,$E1980))</ns0:f>
        <ns0:v/>
      </ns0:c>
      <ns0:c r="D1980" s="28" t="str">
        <ns0:f>IF(E1980="","","Müşteri adı / aranacak ad / il bilgisini kontrol edin")</ns0:f>
        <ns0:v/>
      </ns0:c>
      <ns0:c r="E1980" s="28" t="str">
        <ns0:f>IFERROR(MATCH(1976,'Banka Dökümü'!$I$2:$I$2001,0),"")</ns0:f>
        <ns0:v/>
      </ns0:c>
    </ns0:row>
    <ns0:row r="1981" ht="21" customHeight="1">
      <ns0:c r="A1981" s="32" t="str">
        <ns0:f>IF($E1981="","",INDEX('Banka Dökümü'!$A$2:$A$2001,$E1981))</ns0:f>
        <ns0:v/>
      </ns0:c>
      <ns0:c r="B1981" s="28" t="str">
        <ns0:f>IF($E1981="","",INDEX('Banka Dökümü'!$B$2:$B$2001,$E1981))</ns0:f>
        <ns0:v/>
      </ns0:c>
      <ns0:c r="C1981" s="33" t="str">
        <ns0:f>IF($E1981="","",INDEX('Banka Dökümü'!$C$2:$C$2001,$E1981))</ns0:f>
        <ns0:v/>
      </ns0:c>
      <ns0:c r="D1981" s="28" t="str">
        <ns0:f>IF(E1981="","","Müşteri adı / aranacak ad / il bilgisini kontrol edin")</ns0:f>
        <ns0:v/>
      </ns0:c>
      <ns0:c r="E1981" s="28" t="str">
        <ns0:f>IFERROR(MATCH(1977,'Banka Dökümü'!$I$2:$I$2001,0),"")</ns0:f>
        <ns0:v/>
      </ns0:c>
    </ns0:row>
    <ns0:row r="1982" ht="21" customHeight="1">
      <ns0:c r="A1982" s="32" t="str">
        <ns0:f>IF($E1982="","",INDEX('Banka Dökümü'!$A$2:$A$2001,$E1982))</ns0:f>
        <ns0:v/>
      </ns0:c>
      <ns0:c r="B1982" s="28" t="str">
        <ns0:f>IF($E1982="","",INDEX('Banka Dökümü'!$B$2:$B$2001,$E1982))</ns0:f>
        <ns0:v/>
      </ns0:c>
      <ns0:c r="C1982" s="33" t="str">
        <ns0:f>IF($E1982="","",INDEX('Banka Dökümü'!$C$2:$C$2001,$E1982))</ns0:f>
        <ns0:v/>
      </ns0:c>
      <ns0:c r="D1982" s="28" t="str">
        <ns0:f>IF(E1982="","","Müşteri adı / aranacak ad / il bilgisini kontrol edin")</ns0:f>
        <ns0:v/>
      </ns0:c>
      <ns0:c r="E1982" s="28" t="str">
        <ns0:f>IFERROR(MATCH(1978,'Banka Dökümü'!$I$2:$I$2001,0),"")</ns0:f>
        <ns0:v/>
      </ns0:c>
    </ns0:row>
    <ns0:row r="1983" ht="21" customHeight="1">
      <ns0:c r="A1983" s="32" t="str">
        <ns0:f>IF($E1983="","",INDEX('Banka Dökümü'!$A$2:$A$2001,$E1983))</ns0:f>
        <ns0:v/>
      </ns0:c>
      <ns0:c r="B1983" s="28" t="str">
        <ns0:f>IF($E1983="","",INDEX('Banka Dökümü'!$B$2:$B$2001,$E1983))</ns0:f>
        <ns0:v/>
      </ns0:c>
      <ns0:c r="C1983" s="33" t="str">
        <ns0:f>IF($E1983="","",INDEX('Banka Dökümü'!$C$2:$C$2001,$E1983))</ns0:f>
        <ns0:v/>
      </ns0:c>
      <ns0:c r="D1983" s="28" t="str">
        <ns0:f>IF(E1983="","","Müşteri adı / aranacak ad / il bilgisini kontrol edin")</ns0:f>
        <ns0:v/>
      </ns0:c>
      <ns0:c r="E1983" s="28" t="str">
        <ns0:f>IFERROR(MATCH(1979,'Banka Dökümü'!$I$2:$I$2001,0),"")</ns0:f>
        <ns0:v/>
      </ns0:c>
    </ns0:row>
    <ns0:row r="1984" ht="21" customHeight="1">
      <ns0:c r="A1984" s="32" t="str">
        <ns0:f>IF($E1984="","",INDEX('Banka Dökümü'!$A$2:$A$2001,$E1984))</ns0:f>
        <ns0:v/>
      </ns0:c>
      <ns0:c r="B1984" s="28" t="str">
        <ns0:f>IF($E1984="","",INDEX('Banka Dökümü'!$B$2:$B$2001,$E1984))</ns0:f>
        <ns0:v/>
      </ns0:c>
      <ns0:c r="C1984" s="33" t="str">
        <ns0:f>IF($E1984="","",INDEX('Banka Dökümü'!$C$2:$C$2001,$E1984))</ns0:f>
        <ns0:v/>
      </ns0:c>
      <ns0:c r="D1984" s="28" t="str">
        <ns0:f>IF(E1984="","","Müşteri adı / aranacak ad / il bilgisini kontrol edin")</ns0:f>
        <ns0:v/>
      </ns0:c>
      <ns0:c r="E1984" s="28" t="str">
        <ns0:f>IFERROR(MATCH(1980,'Banka Dökümü'!$I$2:$I$2001,0),"")</ns0:f>
        <ns0:v/>
      </ns0:c>
    </ns0:row>
    <ns0:row r="1985" ht="21" customHeight="1">
      <ns0:c r="A1985" s="32" t="str">
        <ns0:f>IF($E1985="","",INDEX('Banka Dökümü'!$A$2:$A$2001,$E1985))</ns0:f>
        <ns0:v/>
      </ns0:c>
      <ns0:c r="B1985" s="28" t="str">
        <ns0:f>IF($E1985="","",INDEX('Banka Dökümü'!$B$2:$B$2001,$E1985))</ns0:f>
        <ns0:v/>
      </ns0:c>
      <ns0:c r="C1985" s="33" t="str">
        <ns0:f>IF($E1985="","",INDEX('Banka Dökümü'!$C$2:$C$2001,$E1985))</ns0:f>
        <ns0:v/>
      </ns0:c>
      <ns0:c r="D1985" s="28" t="str">
        <ns0:f>IF(E1985="","","Müşteri adı / aranacak ad / il bilgisini kontrol edin")</ns0:f>
        <ns0:v/>
      </ns0:c>
      <ns0:c r="E1985" s="28" t="str">
        <ns0:f>IFERROR(MATCH(1981,'Banka Dökümü'!$I$2:$I$2001,0),"")</ns0:f>
        <ns0:v/>
      </ns0:c>
    </ns0:row>
    <ns0:row r="1986" ht="21" customHeight="1">
      <ns0:c r="A1986" s="32" t="str">
        <ns0:f>IF($E1986="","",INDEX('Banka Dökümü'!$A$2:$A$2001,$E1986))</ns0:f>
        <ns0:v/>
      </ns0:c>
      <ns0:c r="B1986" s="28" t="str">
        <ns0:f>IF($E1986="","",INDEX('Banka Dökümü'!$B$2:$B$2001,$E1986))</ns0:f>
        <ns0:v/>
      </ns0:c>
      <ns0:c r="C1986" s="33" t="str">
        <ns0:f>IF($E1986="","",INDEX('Banka Dökümü'!$C$2:$C$2001,$E1986))</ns0:f>
        <ns0:v/>
      </ns0:c>
      <ns0:c r="D1986" s="28" t="str">
        <ns0:f>IF(E1986="","","Müşteri adı / aranacak ad / il bilgisini kontrol edin")</ns0:f>
        <ns0:v/>
      </ns0:c>
      <ns0:c r="E1986" s="28" t="str">
        <ns0:f>IFERROR(MATCH(1982,'Banka Dökümü'!$I$2:$I$2001,0),"")</ns0:f>
        <ns0:v/>
      </ns0:c>
    </ns0:row>
    <ns0:row r="1987" ht="21" customHeight="1">
      <ns0:c r="A1987" s="32" t="str">
        <ns0:f>IF($E1987="","",INDEX('Banka Dökümü'!$A$2:$A$2001,$E1987))</ns0:f>
        <ns0:v/>
      </ns0:c>
      <ns0:c r="B1987" s="28" t="str">
        <ns0:f>IF($E1987="","",INDEX('Banka Dökümü'!$B$2:$B$2001,$E1987))</ns0:f>
        <ns0:v/>
      </ns0:c>
      <ns0:c r="C1987" s="33" t="str">
        <ns0:f>IF($E1987="","",INDEX('Banka Dökümü'!$C$2:$C$2001,$E1987))</ns0:f>
        <ns0:v/>
      </ns0:c>
      <ns0:c r="D1987" s="28" t="str">
        <ns0:f>IF(E1987="","","Müşteri adı / aranacak ad / il bilgisini kontrol edin")</ns0:f>
        <ns0:v/>
      </ns0:c>
      <ns0:c r="E1987" s="28" t="str">
        <ns0:f>IFERROR(MATCH(1983,'Banka Dökümü'!$I$2:$I$2001,0),"")</ns0:f>
        <ns0:v/>
      </ns0:c>
    </ns0:row>
    <ns0:row r="1988" ht="21" customHeight="1">
      <ns0:c r="A1988" s="32" t="str">
        <ns0:f>IF($E1988="","",INDEX('Banka Dökümü'!$A$2:$A$2001,$E1988))</ns0:f>
        <ns0:v/>
      </ns0:c>
      <ns0:c r="B1988" s="28" t="str">
        <ns0:f>IF($E1988="","",INDEX('Banka Dökümü'!$B$2:$B$2001,$E1988))</ns0:f>
        <ns0:v/>
      </ns0:c>
      <ns0:c r="C1988" s="33" t="str">
        <ns0:f>IF($E1988="","",INDEX('Banka Dökümü'!$C$2:$C$2001,$E1988))</ns0:f>
        <ns0:v/>
      </ns0:c>
      <ns0:c r="D1988" s="28" t="str">
        <ns0:f>IF(E1988="","","Müşteri adı / aranacak ad / il bilgisini kontrol edin")</ns0:f>
        <ns0:v/>
      </ns0:c>
      <ns0:c r="E1988" s="28" t="str">
        <ns0:f>IFERROR(MATCH(1984,'Banka Dökümü'!$I$2:$I$2001,0),"")</ns0:f>
        <ns0:v/>
      </ns0:c>
    </ns0:row>
    <ns0:row r="1989" ht="21" customHeight="1">
      <ns0:c r="A1989" s="32" t="str">
        <ns0:f>IF($E1989="","",INDEX('Banka Dökümü'!$A$2:$A$2001,$E1989))</ns0:f>
        <ns0:v/>
      </ns0:c>
      <ns0:c r="B1989" s="28" t="str">
        <ns0:f>IF($E1989="","",INDEX('Banka Dökümü'!$B$2:$B$2001,$E1989))</ns0:f>
        <ns0:v/>
      </ns0:c>
      <ns0:c r="C1989" s="33" t="str">
        <ns0:f>IF($E1989="","",INDEX('Banka Dökümü'!$C$2:$C$2001,$E1989))</ns0:f>
        <ns0:v/>
      </ns0:c>
      <ns0:c r="D1989" s="28" t="str">
        <ns0:f>IF(E1989="","","Müşteri adı / aranacak ad / il bilgisini kontrol edin")</ns0:f>
        <ns0:v/>
      </ns0:c>
      <ns0:c r="E1989" s="28" t="str">
        <ns0:f>IFERROR(MATCH(1985,'Banka Dökümü'!$I$2:$I$2001,0),"")</ns0:f>
        <ns0:v/>
      </ns0:c>
    </ns0:row>
    <ns0:row r="1990" ht="21" customHeight="1">
      <ns0:c r="A1990" s="32" t="str">
        <ns0:f>IF($E1990="","",INDEX('Banka Dökümü'!$A$2:$A$2001,$E1990))</ns0:f>
        <ns0:v/>
      </ns0:c>
      <ns0:c r="B1990" s="28" t="str">
        <ns0:f>IF($E1990="","",INDEX('Banka Dökümü'!$B$2:$B$2001,$E1990))</ns0:f>
        <ns0:v/>
      </ns0:c>
      <ns0:c r="C1990" s="33" t="str">
        <ns0:f>IF($E1990="","",INDEX('Banka Dökümü'!$C$2:$C$2001,$E1990))</ns0:f>
        <ns0:v/>
      </ns0:c>
      <ns0:c r="D1990" s="28" t="str">
        <ns0:f>IF(E1990="","","Müşteri adı / aranacak ad / il bilgisini kontrol edin")</ns0:f>
        <ns0:v/>
      </ns0:c>
      <ns0:c r="E1990" s="28" t="str">
        <ns0:f>IFERROR(MATCH(1986,'Banka Dökümü'!$I$2:$I$2001,0),"")</ns0:f>
        <ns0:v/>
      </ns0:c>
    </ns0:row>
    <ns0:row r="1991" ht="21" customHeight="1">
      <ns0:c r="A1991" s="32" t="str">
        <ns0:f>IF($E1991="","",INDEX('Banka Dökümü'!$A$2:$A$2001,$E1991))</ns0:f>
        <ns0:v/>
      </ns0:c>
      <ns0:c r="B1991" s="28" t="str">
        <ns0:f>IF($E1991="","",INDEX('Banka Dökümü'!$B$2:$B$2001,$E1991))</ns0:f>
        <ns0:v/>
      </ns0:c>
      <ns0:c r="C1991" s="33" t="str">
        <ns0:f>IF($E1991="","",INDEX('Banka Dökümü'!$C$2:$C$2001,$E1991))</ns0:f>
        <ns0:v/>
      </ns0:c>
      <ns0:c r="D1991" s="28" t="str">
        <ns0:f>IF(E1991="","","Müşteri adı / aranacak ad / il bilgisini kontrol edin")</ns0:f>
        <ns0:v/>
      </ns0:c>
      <ns0:c r="E1991" s="28" t="str">
        <ns0:f>IFERROR(MATCH(1987,'Banka Dökümü'!$I$2:$I$2001,0),"")</ns0:f>
        <ns0:v/>
      </ns0:c>
    </ns0:row>
    <ns0:row r="1992" ht="21" customHeight="1">
      <ns0:c r="A1992" s="32" t="str">
        <ns0:f>IF($E1992="","",INDEX('Banka Dökümü'!$A$2:$A$2001,$E1992))</ns0:f>
        <ns0:v/>
      </ns0:c>
      <ns0:c r="B1992" s="28" t="str">
        <ns0:f>IF($E1992="","",INDEX('Banka Dökümü'!$B$2:$B$2001,$E1992))</ns0:f>
        <ns0:v/>
      </ns0:c>
      <ns0:c r="C1992" s="33" t="str">
        <ns0:f>IF($E1992="","",INDEX('Banka Dökümü'!$C$2:$C$2001,$E1992))</ns0:f>
        <ns0:v/>
      </ns0:c>
      <ns0:c r="D1992" s="28" t="str">
        <ns0:f>IF(E1992="","","Müşteri adı / aranacak ad / il bilgisini kontrol edin")</ns0:f>
        <ns0:v/>
      </ns0:c>
      <ns0:c r="E1992" s="28" t="str">
        <ns0:f>IFERROR(MATCH(1988,'Banka Dökümü'!$I$2:$I$2001,0),"")</ns0:f>
        <ns0:v/>
      </ns0:c>
    </ns0:row>
    <ns0:row r="1993" ht="21" customHeight="1">
      <ns0:c r="A1993" s="32" t="str">
        <ns0:f>IF($E1993="","",INDEX('Banka Dökümü'!$A$2:$A$2001,$E1993))</ns0:f>
        <ns0:v/>
      </ns0:c>
      <ns0:c r="B1993" s="28" t="str">
        <ns0:f>IF($E1993="","",INDEX('Banka Dökümü'!$B$2:$B$2001,$E1993))</ns0:f>
        <ns0:v/>
      </ns0:c>
      <ns0:c r="C1993" s="33" t="str">
        <ns0:f>IF($E1993="","",INDEX('Banka Dökümü'!$C$2:$C$2001,$E1993))</ns0:f>
        <ns0:v/>
      </ns0:c>
      <ns0:c r="D1993" s="28" t="str">
        <ns0:f>IF(E1993="","","Müşteri adı / aranacak ad / il bilgisini kontrol edin")</ns0:f>
        <ns0:v/>
      </ns0:c>
      <ns0:c r="E1993" s="28" t="str">
        <ns0:f>IFERROR(MATCH(1989,'Banka Dökümü'!$I$2:$I$2001,0),"")</ns0:f>
        <ns0:v/>
      </ns0:c>
    </ns0:row>
    <ns0:row r="1994" ht="21" customHeight="1">
      <ns0:c r="A1994" s="32" t="str">
        <ns0:f>IF($E1994="","",INDEX('Banka Dökümü'!$A$2:$A$2001,$E1994))</ns0:f>
        <ns0:v/>
      </ns0:c>
      <ns0:c r="B1994" s="28" t="str">
        <ns0:f>IF($E1994="","",INDEX('Banka Dökümü'!$B$2:$B$2001,$E1994))</ns0:f>
        <ns0:v/>
      </ns0:c>
      <ns0:c r="C1994" s="33" t="str">
        <ns0:f>IF($E1994="","",INDEX('Banka Dökümü'!$C$2:$C$2001,$E1994))</ns0:f>
        <ns0:v/>
      </ns0:c>
      <ns0:c r="D1994" s="28" t="str">
        <ns0:f>IF(E1994="","","Müşteri adı / aranacak ad / il bilgisini kontrol edin")</ns0:f>
        <ns0:v/>
      </ns0:c>
      <ns0:c r="E1994" s="28" t="str">
        <ns0:f>IFERROR(MATCH(1990,'Banka Dökümü'!$I$2:$I$2001,0),"")</ns0:f>
        <ns0:v/>
      </ns0:c>
    </ns0:row>
    <ns0:row r="1995" ht="21" customHeight="1">
      <ns0:c r="A1995" s="32" t="str">
        <ns0:f>IF($E1995="","",INDEX('Banka Dökümü'!$A$2:$A$2001,$E1995))</ns0:f>
        <ns0:v/>
      </ns0:c>
      <ns0:c r="B1995" s="28" t="str">
        <ns0:f>IF($E1995="","",INDEX('Banka Dökümü'!$B$2:$B$2001,$E1995))</ns0:f>
        <ns0:v/>
      </ns0:c>
      <ns0:c r="C1995" s="33" t="str">
        <ns0:f>IF($E1995="","",INDEX('Banka Dökümü'!$C$2:$C$2001,$E1995))</ns0:f>
        <ns0:v/>
      </ns0:c>
      <ns0:c r="D1995" s="28" t="str">
        <ns0:f>IF(E1995="","","Müşteri adı / aranacak ad / il bilgisini kontrol edin")</ns0:f>
        <ns0:v/>
      </ns0:c>
      <ns0:c r="E1995" s="28" t="str">
        <ns0:f>IFERROR(MATCH(1991,'Banka Dökümü'!$I$2:$I$2001,0),"")</ns0:f>
        <ns0:v/>
      </ns0:c>
    </ns0:row>
    <ns0:row r="1996" ht="21" customHeight="1">
      <ns0:c r="A1996" s="32" t="str">
        <ns0:f>IF($E1996="","",INDEX('Banka Dökümü'!$A$2:$A$2001,$E1996))</ns0:f>
        <ns0:v/>
      </ns0:c>
      <ns0:c r="B1996" s="28" t="str">
        <ns0:f>IF($E1996="","",INDEX('Banka Dökümü'!$B$2:$B$2001,$E1996))</ns0:f>
        <ns0:v/>
      </ns0:c>
      <ns0:c r="C1996" s="33" t="str">
        <ns0:f>IF($E1996="","",INDEX('Banka Dökümü'!$C$2:$C$2001,$E1996))</ns0:f>
        <ns0:v/>
      </ns0:c>
      <ns0:c r="D1996" s="28" t="str">
        <ns0:f>IF(E1996="","","Müşteri adı / aranacak ad / il bilgisini kontrol edin")</ns0:f>
        <ns0:v/>
      </ns0:c>
      <ns0:c r="E1996" s="28" t="str">
        <ns0:f>IFERROR(MATCH(1992,'Banka Dökümü'!$I$2:$I$2001,0),"")</ns0:f>
        <ns0:v/>
      </ns0:c>
    </ns0:row>
    <ns0:row r="1997" ht="21" customHeight="1">
      <ns0:c r="A1997" s="32" t="str">
        <ns0:f>IF($E1997="","",INDEX('Banka Dökümü'!$A$2:$A$2001,$E1997))</ns0:f>
        <ns0:v/>
      </ns0:c>
      <ns0:c r="B1997" s="28" t="str">
        <ns0:f>IF($E1997="","",INDEX('Banka Dökümü'!$B$2:$B$2001,$E1997))</ns0:f>
        <ns0:v/>
      </ns0:c>
      <ns0:c r="C1997" s="33" t="str">
        <ns0:f>IF($E1997="","",INDEX('Banka Dökümü'!$C$2:$C$2001,$E1997))</ns0:f>
        <ns0:v/>
      </ns0:c>
      <ns0:c r="D1997" s="28" t="str">
        <ns0:f>IF(E1997="","","Müşteri adı / aranacak ad / il bilgisini kontrol edin")</ns0:f>
        <ns0:v/>
      </ns0:c>
      <ns0:c r="E1997" s="28" t="str">
        <ns0:f>IFERROR(MATCH(1993,'Banka Dökümü'!$I$2:$I$2001,0),"")</ns0:f>
        <ns0:v/>
      </ns0:c>
    </ns0:row>
    <ns0:row r="1998" ht="21" customHeight="1">
      <ns0:c r="A1998" s="32" t="str">
        <ns0:f>IF($E1998="","",INDEX('Banka Dökümü'!$A$2:$A$2001,$E1998))</ns0:f>
        <ns0:v/>
      </ns0:c>
      <ns0:c r="B1998" s="28" t="str">
        <ns0:f>IF($E1998="","",INDEX('Banka Dökümü'!$B$2:$B$2001,$E1998))</ns0:f>
        <ns0:v/>
      </ns0:c>
      <ns0:c r="C1998" s="33" t="str">
        <ns0:f>IF($E1998="","",INDEX('Banka Dökümü'!$C$2:$C$2001,$E1998))</ns0:f>
        <ns0:v/>
      </ns0:c>
      <ns0:c r="D1998" s="28" t="str">
        <ns0:f>IF(E1998="","","Müşteri adı / aranacak ad / il bilgisini kontrol edin")</ns0:f>
        <ns0:v/>
      </ns0:c>
      <ns0:c r="E1998" s="28" t="str">
        <ns0:f>IFERROR(MATCH(1994,'Banka Dökümü'!$I$2:$I$2001,0),"")</ns0:f>
        <ns0:v/>
      </ns0:c>
    </ns0:row>
    <ns0:row r="1999" ht="21" customHeight="1">
      <ns0:c r="A1999" s="32" t="str">
        <ns0:f>IF($E1999="","",INDEX('Banka Dökümü'!$A$2:$A$2001,$E1999))</ns0:f>
        <ns0:v/>
      </ns0:c>
      <ns0:c r="B1999" s="28" t="str">
        <ns0:f>IF($E1999="","",INDEX('Banka Dökümü'!$B$2:$B$2001,$E1999))</ns0:f>
        <ns0:v/>
      </ns0:c>
      <ns0:c r="C1999" s="33" t="str">
        <ns0:f>IF($E1999="","",INDEX('Banka Dökümü'!$C$2:$C$2001,$E1999))</ns0:f>
        <ns0:v/>
      </ns0:c>
      <ns0:c r="D1999" s="28" t="str">
        <ns0:f>IF(E1999="","","Müşteri adı / aranacak ad / il bilgisini kontrol edin")</ns0:f>
        <ns0:v/>
      </ns0:c>
      <ns0:c r="E1999" s="28" t="str">
        <ns0:f>IFERROR(MATCH(1995,'Banka Dökümü'!$I$2:$I$2001,0),"")</ns0:f>
        <ns0:v/>
      </ns0:c>
    </ns0:row>
    <ns0:row r="2000" ht="21" customHeight="1">
      <ns0:c r="A2000" s="32" t="str">
        <ns0:f>IF($E2000="","",INDEX('Banka Dökümü'!$A$2:$A$2001,$E2000))</ns0:f>
        <ns0:v/>
      </ns0:c>
      <ns0:c r="B2000" s="28" t="str">
        <ns0:f>IF($E2000="","",INDEX('Banka Dökümü'!$B$2:$B$2001,$E2000))</ns0:f>
        <ns0:v/>
      </ns0:c>
      <ns0:c r="C2000" s="33" t="str">
        <ns0:f>IF($E2000="","",INDEX('Banka Dökümü'!$C$2:$C$2001,$E2000))</ns0:f>
        <ns0:v/>
      </ns0:c>
      <ns0:c r="D2000" s="28" t="str">
        <ns0:f>IF(E2000="","","Müşteri adı / aranacak ad / il bilgisini kontrol edin")</ns0:f>
        <ns0:v/>
      </ns0:c>
      <ns0:c r="E2000" s="28" t="str">
        <ns0:f>IFERROR(MATCH(1996,'Banka Dökümü'!$I$2:$I$2001,0),"")</ns0:f>
        <ns0:v/>
      </ns0:c>
    </ns0:row>
    <ns0:row r="2001" ht="21" customHeight="1">
      <ns0:c r="A2001" s="32" t="str">
        <ns0:f>IF($E2001="","",INDEX('Banka Dökümü'!$A$2:$A$2001,$E2001))</ns0:f>
        <ns0:v/>
      </ns0:c>
      <ns0:c r="B2001" s="28" t="str">
        <ns0:f>IF($E2001="","",INDEX('Banka Dökümü'!$B$2:$B$2001,$E2001))</ns0:f>
        <ns0:v/>
      </ns0:c>
      <ns0:c r="C2001" s="33" t="str">
        <ns0:f>IF($E2001="","",INDEX('Banka Dökümü'!$C$2:$C$2001,$E2001))</ns0:f>
        <ns0:v/>
      </ns0:c>
      <ns0:c r="D2001" s="28" t="str">
        <ns0:f>IF(E2001="","","Müşteri adı / aranacak ad / il bilgisini kontrol edin")</ns0:f>
        <ns0:v/>
      </ns0:c>
      <ns0:c r="E2001" s="28" t="str">
        <ns0:f>IFERROR(MATCH(1997,'Banka Dökümü'!$I$2:$I$2001,0),"")</ns0:f>
        <ns0:v/>
      </ns0:c>
    </ns0:row>
    <ns0:row r="2002" ht="21" customHeight="1">
      <ns0:c r="A2002" s="32" t="str">
        <ns0:f>IF($E2002="","",INDEX('Banka Dökümü'!$A$2:$A$2001,$E2002))</ns0:f>
        <ns0:v/>
      </ns0:c>
      <ns0:c r="B2002" s="28" t="str">
        <ns0:f>IF($E2002="","",INDEX('Banka Dökümü'!$B$2:$B$2001,$E2002))</ns0:f>
        <ns0:v/>
      </ns0:c>
      <ns0:c r="C2002" s="33" t="str">
        <ns0:f>IF($E2002="","",INDEX('Banka Dökümü'!$C$2:$C$2001,$E2002))</ns0:f>
        <ns0:v/>
      </ns0:c>
      <ns0:c r="D2002" s="28" t="str">
        <ns0:f>IF(E2002="","","Müşteri adı / aranacak ad / il bilgisini kontrol edin")</ns0:f>
        <ns0:v/>
      </ns0:c>
      <ns0:c r="E2002" s="28" t="str">
        <ns0:f>IFERROR(MATCH(1998,'Banka Dökümü'!$I$2:$I$2001,0),"")</ns0:f>
        <ns0:v/>
      </ns0:c>
    </ns0:row>
    <ns0:row r="2003" ht="21" customHeight="1">
      <ns0:c r="A2003" s="32" t="str">
        <ns0:f>IF($E2003="","",INDEX('Banka Dökümü'!$A$2:$A$2001,$E2003))</ns0:f>
        <ns0:v/>
      </ns0:c>
      <ns0:c r="B2003" s="28" t="str">
        <ns0:f>IF($E2003="","",INDEX('Banka Dökümü'!$B$2:$B$2001,$E2003))</ns0:f>
        <ns0:v/>
      </ns0:c>
      <ns0:c r="C2003" s="33" t="str">
        <ns0:f>IF($E2003="","",INDEX('Banka Dökümü'!$C$2:$C$2001,$E2003))</ns0:f>
        <ns0:v/>
      </ns0:c>
      <ns0:c r="D2003" s="28" t="str">
        <ns0:f>IF(E2003="","","Müşteri adı / aranacak ad / il bilgisini kontrol edin")</ns0:f>
        <ns0:v/>
      </ns0:c>
      <ns0:c r="E2003" s="28" t="str">
        <ns0:f>IFERROR(MATCH(1999,'Banka Dökümü'!$I$2:$I$2001,0),"")</ns0:f>
        <ns0:v/>
      </ns0:c>
    </ns0:row>
    <ns0:row r="2004" ht="21" customHeight="1">
      <ns0:c r="A2004" s="32" t="str">
        <ns0:f>IF($E2004="","",INDEX('Banka Dökümü'!$A$2:$A$2001,$E2004))</ns0:f>
        <ns0:v/>
      </ns0:c>
      <ns0:c r="B2004" s="28" t="str">
        <ns0:f>IF($E2004="","",INDEX('Banka Dökümü'!$B$2:$B$2001,$E2004))</ns0:f>
        <ns0:v/>
      </ns0:c>
      <ns0:c r="C2004" s="33" t="str">
        <ns0:f>IF($E2004="","",INDEX('Banka Dökümü'!$C$2:$C$2001,$E2004))</ns0:f>
        <ns0:v/>
      </ns0:c>
      <ns0:c r="D2004" s="28" t="str">
        <ns0:f>IF(E2004="","","Müşteri adı / aranacak ad / il bilgisini kontrol edin")</ns0:f>
        <ns0:v/>
      </ns0:c>
      <ns0:c r="E2004" s="28" t="str">
        <ns0:f>IFERROR(MATCH(2000,'Banka Dökümü'!$I$2:$I$2001,0),"")</ns0:f>
        <ns0:v/>
      </ns0:c>
    </ns0:row>
  </ns0:sheetData>
  <ns0:autoFilter ref="A4:D2004"/>
  <ns0:mergeCells count="2">
    <ns0:mergeCell ref="A3:D3"/>
    <ns0:mergeCell ref="A2:D2"/>
  </ns0:mergeCells>
  <ns0:hyperlinks>
    <ns0:hyperlink ref="A1" ns1:id="rId1"/>
  </ns0:hyperlink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B14"/>
  <ns0:sheetViews>
    <ns0:sheetView showGridLines="0" zoomScale="90" workbookViewId="0">
      <ns0:pane ySplit="2" topLeftCell="A3" activePane="bottomLeft" state="frozen"/>
      <ns0:selection pane="bottomLeft"/>
      <ns0:selection pane="bottomLeft"/>
      <ns0:selection pane="bottomRight" activeCell="A1" sqref="A1"/>
    </ns0:sheetView>
  </ns0:sheetViews>
  <ns0:sheetFormatPr baseColWidth="8" defaultRowHeight="15"/>
  <ns0:cols>
    <ns0:col width="6" customWidth="1" min="1" max="1"/>
    <ns0:col width="112" customWidth="1" min="2" max="2"/>
  </ns0:cols>
  <ns0:sheetData>
    <ns0:row r="1" ht="34" customHeight="1">
      <ns0:c r="A1" s="34" t="inlineStr">
        <ns0:is>
          <ns0:t>NASIL KULLANILIR  /  5 ADIM</ns0:t>
        </ns0:is>
      </ns0:c>
    </ns0:row>
    <ns0:row r="3" ht="58" customHeight="1">
      <ns0:c r="A3" s="35" t="inlineStr">
        <ns0:is>
          <ns0:t>01</ns0:t>
        </ns0:is>
      </ns0:c>
      <ns0:c r="B3" s="36" t="inlineStr">
        <ns0:is>
          <ns0:t>Banka Dökümü sayfasında A:D alanına gerçek tarih, açıklama, tutar ve bakiye yapıştırın. Girişler pozitif, çıkışlar negatif olmalı; E:I formüllerini silmeyin.</ns0:t>
        </ns0:is>
      </ns0:c>
    </ns0:row>
    <ns0:row r="4" ht="58" customHeight="1">
      <ns0:c r="A4" s="35" t="inlineStr">
        <ns0:is>
          <ns0:t>02</ns0:t>
        </ns0:is>
      </ns0:c>
      <ns0:c r="B4" s="36" t="inlineStr">
        <ns0:is>
          <ns0:t>Satışlar sayfasında A:E alanına tarih, fatura no, müşteri, il ve tutar girin. F sütunu ayı hesaplar. Eski veriyi değiştiriyorsanız kalan eski satırları da temizleyin.</ns0:t>
        </ns0:is>
      </ns0:c>
    </ns0:row>
    <ns0:row r="5" ht="58" customHeight="1">
      <ns0:c r="A5" s="35" t="inlineStr">
        <ns0:is>
          <ns0:t>03</ns0:t>
        </ns0:is>
      </ns0:c>
      <ns0:c r="B5" s="36" t="inlineStr">
        <ns0:is>
          <ns0:t>Müşteriler sayfasına müşteri, bankada aranacak ayırt edici kısa ad ve il ekleyin. Boş, yinelenen veya birden çok müşteriyi çağrıştıran ad kullanmayın (en fazla 100 müşteri).</ns0:t>
        </ns0:is>
      </ns0:c>
    </ns0:row>
    <ns0:row r="6" ht="58" customHeight="1">
      <ns0:c r="A6" s="35" t="inlineStr">
        <ns0:is>
          <ns0:t>04</ns0:t>
        </ns0:is>
      </ns0:c>
      <ns0:c r="B6" s="36" t="inlineStr">
        <ns0:is>
          <ns0:t>Panel sayfasında B4 hücresinden ayı seçin. Satış, tahsilat, ay içi alacak farkı, önceki ay karşılaştırması ve grafik birlikte güncellenir.</ns0:t>
        </ns0:is>
      </ns0:c>
    </ns0:row>
    <ns0:row r="7" ht="58" customHeight="1">
      <ns0:c r="A7" s="35" t="inlineStr">
        <ns0:is>
          <ns0:t>05</ns0:t>
        </ns0:is>
      </ns0:c>
      <ns0:c r="B7" s="36" t="inlineStr">
        <ns0:is>
          <ns0:t>Paneldeki uyarıya tıklayın. Eşleştirme listesindeki girişler için müşteri/aranacak ad/il bilgisini düzeltin; tek eşleşme sağlanınca ödeme tahsilata katılır.</ns0:t>
        </ns0:is>
      </ns0:c>
    </ns0:row>
    <ns0:row r="10">
      <ns0:c r="A10" s="13" t="inlineStr">
        <ns0:is>
          <ns0:t>TASLAK • Örnek işletmeler ve işlemler kurgusaldır. Gerçek müşteri verisi yoktur.</ns0:t>
        </ns0:is>
      </ns0:c>
    </ns0:row>
    <ns0:row r="12">
      <ns0:c r="A12" s="2" t="inlineStr">
        <ns0:is>
          <ns0:t>Kapasite: 2.000 satış + 2.000 banka satırı / 100 müşteri. Gri alanlar hesaplanır; formüllere yapıştırmayın.</ns0:t>
        </ns0:is>
      </ns0:c>
    </ns0:row>
    <ns0:row r="13">
      <ns0:c r="A13" s="2" t="inlineStr">
        <ns0:is>
          <ns0:t>Alacak = seçilen ay satışı − o ayın eşleşen tahsilatı. Açılış bakiyesi ve fatura/vade takibi içermez.</ns0:t>
        </ns0:is>
      </ns0:c>
    </ns0:row>
    <ns0:row r="14">
      <ns0:c r="A14" s="2" t="inlineStr">
        <ns0:is>
          <ns0:t>Yeni ay/yıl için Müşteriler!H2:H13 ay listesini güncelleyin. İller bu taslakta sabit 10 ildir.</ns0:t>
        </ns0:is>
      </ns0:c>
    </ns0:row>
  </ns0:sheetData>
  <ns0:mergeCells count="5">
    <ns0:mergeCell ref="A10:B10"/>
    <ns0:mergeCell ref="A13:B13"/>
    <ns0:mergeCell ref="A14:B14"/>
    <ns0:mergeCell ref="A1:B1"/>
    <ns0:mergeCell ref="A12:B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Satış ve Tahsilat Taslağı</dc:creator>
  <dc:title xmlns:dc="http://purl.org/dc/elements/1.1/">İl Bazlı Satış ve Tahsilat • TASLAK</dc:title>
  <dc:subject xmlns:dc="http://purl.org/dc/elements/1.1/">Tamamı kurgusal örnek veridir; gerçek müşteri verisi içermez.</dc:subject>
  <dcterms:created xmlns:dcterms="http://purl.org/dc/terms/" xmlns:xsi="http://www.w3.org/2001/XMLSchema-instance" xsi:type="dcterms:W3CDTF">2026-10-29T14:39:33Z</dcterms:created>
  <dcterms:modified xmlns:dcterms="http://purl.org/dc/terms/" xmlns:xsi="http://www.w3.org/2001/XMLSchema-instance" xsi:type="dcterms:W3CDTF">2026-10-29T14:39:38Z</dcterms:modified>
</cp:coreProperties>
</file>